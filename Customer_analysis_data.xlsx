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 analytics projects\Customer_Churn_Revenue_Intelligence\Excel\"/>
    </mc:Choice>
  </mc:AlternateContent>
  <xr:revisionPtr revIDLastSave="0" documentId="13_ncr:1_{B3268B58-4E84-4A98-995D-72297D52F02B}" xr6:coauthVersionLast="47" xr6:coauthVersionMax="47" xr10:uidLastSave="{00000000-0000-0000-0000-000000000000}"/>
  <bookViews>
    <workbookView xWindow="-120" yWindow="-120" windowWidth="20730" windowHeight="11040" tabRatio="565" activeTab="3" xr2:uid="{A50F96EE-146A-4093-A06B-E78CC86DD576}"/>
  </bookViews>
  <sheets>
    <sheet name="charts" sheetId="4" r:id="rId1"/>
    <sheet name="Customers" sheetId="2" r:id="rId2"/>
    <sheet name="analysis" sheetId="3" r:id="rId3"/>
    <sheet name="Excel_Analysis" sheetId="1" r:id="rId4"/>
  </sheets>
  <definedNames>
    <definedName name="ExternalData_1" localSheetId="1" hidden="1">Customers!$A$1:$AJ$2501</definedName>
  </definedName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1" l="1"/>
  <c r="B13" i="1"/>
  <c r="B12" i="1"/>
  <c r="B2" i="1"/>
  <c r="B5" i="1" s="1"/>
  <c r="B10" i="1"/>
  <c r="B9" i="1"/>
  <c r="B8" i="1"/>
  <c r="B7" i="1"/>
  <c r="B6" i="1"/>
  <c r="B4" i="1"/>
  <c r="B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A2F238-ECC7-4AE8-9A12-6622E862AC77}" keepAlive="1" name="Query - cleaned_customer_data" description="Connection to the 'cleaned_customer_data' query in the workbook." type="5" refreshedVersion="8" background="1" saveData="1">
    <dbPr connection="Provider=Microsoft.Mashup.OleDb.1;Data Source=$Workbook$;Location=cleaned_customer_data;Extended Properties=&quot;&quot;" command="SELECT * FROM [cleaned_customer_data]"/>
  </connection>
</connections>
</file>

<file path=xl/sharedStrings.xml><?xml version="1.0" encoding="utf-8"?>
<sst xmlns="http://schemas.openxmlformats.org/spreadsheetml/2006/main" count="35088" uniqueCount="99">
  <si>
    <t>customer_id</t>
  </si>
  <si>
    <t>age</t>
  </si>
  <si>
    <t>gender</t>
  </si>
  <si>
    <t>city</t>
  </si>
  <si>
    <t>signup_date</t>
  </si>
  <si>
    <t>last_active_date</t>
  </si>
  <si>
    <t>plan_type</t>
  </si>
  <si>
    <t>monthly_fee</t>
  </si>
  <si>
    <t>tenure_months</t>
  </si>
  <si>
    <t>support_tickets</t>
  </si>
  <si>
    <t>avg_session_time</t>
  </si>
  <si>
    <t>discount_percent</t>
  </si>
  <si>
    <t>marketing_channel</t>
  </si>
  <si>
    <t>churned</t>
  </si>
  <si>
    <t>total_revenue</t>
  </si>
  <si>
    <t>date_valid</t>
  </si>
  <si>
    <t>cus_tenure_years</t>
  </si>
  <si>
    <t>revenue_per_month</t>
  </si>
  <si>
    <t>engagement_score</t>
  </si>
  <si>
    <t>signup_month</t>
  </si>
  <si>
    <t>age_group</t>
  </si>
  <si>
    <t>churn_flag</t>
  </si>
  <si>
    <t>high_value_customer</t>
  </si>
  <si>
    <t>days_active</t>
  </si>
  <si>
    <t>session_usage_category</t>
  </si>
  <si>
    <t>discount_category</t>
  </si>
  <si>
    <t>support_intensity</t>
  </si>
  <si>
    <t>revenue_category</t>
  </si>
  <si>
    <t>plan_rank</t>
  </si>
  <si>
    <t>signup_revenue_month</t>
  </si>
  <si>
    <t>tenure_group</t>
  </si>
  <si>
    <t>support_ticket_group</t>
  </si>
  <si>
    <t>session_time_group</t>
  </si>
  <si>
    <t>monthly_fee_group</t>
  </si>
  <si>
    <t>base_revenue</t>
  </si>
  <si>
    <t>revenue_difference</t>
  </si>
  <si>
    <t>Female</t>
  </si>
  <si>
    <t>Chennai</t>
  </si>
  <si>
    <t>Basic</t>
  </si>
  <si>
    <t>Referral</t>
  </si>
  <si>
    <t>Yes</t>
  </si>
  <si>
    <t>Older</t>
  </si>
  <si>
    <t>Low</t>
  </si>
  <si>
    <t>High</t>
  </si>
  <si>
    <t>25+ months</t>
  </si>
  <si>
    <t>4–5 tickets</t>
  </si>
  <si>
    <t>11–20 min</t>
  </si>
  <si>
    <t>1000+</t>
  </si>
  <si>
    <t>Mumbai</t>
  </si>
  <si>
    <t>Premium</t>
  </si>
  <si>
    <t>Organic</t>
  </si>
  <si>
    <t>Middle-aged</t>
  </si>
  <si>
    <t>Medium</t>
  </si>
  <si>
    <t>13–24 months</t>
  </si>
  <si>
    <t>0–1 tickets</t>
  </si>
  <si>
    <t>31–45 min</t>
  </si>
  <si>
    <t>No</t>
  </si>
  <si>
    <t>Adult</t>
  </si>
  <si>
    <t>0–6 months</t>
  </si>
  <si>
    <t>701–1000</t>
  </si>
  <si>
    <t>Male</t>
  </si>
  <si>
    <t>Delhi</t>
  </si>
  <si>
    <t>Standard</t>
  </si>
  <si>
    <t>46+ min</t>
  </si>
  <si>
    <t>501–700</t>
  </si>
  <si>
    <t>Ads</t>
  </si>
  <si>
    <t>Young</t>
  </si>
  <si>
    <t>Email</t>
  </si>
  <si>
    <t>301–500</t>
  </si>
  <si>
    <t>Hyderabad</t>
  </si>
  <si>
    <t>21–30 min</t>
  </si>
  <si>
    <t>Bangalore</t>
  </si>
  <si>
    <t>2–3 tickets</t>
  </si>
  <si>
    <t>Pune</t>
  </si>
  <si>
    <t>7–12 months</t>
  </si>
  <si>
    <t>Other</t>
  </si>
  <si>
    <t>unknown</t>
  </si>
  <si>
    <t>0–10 min</t>
  </si>
  <si>
    <t>6+ tickets</t>
  </si>
  <si>
    <t>≤300</t>
  </si>
  <si>
    <t>Total Customers</t>
  </si>
  <si>
    <t>Total Churned Customers</t>
  </si>
  <si>
    <t>Total retained customers</t>
  </si>
  <si>
    <t>Overall churn rate</t>
  </si>
  <si>
    <t>Average monthly fee</t>
  </si>
  <si>
    <t>Total recorded revenue</t>
  </si>
  <si>
    <t>Average customer revenue</t>
  </si>
  <si>
    <t>High-value customers</t>
  </si>
  <si>
    <t>High-value customers who churned</t>
  </si>
  <si>
    <t>Customers with at least five support tickets</t>
  </si>
  <si>
    <t>Row Labels</t>
  </si>
  <si>
    <t>Grand Total</t>
  </si>
  <si>
    <t>Column Labels</t>
  </si>
  <si>
    <t>Count of customer_id</t>
  </si>
  <si>
    <t>Sum of total_revenue</t>
  </si>
  <si>
    <t>Sum of churn_flag</t>
  </si>
  <si>
    <t>Customer Churn &amp; Revenue Intelligence</t>
  </si>
  <si>
    <t>High-value customer percentage</t>
  </si>
  <si>
    <t>Churn rate among high-value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</si>
</sst>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0" fontId="0" fillId="0" borderId="1" xfId="0" applyNumberFormat="1" applyBorder="1" applyAlignment="1">
      <alignment horizontal="center"/>
    </xf>
  </cellXfs>
  <cellStyles count="2">
    <cellStyle name="Normal" xfId="0" builtinId="0"/>
    <cellStyle name="Percent" xfId="1" builtinId="5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[Customer_analysis_data.xlsx]charts!Customer Churn by Subscription Plan.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Customer Churn by Subscription Plan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charts!$B$1:$B$2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charts!$A$3:$A$6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charts!$B$3:$B$6</c:f>
              <c:numCache>
                <c:formatCode>General</c:formatCode>
                <c:ptCount val="3"/>
                <c:pt idx="0">
                  <c:v>834</c:v>
                </c:pt>
                <c:pt idx="1">
                  <c:v>359</c:v>
                </c:pt>
                <c:pt idx="2">
                  <c:v>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03-4461-A6F5-8F40DB72DB6B}"/>
            </c:ext>
          </c:extLst>
        </c:ser>
        <c:ser>
          <c:idx val="1"/>
          <c:order val="1"/>
          <c:tx>
            <c:strRef>
              <c:f>charts!$C$1:$C$2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charts!$A$3:$A$6</c:f>
              <c:strCache>
                <c:ptCount val="3"/>
                <c:pt idx="0">
                  <c:v>Basic</c:v>
                </c:pt>
                <c:pt idx="1">
                  <c:v>Premium</c:v>
                </c:pt>
                <c:pt idx="2">
                  <c:v>Standard</c:v>
                </c:pt>
              </c:strCache>
            </c:strRef>
          </c:cat>
          <c:val>
            <c:numRef>
              <c:f>charts!$C$3:$C$6</c:f>
              <c:numCache>
                <c:formatCode>General</c:formatCode>
                <c:ptCount val="3"/>
                <c:pt idx="0">
                  <c:v>267</c:v>
                </c:pt>
                <c:pt idx="1">
                  <c:v>130</c:v>
                </c:pt>
                <c:pt idx="2">
                  <c:v>189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03-4461-A6F5-8F40DB72D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605689951"/>
        <c:axId val="1425491712"/>
      </c:barChart>
      <c:catAx>
        <c:axId val="60568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491712"/>
        <c:crosses val="autoZero"/>
        <c:auto val="1"/>
        <c:lblAlgn val="ctr"/>
        <c:lblOffset val="100"/>
        <c:noMultiLvlLbl val="0"/>
      </c:catAx>
      <c:valAx>
        <c:axId val="142549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68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[Customer_analysis_data.xlsx]charts!PivotTable7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Recorded Revenue by Marketing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charts!$H$3:$H$7</c:f>
              <c:strCache>
                <c:ptCount val="4"/>
                <c:pt idx="0">
                  <c:v>Ads</c:v>
                </c:pt>
                <c:pt idx="1">
                  <c:v>Email</c:v>
                </c:pt>
                <c:pt idx="2">
                  <c:v>Organic</c:v>
                </c:pt>
                <c:pt idx="3">
                  <c:v>Referral</c:v>
                </c:pt>
              </c:strCache>
            </c:strRef>
          </c:cat>
          <c:val>
            <c:numRef>
              <c:f>charts!$I$3:$I$7</c:f>
              <c:numCache>
                <c:formatCode>General</c:formatCode>
                <c:ptCount val="4"/>
                <c:pt idx="0">
                  <c:v>9358576</c:v>
                </c:pt>
                <c:pt idx="1">
                  <c:v>10446037.049999995</c:v>
                </c:pt>
                <c:pt idx="2">
                  <c:v>10089889.249999996</c:v>
                </c:pt>
                <c:pt idx="3">
                  <c:v>9880207.1999999955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E0-4EB1-A3F9-7D024C673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5756303"/>
        <c:axId val="1512359807"/>
      </c:barChart>
      <c:catAx>
        <c:axId val="605756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2359807"/>
        <c:crosses val="autoZero"/>
        <c:auto val="1"/>
        <c:lblAlgn val="ctr"/>
        <c:lblOffset val="100"/>
        <c:noMultiLvlLbl val="0"/>
      </c:catAx>
      <c:valAx>
        <c:axId val="15123598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756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28575</xdr:rowOff>
    </xdr:from>
    <xdr:to>
      <xdr:col>5</xdr:col>
      <xdr:colOff>333375</xdr:colOff>
      <xdr:row>23</xdr:row>
      <xdr:rowOff>114299</xdr:rowOff>
    </xdr:to>
    <xdr:graphicFrame macro="">
      <xdr:nvGraphicFramePr>
        <xdr:cNvPr id="2" name="Customer Churn by Subscription Plan">
          <a:extLst>
            <a:ext uri="{FF2B5EF4-FFF2-40B4-BE49-F238E27FC236}">
              <a16:creationId xmlns:a16="http://schemas.microsoft.com/office/drawing/2014/main" id="{BC920225-19F0-328B-10D8-9CEA1A3EC4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438151</xdr:colOff>
      <xdr:row>7</xdr:row>
      <xdr:rowOff>128587</xdr:rowOff>
    </xdr:from>
    <xdr:to>
      <xdr:col>11</xdr:col>
      <xdr:colOff>352426</xdr:colOff>
      <xdr:row>22</xdr:row>
      <xdr:rowOff>14287</xdr:rowOff>
    </xdr:to>
    <xdr:graphicFrame macro="">
      <xdr:nvGraphicFramePr>
        <xdr:cNvPr id="5" name="Recorded Revenue by Marketing Channel.">
          <a:extLst>
            <a:ext uri="{FF2B5EF4-FFF2-40B4-BE49-F238E27FC236}">
              <a16:creationId xmlns:a16="http://schemas.microsoft.com/office/drawing/2014/main" id="{CA73D7E5-B284-BF47-F783-C255A6E9D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307.869996527777" createdVersion="8" refreshedVersion="8" minRefreshableVersion="3" recordCount="2500" xr:uid="{D2167F47-AF0C-45E8-AB98-6B215A6FF7ED}">
  <cacheSource type="worksheet">
    <worksheetSource name="cleaned_customer_data"/>
  </cacheSource>
  <cacheFields count="36">
    <cacheField name="customer_id" numFmtId="0">
      <sharedItems containsSemiMixedTypes="0" containsString="0" containsNumber="1" containsInteger="1" minValue="10001" maxValue="12500"/>
    </cacheField>
    <cacheField name="age" numFmtId="0">
      <sharedItems containsSemiMixedTypes="0" containsString="0" containsNumber="1" containsInteger="1" minValue="18" maxValue="64"/>
    </cacheField>
    <cacheField name="gender" numFmtId="0">
      <sharedItems/>
    </cacheField>
    <cacheField name="city" numFmtId="0">
      <sharedItems/>
    </cacheField>
    <cacheField name="signup_date" numFmtId="14">
      <sharedItems containsSemiMixedTypes="0" containsNonDate="0" containsDate="1" containsString="0" minDate="2021-01-01T00:00:00" maxDate="2023-06-20T00:00:00"/>
    </cacheField>
    <cacheField name="last_active_date" numFmtId="14">
      <sharedItems containsSemiMixedTypes="0" containsNonDate="0" containsDate="1" containsString="0" minDate="2021-06-01T00:00:00" maxDate="2023-11-18T00:00:00"/>
    </cacheField>
    <cacheField name="plan_type" numFmtId="0">
      <sharedItems count="3">
        <s v="Basic"/>
        <s v="Premium"/>
        <s v="Standard"/>
      </sharedItems>
    </cacheField>
    <cacheField name="monthly_fee" numFmtId="0">
      <sharedItems containsSemiMixedTypes="0" containsString="0" containsNumber="1" containsInteger="1" minValue="300" maxValue="1499"/>
    </cacheField>
    <cacheField name="tenure_months" numFmtId="0">
      <sharedItems containsSemiMixedTypes="0" containsString="0" containsNumber="1" containsInteger="1" minValue="1" maxValue="35" count="35">
        <n v="25"/>
        <n v="22"/>
        <n v="4"/>
        <n v="30"/>
        <n v="2"/>
        <n v="29"/>
        <n v="21"/>
        <n v="1"/>
        <n v="26"/>
        <n v="9"/>
        <n v="18"/>
        <n v="11"/>
        <n v="35"/>
        <n v="3"/>
        <n v="8"/>
        <n v="15"/>
        <n v="7"/>
        <n v="19"/>
        <n v="17"/>
        <n v="13"/>
        <n v="6"/>
        <n v="5"/>
        <n v="34"/>
        <n v="32"/>
        <n v="16"/>
        <n v="14"/>
        <n v="27"/>
        <n v="31"/>
        <n v="20"/>
        <n v="28"/>
        <n v="24"/>
        <n v="23"/>
        <n v="10"/>
        <n v="33"/>
        <n v="12"/>
      </sharedItems>
    </cacheField>
    <cacheField name="support_tickets" numFmtId="0">
      <sharedItems containsSemiMixedTypes="0" containsString="0" containsNumber="1" containsInteger="1" minValue="0" maxValue="8"/>
    </cacheField>
    <cacheField name="avg_session_time" numFmtId="0">
      <sharedItems containsSemiMixedTypes="0" containsString="0" containsNumber="1" minValue="5.13" maxValue="119.94"/>
    </cacheField>
    <cacheField name="discount_percent" numFmtId="0">
      <sharedItems containsSemiMixedTypes="0" containsString="0" containsNumber="1" containsInteger="1" minValue="0" maxValue="20"/>
    </cacheField>
    <cacheField name="marketing_channel" numFmtId="0">
      <sharedItems count="4">
        <s v="Referral"/>
        <s v="Organic"/>
        <s v="Ads"/>
        <s v="Email"/>
      </sharedItems>
    </cacheField>
    <cacheField name="churned" numFmtId="0">
      <sharedItems count="2">
        <s v="Yes"/>
        <s v="No"/>
      </sharedItems>
    </cacheField>
    <cacheField name="total_revenue" numFmtId="0">
      <sharedItems containsSemiMixedTypes="0" containsString="0" containsNumber="1" minValue="288.14999999999998" maxValue="50741.599999999999"/>
    </cacheField>
    <cacheField name="date_valid" numFmtId="0">
      <sharedItems/>
    </cacheField>
    <cacheField name="cus_tenure_years" numFmtId="0">
      <sharedItems containsSemiMixedTypes="0" containsString="0" containsNumber="1" minValue="8.3333333333333329E-2" maxValue="2.9166666666666665"/>
    </cacheField>
    <cacheField name="revenue_per_month" numFmtId="0">
      <sharedItems containsSemiMixedTypes="0" containsString="0" containsNumber="1" minValue="288.14999999999998" maxValue="1497"/>
    </cacheField>
    <cacheField name="engagement_score" numFmtId="0">
      <sharedItems containsSemiMixedTypes="0" containsString="0" containsNumber="1" minValue="0.97333333333333327" maxValue="119.86"/>
    </cacheField>
    <cacheField name="signup_month" numFmtId="14">
      <sharedItems containsSemiMixedTypes="0" containsNonDate="0" containsDate="1" containsString="0" minDate="2021-01-01T00:00:00" maxDate="2023-06-02T00:00:00"/>
    </cacheField>
    <cacheField name="age_group" numFmtId="0">
      <sharedItems/>
    </cacheField>
    <cacheField name="churn_flag" numFmtId="0">
      <sharedItems containsSemiMixedTypes="0" containsString="0" containsNumber="1" containsInteger="1" minValue="0" maxValue="1"/>
    </cacheField>
    <cacheField name="high_value_customer" numFmtId="0">
      <sharedItems/>
    </cacheField>
    <cacheField name="days_active" numFmtId="0">
      <sharedItems containsString="0" containsBlank="1" containsNumber="1" containsInteger="1" minValue="0" maxValue="1015"/>
    </cacheField>
    <cacheField name="session_usage_category" numFmtId="0">
      <sharedItems/>
    </cacheField>
    <cacheField name="discount_category" numFmtId="0">
      <sharedItems/>
    </cacheField>
    <cacheField name="support_intensity" numFmtId="0">
      <sharedItems containsSemiMixedTypes="0" containsString="0" containsNumber="1" minValue="0" maxValue="3"/>
    </cacheField>
    <cacheField name="revenue_category" numFmtId="0">
      <sharedItems/>
    </cacheField>
    <cacheField name="plan_rank" numFmtId="0">
      <sharedItems containsSemiMixedTypes="0" containsString="0" containsNumber="1" containsInteger="1" minValue="1" maxValue="3"/>
    </cacheField>
    <cacheField name="signup_revenue_month" numFmtId="14">
      <sharedItems containsSemiMixedTypes="0" containsNonDate="0" containsDate="1" containsString="0" minDate="2021-01-01T00:00:00" maxDate="2023-06-02T00:00:00"/>
    </cacheField>
    <cacheField name="tenure_group" numFmtId="0">
      <sharedItems/>
    </cacheField>
    <cacheField name="support_ticket_group" numFmtId="0">
      <sharedItems/>
    </cacheField>
    <cacheField name="session_time_group" numFmtId="0">
      <sharedItems/>
    </cacheField>
    <cacheField name="monthly_fee_group" numFmtId="0">
      <sharedItems/>
    </cacheField>
    <cacheField name="base_revenue" numFmtId="0">
      <sharedItems containsSemiMixedTypes="0" containsString="0" containsNumber="1" containsInteger="1" minValue="328" maxValue="50960"/>
    </cacheField>
    <cacheField name="revenue_difference" numFmtId="0">
      <sharedItems containsSemiMixedTypes="0" containsString="0" containsNumber="1" minValue="-299.80000000000291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0">
  <r>
    <n v="10001"/>
    <n v="56"/>
    <s v="Female"/>
    <s v="Chennai"/>
    <d v="2022-12-03T00:00:00"/>
    <d v="2022-12-29T00:00:00"/>
    <x v="0"/>
    <n v="1214"/>
    <x v="0"/>
    <n v="5"/>
    <n v="15.75"/>
    <n v="15"/>
    <x v="0"/>
    <x v="0"/>
    <n v="30167.9"/>
    <b v="1"/>
    <n v="2.0833333333333335"/>
    <n v="1206.7160000000001"/>
    <n v="2.625"/>
    <d v="2022-12-01T00:00:00"/>
    <s v="Older"/>
    <n v="1"/>
    <s v="Yes"/>
    <n v="26"/>
    <s v="Low"/>
    <s v="Low"/>
    <n v="0.19230769230769232"/>
    <s v="High"/>
    <n v="1"/>
    <d v="2022-12-01T00:00:00"/>
    <s v="25+ months"/>
    <s v="4–5 tickets"/>
    <s v="11–20 min"/>
    <s v="1000+"/>
    <n v="30350"/>
    <n v="-182.09999999999854"/>
  </r>
  <r>
    <n v="10002"/>
    <n v="46"/>
    <s v="Female"/>
    <s v="Mumbai"/>
    <d v="2021-03-24T00:00:00"/>
    <d v="2022-01-25T00:00:00"/>
    <x v="1"/>
    <n v="1268"/>
    <x v="1"/>
    <n v="1"/>
    <n v="37.159999999999997"/>
    <n v="20"/>
    <x v="1"/>
    <x v="0"/>
    <n v="27642.400000000001"/>
    <b v="1"/>
    <n v="1.8333333333333333"/>
    <n v="1256.4727272727273"/>
    <n v="18.579999999999998"/>
    <d v="2021-03-01T00:00:00"/>
    <s v="Middle-aged"/>
    <n v="1"/>
    <s v="Yes"/>
    <n v="307"/>
    <s v="Medium"/>
    <s v="Medium"/>
    <n v="4.3478260869565216E-2"/>
    <s v="High"/>
    <n v="3"/>
    <d v="2021-03-01T00:00:00"/>
    <s v="13–24 months"/>
    <s v="0–1 tickets"/>
    <s v="31–45 min"/>
    <s v="1000+"/>
    <n v="27896"/>
    <n v="-253.59999999999854"/>
  </r>
  <r>
    <n v="10003"/>
    <n v="32"/>
    <s v="Female"/>
    <s v="Mumbai"/>
    <d v="2023-06-15T00:00:00"/>
    <d v="2023-08-10T00:00:00"/>
    <x v="0"/>
    <n v="783"/>
    <x v="2"/>
    <n v="0"/>
    <n v="41.93"/>
    <n v="5"/>
    <x v="0"/>
    <x v="1"/>
    <n v="3092.85"/>
    <b v="1"/>
    <n v="0.33333333333333331"/>
    <n v="773.21249999999998"/>
    <n v="41.93"/>
    <d v="2023-06-01T00:00:00"/>
    <s v="Adult"/>
    <n v="0"/>
    <s v="No"/>
    <n v="56"/>
    <s v="Medium"/>
    <s v="Low"/>
    <n v="0"/>
    <s v="Low"/>
    <n v="1"/>
    <d v="2023-06-01T00:00:00"/>
    <s v="0–6 months"/>
    <s v="0–1 tickets"/>
    <s v="31–45 min"/>
    <s v="701–1000"/>
    <n v="3132"/>
    <n v="-39.150000000000091"/>
  </r>
  <r>
    <n v="10004"/>
    <n v="60"/>
    <s v="Male"/>
    <s v="Delhi"/>
    <d v="2022-11-13T00:00:00"/>
    <d v="2021-07-08T00:00:00"/>
    <x v="2"/>
    <n v="545"/>
    <x v="2"/>
    <n v="1"/>
    <n v="116.41"/>
    <n v="0"/>
    <x v="1"/>
    <x v="1"/>
    <n v="2180"/>
    <b v="0"/>
    <n v="0.33333333333333331"/>
    <n v="545"/>
    <n v="58.204999999999998"/>
    <d v="2022-11-01T00:00:00"/>
    <s v="Older"/>
    <n v="0"/>
    <s v="No"/>
    <m/>
    <s v="High"/>
    <s v="Low"/>
    <n v="0.2"/>
    <s v="Low"/>
    <n v="2"/>
    <d v="2022-11-01T00:00:00"/>
    <s v="0–6 months"/>
    <s v="0–1 tickets"/>
    <s v="46+ min"/>
    <s v="501–700"/>
    <n v="2180"/>
    <n v="0"/>
  </r>
  <r>
    <n v="10005"/>
    <n v="25"/>
    <s v="Female"/>
    <s v="Mumbai"/>
    <d v="2022-02-17T00:00:00"/>
    <d v="2021-06-25T00:00:00"/>
    <x v="0"/>
    <n v="1331"/>
    <x v="3"/>
    <n v="1"/>
    <n v="81.89"/>
    <n v="10"/>
    <x v="2"/>
    <x v="1"/>
    <n v="39796.9"/>
    <b v="0"/>
    <n v="2.5"/>
    <n v="1326.5633333333333"/>
    <n v="40.945"/>
    <d v="2022-02-01T00:00:00"/>
    <s v="Young"/>
    <n v="0"/>
    <s v="Yes"/>
    <m/>
    <s v="High"/>
    <s v="Low"/>
    <n v="3.2258064516129031E-2"/>
    <s v="High"/>
    <n v="1"/>
    <d v="2022-02-01T00:00:00"/>
    <s v="25+ months"/>
    <s v="0–1 tickets"/>
    <s v="46+ min"/>
    <s v="1000+"/>
    <n v="39930"/>
    <n v="-133.09999999999854"/>
  </r>
  <r>
    <n v="10006"/>
    <n v="38"/>
    <s v="Male"/>
    <s v="Delhi"/>
    <d v="2021-06-16T00:00:00"/>
    <d v="2022-07-15T00:00:00"/>
    <x v="2"/>
    <n v="451"/>
    <x v="4"/>
    <n v="0"/>
    <n v="53.99"/>
    <n v="15"/>
    <x v="3"/>
    <x v="1"/>
    <n v="834.35"/>
    <b v="1"/>
    <n v="0.16666666666666666"/>
    <n v="417.17500000000001"/>
    <n v="53.99"/>
    <d v="2021-06-01T00:00:00"/>
    <s v="Middle-aged"/>
    <n v="0"/>
    <s v="No"/>
    <n v="394"/>
    <s v="Medium"/>
    <s v="Low"/>
    <n v="0"/>
    <s v="Low"/>
    <n v="2"/>
    <d v="2021-06-01T00:00:00"/>
    <s v="0–6 months"/>
    <s v="0–1 tickets"/>
    <s v="46+ min"/>
    <s v="301–500"/>
    <n v="902"/>
    <n v="-67.649999999999977"/>
  </r>
  <r>
    <n v="10007"/>
    <n v="56"/>
    <s v="Male"/>
    <s v="Hyderabad"/>
    <d v="2022-12-01T00:00:00"/>
    <d v="2022-09-04T00:00:00"/>
    <x v="0"/>
    <n v="510"/>
    <x v="5"/>
    <n v="4"/>
    <n v="118.63"/>
    <n v="0"/>
    <x v="0"/>
    <x v="0"/>
    <n v="14790"/>
    <b v="0"/>
    <n v="2.4166666666666665"/>
    <n v="510"/>
    <n v="23.725999999999999"/>
    <d v="2022-12-01T00:00:00"/>
    <s v="Older"/>
    <n v="1"/>
    <s v="Yes"/>
    <m/>
    <s v="High"/>
    <s v="Low"/>
    <n v="0.13333333333333333"/>
    <s v="Medium"/>
    <n v="1"/>
    <d v="2022-12-01T00:00:00"/>
    <s v="25+ months"/>
    <s v="4–5 tickets"/>
    <s v="46+ min"/>
    <s v="501–700"/>
    <n v="14790"/>
    <n v="0"/>
  </r>
  <r>
    <n v="10008"/>
    <n v="36"/>
    <s v="Female"/>
    <s v="Chennai"/>
    <d v="2021-06-18T00:00:00"/>
    <d v="2022-12-23T00:00:00"/>
    <x v="0"/>
    <n v="666"/>
    <x v="6"/>
    <n v="1"/>
    <n v="22.62"/>
    <n v="15"/>
    <x v="1"/>
    <x v="1"/>
    <n v="13886.1"/>
    <b v="1"/>
    <n v="1.75"/>
    <n v="661.24285714285713"/>
    <n v="11.31"/>
    <d v="2021-06-01T00:00:00"/>
    <s v="Middle-aged"/>
    <n v="0"/>
    <s v="Yes"/>
    <n v="553"/>
    <s v="Medium"/>
    <s v="Low"/>
    <n v="4.5454545454545456E-2"/>
    <s v="Medium"/>
    <n v="1"/>
    <d v="2021-06-01T00:00:00"/>
    <s v="13–24 months"/>
    <s v="0–1 tickets"/>
    <s v="21–30 min"/>
    <s v="501–700"/>
    <n v="13986"/>
    <n v="-99.899999999999636"/>
  </r>
  <r>
    <n v="10009"/>
    <n v="40"/>
    <s v="Male"/>
    <s v="Bangalore"/>
    <d v="2023-03-12T00:00:00"/>
    <d v="2022-07-22T00:00:00"/>
    <x v="0"/>
    <n v="1243"/>
    <x v="6"/>
    <n v="2"/>
    <n v="59.75"/>
    <n v="15"/>
    <x v="1"/>
    <x v="0"/>
    <n v="25916.55"/>
    <b v="0"/>
    <n v="1.75"/>
    <n v="1234.1214285714286"/>
    <n v="19.916666666666668"/>
    <d v="2023-03-01T00:00:00"/>
    <s v="Middle-aged"/>
    <n v="1"/>
    <s v="Yes"/>
    <m/>
    <s v="Medium"/>
    <s v="Low"/>
    <n v="9.0909090909090912E-2"/>
    <s v="High"/>
    <n v="1"/>
    <d v="2023-03-01T00:00:00"/>
    <s v="13–24 months"/>
    <s v="2–3 tickets"/>
    <s v="46+ min"/>
    <s v="1000+"/>
    <n v="26103"/>
    <n v="-186.45000000000073"/>
  </r>
  <r>
    <n v="10010"/>
    <n v="28"/>
    <s v="Male"/>
    <s v="Chennai"/>
    <d v="2021-08-17T00:00:00"/>
    <d v="2022-05-23T00:00:00"/>
    <x v="0"/>
    <n v="385"/>
    <x v="6"/>
    <n v="4"/>
    <n v="79.41"/>
    <n v="15"/>
    <x v="3"/>
    <x v="1"/>
    <n v="8027.25"/>
    <b v="1"/>
    <n v="1.75"/>
    <n v="382.25"/>
    <n v="15.882"/>
    <d v="2021-08-01T00:00:00"/>
    <s v="Adult"/>
    <n v="0"/>
    <s v="No"/>
    <n v="279"/>
    <s v="High"/>
    <s v="Low"/>
    <n v="0.18181818181818182"/>
    <s v="Low"/>
    <n v="1"/>
    <d v="2021-08-01T00:00:00"/>
    <s v="13–24 months"/>
    <s v="4–5 tickets"/>
    <s v="46+ min"/>
    <s v="301–500"/>
    <n v="8085"/>
    <n v="-57.75"/>
  </r>
  <r>
    <n v="10011"/>
    <n v="28"/>
    <s v="Female"/>
    <s v="Delhi"/>
    <d v="2022-09-01T00:00:00"/>
    <d v="2022-06-18T00:00:00"/>
    <x v="0"/>
    <n v="1378"/>
    <x v="2"/>
    <n v="2"/>
    <n v="11.39"/>
    <n v="20"/>
    <x v="3"/>
    <x v="1"/>
    <n v="5236.3999999999996"/>
    <b v="0"/>
    <n v="0.33333333333333331"/>
    <n v="1309.0999999999999"/>
    <n v="3.7966666666666669"/>
    <d v="2022-09-01T00:00:00"/>
    <s v="Adult"/>
    <n v="0"/>
    <s v="No"/>
    <m/>
    <s v="Low"/>
    <s v="Medium"/>
    <n v="0.4"/>
    <s v="Low"/>
    <n v="1"/>
    <d v="2022-09-01T00:00:00"/>
    <s v="0–6 months"/>
    <s v="2–3 tickets"/>
    <s v="11–20 min"/>
    <s v="1000+"/>
    <n v="5512"/>
    <n v="-275.60000000000036"/>
  </r>
  <r>
    <n v="10012"/>
    <n v="41"/>
    <s v="Male"/>
    <s v="Delhi"/>
    <d v="2022-01-02T00:00:00"/>
    <d v="2023-08-18T00:00:00"/>
    <x v="2"/>
    <n v="745"/>
    <x v="7"/>
    <n v="4"/>
    <n v="87.45"/>
    <n v="20"/>
    <x v="3"/>
    <x v="1"/>
    <n v="596"/>
    <b v="1"/>
    <n v="8.3333333333333329E-2"/>
    <n v="596"/>
    <n v="17.490000000000002"/>
    <d v="2022-01-01T00:00:00"/>
    <s v="Middle-aged"/>
    <n v="0"/>
    <s v="No"/>
    <n v="593"/>
    <s v="High"/>
    <s v="Medium"/>
    <n v="2"/>
    <s v="Low"/>
    <n v="2"/>
    <d v="2022-01-01T00:00:00"/>
    <s v="0–6 months"/>
    <s v="4–5 tickets"/>
    <s v="46+ min"/>
    <s v="701–1000"/>
    <n v="745"/>
    <n v="-149"/>
  </r>
  <r>
    <n v="10013"/>
    <n v="53"/>
    <s v="Male"/>
    <s v="Chennai"/>
    <d v="2022-06-12T00:00:00"/>
    <d v="2021-11-05T00:00:00"/>
    <x v="0"/>
    <n v="919"/>
    <x v="8"/>
    <n v="2"/>
    <n v="16.48"/>
    <n v="15"/>
    <x v="0"/>
    <x v="1"/>
    <n v="23756.15"/>
    <b v="0"/>
    <n v="2.1666666666666665"/>
    <n v="913.698076923077"/>
    <n v="5.4933333333333332"/>
    <d v="2022-06-01T00:00:00"/>
    <s v="Older"/>
    <n v="0"/>
    <s v="Yes"/>
    <m/>
    <s v="Low"/>
    <s v="Low"/>
    <n v="7.407407407407407E-2"/>
    <s v="High"/>
    <n v="1"/>
    <d v="2022-06-01T00:00:00"/>
    <s v="25+ months"/>
    <s v="2–3 tickets"/>
    <s v="11–20 min"/>
    <s v="701–1000"/>
    <n v="23894"/>
    <n v="-137.84999999999854"/>
  </r>
  <r>
    <n v="10014"/>
    <n v="57"/>
    <s v="Female"/>
    <s v="Pune"/>
    <d v="2023-03-02T00:00:00"/>
    <d v="2022-12-21T00:00:00"/>
    <x v="0"/>
    <n v="603"/>
    <x v="4"/>
    <n v="4"/>
    <n v="21.13"/>
    <n v="15"/>
    <x v="1"/>
    <x v="1"/>
    <n v="1115.55"/>
    <b v="0"/>
    <n v="0.16666666666666666"/>
    <n v="557.77499999999998"/>
    <n v="4.226"/>
    <d v="2023-03-01T00:00:00"/>
    <s v="Older"/>
    <n v="0"/>
    <s v="No"/>
    <m/>
    <s v="Medium"/>
    <s v="Low"/>
    <n v="1.3333333333333333"/>
    <s v="Low"/>
    <n v="1"/>
    <d v="2023-03-01T00:00:00"/>
    <s v="0–6 months"/>
    <s v="4–5 tickets"/>
    <s v="21–30 min"/>
    <s v="501–700"/>
    <n v="1206"/>
    <n v="-90.450000000000045"/>
  </r>
  <r>
    <n v="10015"/>
    <n v="41"/>
    <s v="Female"/>
    <s v="Delhi"/>
    <d v="2022-10-09T00:00:00"/>
    <d v="2022-08-07T00:00:00"/>
    <x v="2"/>
    <n v="431"/>
    <x v="9"/>
    <n v="4"/>
    <n v="23.36"/>
    <n v="10"/>
    <x v="0"/>
    <x v="1"/>
    <n v="3835.9"/>
    <b v="0"/>
    <n v="0.75"/>
    <n v="426.21111111111111"/>
    <n v="4.6719999999999997"/>
    <d v="2022-10-01T00:00:00"/>
    <s v="Middle-aged"/>
    <n v="0"/>
    <s v="No"/>
    <m/>
    <s v="Medium"/>
    <s v="Low"/>
    <n v="0.4"/>
    <s v="Low"/>
    <n v="2"/>
    <d v="2022-10-01T00:00:00"/>
    <s v="7–12 months"/>
    <s v="4–5 tickets"/>
    <s v="21–30 min"/>
    <s v="301–500"/>
    <n v="3879"/>
    <n v="-43.099999999999909"/>
  </r>
  <r>
    <n v="10016"/>
    <n v="20"/>
    <s v="Female"/>
    <s v="Mumbai"/>
    <d v="2022-06-22T00:00:00"/>
    <d v="2021-07-18T00:00:00"/>
    <x v="2"/>
    <n v="1203"/>
    <x v="10"/>
    <n v="3"/>
    <n v="111.82"/>
    <n v="0"/>
    <x v="0"/>
    <x v="0"/>
    <n v="21654"/>
    <b v="0"/>
    <n v="1.5"/>
    <n v="1203"/>
    <n v="27.954999999999998"/>
    <d v="2022-06-01T00:00:00"/>
    <s v="Young"/>
    <n v="1"/>
    <s v="Yes"/>
    <m/>
    <s v="High"/>
    <s v="Low"/>
    <n v="0.15789473684210525"/>
    <s v="High"/>
    <n v="2"/>
    <d v="2022-06-01T00:00:00"/>
    <s v="13–24 months"/>
    <s v="2–3 tickets"/>
    <s v="46+ min"/>
    <s v="1000+"/>
    <n v="21654"/>
    <n v="0"/>
  </r>
  <r>
    <n v="10017"/>
    <n v="39"/>
    <s v="Male"/>
    <s v="Mumbai"/>
    <d v="2023-05-14T00:00:00"/>
    <d v="2022-04-24T00:00:00"/>
    <x v="1"/>
    <n v="1287"/>
    <x v="11"/>
    <n v="3"/>
    <n v="83.57"/>
    <n v="0"/>
    <x v="2"/>
    <x v="1"/>
    <n v="14157"/>
    <b v="0"/>
    <n v="0.91666666666666663"/>
    <n v="1287"/>
    <n v="20.892499999999998"/>
    <d v="2023-05-01T00:00:00"/>
    <s v="Middle-aged"/>
    <n v="0"/>
    <s v="Yes"/>
    <m/>
    <s v="High"/>
    <s v="Low"/>
    <n v="0.25"/>
    <s v="Medium"/>
    <n v="3"/>
    <d v="2023-05-01T00:00:00"/>
    <s v="7–12 months"/>
    <s v="2–3 tickets"/>
    <s v="46+ min"/>
    <s v="1000+"/>
    <n v="14157"/>
    <n v="0"/>
  </r>
  <r>
    <n v="10018"/>
    <n v="19"/>
    <s v="Male"/>
    <s v="Delhi"/>
    <d v="2022-06-08T00:00:00"/>
    <d v="2022-08-07T00:00:00"/>
    <x v="2"/>
    <n v="346"/>
    <x v="0"/>
    <n v="1"/>
    <n v="80.37"/>
    <n v="5"/>
    <x v="3"/>
    <x v="1"/>
    <n v="8632.7000000000007"/>
    <b v="1"/>
    <n v="2.0833333333333335"/>
    <n v="345.30800000000005"/>
    <n v="40.185000000000002"/>
    <d v="2022-06-01T00:00:00"/>
    <s v="Young"/>
    <n v="0"/>
    <s v="No"/>
    <n v="60"/>
    <s v="High"/>
    <s v="Low"/>
    <n v="3.8461538461538464E-2"/>
    <s v="Low"/>
    <n v="2"/>
    <d v="2022-06-01T00:00:00"/>
    <s v="25+ months"/>
    <s v="0–1 tickets"/>
    <s v="46+ min"/>
    <s v="301–500"/>
    <n v="8650"/>
    <n v="-17.299999999999272"/>
  </r>
  <r>
    <n v="10019"/>
    <n v="41"/>
    <s v="Male"/>
    <s v="Delhi"/>
    <d v="2021-03-13T00:00:00"/>
    <d v="2022-08-05T00:00:00"/>
    <x v="2"/>
    <n v="1056"/>
    <x v="8"/>
    <n v="1"/>
    <n v="68.88"/>
    <n v="5"/>
    <x v="2"/>
    <x v="1"/>
    <n v="27403.200000000001"/>
    <b v="1"/>
    <n v="2.1666666666666665"/>
    <n v="1053.9692307692308"/>
    <n v="34.44"/>
    <d v="2021-03-01T00:00:00"/>
    <s v="Middle-aged"/>
    <n v="0"/>
    <s v="Yes"/>
    <n v="510"/>
    <s v="High"/>
    <s v="Low"/>
    <n v="3.7037037037037035E-2"/>
    <s v="High"/>
    <n v="2"/>
    <d v="2021-03-01T00:00:00"/>
    <s v="25+ months"/>
    <s v="0–1 tickets"/>
    <s v="46+ min"/>
    <s v="1000+"/>
    <n v="27456"/>
    <n v="-52.799999999999272"/>
  </r>
  <r>
    <n v="10020"/>
    <n v="61"/>
    <s v="Male"/>
    <s v="Pune"/>
    <d v="2022-10-07T00:00:00"/>
    <d v="2021-07-26T00:00:00"/>
    <x v="2"/>
    <n v="989"/>
    <x v="12"/>
    <n v="3"/>
    <n v="38.67"/>
    <n v="5"/>
    <x v="2"/>
    <x v="1"/>
    <n v="34565.550000000003"/>
    <b v="0"/>
    <n v="2.9166666666666665"/>
    <n v="987.58714285714291"/>
    <n v="9.6675000000000004"/>
    <d v="2022-10-01T00:00:00"/>
    <s v="Older"/>
    <n v="0"/>
    <s v="Yes"/>
    <m/>
    <s v="Medium"/>
    <s v="Low"/>
    <n v="8.3333333333333329E-2"/>
    <s v="High"/>
    <n v="2"/>
    <d v="2022-10-01T00:00:00"/>
    <s v="25+ months"/>
    <s v="2–3 tickets"/>
    <s v="31–45 min"/>
    <s v="701–1000"/>
    <n v="34615"/>
    <n v="-49.44999999999709"/>
  </r>
  <r>
    <n v="10021"/>
    <n v="47"/>
    <s v="Female"/>
    <s v="Mumbai"/>
    <d v="2021-04-16T00:00:00"/>
    <d v="2022-12-29T00:00:00"/>
    <x v="1"/>
    <n v="1347"/>
    <x v="13"/>
    <n v="2"/>
    <n v="76.400000000000006"/>
    <n v="20"/>
    <x v="0"/>
    <x v="1"/>
    <n v="3771.6"/>
    <b v="1"/>
    <n v="0.25"/>
    <n v="1257.2"/>
    <n v="25.466666666666669"/>
    <d v="2021-04-01T00:00:00"/>
    <s v="Middle-aged"/>
    <n v="0"/>
    <s v="No"/>
    <n v="622"/>
    <s v="High"/>
    <s v="Medium"/>
    <n v="0.5"/>
    <s v="Low"/>
    <n v="3"/>
    <d v="2021-04-01T00:00:00"/>
    <s v="0–6 months"/>
    <s v="2–3 tickets"/>
    <s v="46+ min"/>
    <s v="1000+"/>
    <n v="4041"/>
    <n v="-269.40000000000009"/>
  </r>
  <r>
    <n v="10022"/>
    <n v="55"/>
    <s v="Male"/>
    <s v="Delhi"/>
    <d v="2023-01-02T00:00:00"/>
    <d v="2022-02-23T00:00:00"/>
    <x v="1"/>
    <n v="986"/>
    <x v="12"/>
    <n v="3"/>
    <n v="52.17"/>
    <n v="20"/>
    <x v="0"/>
    <x v="0"/>
    <n v="34312.800000000003"/>
    <b v="0"/>
    <n v="2.9166666666666665"/>
    <n v="980.36571428571438"/>
    <n v="13.0425"/>
    <d v="2023-01-01T00:00:00"/>
    <s v="Older"/>
    <n v="1"/>
    <s v="Yes"/>
    <m/>
    <s v="Medium"/>
    <s v="Medium"/>
    <n v="8.3333333333333329E-2"/>
    <s v="High"/>
    <n v="3"/>
    <d v="2023-01-01T00:00:00"/>
    <s v="25+ months"/>
    <s v="2–3 tickets"/>
    <s v="46+ min"/>
    <s v="701–1000"/>
    <n v="34510"/>
    <n v="-197.19999999999709"/>
  </r>
  <r>
    <n v="10023"/>
    <n v="19"/>
    <s v="Male"/>
    <s v="Delhi"/>
    <d v="2023-06-04T00:00:00"/>
    <d v="2021-08-08T00:00:00"/>
    <x v="0"/>
    <n v="1085"/>
    <x v="1"/>
    <n v="1"/>
    <n v="21.72"/>
    <n v="10"/>
    <x v="1"/>
    <x v="1"/>
    <n v="23761.5"/>
    <b v="0"/>
    <n v="1.8333333333333333"/>
    <n v="1080.0681818181818"/>
    <n v="10.86"/>
    <d v="2023-06-01T00:00:00"/>
    <s v="Young"/>
    <n v="0"/>
    <s v="Yes"/>
    <m/>
    <s v="Medium"/>
    <s v="Low"/>
    <n v="4.3478260869565216E-2"/>
    <s v="High"/>
    <n v="1"/>
    <d v="2023-06-01T00:00:00"/>
    <s v="13–24 months"/>
    <s v="0–1 tickets"/>
    <s v="21–30 min"/>
    <s v="1000+"/>
    <n v="23870"/>
    <n v="-108.5"/>
  </r>
  <r>
    <n v="10024"/>
    <n v="38"/>
    <s v="Female"/>
    <s v="Pune"/>
    <d v="2022-11-20T00:00:00"/>
    <d v="2023-05-29T00:00:00"/>
    <x v="0"/>
    <n v="639"/>
    <x v="14"/>
    <n v="2"/>
    <n v="84.3"/>
    <n v="20"/>
    <x v="2"/>
    <x v="1"/>
    <n v="4984.2"/>
    <b v="1"/>
    <n v="0.66666666666666663"/>
    <n v="623.02499999999998"/>
    <n v="28.099999999999998"/>
    <d v="2022-11-01T00:00:00"/>
    <s v="Middle-aged"/>
    <n v="0"/>
    <s v="No"/>
    <n v="190"/>
    <s v="High"/>
    <s v="Medium"/>
    <n v="0.22222222222222221"/>
    <s v="Low"/>
    <n v="1"/>
    <d v="2022-11-01T00:00:00"/>
    <s v="7–12 months"/>
    <s v="2–3 tickets"/>
    <s v="46+ min"/>
    <s v="501–700"/>
    <n v="5112"/>
    <n v="-127.80000000000018"/>
  </r>
  <r>
    <n v="10025"/>
    <n v="50"/>
    <s v="Female"/>
    <s v="Pune"/>
    <d v="2021-10-09T00:00:00"/>
    <d v="2023-01-22T00:00:00"/>
    <x v="0"/>
    <n v="711"/>
    <x v="15"/>
    <n v="2"/>
    <n v="19.899999999999999"/>
    <n v="5"/>
    <x v="3"/>
    <x v="1"/>
    <n v="10629.45"/>
    <b v="1"/>
    <n v="1.25"/>
    <n v="708.63"/>
    <n v="6.6333333333333329"/>
    <d v="2021-10-01T00:00:00"/>
    <s v="Middle-aged"/>
    <n v="0"/>
    <s v="No"/>
    <n v="470"/>
    <s v="Low"/>
    <s v="Low"/>
    <n v="0.125"/>
    <s v="Medium"/>
    <n v="1"/>
    <d v="2021-10-01T00:00:00"/>
    <s v="13–24 months"/>
    <s v="2–3 tickets"/>
    <s v="11–20 min"/>
    <s v="701–1000"/>
    <n v="10665"/>
    <n v="-35.549999999999272"/>
  </r>
  <r>
    <n v="10026"/>
    <n v="29"/>
    <s v="Female"/>
    <s v="Chennai"/>
    <d v="2021-05-13T00:00:00"/>
    <d v="2022-08-23T00:00:00"/>
    <x v="2"/>
    <n v="585"/>
    <x v="16"/>
    <n v="2"/>
    <n v="26.93"/>
    <n v="15"/>
    <x v="2"/>
    <x v="1"/>
    <n v="4007.25"/>
    <b v="1"/>
    <n v="0.58333333333333337"/>
    <n v="572.46428571428567"/>
    <n v="8.9766666666666666"/>
    <d v="2021-05-01T00:00:00"/>
    <s v="Adult"/>
    <n v="0"/>
    <s v="No"/>
    <n v="467"/>
    <s v="Medium"/>
    <s v="Low"/>
    <n v="0.25"/>
    <s v="Low"/>
    <n v="2"/>
    <d v="2021-05-01T00:00:00"/>
    <s v="7–12 months"/>
    <s v="2–3 tickets"/>
    <s v="21–30 min"/>
    <s v="501–700"/>
    <n v="4095"/>
    <n v="-87.75"/>
  </r>
  <r>
    <n v="10027"/>
    <n v="39"/>
    <s v="Male"/>
    <s v="Pune"/>
    <d v="2022-06-18T00:00:00"/>
    <d v="2023-08-02T00:00:00"/>
    <x v="2"/>
    <n v="1409"/>
    <x v="17"/>
    <n v="1"/>
    <n v="99.04"/>
    <n v="5"/>
    <x v="1"/>
    <x v="1"/>
    <n v="26700.55"/>
    <b v="1"/>
    <n v="1.5833333333333333"/>
    <n v="1405.292105263158"/>
    <n v="49.52"/>
    <d v="2022-06-01T00:00:00"/>
    <s v="Middle-aged"/>
    <n v="0"/>
    <s v="Yes"/>
    <n v="410"/>
    <s v="High"/>
    <s v="Low"/>
    <n v="0.05"/>
    <s v="High"/>
    <n v="2"/>
    <d v="2022-06-01T00:00:00"/>
    <s v="13–24 months"/>
    <s v="0–1 tickets"/>
    <s v="46+ min"/>
    <s v="1000+"/>
    <n v="26771"/>
    <n v="-70.450000000000728"/>
  </r>
  <r>
    <n v="10028"/>
    <n v="61"/>
    <s v="Male"/>
    <s v="Bangalore"/>
    <d v="2021-09-26T00:00:00"/>
    <d v="2022-02-12T00:00:00"/>
    <x v="2"/>
    <n v="1149"/>
    <x v="18"/>
    <n v="2"/>
    <n v="80.91"/>
    <n v="10"/>
    <x v="2"/>
    <x v="1"/>
    <n v="19418.099999999999"/>
    <b v="1"/>
    <n v="1.4166666666666667"/>
    <n v="1142.2411764705882"/>
    <n v="26.97"/>
    <d v="2021-09-01T00:00:00"/>
    <s v="Older"/>
    <n v="0"/>
    <s v="Yes"/>
    <n v="139"/>
    <s v="High"/>
    <s v="Low"/>
    <n v="0.1111111111111111"/>
    <s v="High"/>
    <n v="2"/>
    <d v="2021-09-01T00:00:00"/>
    <s v="13–24 months"/>
    <s v="2–3 tickets"/>
    <s v="46+ min"/>
    <s v="1000+"/>
    <n v="19533"/>
    <n v="-114.90000000000146"/>
  </r>
  <r>
    <n v="10029"/>
    <n v="42"/>
    <s v="Male"/>
    <s v="Mumbai"/>
    <d v="2022-02-16T00:00:00"/>
    <d v="2023-04-03T00:00:00"/>
    <x v="0"/>
    <n v="729"/>
    <x v="7"/>
    <n v="2"/>
    <n v="77.56"/>
    <n v="15"/>
    <x v="2"/>
    <x v="1"/>
    <n v="619.65"/>
    <b v="1"/>
    <n v="8.3333333333333329E-2"/>
    <n v="619.65"/>
    <n v="25.853333333333335"/>
    <d v="2022-02-01T00:00:00"/>
    <s v="Middle-aged"/>
    <n v="0"/>
    <s v="No"/>
    <n v="411"/>
    <s v="High"/>
    <s v="Low"/>
    <n v="1"/>
    <s v="Low"/>
    <n v="1"/>
    <d v="2022-02-01T00:00:00"/>
    <s v="0–6 months"/>
    <s v="2–3 tickets"/>
    <s v="46+ min"/>
    <s v="701–1000"/>
    <n v="729"/>
    <n v="-109.35000000000002"/>
  </r>
  <r>
    <n v="10030"/>
    <n v="41"/>
    <s v="Male"/>
    <s v="Chennai"/>
    <d v="2022-11-04T00:00:00"/>
    <d v="2022-10-03T00:00:00"/>
    <x v="2"/>
    <n v="330"/>
    <x v="5"/>
    <n v="1"/>
    <n v="53.09"/>
    <n v="20"/>
    <x v="2"/>
    <x v="1"/>
    <n v="9504"/>
    <b v="0"/>
    <n v="2.4166666666666665"/>
    <n v="327.72413793103448"/>
    <n v="26.545000000000002"/>
    <d v="2022-11-01T00:00:00"/>
    <s v="Middle-aged"/>
    <n v="0"/>
    <s v="No"/>
    <m/>
    <s v="Medium"/>
    <s v="Medium"/>
    <n v="3.3333333333333333E-2"/>
    <s v="Medium"/>
    <n v="2"/>
    <d v="2022-11-01T00:00:00"/>
    <s v="25+ months"/>
    <s v="0–1 tickets"/>
    <s v="46+ min"/>
    <s v="301–500"/>
    <n v="9570"/>
    <n v="-66"/>
  </r>
  <r>
    <n v="10031"/>
    <n v="59"/>
    <s v="Female"/>
    <s v="Bangalore"/>
    <d v="2022-09-11T00:00:00"/>
    <d v="2023-06-16T00:00:00"/>
    <x v="1"/>
    <n v="902"/>
    <x v="19"/>
    <n v="2"/>
    <n v="62.59"/>
    <n v="15"/>
    <x v="1"/>
    <x v="1"/>
    <n v="11590.7"/>
    <b v="1"/>
    <n v="1.0833333333333333"/>
    <n v="891.59230769230771"/>
    <n v="20.863333333333333"/>
    <d v="2022-09-01T00:00:00"/>
    <s v="Older"/>
    <n v="0"/>
    <s v="No"/>
    <n v="278"/>
    <s v="High"/>
    <s v="Low"/>
    <n v="0.14285714285714285"/>
    <s v="Medium"/>
    <n v="3"/>
    <d v="2022-09-01T00:00:00"/>
    <s v="13–24 months"/>
    <s v="2–3 tickets"/>
    <s v="46+ min"/>
    <s v="701–1000"/>
    <n v="11726"/>
    <n v="-135.29999999999927"/>
  </r>
  <r>
    <n v="10032"/>
    <n v="45"/>
    <s v="Female"/>
    <s v="Delhi"/>
    <d v="2023-03-02T00:00:00"/>
    <d v="2023-03-05T00:00:00"/>
    <x v="0"/>
    <n v="739"/>
    <x v="5"/>
    <n v="4"/>
    <n v="84.38"/>
    <n v="10"/>
    <x v="2"/>
    <x v="1"/>
    <n v="21357.1"/>
    <b v="1"/>
    <n v="2.4166666666666665"/>
    <n v="736.45172413793102"/>
    <n v="16.875999999999998"/>
    <d v="2023-03-01T00:00:00"/>
    <s v="Middle-aged"/>
    <n v="0"/>
    <s v="Yes"/>
    <n v="3"/>
    <s v="High"/>
    <s v="Low"/>
    <n v="0.13333333333333333"/>
    <s v="High"/>
    <n v="1"/>
    <d v="2023-03-01T00:00:00"/>
    <s v="25+ months"/>
    <s v="4–5 tickets"/>
    <s v="46+ min"/>
    <s v="701–1000"/>
    <n v="21431"/>
    <n v="-73.900000000001455"/>
  </r>
  <r>
    <n v="10033"/>
    <n v="33"/>
    <s v="Female"/>
    <s v="Delhi"/>
    <d v="2023-05-15T00:00:00"/>
    <d v="2021-07-19T00:00:00"/>
    <x v="2"/>
    <n v="1284"/>
    <x v="20"/>
    <n v="3"/>
    <n v="90.1"/>
    <n v="20"/>
    <x v="0"/>
    <x v="0"/>
    <n v="7447.2"/>
    <b v="0"/>
    <n v="0.5"/>
    <n v="1241.2"/>
    <n v="22.524999999999999"/>
    <d v="2023-05-01T00:00:00"/>
    <s v="Adult"/>
    <n v="1"/>
    <s v="No"/>
    <m/>
    <s v="High"/>
    <s v="Medium"/>
    <n v="0.42857142857142855"/>
    <s v="Low"/>
    <n v="2"/>
    <d v="2023-05-01T00:00:00"/>
    <s v="0–6 months"/>
    <s v="2–3 tickets"/>
    <s v="46+ min"/>
    <s v="1000+"/>
    <n v="7704"/>
    <n v="-256.80000000000018"/>
  </r>
  <r>
    <n v="10034"/>
    <n v="32"/>
    <s v="Female"/>
    <s v="Chennai"/>
    <d v="2023-01-17T00:00:00"/>
    <d v="2023-03-21T00:00:00"/>
    <x v="0"/>
    <n v="711"/>
    <x v="21"/>
    <n v="0"/>
    <n v="63.67"/>
    <n v="0"/>
    <x v="2"/>
    <x v="0"/>
    <n v="3555"/>
    <b v="1"/>
    <n v="0.41666666666666669"/>
    <n v="711"/>
    <n v="63.67"/>
    <d v="2023-01-01T00:00:00"/>
    <s v="Adult"/>
    <n v="1"/>
    <s v="No"/>
    <n v="63"/>
    <s v="High"/>
    <s v="Low"/>
    <n v="0"/>
    <s v="Low"/>
    <n v="1"/>
    <d v="2023-01-01T00:00:00"/>
    <s v="0–6 months"/>
    <s v="0–1 tickets"/>
    <s v="46+ min"/>
    <s v="701–1000"/>
    <n v="3555"/>
    <n v="0"/>
  </r>
  <r>
    <n v="10035"/>
    <n v="64"/>
    <s v="Male"/>
    <s v="Pune"/>
    <d v="2021-01-18T00:00:00"/>
    <d v="2022-04-12T00:00:00"/>
    <x v="1"/>
    <n v="827"/>
    <x v="22"/>
    <n v="4"/>
    <n v="116.47"/>
    <n v="10"/>
    <x v="0"/>
    <x v="1"/>
    <n v="28076.65"/>
    <b v="1"/>
    <n v="2.8333333333333335"/>
    <n v="825.78382352941185"/>
    <n v="23.294"/>
    <d v="2021-01-01T00:00:00"/>
    <s v="Older"/>
    <n v="0"/>
    <s v="Yes"/>
    <n v="449"/>
    <s v="High"/>
    <s v="Low"/>
    <n v="0.11428571428571428"/>
    <s v="High"/>
    <n v="3"/>
    <d v="2021-01-01T00:00:00"/>
    <s v="25+ months"/>
    <s v="4–5 tickets"/>
    <s v="46+ min"/>
    <s v="701–1000"/>
    <n v="28118"/>
    <n v="-41.349999999998545"/>
  </r>
  <r>
    <n v="10036"/>
    <n v="61"/>
    <s v="Female"/>
    <s v="Delhi"/>
    <d v="2023-01-24T00:00:00"/>
    <d v="2022-07-18T00:00:00"/>
    <x v="1"/>
    <n v="609"/>
    <x v="11"/>
    <n v="2"/>
    <n v="114.91"/>
    <n v="5"/>
    <x v="2"/>
    <x v="0"/>
    <n v="6668.55"/>
    <b v="0"/>
    <n v="0.91666666666666663"/>
    <n v="606.2318181818182"/>
    <n v="38.303333333333335"/>
    <d v="2023-01-01T00:00:00"/>
    <s v="Older"/>
    <n v="1"/>
    <s v="No"/>
    <m/>
    <s v="High"/>
    <s v="Low"/>
    <n v="0.16666666666666666"/>
    <s v="Low"/>
    <n v="3"/>
    <d v="2023-01-01T00:00:00"/>
    <s v="7–12 months"/>
    <s v="2–3 tickets"/>
    <s v="46+ min"/>
    <s v="501–700"/>
    <n v="6699"/>
    <n v="-30.449999999999818"/>
  </r>
  <r>
    <n v="10037"/>
    <n v="20"/>
    <s v="Male"/>
    <s v="Hyderabad"/>
    <d v="2021-04-27T00:00:00"/>
    <d v="2022-08-08T00:00:00"/>
    <x v="2"/>
    <n v="1248"/>
    <x v="9"/>
    <n v="2"/>
    <n v="52.43"/>
    <n v="10"/>
    <x v="0"/>
    <x v="1"/>
    <n v="11107.2"/>
    <b v="1"/>
    <n v="0.75"/>
    <n v="1234.1333333333334"/>
    <n v="17.476666666666667"/>
    <d v="2021-04-01T00:00:00"/>
    <s v="Young"/>
    <n v="0"/>
    <s v="No"/>
    <n v="468"/>
    <s v="Medium"/>
    <s v="Low"/>
    <n v="0.2"/>
    <s v="Medium"/>
    <n v="2"/>
    <d v="2021-04-01T00:00:00"/>
    <s v="7–12 months"/>
    <s v="2–3 tickets"/>
    <s v="46+ min"/>
    <s v="1000+"/>
    <n v="11232"/>
    <n v="-124.79999999999927"/>
  </r>
  <r>
    <n v="10038"/>
    <n v="54"/>
    <s v="Female"/>
    <s v="Chennai"/>
    <d v="2023-03-09T00:00:00"/>
    <d v="2021-06-02T00:00:00"/>
    <x v="2"/>
    <n v="973"/>
    <x v="9"/>
    <n v="2"/>
    <n v="99.37"/>
    <n v="10"/>
    <x v="2"/>
    <x v="1"/>
    <n v="8659.7000000000007"/>
    <b v="0"/>
    <n v="0.75"/>
    <n v="962.18888888888898"/>
    <n v="33.123333333333335"/>
    <d v="2023-03-01T00:00:00"/>
    <s v="Older"/>
    <n v="0"/>
    <s v="No"/>
    <m/>
    <s v="High"/>
    <s v="Low"/>
    <n v="0.2"/>
    <s v="Low"/>
    <n v="2"/>
    <d v="2023-03-01T00:00:00"/>
    <s v="7–12 months"/>
    <s v="2–3 tickets"/>
    <s v="46+ min"/>
    <s v="701–1000"/>
    <n v="8757"/>
    <n v="-97.299999999999272"/>
  </r>
  <r>
    <n v="10039"/>
    <n v="24"/>
    <s v="Female"/>
    <s v="Bangalore"/>
    <d v="2023-03-05T00:00:00"/>
    <d v="2023-09-19T00:00:00"/>
    <x v="1"/>
    <n v="736"/>
    <x v="14"/>
    <n v="3"/>
    <n v="67.48"/>
    <n v="5"/>
    <x v="3"/>
    <x v="1"/>
    <n v="5851.2"/>
    <b v="1"/>
    <n v="0.66666666666666663"/>
    <n v="731.4"/>
    <n v="16.87"/>
    <d v="2023-03-01T00:00:00"/>
    <s v="Young"/>
    <n v="0"/>
    <s v="No"/>
    <n v="198"/>
    <s v="High"/>
    <s v="Low"/>
    <n v="0.33333333333333331"/>
    <s v="Low"/>
    <n v="3"/>
    <d v="2023-03-01T00:00:00"/>
    <s v="7–12 months"/>
    <s v="2–3 tickets"/>
    <s v="46+ min"/>
    <s v="701–1000"/>
    <n v="5888"/>
    <n v="-36.800000000000182"/>
  </r>
  <r>
    <n v="10040"/>
    <n v="38"/>
    <s v="Male"/>
    <s v="Chennai"/>
    <d v="2021-05-24T00:00:00"/>
    <d v="2021-10-23T00:00:00"/>
    <x v="2"/>
    <n v="1003"/>
    <x v="13"/>
    <n v="0"/>
    <n v="63.85"/>
    <n v="15"/>
    <x v="0"/>
    <x v="1"/>
    <n v="2858.55"/>
    <b v="1"/>
    <n v="0.25"/>
    <n v="952.85"/>
    <n v="63.85"/>
    <d v="2021-05-01T00:00:00"/>
    <s v="Middle-aged"/>
    <n v="0"/>
    <s v="No"/>
    <n v="152"/>
    <s v="High"/>
    <s v="Low"/>
    <n v="0"/>
    <s v="Low"/>
    <n v="2"/>
    <d v="2021-05-01T00:00:00"/>
    <s v="0–6 months"/>
    <s v="0–1 tickets"/>
    <s v="46+ min"/>
    <s v="1000+"/>
    <n v="3009"/>
    <n v="-150.44999999999982"/>
  </r>
  <r>
    <n v="10041"/>
    <n v="26"/>
    <s v="Male"/>
    <s v="Mumbai"/>
    <d v="2022-12-18T00:00:00"/>
    <d v="2022-06-01T00:00:00"/>
    <x v="0"/>
    <n v="962"/>
    <x v="19"/>
    <n v="1"/>
    <n v="11.32"/>
    <n v="0"/>
    <x v="3"/>
    <x v="1"/>
    <n v="12506"/>
    <b v="0"/>
    <n v="1.0833333333333333"/>
    <n v="962"/>
    <n v="5.66"/>
    <d v="2022-12-01T00:00:00"/>
    <s v="Adult"/>
    <n v="0"/>
    <s v="No"/>
    <m/>
    <s v="Low"/>
    <s v="Low"/>
    <n v="7.1428571428571425E-2"/>
    <s v="Medium"/>
    <n v="1"/>
    <d v="2022-12-01T00:00:00"/>
    <s v="13–24 months"/>
    <s v="0–1 tickets"/>
    <s v="11–20 min"/>
    <s v="701–1000"/>
    <n v="12506"/>
    <n v="0"/>
  </r>
  <r>
    <n v="10042"/>
    <n v="56"/>
    <s v="Other"/>
    <s v="Pune"/>
    <d v="2022-07-05T00:00:00"/>
    <d v="2022-07-25T00:00:00"/>
    <x v="2"/>
    <n v="664"/>
    <x v="17"/>
    <n v="1"/>
    <n v="71.010000000000005"/>
    <n v="0"/>
    <x v="0"/>
    <x v="0"/>
    <n v="12616"/>
    <b v="1"/>
    <n v="1.5833333333333333"/>
    <n v="664"/>
    <n v="35.505000000000003"/>
    <d v="2022-07-01T00:00:00"/>
    <s v="Older"/>
    <n v="1"/>
    <s v="No"/>
    <n v="20"/>
    <s v="High"/>
    <s v="Low"/>
    <n v="0.05"/>
    <s v="Medium"/>
    <n v="2"/>
    <d v="2022-07-01T00:00:00"/>
    <s v="13–24 months"/>
    <s v="0–1 tickets"/>
    <s v="46+ min"/>
    <s v="501–700"/>
    <n v="12616"/>
    <n v="0"/>
  </r>
  <r>
    <n v="10043"/>
    <n v="35"/>
    <s v="Male"/>
    <s v="Pune"/>
    <d v="2022-10-28T00:00:00"/>
    <d v="2022-12-25T00:00:00"/>
    <x v="0"/>
    <n v="1222"/>
    <x v="22"/>
    <n v="1"/>
    <n v="108.57"/>
    <n v="10"/>
    <x v="2"/>
    <x v="1"/>
    <n v="41425.800000000003"/>
    <b v="1"/>
    <n v="2.8333333333333335"/>
    <n v="1218.4058823529413"/>
    <n v="54.284999999999997"/>
    <d v="2022-10-01T00:00:00"/>
    <s v="Adult"/>
    <n v="0"/>
    <s v="Yes"/>
    <n v="58"/>
    <s v="High"/>
    <s v="Low"/>
    <n v="2.8571428571428571E-2"/>
    <s v="High"/>
    <n v="1"/>
    <d v="2022-10-01T00:00:00"/>
    <s v="25+ months"/>
    <s v="0–1 tickets"/>
    <s v="46+ min"/>
    <s v="1000+"/>
    <n v="41548"/>
    <n v="-122.19999999999709"/>
  </r>
  <r>
    <n v="10044"/>
    <n v="21"/>
    <s v="Male"/>
    <s v="Chennai"/>
    <d v="2022-11-19T00:00:00"/>
    <d v="2023-07-25T00:00:00"/>
    <x v="0"/>
    <n v="412"/>
    <x v="23"/>
    <n v="2"/>
    <n v="94.72"/>
    <n v="10"/>
    <x v="1"/>
    <x v="1"/>
    <n v="13142.8"/>
    <b v="1"/>
    <n v="2.6666666666666665"/>
    <n v="410.71249999999998"/>
    <n v="31.573333333333334"/>
    <d v="2022-11-01T00:00:00"/>
    <s v="Young"/>
    <n v="0"/>
    <s v="No"/>
    <n v="248"/>
    <s v="High"/>
    <s v="Low"/>
    <n v="6.0606060606060608E-2"/>
    <s v="Medium"/>
    <n v="1"/>
    <d v="2022-11-01T00:00:00"/>
    <s v="25+ months"/>
    <s v="2–3 tickets"/>
    <s v="46+ min"/>
    <s v="301–500"/>
    <n v="13184"/>
    <n v="-41.200000000000728"/>
  </r>
  <r>
    <n v="10045"/>
    <n v="42"/>
    <s v="Male"/>
    <s v="Delhi"/>
    <d v="2023-01-23T00:00:00"/>
    <d v="2022-12-13T00:00:00"/>
    <x v="1"/>
    <n v="475"/>
    <x v="24"/>
    <n v="1"/>
    <n v="95.43"/>
    <n v="15"/>
    <x v="2"/>
    <x v="1"/>
    <n v="7528.75"/>
    <b v="0"/>
    <n v="1.3333333333333333"/>
    <n v="470.546875"/>
    <n v="47.715000000000003"/>
    <d v="2023-01-01T00:00:00"/>
    <s v="Middle-aged"/>
    <n v="0"/>
    <s v="No"/>
    <m/>
    <s v="High"/>
    <s v="Low"/>
    <n v="5.8823529411764705E-2"/>
    <s v="Low"/>
    <n v="3"/>
    <d v="2023-01-01T00:00:00"/>
    <s v="13–24 months"/>
    <s v="0–1 tickets"/>
    <s v="46+ min"/>
    <s v="301–500"/>
    <n v="7600"/>
    <n v="-71.25"/>
  </r>
  <r>
    <n v="10046"/>
    <n v="31"/>
    <s v="Female"/>
    <s v="Delhi"/>
    <d v="2022-02-26T00:00:00"/>
    <d v="2023-09-22T00:00:00"/>
    <x v="2"/>
    <n v="1472"/>
    <x v="10"/>
    <n v="1"/>
    <n v="23.39"/>
    <n v="10"/>
    <x v="1"/>
    <x v="1"/>
    <n v="26348.799999999999"/>
    <b v="1"/>
    <n v="1.5"/>
    <n v="1463.8222222222221"/>
    <n v="11.695"/>
    <d v="2022-02-01T00:00:00"/>
    <s v="Adult"/>
    <n v="0"/>
    <s v="Yes"/>
    <n v="573"/>
    <s v="Medium"/>
    <s v="Low"/>
    <n v="5.2631578947368418E-2"/>
    <s v="High"/>
    <n v="2"/>
    <d v="2022-02-01T00:00:00"/>
    <s v="13–24 months"/>
    <s v="0–1 tickets"/>
    <s v="21–30 min"/>
    <s v="1000+"/>
    <n v="26496"/>
    <n v="-147.20000000000073"/>
  </r>
  <r>
    <n v="10047"/>
    <n v="26"/>
    <s v="Female"/>
    <s v="Hyderabad"/>
    <d v="2023-06-17T00:00:00"/>
    <d v="2022-08-18T00:00:00"/>
    <x v="0"/>
    <n v="1235"/>
    <x v="25"/>
    <n v="1"/>
    <n v="46.22"/>
    <n v="10"/>
    <x v="3"/>
    <x v="0"/>
    <n v="17290"/>
    <b v="0"/>
    <n v="1.1666666666666667"/>
    <n v="1235"/>
    <n v="23.11"/>
    <d v="2023-06-01T00:00:00"/>
    <s v="Adult"/>
    <n v="1"/>
    <s v="Yes"/>
    <m/>
    <s v="Medium"/>
    <s v="Low"/>
    <n v="6.6666666666666666E-2"/>
    <s v="Medium"/>
    <n v="1"/>
    <d v="2023-06-01T00:00:00"/>
    <s v="13–24 months"/>
    <s v="0–1 tickets"/>
    <s v="46+ min"/>
    <s v="1000+"/>
    <n v="17290"/>
    <n v="0"/>
  </r>
  <r>
    <n v="10048"/>
    <n v="43"/>
    <s v="Female"/>
    <s v="Hyderabad"/>
    <d v="2022-01-04T00:00:00"/>
    <d v="2022-08-08T00:00:00"/>
    <x v="0"/>
    <n v="681"/>
    <x v="3"/>
    <n v="3"/>
    <n v="31.82"/>
    <n v="5"/>
    <x v="1"/>
    <x v="1"/>
    <n v="20395.95"/>
    <b v="1"/>
    <n v="2.5"/>
    <n v="679.86500000000001"/>
    <n v="7.9550000000000001"/>
    <d v="2022-01-01T00:00:00"/>
    <s v="Middle-aged"/>
    <n v="0"/>
    <s v="Yes"/>
    <n v="216"/>
    <s v="Medium"/>
    <s v="Low"/>
    <n v="9.6774193548387094E-2"/>
    <s v="High"/>
    <n v="1"/>
    <d v="2022-01-01T00:00:00"/>
    <s v="25+ months"/>
    <s v="2–3 tickets"/>
    <s v="31–45 min"/>
    <s v="501–700"/>
    <n v="20430"/>
    <n v="-34.049999999999272"/>
  </r>
  <r>
    <n v="10049"/>
    <n v="41"/>
    <s v="Male"/>
    <s v="Pune"/>
    <d v="2022-10-08T00:00:00"/>
    <d v="2023-03-05T00:00:00"/>
    <x v="0"/>
    <n v="605"/>
    <x v="4"/>
    <n v="0"/>
    <n v="41.33"/>
    <n v="0"/>
    <x v="1"/>
    <x v="1"/>
    <n v="1210"/>
    <b v="1"/>
    <n v="0.16666666666666666"/>
    <n v="605"/>
    <n v="41.33"/>
    <d v="2022-10-01T00:00:00"/>
    <s v="Middle-aged"/>
    <n v="0"/>
    <s v="No"/>
    <n v="148"/>
    <s v="Medium"/>
    <s v="Low"/>
    <n v="0"/>
    <s v="Low"/>
    <n v="1"/>
    <d v="2022-10-01T00:00:00"/>
    <s v="0–6 months"/>
    <s v="0–1 tickets"/>
    <s v="31–45 min"/>
    <s v="501–700"/>
    <n v="1210"/>
    <n v="0"/>
  </r>
  <r>
    <n v="10050"/>
    <n v="37"/>
    <s v="Female"/>
    <s v="Hyderabad"/>
    <d v="2022-07-12T00:00:00"/>
    <d v="2022-12-07T00:00:00"/>
    <x v="0"/>
    <n v="901"/>
    <x v="19"/>
    <n v="1"/>
    <n v="71.650000000000006"/>
    <n v="15"/>
    <x v="1"/>
    <x v="1"/>
    <n v="11577.85"/>
    <b v="1"/>
    <n v="1.0833333333333333"/>
    <n v="890.60384615384623"/>
    <n v="35.825000000000003"/>
    <d v="2022-07-01T00:00:00"/>
    <s v="Middle-aged"/>
    <n v="0"/>
    <s v="No"/>
    <n v="148"/>
    <s v="High"/>
    <s v="Low"/>
    <n v="7.1428571428571425E-2"/>
    <s v="Medium"/>
    <n v="1"/>
    <d v="2022-07-01T00:00:00"/>
    <s v="13–24 months"/>
    <s v="0–1 tickets"/>
    <s v="46+ min"/>
    <s v="701–1000"/>
    <n v="11713"/>
    <n v="-135.14999999999964"/>
  </r>
  <r>
    <n v="10051"/>
    <n v="45"/>
    <s v="Male"/>
    <s v="Bangalore"/>
    <d v="2021-02-19T00:00:00"/>
    <d v="2021-07-27T00:00:00"/>
    <x v="0"/>
    <n v="642"/>
    <x v="26"/>
    <n v="1"/>
    <n v="46.95"/>
    <n v="5"/>
    <x v="1"/>
    <x v="1"/>
    <n v="17301.900000000001"/>
    <b v="1"/>
    <n v="2.25"/>
    <n v="640.81111111111113"/>
    <n v="23.475000000000001"/>
    <d v="2021-02-01T00:00:00"/>
    <s v="Middle-aged"/>
    <n v="0"/>
    <s v="Yes"/>
    <n v="158"/>
    <s v="Medium"/>
    <s v="Low"/>
    <n v="3.5714285714285712E-2"/>
    <s v="Medium"/>
    <n v="1"/>
    <d v="2021-02-01T00:00:00"/>
    <s v="25+ months"/>
    <s v="0–1 tickets"/>
    <s v="46+ min"/>
    <s v="501–700"/>
    <n v="17334"/>
    <n v="-32.099999999998545"/>
  </r>
  <r>
    <n v="10052"/>
    <n v="64"/>
    <s v="Female"/>
    <s v="Hyderabad"/>
    <d v="2022-11-09T00:00:00"/>
    <d v="2022-12-14T00:00:00"/>
    <x v="2"/>
    <n v="455"/>
    <x v="18"/>
    <n v="3"/>
    <n v="69.48"/>
    <n v="5"/>
    <x v="3"/>
    <x v="1"/>
    <n v="7712.25"/>
    <b v="1"/>
    <n v="1.4166666666666667"/>
    <n v="453.66176470588238"/>
    <n v="17.37"/>
    <d v="2022-11-01T00:00:00"/>
    <s v="Older"/>
    <n v="0"/>
    <s v="No"/>
    <n v="35"/>
    <s v="High"/>
    <s v="Low"/>
    <n v="0.16666666666666666"/>
    <s v="Low"/>
    <n v="2"/>
    <d v="2022-11-01T00:00:00"/>
    <s v="13–24 months"/>
    <s v="2–3 tickets"/>
    <s v="46+ min"/>
    <s v="301–500"/>
    <n v="7735"/>
    <n v="-22.75"/>
  </r>
  <r>
    <n v="10053"/>
    <n v="24"/>
    <s v="Female"/>
    <s v="Bangalore"/>
    <d v="2021-04-16T00:00:00"/>
    <d v="2021-11-25T00:00:00"/>
    <x v="0"/>
    <n v="1011"/>
    <x v="27"/>
    <n v="4"/>
    <n v="55.43"/>
    <n v="0"/>
    <x v="1"/>
    <x v="1"/>
    <n v="31341"/>
    <b v="1"/>
    <n v="2.5833333333333335"/>
    <n v="1011"/>
    <n v="11.086"/>
    <d v="2021-04-01T00:00:00"/>
    <s v="Young"/>
    <n v="0"/>
    <s v="Yes"/>
    <n v="223"/>
    <s v="Medium"/>
    <s v="Low"/>
    <n v="0.125"/>
    <s v="High"/>
    <n v="1"/>
    <d v="2021-04-01T00:00:00"/>
    <s v="25+ months"/>
    <s v="4–5 tickets"/>
    <s v="46+ min"/>
    <s v="1000+"/>
    <n v="31341"/>
    <n v="0"/>
  </r>
  <r>
    <n v="10054"/>
    <n v="61"/>
    <s v="Male"/>
    <s v="unknown"/>
    <d v="2021-08-04T00:00:00"/>
    <d v="2022-03-20T00:00:00"/>
    <x v="2"/>
    <n v="1378"/>
    <x v="15"/>
    <n v="1"/>
    <n v="37.96"/>
    <n v="5"/>
    <x v="2"/>
    <x v="1"/>
    <n v="20601.099999999999"/>
    <b v="1"/>
    <n v="1.25"/>
    <n v="1373.4066666666665"/>
    <n v="18.98"/>
    <d v="2021-08-01T00:00:00"/>
    <s v="Older"/>
    <n v="0"/>
    <s v="Yes"/>
    <n v="228"/>
    <s v="Medium"/>
    <s v="Low"/>
    <n v="6.25E-2"/>
    <s v="High"/>
    <n v="2"/>
    <d v="2021-08-01T00:00:00"/>
    <s v="13–24 months"/>
    <s v="0–1 tickets"/>
    <s v="31–45 min"/>
    <s v="1000+"/>
    <n v="20670"/>
    <n v="-68.900000000001455"/>
  </r>
  <r>
    <n v="10055"/>
    <n v="25"/>
    <s v="Male"/>
    <s v="Pune"/>
    <d v="2022-10-20T00:00:00"/>
    <d v="2021-07-16T00:00:00"/>
    <x v="0"/>
    <n v="702"/>
    <x v="28"/>
    <n v="2"/>
    <n v="15.97"/>
    <n v="5"/>
    <x v="0"/>
    <x v="1"/>
    <n v="14004.9"/>
    <b v="0"/>
    <n v="1.6666666666666667"/>
    <n v="700.245"/>
    <n v="5.3233333333333333"/>
    <d v="2022-10-01T00:00:00"/>
    <s v="Young"/>
    <n v="0"/>
    <s v="Yes"/>
    <m/>
    <s v="Low"/>
    <s v="Low"/>
    <n v="9.5238095238095233E-2"/>
    <s v="Medium"/>
    <n v="1"/>
    <d v="2022-10-01T00:00:00"/>
    <s v="13–24 months"/>
    <s v="2–3 tickets"/>
    <s v="11–20 min"/>
    <s v="701–1000"/>
    <n v="14040"/>
    <n v="-35.100000000000364"/>
  </r>
  <r>
    <n v="10056"/>
    <n v="64"/>
    <s v="Male"/>
    <s v="Pune"/>
    <d v="2022-03-01T00:00:00"/>
    <d v="2021-11-17T00:00:00"/>
    <x v="1"/>
    <n v="913"/>
    <x v="21"/>
    <n v="4"/>
    <n v="107.56"/>
    <n v="10"/>
    <x v="0"/>
    <x v="1"/>
    <n v="4473.7"/>
    <b v="0"/>
    <n v="0.41666666666666669"/>
    <n v="894.74"/>
    <n v="21.512"/>
    <d v="2022-03-01T00:00:00"/>
    <s v="Older"/>
    <n v="0"/>
    <s v="No"/>
    <m/>
    <s v="High"/>
    <s v="Low"/>
    <n v="0.66666666666666663"/>
    <s v="Low"/>
    <n v="3"/>
    <d v="2022-03-01T00:00:00"/>
    <s v="0–6 months"/>
    <s v="4–5 tickets"/>
    <s v="46+ min"/>
    <s v="701–1000"/>
    <n v="4565"/>
    <n v="-91.300000000000182"/>
  </r>
  <r>
    <n v="10057"/>
    <n v="52"/>
    <s v="Male"/>
    <s v="Bangalore"/>
    <d v="2021-03-13T00:00:00"/>
    <d v="2022-02-26T00:00:00"/>
    <x v="0"/>
    <n v="1096"/>
    <x v="16"/>
    <n v="2"/>
    <n v="6.31"/>
    <n v="5"/>
    <x v="2"/>
    <x v="1"/>
    <n v="7617.2"/>
    <b v="1"/>
    <n v="0.58333333333333337"/>
    <n v="1088.1714285714286"/>
    <n v="2.1033333333333331"/>
    <d v="2021-03-01T00:00:00"/>
    <s v="Older"/>
    <n v="0"/>
    <s v="No"/>
    <n v="350"/>
    <s v="Low"/>
    <s v="Low"/>
    <n v="0.25"/>
    <s v="Low"/>
    <n v="1"/>
    <d v="2021-03-01T00:00:00"/>
    <s v="7–12 months"/>
    <s v="2–3 tickets"/>
    <s v="0–10 min"/>
    <s v="1000+"/>
    <n v="7672"/>
    <n v="-54.800000000000182"/>
  </r>
  <r>
    <n v="10058"/>
    <n v="31"/>
    <s v="Male"/>
    <s v="Chennai"/>
    <d v="2023-04-22T00:00:00"/>
    <d v="2022-07-22T00:00:00"/>
    <x v="0"/>
    <n v="922"/>
    <x v="10"/>
    <n v="0"/>
    <n v="5.19"/>
    <n v="15"/>
    <x v="3"/>
    <x v="1"/>
    <n v="16457.7"/>
    <b v="0"/>
    <n v="1.5"/>
    <n v="914.31666666666672"/>
    <n v="5.19"/>
    <d v="2023-04-01T00:00:00"/>
    <s v="Adult"/>
    <n v="0"/>
    <s v="Yes"/>
    <m/>
    <s v="Low"/>
    <s v="Low"/>
    <n v="0"/>
    <s v="Medium"/>
    <n v="1"/>
    <d v="2023-04-01T00:00:00"/>
    <s v="13–24 months"/>
    <s v="0–1 tickets"/>
    <s v="0–10 min"/>
    <s v="701–1000"/>
    <n v="16596"/>
    <n v="-138.29999999999927"/>
  </r>
  <r>
    <n v="10059"/>
    <n v="34"/>
    <s v="Female"/>
    <s v="Pune"/>
    <d v="2023-02-24T00:00:00"/>
    <d v="2023-09-26T00:00:00"/>
    <x v="0"/>
    <n v="902"/>
    <x v="11"/>
    <n v="0"/>
    <n v="100.08"/>
    <n v="5"/>
    <x v="2"/>
    <x v="0"/>
    <n v="9876.9"/>
    <b v="1"/>
    <n v="0.91666666666666663"/>
    <n v="897.9"/>
    <n v="100.08"/>
    <d v="2023-02-01T00:00:00"/>
    <s v="Adult"/>
    <n v="1"/>
    <s v="No"/>
    <n v="214"/>
    <s v="High"/>
    <s v="Low"/>
    <n v="0"/>
    <s v="Medium"/>
    <n v="1"/>
    <d v="2023-02-01T00:00:00"/>
    <s v="7–12 months"/>
    <s v="0–1 tickets"/>
    <s v="46+ min"/>
    <s v="701–1000"/>
    <n v="9922"/>
    <n v="-45.100000000000364"/>
  </r>
  <r>
    <n v="10060"/>
    <n v="53"/>
    <s v="Female"/>
    <s v="Chennai"/>
    <d v="2023-01-29T00:00:00"/>
    <d v="2021-10-17T00:00:00"/>
    <x v="2"/>
    <n v="476"/>
    <x v="23"/>
    <n v="2"/>
    <n v="119.63"/>
    <n v="10"/>
    <x v="2"/>
    <x v="1"/>
    <n v="15184.4"/>
    <b v="0"/>
    <n v="2.6666666666666665"/>
    <n v="474.51249999999999"/>
    <n v="39.876666666666665"/>
    <d v="2023-01-01T00:00:00"/>
    <s v="Older"/>
    <n v="0"/>
    <s v="Yes"/>
    <m/>
    <s v="High"/>
    <s v="Low"/>
    <n v="6.0606060606060608E-2"/>
    <s v="Medium"/>
    <n v="2"/>
    <d v="2023-01-01T00:00:00"/>
    <s v="25+ months"/>
    <s v="2–3 tickets"/>
    <s v="46+ min"/>
    <s v="301–500"/>
    <n v="15232"/>
    <n v="-47.600000000000364"/>
  </r>
  <r>
    <n v="10061"/>
    <n v="57"/>
    <s v="Male"/>
    <s v="Delhi"/>
    <d v="2022-03-22T00:00:00"/>
    <d v="2022-02-02T00:00:00"/>
    <x v="2"/>
    <n v="748"/>
    <x v="26"/>
    <n v="4"/>
    <n v="88.62"/>
    <n v="20"/>
    <x v="1"/>
    <x v="0"/>
    <n v="20046.400000000001"/>
    <b v="0"/>
    <n v="2.25"/>
    <n v="742.45925925925928"/>
    <n v="17.724"/>
    <d v="2022-03-01T00:00:00"/>
    <s v="Older"/>
    <n v="1"/>
    <s v="Yes"/>
    <m/>
    <s v="High"/>
    <s v="Medium"/>
    <n v="0.14285714285714285"/>
    <s v="High"/>
    <n v="2"/>
    <d v="2022-03-01T00:00:00"/>
    <s v="25+ months"/>
    <s v="4–5 tickets"/>
    <s v="46+ min"/>
    <s v="701–1000"/>
    <n v="20196"/>
    <n v="-149.59999999999854"/>
  </r>
  <r>
    <n v="10062"/>
    <n v="21"/>
    <s v="Male"/>
    <s v="Bangalore"/>
    <d v="2021-07-05T00:00:00"/>
    <d v="2021-10-26T00:00:00"/>
    <x v="0"/>
    <n v="1042"/>
    <x v="8"/>
    <n v="0"/>
    <n v="6.76"/>
    <n v="20"/>
    <x v="1"/>
    <x v="1"/>
    <n v="26883.599999999999"/>
    <b v="1"/>
    <n v="2.1666666666666665"/>
    <n v="1033.9846153846154"/>
    <n v="6.76"/>
    <d v="2021-07-01T00:00:00"/>
    <s v="Young"/>
    <n v="0"/>
    <s v="Yes"/>
    <n v="113"/>
    <s v="Low"/>
    <s v="Medium"/>
    <n v="0"/>
    <s v="High"/>
    <n v="1"/>
    <d v="2021-07-01T00:00:00"/>
    <s v="25+ months"/>
    <s v="0–1 tickets"/>
    <s v="0–10 min"/>
    <s v="1000+"/>
    <n v="27092"/>
    <n v="-208.40000000000146"/>
  </r>
  <r>
    <n v="10063"/>
    <n v="19"/>
    <s v="Male"/>
    <s v="Pune"/>
    <d v="2021-03-11T00:00:00"/>
    <d v="2022-01-16T00:00:00"/>
    <x v="0"/>
    <n v="600"/>
    <x v="29"/>
    <n v="0"/>
    <n v="31.07"/>
    <n v="15"/>
    <x v="3"/>
    <x v="0"/>
    <n v="16710"/>
    <b v="1"/>
    <n v="2.3333333333333335"/>
    <n v="596.78571428571433"/>
    <n v="31.07"/>
    <d v="2021-03-01T00:00:00"/>
    <s v="Young"/>
    <n v="1"/>
    <s v="Yes"/>
    <n v="311"/>
    <s v="Medium"/>
    <s v="Low"/>
    <n v="0"/>
    <s v="Medium"/>
    <n v="1"/>
    <d v="2021-03-01T00:00:00"/>
    <s v="25+ months"/>
    <s v="0–1 tickets"/>
    <s v="31–45 min"/>
    <s v="501–700"/>
    <n v="16800"/>
    <n v="-90"/>
  </r>
  <r>
    <n v="10064"/>
    <n v="23"/>
    <s v="Female"/>
    <s v="Mumbai"/>
    <d v="2021-05-30T00:00:00"/>
    <d v="2023-08-01T00:00:00"/>
    <x v="0"/>
    <n v="1006"/>
    <x v="4"/>
    <n v="0"/>
    <n v="116.76"/>
    <n v="15"/>
    <x v="3"/>
    <x v="1"/>
    <n v="1861.1"/>
    <b v="1"/>
    <n v="0.16666666666666666"/>
    <n v="930.55"/>
    <n v="116.76"/>
    <d v="2021-05-01T00:00:00"/>
    <s v="Young"/>
    <n v="0"/>
    <s v="No"/>
    <n v="793"/>
    <s v="High"/>
    <s v="Low"/>
    <n v="0"/>
    <s v="Low"/>
    <n v="1"/>
    <d v="2021-05-01T00:00:00"/>
    <s v="0–6 months"/>
    <s v="0–1 tickets"/>
    <s v="46+ min"/>
    <s v="1000+"/>
    <n v="2012"/>
    <n v="-150.90000000000009"/>
  </r>
  <r>
    <n v="10065"/>
    <n v="59"/>
    <s v="Male"/>
    <s v="Delhi"/>
    <d v="2021-09-03T00:00:00"/>
    <d v="2023-02-27T00:00:00"/>
    <x v="2"/>
    <n v="606"/>
    <x v="28"/>
    <n v="2"/>
    <n v="97.99"/>
    <n v="5"/>
    <x v="0"/>
    <x v="1"/>
    <n v="12089.7"/>
    <b v="1"/>
    <n v="1.6666666666666667"/>
    <n v="604.48500000000001"/>
    <n v="32.663333333333334"/>
    <d v="2021-09-01T00:00:00"/>
    <s v="Older"/>
    <n v="0"/>
    <s v="No"/>
    <n v="542"/>
    <s v="High"/>
    <s v="Low"/>
    <n v="9.5238095238095233E-2"/>
    <s v="Medium"/>
    <n v="2"/>
    <d v="2021-09-01T00:00:00"/>
    <s v="13–24 months"/>
    <s v="2–3 tickets"/>
    <s v="46+ min"/>
    <s v="501–700"/>
    <n v="12120"/>
    <n v="-30.299999999999272"/>
  </r>
  <r>
    <n v="10066"/>
    <n v="21"/>
    <s v="Female"/>
    <s v="Chennai"/>
    <d v="2023-02-13T00:00:00"/>
    <d v="2023-05-05T00:00:00"/>
    <x v="2"/>
    <n v="1050"/>
    <x v="2"/>
    <n v="1"/>
    <n v="70.180000000000007"/>
    <n v="5"/>
    <x v="3"/>
    <x v="1"/>
    <n v="4147.5"/>
    <b v="1"/>
    <n v="0.33333333333333331"/>
    <n v="1036.875"/>
    <n v="35.090000000000003"/>
    <d v="2023-02-01T00:00:00"/>
    <s v="Young"/>
    <n v="0"/>
    <s v="No"/>
    <n v="81"/>
    <s v="High"/>
    <s v="Low"/>
    <n v="0.2"/>
    <s v="Low"/>
    <n v="2"/>
    <d v="2023-02-01T00:00:00"/>
    <s v="0–6 months"/>
    <s v="0–1 tickets"/>
    <s v="46+ min"/>
    <s v="1000+"/>
    <n v="4200"/>
    <n v="-52.5"/>
  </r>
  <r>
    <n v="10067"/>
    <n v="46"/>
    <s v="Female"/>
    <s v="Pune"/>
    <d v="2022-06-22T00:00:00"/>
    <d v="2022-06-09T00:00:00"/>
    <x v="0"/>
    <n v="1168"/>
    <x v="19"/>
    <n v="3"/>
    <n v="32.24"/>
    <n v="20"/>
    <x v="2"/>
    <x v="1"/>
    <n v="14950.4"/>
    <b v="0"/>
    <n v="1.0833333333333333"/>
    <n v="1150.0307692307692"/>
    <n v="8.06"/>
    <d v="2022-06-01T00:00:00"/>
    <s v="Middle-aged"/>
    <n v="0"/>
    <s v="Yes"/>
    <m/>
    <s v="Medium"/>
    <s v="Medium"/>
    <n v="0.21428571428571427"/>
    <s v="Medium"/>
    <n v="1"/>
    <d v="2022-06-01T00:00:00"/>
    <s v="13–24 months"/>
    <s v="2–3 tickets"/>
    <s v="31–45 min"/>
    <s v="1000+"/>
    <n v="15184"/>
    <n v="-233.60000000000036"/>
  </r>
  <r>
    <n v="10068"/>
    <n v="35"/>
    <s v="Female"/>
    <s v="Bangalore"/>
    <d v="2022-10-14T00:00:00"/>
    <d v="2021-08-19T00:00:00"/>
    <x v="0"/>
    <n v="513"/>
    <x v="30"/>
    <n v="1"/>
    <n v="6.65"/>
    <n v="20"/>
    <x v="0"/>
    <x v="1"/>
    <n v="12209.4"/>
    <b v="0"/>
    <n v="2"/>
    <n v="508.72499999999997"/>
    <n v="3.3250000000000002"/>
    <d v="2022-10-01T00:00:00"/>
    <s v="Adult"/>
    <n v="0"/>
    <s v="No"/>
    <m/>
    <s v="Low"/>
    <s v="Medium"/>
    <n v="0.04"/>
    <s v="Medium"/>
    <n v="1"/>
    <d v="2022-10-01T00:00:00"/>
    <s v="13–24 months"/>
    <s v="0–1 tickets"/>
    <s v="0–10 min"/>
    <s v="501–700"/>
    <n v="12312"/>
    <n v="-102.60000000000036"/>
  </r>
  <r>
    <n v="10069"/>
    <n v="43"/>
    <s v="Female"/>
    <s v="Hyderabad"/>
    <d v="2021-04-09T00:00:00"/>
    <d v="2023-01-27T00:00:00"/>
    <x v="0"/>
    <n v="782"/>
    <x v="5"/>
    <n v="3"/>
    <n v="7.4"/>
    <n v="0"/>
    <x v="0"/>
    <x v="1"/>
    <n v="22678"/>
    <b v="1"/>
    <n v="2.4166666666666665"/>
    <n v="782"/>
    <n v="1.85"/>
    <d v="2021-04-01T00:00:00"/>
    <s v="Middle-aged"/>
    <n v="0"/>
    <s v="Yes"/>
    <n v="658"/>
    <s v="Low"/>
    <s v="Low"/>
    <n v="0.1"/>
    <s v="High"/>
    <n v="1"/>
    <d v="2021-04-01T00:00:00"/>
    <s v="25+ months"/>
    <s v="2–3 tickets"/>
    <s v="0–10 min"/>
    <s v="701–1000"/>
    <n v="22678"/>
    <n v="0"/>
  </r>
  <r>
    <n v="10070"/>
    <n v="61"/>
    <s v="Male"/>
    <s v="Mumbai"/>
    <d v="2021-10-05T00:00:00"/>
    <d v="2023-06-08T00:00:00"/>
    <x v="0"/>
    <n v="1390"/>
    <x v="4"/>
    <n v="2"/>
    <n v="75.38"/>
    <n v="20"/>
    <x v="1"/>
    <x v="1"/>
    <n v="2502"/>
    <b v="1"/>
    <n v="0.16666666666666666"/>
    <n v="1251"/>
    <n v="25.126666666666665"/>
    <d v="2021-10-01T00:00:00"/>
    <s v="Older"/>
    <n v="0"/>
    <s v="No"/>
    <n v="611"/>
    <s v="High"/>
    <s v="Medium"/>
    <n v="0.66666666666666663"/>
    <s v="Low"/>
    <n v="1"/>
    <d v="2021-10-01T00:00:00"/>
    <s v="0–6 months"/>
    <s v="2–3 tickets"/>
    <s v="46+ min"/>
    <s v="1000+"/>
    <n v="2780"/>
    <n v="-278"/>
  </r>
  <r>
    <n v="10071"/>
    <n v="51"/>
    <s v="Female"/>
    <s v="Chennai"/>
    <d v="2022-07-17T00:00:00"/>
    <d v="2021-08-04T00:00:00"/>
    <x v="2"/>
    <n v="432"/>
    <x v="10"/>
    <n v="1"/>
    <n v="7.51"/>
    <n v="20"/>
    <x v="1"/>
    <x v="1"/>
    <n v="7689.6"/>
    <b v="0"/>
    <n v="1.5"/>
    <n v="427.20000000000005"/>
    <n v="3.7549999999999999"/>
    <d v="2022-07-01T00:00:00"/>
    <s v="Older"/>
    <n v="0"/>
    <s v="No"/>
    <m/>
    <s v="Low"/>
    <s v="Medium"/>
    <n v="5.2631578947368418E-2"/>
    <s v="Low"/>
    <n v="2"/>
    <d v="2022-07-01T00:00:00"/>
    <s v="13–24 months"/>
    <s v="0–1 tickets"/>
    <s v="0–10 min"/>
    <s v="301–500"/>
    <n v="7776"/>
    <n v="-86.399999999999636"/>
  </r>
  <r>
    <n v="10072"/>
    <n v="27"/>
    <s v="Male"/>
    <s v="Delhi"/>
    <d v="2022-10-25T00:00:00"/>
    <d v="2021-08-27T00:00:00"/>
    <x v="0"/>
    <n v="811"/>
    <x v="14"/>
    <n v="2"/>
    <n v="119.27"/>
    <n v="15"/>
    <x v="0"/>
    <x v="1"/>
    <n v="6366.35"/>
    <b v="0"/>
    <n v="0.66666666666666663"/>
    <n v="795.79375000000005"/>
    <n v="39.756666666666668"/>
    <d v="2022-10-01T00:00:00"/>
    <s v="Adult"/>
    <n v="0"/>
    <s v="No"/>
    <m/>
    <s v="High"/>
    <s v="Low"/>
    <n v="0.22222222222222221"/>
    <s v="Low"/>
    <n v="1"/>
    <d v="2022-10-01T00:00:00"/>
    <s v="7–12 months"/>
    <s v="2–3 tickets"/>
    <s v="46+ min"/>
    <s v="701–1000"/>
    <n v="6488"/>
    <n v="-121.64999999999964"/>
  </r>
  <r>
    <n v="10073"/>
    <n v="53"/>
    <s v="Male"/>
    <s v="Bangalore"/>
    <d v="2022-03-31T00:00:00"/>
    <d v="2021-08-27T00:00:00"/>
    <x v="0"/>
    <n v="510"/>
    <x v="15"/>
    <n v="2"/>
    <n v="26.09"/>
    <n v="0"/>
    <x v="1"/>
    <x v="1"/>
    <n v="7650"/>
    <b v="0"/>
    <n v="1.25"/>
    <n v="510"/>
    <n v="8.6966666666666672"/>
    <d v="2022-03-01T00:00:00"/>
    <s v="Older"/>
    <n v="0"/>
    <s v="No"/>
    <m/>
    <s v="Medium"/>
    <s v="Low"/>
    <n v="0.125"/>
    <s v="Low"/>
    <n v="1"/>
    <d v="2022-03-01T00:00:00"/>
    <s v="13–24 months"/>
    <s v="2–3 tickets"/>
    <s v="21–30 min"/>
    <s v="501–700"/>
    <n v="7650"/>
    <n v="0"/>
  </r>
  <r>
    <n v="10074"/>
    <n v="31"/>
    <s v="Female"/>
    <s v="Mumbai"/>
    <d v="2021-04-14T00:00:00"/>
    <d v="2023-05-14T00:00:00"/>
    <x v="0"/>
    <n v="1287"/>
    <x v="18"/>
    <n v="1"/>
    <n v="86.73"/>
    <n v="0"/>
    <x v="1"/>
    <x v="1"/>
    <n v="21879"/>
    <b v="1"/>
    <n v="1.4166666666666667"/>
    <n v="1287"/>
    <n v="43.365000000000002"/>
    <d v="2021-04-01T00:00:00"/>
    <s v="Adult"/>
    <n v="0"/>
    <s v="Yes"/>
    <n v="760"/>
    <s v="High"/>
    <s v="Low"/>
    <n v="5.5555555555555552E-2"/>
    <s v="High"/>
    <n v="1"/>
    <d v="2021-04-01T00:00:00"/>
    <s v="13–24 months"/>
    <s v="0–1 tickets"/>
    <s v="46+ min"/>
    <s v="1000+"/>
    <n v="21879"/>
    <n v="0"/>
  </r>
  <r>
    <n v="10075"/>
    <n v="48"/>
    <s v="Female"/>
    <s v="Bangalore"/>
    <d v="2022-08-24T00:00:00"/>
    <d v="2023-05-27T00:00:00"/>
    <x v="1"/>
    <n v="1286"/>
    <x v="31"/>
    <n v="3"/>
    <n v="22.83"/>
    <n v="5"/>
    <x v="1"/>
    <x v="0"/>
    <n v="29513.7"/>
    <b v="1"/>
    <n v="1.9166666666666667"/>
    <n v="1283.2043478260871"/>
    <n v="5.7074999999999996"/>
    <d v="2022-08-01T00:00:00"/>
    <s v="Middle-aged"/>
    <n v="1"/>
    <s v="Yes"/>
    <n v="276"/>
    <s v="Medium"/>
    <s v="Low"/>
    <n v="0.125"/>
    <s v="High"/>
    <n v="3"/>
    <d v="2022-08-01T00:00:00"/>
    <s v="13–24 months"/>
    <s v="2–3 tickets"/>
    <s v="21–30 min"/>
    <s v="1000+"/>
    <n v="29578"/>
    <n v="-64.299999999999272"/>
  </r>
  <r>
    <n v="10076"/>
    <n v="32"/>
    <s v="Female"/>
    <s v="Pune"/>
    <d v="2022-10-15T00:00:00"/>
    <d v="2021-12-21T00:00:00"/>
    <x v="1"/>
    <n v="1016"/>
    <x v="4"/>
    <n v="1"/>
    <n v="67.11"/>
    <n v="5"/>
    <x v="0"/>
    <x v="1"/>
    <n v="1981.2"/>
    <b v="0"/>
    <n v="0.16666666666666666"/>
    <n v="990.6"/>
    <n v="33.555"/>
    <d v="2022-10-01T00:00:00"/>
    <s v="Adult"/>
    <n v="0"/>
    <s v="No"/>
    <m/>
    <s v="High"/>
    <s v="Low"/>
    <n v="0.33333333333333331"/>
    <s v="Low"/>
    <n v="3"/>
    <d v="2022-10-01T00:00:00"/>
    <s v="0–6 months"/>
    <s v="0–1 tickets"/>
    <s v="46+ min"/>
    <s v="1000+"/>
    <n v="2032"/>
    <n v="-50.799999999999955"/>
  </r>
  <r>
    <n v="10077"/>
    <n v="25"/>
    <s v="Male"/>
    <s v="Hyderabad"/>
    <d v="2022-12-26T00:00:00"/>
    <d v="2022-06-17T00:00:00"/>
    <x v="0"/>
    <n v="552"/>
    <x v="20"/>
    <n v="1"/>
    <n v="14.27"/>
    <n v="0"/>
    <x v="0"/>
    <x v="1"/>
    <n v="3312"/>
    <b v="0"/>
    <n v="0.5"/>
    <n v="552"/>
    <n v="7.1349999999999998"/>
    <d v="2022-12-01T00:00:00"/>
    <s v="Young"/>
    <n v="0"/>
    <s v="No"/>
    <m/>
    <s v="Low"/>
    <s v="Low"/>
    <n v="0.14285714285714285"/>
    <s v="Low"/>
    <n v="1"/>
    <d v="2022-12-01T00:00:00"/>
    <s v="0–6 months"/>
    <s v="0–1 tickets"/>
    <s v="11–20 min"/>
    <s v="501–700"/>
    <n v="3312"/>
    <n v="0"/>
  </r>
  <r>
    <n v="10078"/>
    <n v="31"/>
    <s v="Male"/>
    <s v="Delhi"/>
    <d v="2021-08-21T00:00:00"/>
    <d v="2023-01-22T00:00:00"/>
    <x v="0"/>
    <n v="337"/>
    <x v="5"/>
    <n v="1"/>
    <n v="93.18"/>
    <n v="0"/>
    <x v="0"/>
    <x v="1"/>
    <n v="9773"/>
    <b v="1"/>
    <n v="2.4166666666666665"/>
    <n v="337"/>
    <n v="46.59"/>
    <d v="2021-08-01T00:00:00"/>
    <s v="Adult"/>
    <n v="0"/>
    <s v="No"/>
    <n v="519"/>
    <s v="High"/>
    <s v="Low"/>
    <n v="3.3333333333333333E-2"/>
    <s v="Medium"/>
    <n v="1"/>
    <d v="2021-08-01T00:00:00"/>
    <s v="25+ months"/>
    <s v="0–1 tickets"/>
    <s v="46+ min"/>
    <s v="301–500"/>
    <n v="9773"/>
    <n v="0"/>
  </r>
  <r>
    <n v="10079"/>
    <n v="40"/>
    <s v="Female"/>
    <s v="Bangalore"/>
    <d v="2022-01-29T00:00:00"/>
    <d v="2022-09-19T00:00:00"/>
    <x v="0"/>
    <n v="1366"/>
    <x v="26"/>
    <n v="0"/>
    <n v="72.27"/>
    <n v="5"/>
    <x v="2"/>
    <x v="1"/>
    <n v="36813.699999999997"/>
    <b v="1"/>
    <n v="2.25"/>
    <n v="1363.4703703703703"/>
    <n v="72.27"/>
    <d v="2022-01-01T00:00:00"/>
    <s v="Middle-aged"/>
    <n v="0"/>
    <s v="Yes"/>
    <n v="233"/>
    <s v="High"/>
    <s v="Low"/>
    <n v="0"/>
    <s v="High"/>
    <n v="1"/>
    <d v="2022-01-01T00:00:00"/>
    <s v="25+ months"/>
    <s v="0–1 tickets"/>
    <s v="46+ min"/>
    <s v="1000+"/>
    <n v="36882"/>
    <n v="-68.30000000000291"/>
  </r>
  <r>
    <n v="10080"/>
    <n v="57"/>
    <s v="Male"/>
    <s v="Chennai"/>
    <d v="2022-05-16T00:00:00"/>
    <d v="2022-12-25T00:00:00"/>
    <x v="2"/>
    <n v="928"/>
    <x v="22"/>
    <n v="2"/>
    <n v="14.91"/>
    <n v="10"/>
    <x v="0"/>
    <x v="1"/>
    <n v="31412.799999999999"/>
    <b v="1"/>
    <n v="2.8333333333333335"/>
    <n v="923.90588235294115"/>
    <n v="4.97"/>
    <d v="2022-05-01T00:00:00"/>
    <s v="Older"/>
    <n v="0"/>
    <s v="Yes"/>
    <n v="223"/>
    <s v="Low"/>
    <s v="Low"/>
    <n v="5.7142857142857141E-2"/>
    <s v="High"/>
    <n v="2"/>
    <d v="2022-05-01T00:00:00"/>
    <s v="25+ months"/>
    <s v="2–3 tickets"/>
    <s v="11–20 min"/>
    <s v="701–1000"/>
    <n v="31552"/>
    <n v="-139.20000000000073"/>
  </r>
  <r>
    <n v="10081"/>
    <n v="38"/>
    <s v="Female"/>
    <s v="Pune"/>
    <d v="2022-11-26T00:00:00"/>
    <d v="2023-07-23T00:00:00"/>
    <x v="0"/>
    <n v="1286"/>
    <x v="10"/>
    <n v="2"/>
    <n v="102.59"/>
    <n v="15"/>
    <x v="1"/>
    <x v="0"/>
    <n v="22955.1"/>
    <b v="1"/>
    <n v="1.5"/>
    <n v="1275.2833333333333"/>
    <n v="34.196666666666665"/>
    <d v="2022-11-01T00:00:00"/>
    <s v="Middle-aged"/>
    <n v="1"/>
    <s v="Yes"/>
    <n v="239"/>
    <s v="High"/>
    <s v="Low"/>
    <n v="0.10526315789473684"/>
    <s v="High"/>
    <n v="1"/>
    <d v="2022-11-01T00:00:00"/>
    <s v="13–24 months"/>
    <s v="2–3 tickets"/>
    <s v="46+ min"/>
    <s v="1000+"/>
    <n v="23148"/>
    <n v="-192.90000000000146"/>
  </r>
  <r>
    <n v="10082"/>
    <n v="33"/>
    <s v="Female"/>
    <s v="Pune"/>
    <d v="2021-09-08T00:00:00"/>
    <d v="2023-01-27T00:00:00"/>
    <x v="2"/>
    <n v="345"/>
    <x v="32"/>
    <n v="1"/>
    <n v="67.91"/>
    <n v="15"/>
    <x v="0"/>
    <x v="0"/>
    <n v="3398.25"/>
    <b v="1"/>
    <n v="0.83333333333333337"/>
    <n v="339.82499999999999"/>
    <n v="33.954999999999998"/>
    <d v="2021-09-01T00:00:00"/>
    <s v="Adult"/>
    <n v="1"/>
    <s v="No"/>
    <n v="506"/>
    <s v="High"/>
    <s v="Low"/>
    <n v="9.0909090909090912E-2"/>
    <s v="Low"/>
    <n v="2"/>
    <d v="2021-09-01T00:00:00"/>
    <s v="7–12 months"/>
    <s v="0–1 tickets"/>
    <s v="46+ min"/>
    <s v="301–500"/>
    <n v="3450"/>
    <n v="-51.75"/>
  </r>
  <r>
    <n v="10083"/>
    <n v="62"/>
    <s v="Female"/>
    <s v="Delhi"/>
    <d v="2022-06-05T00:00:00"/>
    <d v="2023-08-28T00:00:00"/>
    <x v="2"/>
    <n v="604"/>
    <x v="18"/>
    <n v="2"/>
    <n v="110.98"/>
    <n v="15"/>
    <x v="2"/>
    <x v="1"/>
    <n v="10177.4"/>
    <b v="1"/>
    <n v="1.4166666666666667"/>
    <n v="598.67058823529408"/>
    <n v="36.993333333333332"/>
    <d v="2022-06-01T00:00:00"/>
    <s v="Older"/>
    <n v="0"/>
    <s v="No"/>
    <n v="449"/>
    <s v="High"/>
    <s v="Low"/>
    <n v="0.1111111111111111"/>
    <s v="Medium"/>
    <n v="2"/>
    <d v="2022-06-01T00:00:00"/>
    <s v="13–24 months"/>
    <s v="2–3 tickets"/>
    <s v="46+ min"/>
    <s v="501–700"/>
    <n v="10268"/>
    <n v="-90.600000000000364"/>
  </r>
  <r>
    <n v="10084"/>
    <n v="35"/>
    <s v="Male"/>
    <s v="Pune"/>
    <d v="2021-03-20T00:00:00"/>
    <d v="2022-11-21T00:00:00"/>
    <x v="1"/>
    <n v="532"/>
    <x v="19"/>
    <n v="0"/>
    <n v="110.41"/>
    <n v="5"/>
    <x v="1"/>
    <x v="1"/>
    <n v="6889.4"/>
    <b v="1"/>
    <n v="1.0833333333333333"/>
    <n v="529.95384615384614"/>
    <n v="110.41"/>
    <d v="2021-03-01T00:00:00"/>
    <s v="Adult"/>
    <n v="0"/>
    <s v="No"/>
    <n v="611"/>
    <s v="High"/>
    <s v="Low"/>
    <n v="0"/>
    <s v="Low"/>
    <n v="3"/>
    <d v="2021-03-01T00:00:00"/>
    <s v="13–24 months"/>
    <s v="0–1 tickets"/>
    <s v="46+ min"/>
    <s v="501–700"/>
    <n v="6916"/>
    <n v="-26.600000000000364"/>
  </r>
  <r>
    <n v="10085"/>
    <n v="64"/>
    <s v="Male"/>
    <s v="Chennai"/>
    <d v="2021-02-21T00:00:00"/>
    <d v="2021-12-31T00:00:00"/>
    <x v="0"/>
    <n v="544"/>
    <x v="26"/>
    <n v="3"/>
    <n v="110.86"/>
    <n v="10"/>
    <x v="3"/>
    <x v="0"/>
    <n v="14633.6"/>
    <b v="1"/>
    <n v="2.25"/>
    <n v="541.98518518518517"/>
    <n v="27.715"/>
    <d v="2021-02-01T00:00:00"/>
    <s v="Older"/>
    <n v="1"/>
    <s v="Yes"/>
    <n v="313"/>
    <s v="High"/>
    <s v="Low"/>
    <n v="0.10714285714285714"/>
    <s v="Medium"/>
    <n v="1"/>
    <d v="2021-02-01T00:00:00"/>
    <s v="25+ months"/>
    <s v="2–3 tickets"/>
    <s v="46+ min"/>
    <s v="501–700"/>
    <n v="14688"/>
    <n v="-54.399999999999636"/>
  </r>
  <r>
    <n v="10086"/>
    <n v="41"/>
    <s v="Male"/>
    <s v="Bangalore"/>
    <d v="2023-06-17T00:00:00"/>
    <d v="2021-08-13T00:00:00"/>
    <x v="1"/>
    <n v="1059"/>
    <x v="4"/>
    <n v="2"/>
    <n v="13.95"/>
    <n v="20"/>
    <x v="0"/>
    <x v="1"/>
    <n v="1906.2"/>
    <b v="0"/>
    <n v="0.16666666666666666"/>
    <n v="953.1"/>
    <n v="4.6499999999999995"/>
    <d v="2023-06-01T00:00:00"/>
    <s v="Middle-aged"/>
    <n v="0"/>
    <s v="No"/>
    <m/>
    <s v="Low"/>
    <s v="Medium"/>
    <n v="0.66666666666666663"/>
    <s v="Low"/>
    <n v="3"/>
    <d v="2023-06-01T00:00:00"/>
    <s v="0–6 months"/>
    <s v="2–3 tickets"/>
    <s v="11–20 min"/>
    <s v="1000+"/>
    <n v="2118"/>
    <n v="-211.79999999999995"/>
  </r>
  <r>
    <n v="10087"/>
    <n v="43"/>
    <s v="Female"/>
    <s v="unknown"/>
    <d v="2023-02-20T00:00:00"/>
    <d v="2021-07-31T00:00:00"/>
    <x v="2"/>
    <n v="1138"/>
    <x v="22"/>
    <n v="1"/>
    <n v="18.91"/>
    <n v="20"/>
    <x v="0"/>
    <x v="1"/>
    <n v="38464.400000000001"/>
    <b v="0"/>
    <n v="2.8333333333333335"/>
    <n v="1131.3058823529411"/>
    <n v="9.4550000000000001"/>
    <d v="2023-02-01T00:00:00"/>
    <s v="Middle-aged"/>
    <n v="0"/>
    <s v="Yes"/>
    <m/>
    <s v="Low"/>
    <s v="Medium"/>
    <n v="2.8571428571428571E-2"/>
    <s v="High"/>
    <n v="2"/>
    <d v="2023-02-01T00:00:00"/>
    <s v="25+ months"/>
    <s v="0–1 tickets"/>
    <s v="11–20 min"/>
    <s v="1000+"/>
    <n v="38692"/>
    <n v="-227.59999999999854"/>
  </r>
  <r>
    <n v="10088"/>
    <n v="42"/>
    <s v="Male"/>
    <s v="Pune"/>
    <d v="2021-08-14T00:00:00"/>
    <d v="2023-04-29T00:00:00"/>
    <x v="0"/>
    <n v="457"/>
    <x v="27"/>
    <n v="3"/>
    <n v="62.59"/>
    <n v="20"/>
    <x v="3"/>
    <x v="1"/>
    <n v="14075.6"/>
    <b v="1"/>
    <n v="2.5833333333333335"/>
    <n v="454.05161290322582"/>
    <n v="15.647500000000001"/>
    <d v="2021-08-01T00:00:00"/>
    <s v="Middle-aged"/>
    <n v="0"/>
    <s v="Yes"/>
    <n v="623"/>
    <s v="High"/>
    <s v="Medium"/>
    <n v="9.375E-2"/>
    <s v="Medium"/>
    <n v="1"/>
    <d v="2021-08-01T00:00:00"/>
    <s v="25+ months"/>
    <s v="2–3 tickets"/>
    <s v="46+ min"/>
    <s v="301–500"/>
    <n v="14167"/>
    <n v="-91.399999999999636"/>
  </r>
  <r>
    <n v="10089"/>
    <n v="62"/>
    <s v="Female"/>
    <s v="Pune"/>
    <d v="2021-02-20T00:00:00"/>
    <d v="2022-11-25T00:00:00"/>
    <x v="0"/>
    <n v="1324"/>
    <x v="31"/>
    <n v="1"/>
    <n v="61.07"/>
    <n v="20"/>
    <x v="1"/>
    <x v="1"/>
    <n v="30187.200000000001"/>
    <b v="1"/>
    <n v="1.9166666666666667"/>
    <n v="1312.4869565217391"/>
    <n v="30.535"/>
    <d v="2021-02-01T00:00:00"/>
    <s v="Older"/>
    <n v="0"/>
    <s v="Yes"/>
    <n v="643"/>
    <s v="High"/>
    <s v="Medium"/>
    <n v="4.1666666666666664E-2"/>
    <s v="High"/>
    <n v="1"/>
    <d v="2021-02-01T00:00:00"/>
    <s v="13–24 months"/>
    <s v="0–1 tickets"/>
    <s v="46+ min"/>
    <s v="1000+"/>
    <n v="30452"/>
    <n v="-264.79999999999927"/>
  </r>
  <r>
    <n v="10090"/>
    <n v="58"/>
    <s v="Male"/>
    <s v="Chennai"/>
    <d v="2021-07-05T00:00:00"/>
    <d v="2022-01-05T00:00:00"/>
    <x v="0"/>
    <n v="516"/>
    <x v="16"/>
    <n v="2"/>
    <n v="32.39"/>
    <n v="5"/>
    <x v="0"/>
    <x v="1"/>
    <n v="3586.2"/>
    <b v="1"/>
    <n v="0.58333333333333337"/>
    <n v="512.31428571428569"/>
    <n v="10.796666666666667"/>
    <d v="2021-07-01T00:00:00"/>
    <s v="Older"/>
    <n v="0"/>
    <s v="No"/>
    <n v="184"/>
    <s v="Medium"/>
    <s v="Low"/>
    <n v="0.25"/>
    <s v="Low"/>
    <n v="1"/>
    <d v="2021-07-01T00:00:00"/>
    <s v="7–12 months"/>
    <s v="2–3 tickets"/>
    <s v="31–45 min"/>
    <s v="501–700"/>
    <n v="3612"/>
    <n v="-25.800000000000182"/>
  </r>
  <r>
    <n v="10091"/>
    <n v="46"/>
    <s v="Other"/>
    <s v="Hyderabad"/>
    <d v="2021-02-03T00:00:00"/>
    <d v="2021-06-12T00:00:00"/>
    <x v="0"/>
    <n v="1227"/>
    <x v="33"/>
    <n v="2"/>
    <n v="93.51"/>
    <n v="10"/>
    <x v="2"/>
    <x v="1"/>
    <n v="40368.300000000003"/>
    <b v="1"/>
    <n v="2.75"/>
    <n v="1223.2818181818184"/>
    <n v="31.17"/>
    <d v="2021-02-01T00:00:00"/>
    <s v="Middle-aged"/>
    <n v="0"/>
    <s v="Yes"/>
    <n v="129"/>
    <s v="High"/>
    <s v="Low"/>
    <n v="5.8823529411764705E-2"/>
    <s v="High"/>
    <n v="1"/>
    <d v="2021-02-01T00:00:00"/>
    <s v="25+ months"/>
    <s v="2–3 tickets"/>
    <s v="46+ min"/>
    <s v="1000+"/>
    <n v="40491"/>
    <n v="-122.69999999999709"/>
  </r>
  <r>
    <n v="10092"/>
    <n v="32"/>
    <s v="Male"/>
    <s v="Hyderabad"/>
    <d v="2023-03-14T00:00:00"/>
    <d v="2023-08-23T00:00:00"/>
    <x v="0"/>
    <n v="806"/>
    <x v="34"/>
    <n v="0"/>
    <n v="35.39"/>
    <n v="5"/>
    <x v="1"/>
    <x v="1"/>
    <n v="9631.7000000000007"/>
    <b v="1"/>
    <n v="1"/>
    <n v="802.64166666666677"/>
    <n v="35.39"/>
    <d v="2023-03-01T00:00:00"/>
    <s v="Adult"/>
    <n v="0"/>
    <s v="No"/>
    <n v="162"/>
    <s v="Medium"/>
    <s v="Low"/>
    <n v="0"/>
    <s v="Medium"/>
    <n v="1"/>
    <d v="2023-03-01T00:00:00"/>
    <s v="7–12 months"/>
    <s v="0–1 tickets"/>
    <s v="31–45 min"/>
    <s v="701–1000"/>
    <n v="9672"/>
    <n v="-40.299999999999272"/>
  </r>
  <r>
    <n v="10093"/>
    <n v="62"/>
    <s v="Male"/>
    <s v="Pune"/>
    <d v="2023-01-12T00:00:00"/>
    <d v="2022-07-20T00:00:00"/>
    <x v="2"/>
    <n v="1060"/>
    <x v="34"/>
    <n v="6"/>
    <n v="88.63"/>
    <n v="10"/>
    <x v="0"/>
    <x v="1"/>
    <n v="12614"/>
    <b v="0"/>
    <n v="1"/>
    <n v="1051.1666666666667"/>
    <n v="12.661428571428571"/>
    <d v="2023-01-01T00:00:00"/>
    <s v="Older"/>
    <n v="0"/>
    <s v="No"/>
    <m/>
    <s v="High"/>
    <s v="Low"/>
    <n v="0.46153846153846156"/>
    <s v="Medium"/>
    <n v="2"/>
    <d v="2023-01-01T00:00:00"/>
    <s v="7–12 months"/>
    <s v="6+ tickets"/>
    <s v="46+ min"/>
    <s v="1000+"/>
    <n v="12720"/>
    <n v="-106"/>
  </r>
  <r>
    <n v="10094"/>
    <n v="18"/>
    <s v="Male"/>
    <s v="Bangalore"/>
    <d v="2021-05-11T00:00:00"/>
    <d v="2021-07-02T00:00:00"/>
    <x v="0"/>
    <n v="1203"/>
    <x v="17"/>
    <n v="2"/>
    <n v="101.29"/>
    <n v="5"/>
    <x v="1"/>
    <x v="1"/>
    <n v="22796.85"/>
    <b v="1"/>
    <n v="1.5833333333333333"/>
    <n v="1199.8342105263157"/>
    <n v="33.763333333333335"/>
    <d v="2021-05-01T00:00:00"/>
    <s v="Young"/>
    <n v="0"/>
    <s v="Yes"/>
    <n v="52"/>
    <s v="High"/>
    <s v="Low"/>
    <n v="0.1"/>
    <s v="High"/>
    <n v="1"/>
    <d v="2021-05-01T00:00:00"/>
    <s v="13–24 months"/>
    <s v="2–3 tickets"/>
    <s v="46+ min"/>
    <s v="1000+"/>
    <n v="22857"/>
    <n v="-60.150000000001455"/>
  </r>
  <r>
    <n v="10095"/>
    <n v="42"/>
    <s v="Female"/>
    <s v="Delhi"/>
    <d v="2022-09-24T00:00:00"/>
    <d v="2021-11-07T00:00:00"/>
    <x v="1"/>
    <n v="880"/>
    <x v="9"/>
    <n v="0"/>
    <n v="95.19"/>
    <n v="0"/>
    <x v="0"/>
    <x v="0"/>
    <n v="7920"/>
    <b v="0"/>
    <n v="0.75"/>
    <n v="880"/>
    <n v="95.19"/>
    <d v="2022-09-01T00:00:00"/>
    <s v="Middle-aged"/>
    <n v="1"/>
    <s v="No"/>
    <m/>
    <s v="High"/>
    <s v="Low"/>
    <n v="0"/>
    <s v="Low"/>
    <n v="3"/>
    <d v="2022-09-01T00:00:00"/>
    <s v="7–12 months"/>
    <s v="0–1 tickets"/>
    <s v="46+ min"/>
    <s v="701–1000"/>
    <n v="7920"/>
    <n v="0"/>
  </r>
  <r>
    <n v="10096"/>
    <n v="24"/>
    <s v="Female"/>
    <s v="Pune"/>
    <d v="2022-03-19T00:00:00"/>
    <d v="2022-01-23T00:00:00"/>
    <x v="0"/>
    <n v="1353"/>
    <x v="32"/>
    <n v="3"/>
    <n v="36.520000000000003"/>
    <n v="10"/>
    <x v="3"/>
    <x v="1"/>
    <n v="13394.7"/>
    <b v="0"/>
    <n v="0.83333333333333337"/>
    <n v="1339.47"/>
    <n v="9.1300000000000008"/>
    <d v="2022-03-01T00:00:00"/>
    <s v="Young"/>
    <n v="0"/>
    <s v="No"/>
    <m/>
    <s v="Medium"/>
    <s v="Low"/>
    <n v="0.27272727272727271"/>
    <s v="Medium"/>
    <n v="1"/>
    <d v="2022-03-01T00:00:00"/>
    <s v="7–12 months"/>
    <s v="2–3 tickets"/>
    <s v="31–45 min"/>
    <s v="1000+"/>
    <n v="13530"/>
    <n v="-135.29999999999927"/>
  </r>
  <r>
    <n v="10097"/>
    <n v="26"/>
    <s v="Female"/>
    <s v="Mumbai"/>
    <d v="2023-04-18T00:00:00"/>
    <d v="2023-06-09T00:00:00"/>
    <x v="1"/>
    <n v="926"/>
    <x v="18"/>
    <n v="1"/>
    <n v="51.19"/>
    <n v="20"/>
    <x v="0"/>
    <x v="1"/>
    <n v="15556.8"/>
    <b v="1"/>
    <n v="1.4166666666666667"/>
    <n v="915.10588235294108"/>
    <n v="25.594999999999999"/>
    <d v="2023-04-01T00:00:00"/>
    <s v="Adult"/>
    <n v="0"/>
    <s v="Yes"/>
    <n v="52"/>
    <s v="Medium"/>
    <s v="Medium"/>
    <n v="5.5555555555555552E-2"/>
    <s v="Medium"/>
    <n v="3"/>
    <d v="2023-04-01T00:00:00"/>
    <s v="13–24 months"/>
    <s v="0–1 tickets"/>
    <s v="46+ min"/>
    <s v="701–1000"/>
    <n v="15742"/>
    <n v="-185.20000000000073"/>
  </r>
  <r>
    <n v="10098"/>
    <n v="41"/>
    <s v="Male"/>
    <s v="Delhi"/>
    <d v="2023-01-29T00:00:00"/>
    <d v="2021-11-28T00:00:00"/>
    <x v="0"/>
    <n v="819"/>
    <x v="32"/>
    <n v="1"/>
    <n v="52.52"/>
    <n v="10"/>
    <x v="1"/>
    <x v="1"/>
    <n v="8108.1"/>
    <b v="0"/>
    <n v="0.83333333333333337"/>
    <n v="810.81000000000006"/>
    <n v="26.26"/>
    <d v="2023-01-01T00:00:00"/>
    <s v="Middle-aged"/>
    <n v="0"/>
    <s v="No"/>
    <m/>
    <s v="Medium"/>
    <s v="Low"/>
    <n v="9.0909090909090912E-2"/>
    <s v="Low"/>
    <n v="1"/>
    <d v="2023-01-01T00:00:00"/>
    <s v="7–12 months"/>
    <s v="0–1 tickets"/>
    <s v="46+ min"/>
    <s v="701–1000"/>
    <n v="8190"/>
    <n v="-81.899999999999636"/>
  </r>
  <r>
    <n v="10099"/>
    <n v="18"/>
    <s v="Male"/>
    <s v="Hyderabad"/>
    <d v="2022-03-08T00:00:00"/>
    <d v="2023-09-07T00:00:00"/>
    <x v="2"/>
    <n v="574"/>
    <x v="34"/>
    <n v="2"/>
    <n v="61.5"/>
    <n v="15"/>
    <x v="0"/>
    <x v="1"/>
    <n v="6801.9"/>
    <b v="1"/>
    <n v="1"/>
    <n v="566.82499999999993"/>
    <n v="20.5"/>
    <d v="2022-03-01T00:00:00"/>
    <s v="Young"/>
    <n v="0"/>
    <s v="No"/>
    <n v="548"/>
    <s v="High"/>
    <s v="Low"/>
    <n v="0.15384615384615385"/>
    <s v="Low"/>
    <n v="2"/>
    <d v="2022-03-01T00:00:00"/>
    <s v="7–12 months"/>
    <s v="2–3 tickets"/>
    <s v="46+ min"/>
    <s v="501–700"/>
    <n v="6888"/>
    <n v="-86.100000000000364"/>
  </r>
  <r>
    <n v="10100"/>
    <n v="61"/>
    <s v="Female"/>
    <s v="Pune"/>
    <d v="2022-12-05T00:00:00"/>
    <d v="2022-12-10T00:00:00"/>
    <x v="0"/>
    <n v="791"/>
    <x v="15"/>
    <n v="2"/>
    <n v="24.25"/>
    <n v="10"/>
    <x v="0"/>
    <x v="1"/>
    <n v="11785.9"/>
    <b v="1"/>
    <n v="1.25"/>
    <n v="785.72666666666669"/>
    <n v="8.0833333333333339"/>
    <d v="2022-12-01T00:00:00"/>
    <s v="Older"/>
    <n v="0"/>
    <s v="No"/>
    <n v="5"/>
    <s v="Medium"/>
    <s v="Low"/>
    <n v="0.125"/>
    <s v="Medium"/>
    <n v="1"/>
    <d v="2022-12-01T00:00:00"/>
    <s v="13–24 months"/>
    <s v="2–3 tickets"/>
    <s v="21–30 min"/>
    <s v="701–1000"/>
    <n v="11865"/>
    <n v="-79.100000000000364"/>
  </r>
  <r>
    <n v="10101"/>
    <n v="25"/>
    <s v="Male"/>
    <s v="Chennai"/>
    <d v="2022-05-12T00:00:00"/>
    <d v="2022-05-07T00:00:00"/>
    <x v="0"/>
    <n v="1126"/>
    <x v="27"/>
    <n v="1"/>
    <n v="57.03"/>
    <n v="15"/>
    <x v="1"/>
    <x v="1"/>
    <n v="34737.1"/>
    <b v="0"/>
    <n v="2.5833333333333335"/>
    <n v="1120.5516129032258"/>
    <n v="28.515000000000001"/>
    <d v="2022-05-01T00:00:00"/>
    <s v="Young"/>
    <n v="0"/>
    <s v="Yes"/>
    <m/>
    <s v="Medium"/>
    <s v="Low"/>
    <n v="3.125E-2"/>
    <s v="High"/>
    <n v="1"/>
    <d v="2022-05-01T00:00:00"/>
    <s v="25+ months"/>
    <s v="0–1 tickets"/>
    <s v="46+ min"/>
    <s v="1000+"/>
    <n v="34906"/>
    <n v="-168.90000000000146"/>
  </r>
  <r>
    <n v="10102"/>
    <n v="41"/>
    <s v="Male"/>
    <s v="Mumbai"/>
    <d v="2022-02-07T00:00:00"/>
    <d v="2022-09-01T00:00:00"/>
    <x v="1"/>
    <n v="1250"/>
    <x v="15"/>
    <n v="3"/>
    <n v="63.74"/>
    <n v="15"/>
    <x v="0"/>
    <x v="1"/>
    <n v="18562.5"/>
    <b v="1"/>
    <n v="1.25"/>
    <n v="1237.5"/>
    <n v="15.935"/>
    <d v="2022-02-01T00:00:00"/>
    <s v="Middle-aged"/>
    <n v="0"/>
    <s v="Yes"/>
    <n v="206"/>
    <s v="High"/>
    <s v="Low"/>
    <n v="0.1875"/>
    <s v="Medium"/>
    <n v="3"/>
    <d v="2022-02-01T00:00:00"/>
    <s v="13–24 months"/>
    <s v="2–3 tickets"/>
    <s v="46+ min"/>
    <s v="1000+"/>
    <n v="18750"/>
    <n v="-187.5"/>
  </r>
  <r>
    <n v="10103"/>
    <n v="28"/>
    <s v="Other"/>
    <s v="Pune"/>
    <d v="2021-11-19T00:00:00"/>
    <d v="2021-08-19T00:00:00"/>
    <x v="0"/>
    <n v="1225"/>
    <x v="29"/>
    <n v="0"/>
    <n v="66.150000000000006"/>
    <n v="0"/>
    <x v="0"/>
    <x v="1"/>
    <n v="34300"/>
    <b v="0"/>
    <n v="2.3333333333333335"/>
    <n v="1225"/>
    <n v="66.150000000000006"/>
    <d v="2021-11-01T00:00:00"/>
    <s v="Adult"/>
    <n v="0"/>
    <s v="Yes"/>
    <m/>
    <s v="High"/>
    <s v="Low"/>
    <n v="0"/>
    <s v="High"/>
    <n v="1"/>
    <d v="2021-11-01T00:00:00"/>
    <s v="25+ months"/>
    <s v="0–1 tickets"/>
    <s v="46+ min"/>
    <s v="1000+"/>
    <n v="34300"/>
    <n v="0"/>
  </r>
  <r>
    <n v="10104"/>
    <n v="34"/>
    <s v="Other"/>
    <s v="Bangalore"/>
    <d v="2021-07-29T00:00:00"/>
    <d v="2023-03-09T00:00:00"/>
    <x v="2"/>
    <n v="1146"/>
    <x v="2"/>
    <n v="4"/>
    <n v="99.29"/>
    <n v="10"/>
    <x v="1"/>
    <x v="0"/>
    <n v="4469.3999999999996"/>
    <b v="1"/>
    <n v="0.33333333333333331"/>
    <n v="1117.3499999999999"/>
    <n v="19.858000000000001"/>
    <d v="2021-07-01T00:00:00"/>
    <s v="Adult"/>
    <n v="1"/>
    <s v="No"/>
    <n v="588"/>
    <s v="High"/>
    <s v="Low"/>
    <n v="0.8"/>
    <s v="Low"/>
    <n v="2"/>
    <d v="2021-07-01T00:00:00"/>
    <s v="0–6 months"/>
    <s v="4–5 tickets"/>
    <s v="46+ min"/>
    <s v="1000+"/>
    <n v="4584"/>
    <n v="-114.60000000000036"/>
  </r>
  <r>
    <n v="10105"/>
    <n v="25"/>
    <s v="Female"/>
    <s v="Mumbai"/>
    <d v="2022-09-07T00:00:00"/>
    <d v="2023-07-12T00:00:00"/>
    <x v="2"/>
    <n v="1359"/>
    <x v="7"/>
    <n v="0"/>
    <n v="64.489999999999995"/>
    <n v="0"/>
    <x v="3"/>
    <x v="1"/>
    <n v="1359"/>
    <b v="1"/>
    <n v="8.3333333333333329E-2"/>
    <n v="1359"/>
    <n v="64.489999999999995"/>
    <d v="2022-09-01T00:00:00"/>
    <s v="Young"/>
    <n v="0"/>
    <s v="No"/>
    <n v="308"/>
    <s v="High"/>
    <s v="Low"/>
    <n v="0"/>
    <s v="Low"/>
    <n v="2"/>
    <d v="2022-09-01T00:00:00"/>
    <s v="0–6 months"/>
    <s v="0–1 tickets"/>
    <s v="46+ min"/>
    <s v="1000+"/>
    <n v="1359"/>
    <n v="0"/>
  </r>
  <r>
    <n v="10106"/>
    <n v="52"/>
    <s v="Female"/>
    <s v="Pune"/>
    <d v="2021-11-25T00:00:00"/>
    <d v="2023-08-29T00:00:00"/>
    <x v="2"/>
    <n v="1367"/>
    <x v="22"/>
    <n v="4"/>
    <n v="31.54"/>
    <n v="20"/>
    <x v="2"/>
    <x v="1"/>
    <n v="46204.6"/>
    <b v="1"/>
    <n v="2.8333333333333335"/>
    <n v="1358.9588235294118"/>
    <n v="6.3079999999999998"/>
    <d v="2021-11-01T00:00:00"/>
    <s v="Older"/>
    <n v="0"/>
    <s v="Yes"/>
    <n v="642"/>
    <s v="Medium"/>
    <s v="Medium"/>
    <n v="0.11428571428571428"/>
    <s v="High"/>
    <n v="2"/>
    <d v="2021-11-01T00:00:00"/>
    <s v="25+ months"/>
    <s v="4–5 tickets"/>
    <s v="31–45 min"/>
    <s v="1000+"/>
    <n v="46478"/>
    <n v="-273.40000000000146"/>
  </r>
  <r>
    <n v="10107"/>
    <n v="52"/>
    <s v="Male"/>
    <s v="Bangalore"/>
    <d v="2022-01-07T00:00:00"/>
    <d v="2023-06-29T00:00:00"/>
    <x v="2"/>
    <n v="1478"/>
    <x v="18"/>
    <n v="0"/>
    <n v="81.260000000000005"/>
    <n v="10"/>
    <x v="2"/>
    <x v="1"/>
    <n v="24978.2"/>
    <b v="1"/>
    <n v="1.4166666666666667"/>
    <n v="1469.3058823529411"/>
    <n v="81.260000000000005"/>
    <d v="2022-01-01T00:00:00"/>
    <s v="Older"/>
    <n v="0"/>
    <s v="Yes"/>
    <n v="538"/>
    <s v="High"/>
    <s v="Low"/>
    <n v="0"/>
    <s v="High"/>
    <n v="2"/>
    <d v="2022-01-01T00:00:00"/>
    <s v="13–24 months"/>
    <s v="0–1 tickets"/>
    <s v="46+ min"/>
    <s v="1000+"/>
    <n v="25126"/>
    <n v="-147.79999999999927"/>
  </r>
  <r>
    <n v="10108"/>
    <n v="50"/>
    <s v="Male"/>
    <s v="Mumbai"/>
    <d v="2022-04-05T00:00:00"/>
    <d v="2022-09-16T00:00:00"/>
    <x v="2"/>
    <n v="1400"/>
    <x v="33"/>
    <n v="0"/>
    <n v="96.69"/>
    <n v="5"/>
    <x v="2"/>
    <x v="1"/>
    <n v="46130"/>
    <b v="1"/>
    <n v="2.75"/>
    <n v="1397.878787878788"/>
    <n v="96.69"/>
    <d v="2022-04-01T00:00:00"/>
    <s v="Middle-aged"/>
    <n v="0"/>
    <s v="Yes"/>
    <n v="164"/>
    <s v="High"/>
    <s v="Low"/>
    <n v="0"/>
    <s v="High"/>
    <n v="2"/>
    <d v="2022-04-01T00:00:00"/>
    <s v="25+ months"/>
    <s v="0–1 tickets"/>
    <s v="46+ min"/>
    <s v="1000+"/>
    <n v="46200"/>
    <n v="-70"/>
  </r>
  <r>
    <n v="10109"/>
    <n v="22"/>
    <s v="Female"/>
    <s v="Bangalore"/>
    <d v="2021-05-13T00:00:00"/>
    <d v="2023-04-02T00:00:00"/>
    <x v="0"/>
    <n v="338"/>
    <x v="6"/>
    <n v="1"/>
    <n v="41.73"/>
    <n v="5"/>
    <x v="2"/>
    <x v="0"/>
    <n v="7081.1"/>
    <b v="1"/>
    <n v="1.75"/>
    <n v="337.1952380952381"/>
    <n v="20.864999999999998"/>
    <d v="2021-05-01T00:00:00"/>
    <s v="Young"/>
    <n v="1"/>
    <s v="No"/>
    <n v="689"/>
    <s v="Medium"/>
    <s v="Low"/>
    <n v="4.5454545454545456E-2"/>
    <s v="Low"/>
    <n v="1"/>
    <d v="2021-05-01T00:00:00"/>
    <s v="13–24 months"/>
    <s v="0–1 tickets"/>
    <s v="31–45 min"/>
    <s v="301–500"/>
    <n v="7098"/>
    <n v="-16.899999999999636"/>
  </r>
  <r>
    <n v="10110"/>
    <n v="59"/>
    <s v="Female"/>
    <s v="Bangalore"/>
    <d v="2023-04-15T00:00:00"/>
    <d v="2023-05-16T00:00:00"/>
    <x v="2"/>
    <n v="538"/>
    <x v="8"/>
    <n v="2"/>
    <n v="79.209999999999994"/>
    <n v="5"/>
    <x v="2"/>
    <x v="1"/>
    <n v="13961.1"/>
    <b v="1"/>
    <n v="2.1666666666666665"/>
    <n v="536.96538461538466"/>
    <n v="26.403333333333332"/>
    <d v="2023-04-01T00:00:00"/>
    <s v="Older"/>
    <n v="0"/>
    <s v="Yes"/>
    <n v="31"/>
    <s v="High"/>
    <s v="Low"/>
    <n v="7.407407407407407E-2"/>
    <s v="Medium"/>
    <n v="2"/>
    <d v="2023-04-01T00:00:00"/>
    <s v="25+ months"/>
    <s v="2–3 tickets"/>
    <s v="46+ min"/>
    <s v="501–700"/>
    <n v="13988"/>
    <n v="-26.899999999999636"/>
  </r>
  <r>
    <n v="10111"/>
    <n v="56"/>
    <s v="Male"/>
    <s v="Mumbai"/>
    <d v="2022-10-13T00:00:00"/>
    <d v="2021-09-20T00:00:00"/>
    <x v="1"/>
    <n v="1336"/>
    <x v="21"/>
    <n v="2"/>
    <n v="21.9"/>
    <n v="15"/>
    <x v="2"/>
    <x v="1"/>
    <n v="6479.6"/>
    <b v="0"/>
    <n v="0.41666666666666669"/>
    <n v="1295.92"/>
    <n v="7.3"/>
    <d v="2022-10-01T00:00:00"/>
    <s v="Older"/>
    <n v="0"/>
    <s v="No"/>
    <m/>
    <s v="Medium"/>
    <s v="Low"/>
    <n v="0.33333333333333331"/>
    <s v="Low"/>
    <n v="3"/>
    <d v="2022-10-01T00:00:00"/>
    <s v="0–6 months"/>
    <s v="2–3 tickets"/>
    <s v="21–30 min"/>
    <s v="1000+"/>
    <n v="6680"/>
    <n v="-200.39999999999964"/>
  </r>
  <r>
    <n v="10112"/>
    <n v="58"/>
    <s v="Male"/>
    <s v="Mumbai"/>
    <d v="2021-05-01T00:00:00"/>
    <d v="2022-03-19T00:00:00"/>
    <x v="0"/>
    <n v="421"/>
    <x v="33"/>
    <n v="3"/>
    <n v="44.32"/>
    <n v="5"/>
    <x v="1"/>
    <x v="0"/>
    <n v="13871.95"/>
    <b v="1"/>
    <n v="2.75"/>
    <n v="420.36212121212122"/>
    <n v="11.08"/>
    <d v="2021-05-01T00:00:00"/>
    <s v="Older"/>
    <n v="1"/>
    <s v="Yes"/>
    <n v="322"/>
    <s v="Medium"/>
    <s v="Low"/>
    <n v="8.8235294117647065E-2"/>
    <s v="Medium"/>
    <n v="1"/>
    <d v="2021-05-01T00:00:00"/>
    <s v="25+ months"/>
    <s v="2–3 tickets"/>
    <s v="31–45 min"/>
    <s v="301–500"/>
    <n v="13893"/>
    <n v="-21.049999999999272"/>
  </r>
  <r>
    <n v="10113"/>
    <n v="45"/>
    <s v="Male"/>
    <s v="Bangalore"/>
    <d v="2022-08-29T00:00:00"/>
    <d v="2023-08-31T00:00:00"/>
    <x v="0"/>
    <n v="443"/>
    <x v="7"/>
    <n v="3"/>
    <n v="109.56"/>
    <n v="20"/>
    <x v="1"/>
    <x v="0"/>
    <n v="354.4"/>
    <b v="1"/>
    <n v="8.3333333333333329E-2"/>
    <n v="354.4"/>
    <n v="27.39"/>
    <d v="2022-08-01T00:00:00"/>
    <s v="Middle-aged"/>
    <n v="1"/>
    <s v="No"/>
    <n v="367"/>
    <s v="High"/>
    <s v="Medium"/>
    <n v="1.5"/>
    <s v="Low"/>
    <n v="1"/>
    <d v="2022-08-01T00:00:00"/>
    <s v="0–6 months"/>
    <s v="2–3 tickets"/>
    <s v="46+ min"/>
    <s v="301–500"/>
    <n v="443"/>
    <n v="-88.600000000000023"/>
  </r>
  <r>
    <n v="10114"/>
    <n v="24"/>
    <s v="Female"/>
    <s v="Hyderabad"/>
    <d v="2022-03-28T00:00:00"/>
    <d v="2023-02-21T00:00:00"/>
    <x v="2"/>
    <n v="983"/>
    <x v="20"/>
    <n v="3"/>
    <n v="109.8"/>
    <n v="10"/>
    <x v="1"/>
    <x v="1"/>
    <n v="5799.7"/>
    <b v="1"/>
    <n v="0.5"/>
    <n v="966.61666666666667"/>
    <n v="27.45"/>
    <d v="2022-03-01T00:00:00"/>
    <s v="Young"/>
    <n v="0"/>
    <s v="No"/>
    <n v="330"/>
    <s v="High"/>
    <s v="Low"/>
    <n v="0.42857142857142855"/>
    <s v="Low"/>
    <n v="2"/>
    <d v="2022-03-01T00:00:00"/>
    <s v="0–6 months"/>
    <s v="2–3 tickets"/>
    <s v="46+ min"/>
    <s v="701–1000"/>
    <n v="5898"/>
    <n v="-98.300000000000182"/>
  </r>
  <r>
    <n v="10115"/>
    <n v="26"/>
    <s v="Female"/>
    <s v="Mumbai"/>
    <d v="2021-05-09T00:00:00"/>
    <d v="2022-06-18T00:00:00"/>
    <x v="0"/>
    <n v="754"/>
    <x v="4"/>
    <n v="0"/>
    <n v="71.16"/>
    <n v="10"/>
    <x v="0"/>
    <x v="1"/>
    <n v="1432.6"/>
    <b v="1"/>
    <n v="0.16666666666666666"/>
    <n v="716.3"/>
    <n v="71.16"/>
    <d v="2021-05-01T00:00:00"/>
    <s v="Adult"/>
    <n v="0"/>
    <s v="No"/>
    <n v="405"/>
    <s v="High"/>
    <s v="Low"/>
    <n v="0"/>
    <s v="Low"/>
    <n v="1"/>
    <d v="2021-05-01T00:00:00"/>
    <s v="0–6 months"/>
    <s v="0–1 tickets"/>
    <s v="46+ min"/>
    <s v="701–1000"/>
    <n v="1508"/>
    <n v="-75.400000000000091"/>
  </r>
  <r>
    <n v="10116"/>
    <n v="25"/>
    <s v="Female"/>
    <s v="Pune"/>
    <d v="2021-04-01T00:00:00"/>
    <d v="2021-06-17T00:00:00"/>
    <x v="0"/>
    <n v="667"/>
    <x v="21"/>
    <n v="1"/>
    <n v="85.77"/>
    <n v="15"/>
    <x v="3"/>
    <x v="1"/>
    <n v="3234.95"/>
    <b v="1"/>
    <n v="0.41666666666666669"/>
    <n v="646.99"/>
    <n v="42.884999999999998"/>
    <d v="2021-04-01T00:00:00"/>
    <s v="Young"/>
    <n v="0"/>
    <s v="No"/>
    <n v="77"/>
    <s v="High"/>
    <s v="Low"/>
    <n v="0.16666666666666666"/>
    <s v="Low"/>
    <n v="1"/>
    <d v="2021-04-01T00:00:00"/>
    <s v="0–6 months"/>
    <s v="0–1 tickets"/>
    <s v="46+ min"/>
    <s v="501–700"/>
    <n v="3335"/>
    <n v="-100.05000000000018"/>
  </r>
  <r>
    <n v="10117"/>
    <n v="29"/>
    <s v="Male"/>
    <s v="Delhi"/>
    <d v="2022-08-27T00:00:00"/>
    <d v="2022-10-06T00:00:00"/>
    <x v="0"/>
    <n v="1058"/>
    <x v="8"/>
    <n v="1"/>
    <n v="103.21"/>
    <n v="15"/>
    <x v="3"/>
    <x v="1"/>
    <n v="27349.3"/>
    <b v="1"/>
    <n v="2.1666666666666665"/>
    <n v="1051.8961538461538"/>
    <n v="51.604999999999997"/>
    <d v="2022-08-01T00:00:00"/>
    <s v="Adult"/>
    <n v="0"/>
    <s v="Yes"/>
    <n v="40"/>
    <s v="High"/>
    <s v="Low"/>
    <n v="3.7037037037037035E-2"/>
    <s v="High"/>
    <n v="1"/>
    <d v="2022-08-01T00:00:00"/>
    <s v="25+ months"/>
    <s v="0–1 tickets"/>
    <s v="46+ min"/>
    <s v="1000+"/>
    <n v="27508"/>
    <n v="-158.70000000000073"/>
  </r>
  <r>
    <n v="10118"/>
    <n v="51"/>
    <s v="Other"/>
    <s v="Chennai"/>
    <d v="2022-07-29T00:00:00"/>
    <d v="2022-04-27T00:00:00"/>
    <x v="2"/>
    <n v="546"/>
    <x v="19"/>
    <n v="1"/>
    <n v="115.23"/>
    <n v="10"/>
    <x v="2"/>
    <x v="1"/>
    <n v="7016.1"/>
    <b v="0"/>
    <n v="1.0833333333333333"/>
    <n v="539.70000000000005"/>
    <n v="57.615000000000002"/>
    <d v="2022-07-01T00:00:00"/>
    <s v="Older"/>
    <n v="0"/>
    <s v="No"/>
    <m/>
    <s v="High"/>
    <s v="Low"/>
    <n v="7.1428571428571425E-2"/>
    <s v="Low"/>
    <n v="2"/>
    <d v="2022-07-01T00:00:00"/>
    <s v="13–24 months"/>
    <s v="0–1 tickets"/>
    <s v="46+ min"/>
    <s v="501–700"/>
    <n v="7098"/>
    <n v="-81.899999999999636"/>
  </r>
  <r>
    <n v="10119"/>
    <n v="50"/>
    <s v="Female"/>
    <s v="Bangalore"/>
    <d v="2021-01-29T00:00:00"/>
    <d v="2023-06-09T00:00:00"/>
    <x v="0"/>
    <n v="1222"/>
    <x v="34"/>
    <n v="1"/>
    <n v="61.34"/>
    <n v="20"/>
    <x v="2"/>
    <x v="1"/>
    <n v="14419.6"/>
    <b v="1"/>
    <n v="1"/>
    <n v="1201.6333333333334"/>
    <n v="30.67"/>
    <d v="2021-01-01T00:00:00"/>
    <s v="Middle-aged"/>
    <n v="0"/>
    <s v="Yes"/>
    <n v="861"/>
    <s v="High"/>
    <s v="Medium"/>
    <n v="7.6923076923076927E-2"/>
    <s v="Medium"/>
    <n v="1"/>
    <d v="2021-01-01T00:00:00"/>
    <s v="7–12 months"/>
    <s v="0–1 tickets"/>
    <s v="46+ min"/>
    <s v="1000+"/>
    <n v="14664"/>
    <n v="-244.39999999999964"/>
  </r>
  <r>
    <n v="10120"/>
    <n v="40"/>
    <s v="Male"/>
    <s v="Bangalore"/>
    <d v="2022-12-23T00:00:00"/>
    <d v="2023-10-21T00:00:00"/>
    <x v="2"/>
    <n v="1368"/>
    <x v="21"/>
    <n v="1"/>
    <n v="69.58"/>
    <n v="10"/>
    <x v="1"/>
    <x v="1"/>
    <n v="6703.2"/>
    <b v="1"/>
    <n v="0.41666666666666669"/>
    <n v="1340.6399999999999"/>
    <n v="34.79"/>
    <d v="2022-12-01T00:00:00"/>
    <s v="Middle-aged"/>
    <n v="0"/>
    <s v="No"/>
    <n v="302"/>
    <s v="High"/>
    <s v="Low"/>
    <n v="0.16666666666666666"/>
    <s v="Low"/>
    <n v="2"/>
    <d v="2022-12-01T00:00:00"/>
    <s v="0–6 months"/>
    <s v="0–1 tickets"/>
    <s v="46+ min"/>
    <s v="1000+"/>
    <n v="6840"/>
    <n v="-136.80000000000018"/>
  </r>
  <r>
    <n v="10121"/>
    <n v="41"/>
    <s v="Male"/>
    <s v="Chennai"/>
    <d v="2022-06-08T00:00:00"/>
    <d v="2022-09-29T00:00:00"/>
    <x v="2"/>
    <n v="1064"/>
    <x v="4"/>
    <n v="3"/>
    <n v="52.8"/>
    <n v="0"/>
    <x v="3"/>
    <x v="1"/>
    <n v="2128"/>
    <b v="1"/>
    <n v="0.16666666666666666"/>
    <n v="1064"/>
    <n v="13.2"/>
    <d v="2022-06-01T00:00:00"/>
    <s v="Middle-aged"/>
    <n v="0"/>
    <s v="No"/>
    <n v="113"/>
    <s v="Medium"/>
    <s v="Low"/>
    <n v="1"/>
    <s v="Low"/>
    <n v="2"/>
    <d v="2022-06-01T00:00:00"/>
    <s v="0–6 months"/>
    <s v="2–3 tickets"/>
    <s v="46+ min"/>
    <s v="1000+"/>
    <n v="2128"/>
    <n v="0"/>
  </r>
  <r>
    <n v="10122"/>
    <n v="54"/>
    <s v="Male"/>
    <s v="Hyderabad"/>
    <d v="2021-11-29T00:00:00"/>
    <d v="2022-07-11T00:00:00"/>
    <x v="0"/>
    <n v="674"/>
    <x v="2"/>
    <n v="2"/>
    <n v="13.28"/>
    <n v="15"/>
    <x v="0"/>
    <x v="1"/>
    <n v="2594.9"/>
    <b v="1"/>
    <n v="0.33333333333333331"/>
    <n v="648.72500000000002"/>
    <n v="4.4266666666666667"/>
    <d v="2021-11-01T00:00:00"/>
    <s v="Older"/>
    <n v="0"/>
    <s v="No"/>
    <n v="224"/>
    <s v="Low"/>
    <s v="Low"/>
    <n v="0.4"/>
    <s v="Low"/>
    <n v="1"/>
    <d v="2021-11-01T00:00:00"/>
    <s v="0–6 months"/>
    <s v="2–3 tickets"/>
    <s v="11–20 min"/>
    <s v="501–700"/>
    <n v="2696"/>
    <n v="-101.09999999999991"/>
  </r>
  <r>
    <n v="10123"/>
    <n v="41"/>
    <s v="Male"/>
    <s v="Chennai"/>
    <d v="2021-10-24T00:00:00"/>
    <d v="2021-09-25T00:00:00"/>
    <x v="2"/>
    <n v="506"/>
    <x v="26"/>
    <n v="5"/>
    <n v="53.62"/>
    <n v="5"/>
    <x v="0"/>
    <x v="1"/>
    <n v="13636.7"/>
    <b v="0"/>
    <n v="2.25"/>
    <n v="505.06296296296301"/>
    <n v="8.9366666666666656"/>
    <d v="2021-10-01T00:00:00"/>
    <s v="Middle-aged"/>
    <n v="0"/>
    <s v="Yes"/>
    <m/>
    <s v="Medium"/>
    <s v="Low"/>
    <n v="0.17857142857142858"/>
    <s v="Medium"/>
    <n v="2"/>
    <d v="2021-10-01T00:00:00"/>
    <s v="25+ months"/>
    <s v="4–5 tickets"/>
    <s v="46+ min"/>
    <s v="501–700"/>
    <n v="13662"/>
    <n v="-25.299999999999272"/>
  </r>
  <r>
    <n v="10124"/>
    <n v="61"/>
    <s v="Female"/>
    <s v="Mumbai"/>
    <d v="2021-05-10T00:00:00"/>
    <d v="2022-12-07T00:00:00"/>
    <x v="1"/>
    <n v="818"/>
    <x v="32"/>
    <n v="1"/>
    <n v="62.59"/>
    <n v="0"/>
    <x v="1"/>
    <x v="1"/>
    <n v="8180"/>
    <b v="1"/>
    <n v="0.83333333333333337"/>
    <n v="818"/>
    <n v="31.295000000000002"/>
    <d v="2021-05-01T00:00:00"/>
    <s v="Older"/>
    <n v="0"/>
    <s v="No"/>
    <n v="576"/>
    <s v="High"/>
    <s v="Low"/>
    <n v="9.0909090909090912E-2"/>
    <s v="Low"/>
    <n v="3"/>
    <d v="2021-05-01T00:00:00"/>
    <s v="7–12 months"/>
    <s v="0–1 tickets"/>
    <s v="46+ min"/>
    <s v="701–1000"/>
    <n v="8180"/>
    <n v="0"/>
  </r>
  <r>
    <n v="10125"/>
    <n v="57"/>
    <s v="Male"/>
    <s v="unknown"/>
    <d v="2021-10-20T00:00:00"/>
    <d v="2023-10-28T00:00:00"/>
    <x v="2"/>
    <n v="541"/>
    <x v="19"/>
    <n v="2"/>
    <n v="97.56"/>
    <n v="0"/>
    <x v="2"/>
    <x v="1"/>
    <n v="7033"/>
    <b v="1"/>
    <n v="1.0833333333333333"/>
    <n v="541"/>
    <n v="32.520000000000003"/>
    <d v="2021-10-01T00:00:00"/>
    <s v="Older"/>
    <n v="0"/>
    <s v="No"/>
    <n v="738"/>
    <s v="High"/>
    <s v="Low"/>
    <n v="0.14285714285714285"/>
    <s v="Low"/>
    <n v="2"/>
    <d v="2021-10-01T00:00:00"/>
    <s v="13–24 months"/>
    <s v="2–3 tickets"/>
    <s v="46+ min"/>
    <s v="501–700"/>
    <n v="7033"/>
    <n v="0"/>
  </r>
  <r>
    <n v="10126"/>
    <n v="39"/>
    <s v="Female"/>
    <s v="unknown"/>
    <d v="2021-06-22T00:00:00"/>
    <d v="2021-09-23T00:00:00"/>
    <x v="1"/>
    <n v="1437"/>
    <x v="4"/>
    <n v="1"/>
    <n v="107.62"/>
    <n v="15"/>
    <x v="3"/>
    <x v="0"/>
    <n v="2658.45"/>
    <b v="1"/>
    <n v="0.16666666666666666"/>
    <n v="1329.2249999999999"/>
    <n v="53.81"/>
    <d v="2021-06-01T00:00:00"/>
    <s v="Middle-aged"/>
    <n v="1"/>
    <s v="No"/>
    <n v="93"/>
    <s v="High"/>
    <s v="Low"/>
    <n v="0.33333333333333331"/>
    <s v="Low"/>
    <n v="3"/>
    <d v="2021-06-01T00:00:00"/>
    <s v="0–6 months"/>
    <s v="0–1 tickets"/>
    <s v="46+ min"/>
    <s v="1000+"/>
    <n v="2874"/>
    <n v="-215.55000000000018"/>
  </r>
  <r>
    <n v="10127"/>
    <n v="44"/>
    <s v="Male"/>
    <s v="Chennai"/>
    <d v="2022-12-21T00:00:00"/>
    <d v="2023-08-04T00:00:00"/>
    <x v="0"/>
    <n v="1118"/>
    <x v="8"/>
    <n v="0"/>
    <n v="10.92"/>
    <n v="5"/>
    <x v="0"/>
    <x v="0"/>
    <n v="29012.1"/>
    <b v="1"/>
    <n v="2.1666666666666665"/>
    <n v="1115.8499999999999"/>
    <n v="10.92"/>
    <d v="2022-12-01T00:00:00"/>
    <s v="Middle-aged"/>
    <n v="1"/>
    <s v="Yes"/>
    <n v="226"/>
    <s v="Low"/>
    <s v="Low"/>
    <n v="0"/>
    <s v="High"/>
    <n v="1"/>
    <d v="2022-12-01T00:00:00"/>
    <s v="25+ months"/>
    <s v="0–1 tickets"/>
    <s v="11–20 min"/>
    <s v="1000+"/>
    <n v="29068"/>
    <n v="-55.900000000001455"/>
  </r>
  <r>
    <n v="10128"/>
    <n v="52"/>
    <s v="Male"/>
    <s v="Delhi"/>
    <d v="2021-01-24T00:00:00"/>
    <d v="2022-12-01T00:00:00"/>
    <x v="2"/>
    <n v="601"/>
    <x v="15"/>
    <n v="2"/>
    <n v="65.62"/>
    <n v="15"/>
    <x v="2"/>
    <x v="0"/>
    <n v="8924.85"/>
    <b v="1"/>
    <n v="1.25"/>
    <n v="594.99"/>
    <n v="21.873333333333335"/>
    <d v="2021-01-01T00:00:00"/>
    <s v="Older"/>
    <n v="1"/>
    <s v="No"/>
    <n v="676"/>
    <s v="High"/>
    <s v="Low"/>
    <n v="0.125"/>
    <s v="Medium"/>
    <n v="2"/>
    <d v="2021-01-01T00:00:00"/>
    <s v="13–24 months"/>
    <s v="2–3 tickets"/>
    <s v="46+ min"/>
    <s v="501–700"/>
    <n v="9015"/>
    <n v="-90.149999999999636"/>
  </r>
  <r>
    <n v="10129"/>
    <n v="18"/>
    <s v="Male"/>
    <s v="Pune"/>
    <d v="2021-04-09T00:00:00"/>
    <d v="2023-08-23T00:00:00"/>
    <x v="0"/>
    <n v="1419"/>
    <x v="32"/>
    <n v="1"/>
    <n v="17.350000000000001"/>
    <n v="15"/>
    <x v="3"/>
    <x v="1"/>
    <n v="13977.15"/>
    <b v="1"/>
    <n v="0.83333333333333337"/>
    <n v="1397.7149999999999"/>
    <n v="8.6750000000000007"/>
    <d v="2021-04-01T00:00:00"/>
    <s v="Young"/>
    <n v="0"/>
    <s v="Yes"/>
    <n v="866"/>
    <s v="Low"/>
    <s v="Low"/>
    <n v="9.0909090909090912E-2"/>
    <s v="Medium"/>
    <n v="1"/>
    <d v="2021-04-01T00:00:00"/>
    <s v="7–12 months"/>
    <s v="0–1 tickets"/>
    <s v="11–20 min"/>
    <s v="1000+"/>
    <n v="14190"/>
    <n v="-212.85000000000036"/>
  </r>
  <r>
    <n v="10130"/>
    <n v="52"/>
    <s v="Male"/>
    <s v="Mumbai"/>
    <d v="2022-02-10T00:00:00"/>
    <d v="2023-02-15T00:00:00"/>
    <x v="0"/>
    <n v="1000"/>
    <x v="1"/>
    <n v="1"/>
    <n v="28.09"/>
    <n v="5"/>
    <x v="0"/>
    <x v="1"/>
    <n v="21950"/>
    <b v="1"/>
    <n v="1.8333333333333333"/>
    <n v="997.72727272727275"/>
    <n v="14.045"/>
    <d v="2022-02-01T00:00:00"/>
    <s v="Older"/>
    <n v="0"/>
    <s v="Yes"/>
    <n v="370"/>
    <s v="Medium"/>
    <s v="Low"/>
    <n v="4.3478260869565216E-2"/>
    <s v="High"/>
    <n v="1"/>
    <d v="2022-02-01T00:00:00"/>
    <s v="13–24 months"/>
    <s v="0–1 tickets"/>
    <s v="21–30 min"/>
    <s v="701–1000"/>
    <n v="22000"/>
    <n v="-50"/>
  </r>
  <r>
    <n v="10131"/>
    <n v="54"/>
    <s v="Female"/>
    <s v="Chennai"/>
    <d v="2021-12-22T00:00:00"/>
    <d v="2022-11-29T00:00:00"/>
    <x v="0"/>
    <n v="587"/>
    <x v="0"/>
    <n v="2"/>
    <n v="108.52"/>
    <n v="0"/>
    <x v="2"/>
    <x v="1"/>
    <n v="14675"/>
    <b v="1"/>
    <n v="2.0833333333333335"/>
    <n v="587"/>
    <n v="36.173333333333332"/>
    <d v="2021-12-01T00:00:00"/>
    <s v="Older"/>
    <n v="0"/>
    <s v="Yes"/>
    <n v="342"/>
    <s v="High"/>
    <s v="Low"/>
    <n v="7.6923076923076927E-2"/>
    <s v="Medium"/>
    <n v="1"/>
    <d v="2021-12-01T00:00:00"/>
    <s v="25+ months"/>
    <s v="2–3 tickets"/>
    <s v="46+ min"/>
    <s v="501–700"/>
    <n v="14675"/>
    <n v="0"/>
  </r>
  <r>
    <n v="10132"/>
    <n v="64"/>
    <s v="Female"/>
    <s v="Bangalore"/>
    <d v="2021-05-19T00:00:00"/>
    <d v="2023-03-06T00:00:00"/>
    <x v="0"/>
    <n v="453"/>
    <x v="15"/>
    <n v="2"/>
    <n v="62.13"/>
    <n v="0"/>
    <x v="0"/>
    <x v="1"/>
    <n v="6795"/>
    <b v="1"/>
    <n v="1.25"/>
    <n v="453"/>
    <n v="20.71"/>
    <d v="2021-05-01T00:00:00"/>
    <s v="Older"/>
    <n v="0"/>
    <s v="No"/>
    <n v="656"/>
    <s v="High"/>
    <s v="Low"/>
    <n v="0.125"/>
    <s v="Low"/>
    <n v="1"/>
    <d v="2021-05-01T00:00:00"/>
    <s v="13–24 months"/>
    <s v="2–3 tickets"/>
    <s v="46+ min"/>
    <s v="301–500"/>
    <n v="6795"/>
    <n v="0"/>
  </r>
  <r>
    <n v="10133"/>
    <n v="31"/>
    <s v="Female"/>
    <s v="Pune"/>
    <d v="2022-05-18T00:00:00"/>
    <d v="2022-05-02T00:00:00"/>
    <x v="1"/>
    <n v="722"/>
    <x v="19"/>
    <n v="2"/>
    <n v="92.23"/>
    <n v="5"/>
    <x v="2"/>
    <x v="0"/>
    <n v="9349.9"/>
    <b v="0"/>
    <n v="1.0833333333333333"/>
    <n v="719.22307692307686"/>
    <n v="30.743333333333336"/>
    <d v="2022-05-01T00:00:00"/>
    <s v="Adult"/>
    <n v="1"/>
    <s v="No"/>
    <m/>
    <s v="High"/>
    <s v="Low"/>
    <n v="0.14285714285714285"/>
    <s v="Medium"/>
    <n v="3"/>
    <d v="2022-05-01T00:00:00"/>
    <s v="13–24 months"/>
    <s v="2–3 tickets"/>
    <s v="46+ min"/>
    <s v="701–1000"/>
    <n v="9386"/>
    <n v="-36.100000000000364"/>
  </r>
  <r>
    <n v="10134"/>
    <n v="20"/>
    <s v="Female"/>
    <s v="Mumbai"/>
    <d v="2023-04-06T00:00:00"/>
    <d v="2022-05-02T00:00:00"/>
    <x v="0"/>
    <n v="1149"/>
    <x v="14"/>
    <n v="4"/>
    <n v="12.4"/>
    <n v="0"/>
    <x v="2"/>
    <x v="1"/>
    <n v="9192"/>
    <b v="0"/>
    <n v="0.66666666666666663"/>
    <n v="1149"/>
    <n v="2.48"/>
    <d v="2023-04-01T00:00:00"/>
    <s v="Young"/>
    <n v="0"/>
    <s v="No"/>
    <m/>
    <s v="Low"/>
    <s v="Low"/>
    <n v="0.44444444444444442"/>
    <s v="Medium"/>
    <n v="1"/>
    <d v="2023-04-01T00:00:00"/>
    <s v="7–12 months"/>
    <s v="4–5 tickets"/>
    <s v="11–20 min"/>
    <s v="1000+"/>
    <n v="9192"/>
    <n v="0"/>
  </r>
  <r>
    <n v="10135"/>
    <n v="18"/>
    <s v="Male"/>
    <s v="Bangalore"/>
    <d v="2021-06-23T00:00:00"/>
    <d v="2023-11-06T00:00:00"/>
    <x v="2"/>
    <n v="349"/>
    <x v="6"/>
    <n v="1"/>
    <n v="52.94"/>
    <n v="20"/>
    <x v="2"/>
    <x v="0"/>
    <n v="7259.2"/>
    <b v="1"/>
    <n v="1.75"/>
    <n v="345.67619047619047"/>
    <n v="26.47"/>
    <d v="2021-06-01T00:00:00"/>
    <s v="Young"/>
    <n v="1"/>
    <s v="No"/>
    <n v="866"/>
    <s v="Medium"/>
    <s v="Medium"/>
    <n v="4.5454545454545456E-2"/>
    <s v="Low"/>
    <n v="2"/>
    <d v="2021-06-01T00:00:00"/>
    <s v="13–24 months"/>
    <s v="0–1 tickets"/>
    <s v="46+ min"/>
    <s v="301–500"/>
    <n v="7329"/>
    <n v="-69.800000000000182"/>
  </r>
  <r>
    <n v="10136"/>
    <n v="22"/>
    <s v="Male"/>
    <s v="Hyderabad"/>
    <d v="2021-01-29T00:00:00"/>
    <d v="2023-06-10T00:00:00"/>
    <x v="2"/>
    <n v="863"/>
    <x v="6"/>
    <n v="1"/>
    <n v="82.54"/>
    <n v="15"/>
    <x v="3"/>
    <x v="1"/>
    <n v="17993.55"/>
    <b v="1"/>
    <n v="1.75"/>
    <n v="856.83571428571429"/>
    <n v="41.27"/>
    <d v="2021-01-01T00:00:00"/>
    <s v="Young"/>
    <n v="0"/>
    <s v="Yes"/>
    <n v="862"/>
    <s v="High"/>
    <s v="Low"/>
    <n v="4.5454545454545456E-2"/>
    <s v="Medium"/>
    <n v="2"/>
    <d v="2021-01-01T00:00:00"/>
    <s v="13–24 months"/>
    <s v="0–1 tickets"/>
    <s v="46+ min"/>
    <s v="701–1000"/>
    <n v="18123"/>
    <n v="-129.45000000000073"/>
  </r>
  <r>
    <n v="10137"/>
    <n v="43"/>
    <s v="Male"/>
    <s v="Delhi"/>
    <d v="2022-05-11T00:00:00"/>
    <d v="2021-10-25T00:00:00"/>
    <x v="2"/>
    <n v="1153"/>
    <x v="1"/>
    <n v="3"/>
    <n v="20.34"/>
    <n v="20"/>
    <x v="1"/>
    <x v="0"/>
    <n v="25135.4"/>
    <b v="0"/>
    <n v="1.8333333333333333"/>
    <n v="1142.5181818181818"/>
    <n v="5.085"/>
    <d v="2022-05-01T00:00:00"/>
    <s v="Middle-aged"/>
    <n v="1"/>
    <s v="Yes"/>
    <m/>
    <s v="Medium"/>
    <s v="Medium"/>
    <n v="0.13043478260869565"/>
    <s v="High"/>
    <n v="2"/>
    <d v="2022-05-01T00:00:00"/>
    <s v="13–24 months"/>
    <s v="2–3 tickets"/>
    <s v="21–30 min"/>
    <s v="1000+"/>
    <n v="25366"/>
    <n v="-230.59999999999854"/>
  </r>
  <r>
    <n v="10138"/>
    <n v="31"/>
    <s v="Female"/>
    <s v="Hyderabad"/>
    <d v="2022-10-17T00:00:00"/>
    <d v="2021-09-30T00:00:00"/>
    <x v="0"/>
    <n v="1182"/>
    <x v="33"/>
    <n v="3"/>
    <n v="42.47"/>
    <n v="20"/>
    <x v="2"/>
    <x v="1"/>
    <n v="38769.599999999999"/>
    <b v="0"/>
    <n v="2.75"/>
    <n v="1174.8363636363636"/>
    <n v="10.6175"/>
    <d v="2022-10-01T00:00:00"/>
    <s v="Adult"/>
    <n v="0"/>
    <s v="Yes"/>
    <m/>
    <s v="Medium"/>
    <s v="Medium"/>
    <n v="8.8235294117647065E-2"/>
    <s v="High"/>
    <n v="1"/>
    <d v="2022-10-01T00:00:00"/>
    <s v="25+ months"/>
    <s v="2–3 tickets"/>
    <s v="31–45 min"/>
    <s v="1000+"/>
    <n v="39006"/>
    <n v="-236.40000000000146"/>
  </r>
  <r>
    <n v="10139"/>
    <n v="56"/>
    <s v="Male"/>
    <s v="Delhi"/>
    <d v="2023-04-08T00:00:00"/>
    <d v="2021-08-20T00:00:00"/>
    <x v="2"/>
    <n v="961"/>
    <x v="26"/>
    <n v="2"/>
    <n v="12.42"/>
    <n v="20"/>
    <x v="2"/>
    <x v="1"/>
    <n v="25754.799999999999"/>
    <b v="0"/>
    <n v="2.25"/>
    <n v="953.8814814814815"/>
    <n v="4.1399999999999997"/>
    <d v="2023-04-01T00:00:00"/>
    <s v="Older"/>
    <n v="0"/>
    <s v="Yes"/>
    <m/>
    <s v="Low"/>
    <s v="Medium"/>
    <n v="7.1428571428571425E-2"/>
    <s v="High"/>
    <n v="2"/>
    <d v="2023-04-01T00:00:00"/>
    <s v="25+ months"/>
    <s v="2–3 tickets"/>
    <s v="11–20 min"/>
    <s v="701–1000"/>
    <n v="25947"/>
    <n v="-192.20000000000073"/>
  </r>
  <r>
    <n v="10140"/>
    <n v="44"/>
    <s v="Male"/>
    <s v="Chennai"/>
    <d v="2021-12-17T00:00:00"/>
    <d v="2023-04-16T00:00:00"/>
    <x v="0"/>
    <n v="864"/>
    <x v="1"/>
    <n v="2"/>
    <n v="79.900000000000006"/>
    <n v="10"/>
    <x v="0"/>
    <x v="1"/>
    <n v="18921.599999999999"/>
    <b v="1"/>
    <n v="1.8333333333333333"/>
    <n v="860.07272727272721"/>
    <n v="26.633333333333336"/>
    <d v="2021-12-01T00:00:00"/>
    <s v="Middle-aged"/>
    <n v="0"/>
    <s v="Yes"/>
    <n v="485"/>
    <s v="High"/>
    <s v="Low"/>
    <n v="8.6956521739130432E-2"/>
    <s v="Medium"/>
    <n v="1"/>
    <d v="2021-12-01T00:00:00"/>
    <s v="13–24 months"/>
    <s v="2–3 tickets"/>
    <s v="46+ min"/>
    <s v="701–1000"/>
    <n v="19008"/>
    <n v="-86.400000000001455"/>
  </r>
  <r>
    <n v="10141"/>
    <n v="26"/>
    <s v="Female"/>
    <s v="Mumbai"/>
    <d v="2022-07-08T00:00:00"/>
    <d v="2023-03-28T00:00:00"/>
    <x v="0"/>
    <n v="512"/>
    <x v="3"/>
    <n v="1"/>
    <n v="116.65"/>
    <n v="10"/>
    <x v="0"/>
    <x v="1"/>
    <n v="15308.8"/>
    <b v="1"/>
    <n v="2.5"/>
    <n v="510.29333333333329"/>
    <n v="58.325000000000003"/>
    <d v="2022-07-01T00:00:00"/>
    <s v="Adult"/>
    <n v="0"/>
    <s v="Yes"/>
    <n v="263"/>
    <s v="High"/>
    <s v="Low"/>
    <n v="3.2258064516129031E-2"/>
    <s v="Medium"/>
    <n v="1"/>
    <d v="2022-07-01T00:00:00"/>
    <s v="25+ months"/>
    <s v="0–1 tickets"/>
    <s v="46+ min"/>
    <s v="501–700"/>
    <n v="15360"/>
    <n v="-51.200000000000728"/>
  </r>
  <r>
    <n v="10142"/>
    <n v="32"/>
    <s v="Male"/>
    <s v="Chennai"/>
    <d v="2021-10-26T00:00:00"/>
    <d v="2023-03-24T00:00:00"/>
    <x v="1"/>
    <n v="1389"/>
    <x v="9"/>
    <n v="4"/>
    <n v="100.11"/>
    <n v="20"/>
    <x v="3"/>
    <x v="1"/>
    <n v="12223.2"/>
    <b v="1"/>
    <n v="0.75"/>
    <n v="1358.1333333333334"/>
    <n v="20.021999999999998"/>
    <d v="2021-10-01T00:00:00"/>
    <s v="Adult"/>
    <n v="0"/>
    <s v="No"/>
    <n v="514"/>
    <s v="High"/>
    <s v="Medium"/>
    <n v="0.4"/>
    <s v="Medium"/>
    <n v="3"/>
    <d v="2021-10-01T00:00:00"/>
    <s v="7–12 months"/>
    <s v="4–5 tickets"/>
    <s v="46+ min"/>
    <s v="1000+"/>
    <n v="12501"/>
    <n v="-277.79999999999927"/>
  </r>
  <r>
    <n v="10143"/>
    <n v="32"/>
    <s v="Male"/>
    <s v="unknown"/>
    <d v="2022-12-21T00:00:00"/>
    <d v="2022-06-10T00:00:00"/>
    <x v="0"/>
    <n v="1110"/>
    <x v="12"/>
    <n v="2"/>
    <n v="117.08"/>
    <n v="15"/>
    <x v="1"/>
    <x v="0"/>
    <n v="38683.5"/>
    <b v="0"/>
    <n v="2.9166666666666665"/>
    <n v="1105.2428571428572"/>
    <n v="39.026666666666664"/>
    <d v="2022-12-01T00:00:00"/>
    <s v="Adult"/>
    <n v="1"/>
    <s v="Yes"/>
    <m/>
    <s v="High"/>
    <s v="Low"/>
    <n v="5.5555555555555552E-2"/>
    <s v="High"/>
    <n v="1"/>
    <d v="2022-12-01T00:00:00"/>
    <s v="25+ months"/>
    <s v="2–3 tickets"/>
    <s v="46+ min"/>
    <s v="1000+"/>
    <n v="38850"/>
    <n v="-166.5"/>
  </r>
  <r>
    <n v="10144"/>
    <n v="43"/>
    <s v="Male"/>
    <s v="Delhi"/>
    <d v="2023-04-22T00:00:00"/>
    <d v="2022-12-22T00:00:00"/>
    <x v="0"/>
    <n v="1149"/>
    <x v="10"/>
    <n v="5"/>
    <n v="102.24"/>
    <n v="20"/>
    <x v="0"/>
    <x v="1"/>
    <n v="20452.2"/>
    <b v="0"/>
    <n v="1.5"/>
    <n v="1136.2333333333333"/>
    <n v="17.04"/>
    <d v="2023-04-01T00:00:00"/>
    <s v="Middle-aged"/>
    <n v="0"/>
    <s v="Yes"/>
    <m/>
    <s v="High"/>
    <s v="Medium"/>
    <n v="0.26315789473684209"/>
    <s v="High"/>
    <n v="1"/>
    <d v="2023-04-01T00:00:00"/>
    <s v="13–24 months"/>
    <s v="4–5 tickets"/>
    <s v="46+ min"/>
    <s v="1000+"/>
    <n v="20682"/>
    <n v="-229.79999999999927"/>
  </r>
  <r>
    <n v="10145"/>
    <n v="59"/>
    <s v="Female"/>
    <s v="Delhi"/>
    <d v="2021-07-11T00:00:00"/>
    <d v="2021-08-02T00:00:00"/>
    <x v="1"/>
    <n v="1460"/>
    <x v="21"/>
    <n v="3"/>
    <n v="103.35"/>
    <n v="10"/>
    <x v="3"/>
    <x v="1"/>
    <n v="7008"/>
    <b v="1"/>
    <n v="0.41666666666666669"/>
    <n v="1401.6"/>
    <n v="25.837499999999999"/>
    <d v="2021-07-01T00:00:00"/>
    <s v="Older"/>
    <n v="0"/>
    <s v="No"/>
    <n v="22"/>
    <s v="High"/>
    <s v="Low"/>
    <n v="0.5"/>
    <s v="Low"/>
    <n v="3"/>
    <d v="2021-07-01T00:00:00"/>
    <s v="0–6 months"/>
    <s v="2–3 tickets"/>
    <s v="46+ min"/>
    <s v="1000+"/>
    <n v="7300"/>
    <n v="-292"/>
  </r>
  <r>
    <n v="10146"/>
    <n v="30"/>
    <s v="Female"/>
    <s v="Pune"/>
    <d v="2022-11-03T00:00:00"/>
    <d v="2022-10-17T00:00:00"/>
    <x v="0"/>
    <n v="1180"/>
    <x v="26"/>
    <n v="3"/>
    <n v="71.38"/>
    <n v="10"/>
    <x v="3"/>
    <x v="1"/>
    <n v="31742"/>
    <b v="0"/>
    <n v="2.25"/>
    <n v="1175.6296296296296"/>
    <n v="17.844999999999999"/>
    <d v="2022-11-01T00:00:00"/>
    <s v="Adult"/>
    <n v="0"/>
    <s v="Yes"/>
    <m/>
    <s v="High"/>
    <s v="Low"/>
    <n v="0.10714285714285714"/>
    <s v="High"/>
    <n v="1"/>
    <d v="2022-11-01T00:00:00"/>
    <s v="25+ months"/>
    <s v="2–3 tickets"/>
    <s v="46+ min"/>
    <s v="1000+"/>
    <n v="31860"/>
    <n v="-118"/>
  </r>
  <r>
    <n v="10147"/>
    <n v="49"/>
    <s v="Female"/>
    <s v="Bangalore"/>
    <d v="2021-03-05T00:00:00"/>
    <d v="2023-03-30T00:00:00"/>
    <x v="2"/>
    <n v="1388"/>
    <x v="20"/>
    <n v="1"/>
    <n v="64.599999999999994"/>
    <n v="20"/>
    <x v="3"/>
    <x v="0"/>
    <n v="8050.4"/>
    <b v="1"/>
    <n v="0.5"/>
    <n v="1341.7333333333333"/>
    <n v="32.299999999999997"/>
    <d v="2021-03-01T00:00:00"/>
    <s v="Middle-aged"/>
    <n v="1"/>
    <s v="No"/>
    <n v="755"/>
    <s v="High"/>
    <s v="Medium"/>
    <n v="0.14285714285714285"/>
    <s v="Low"/>
    <n v="2"/>
    <d v="2021-03-01T00:00:00"/>
    <s v="0–6 months"/>
    <s v="0–1 tickets"/>
    <s v="46+ min"/>
    <s v="1000+"/>
    <n v="8328"/>
    <n v="-277.60000000000036"/>
  </r>
  <r>
    <n v="10148"/>
    <n v="56"/>
    <s v="Male"/>
    <s v="unknown"/>
    <d v="2023-01-25T00:00:00"/>
    <d v="2022-08-23T00:00:00"/>
    <x v="0"/>
    <n v="1455"/>
    <x v="23"/>
    <n v="4"/>
    <n v="51.72"/>
    <n v="15"/>
    <x v="2"/>
    <x v="0"/>
    <n v="46341.75"/>
    <b v="0"/>
    <n v="2.6666666666666665"/>
    <n v="1448.1796875"/>
    <n v="10.343999999999999"/>
    <d v="2023-01-01T00:00:00"/>
    <s v="Older"/>
    <n v="1"/>
    <s v="Yes"/>
    <m/>
    <s v="Medium"/>
    <s v="Low"/>
    <n v="0.12121212121212122"/>
    <s v="High"/>
    <n v="1"/>
    <d v="2023-01-01T00:00:00"/>
    <s v="25+ months"/>
    <s v="4–5 tickets"/>
    <s v="46+ min"/>
    <s v="1000+"/>
    <n v="46560"/>
    <n v="-218.25"/>
  </r>
  <r>
    <n v="10149"/>
    <n v="49"/>
    <s v="Other"/>
    <s v="Chennai"/>
    <d v="2023-02-09T00:00:00"/>
    <d v="2022-08-02T00:00:00"/>
    <x v="0"/>
    <n v="633"/>
    <x v="14"/>
    <n v="0"/>
    <n v="99.08"/>
    <n v="15"/>
    <x v="1"/>
    <x v="1"/>
    <n v="4969.05"/>
    <b v="0"/>
    <n v="0.66666666666666663"/>
    <n v="621.13125000000002"/>
    <n v="99.08"/>
    <d v="2023-02-01T00:00:00"/>
    <s v="Middle-aged"/>
    <n v="0"/>
    <s v="No"/>
    <m/>
    <s v="High"/>
    <s v="Low"/>
    <n v="0"/>
    <s v="Low"/>
    <n v="1"/>
    <d v="2023-02-01T00:00:00"/>
    <s v="7–12 months"/>
    <s v="0–1 tickets"/>
    <s v="46+ min"/>
    <s v="501–700"/>
    <n v="5064"/>
    <n v="-94.949999999999818"/>
  </r>
  <r>
    <n v="10150"/>
    <n v="21"/>
    <s v="Female"/>
    <s v="Chennai"/>
    <d v="2022-10-26T00:00:00"/>
    <d v="2023-10-16T00:00:00"/>
    <x v="0"/>
    <n v="331"/>
    <x v="6"/>
    <n v="1"/>
    <n v="25.94"/>
    <n v="20"/>
    <x v="1"/>
    <x v="0"/>
    <n v="6884.8"/>
    <b v="1"/>
    <n v="1.75"/>
    <n v="327.84761904761905"/>
    <n v="12.97"/>
    <d v="2022-10-01T00:00:00"/>
    <s v="Young"/>
    <n v="1"/>
    <s v="No"/>
    <n v="355"/>
    <s v="Medium"/>
    <s v="Medium"/>
    <n v="4.5454545454545456E-2"/>
    <s v="Low"/>
    <n v="1"/>
    <d v="2022-10-01T00:00:00"/>
    <s v="13–24 months"/>
    <s v="0–1 tickets"/>
    <s v="21–30 min"/>
    <s v="301–500"/>
    <n v="6951"/>
    <n v="-66.199999999999818"/>
  </r>
  <r>
    <n v="10151"/>
    <n v="47"/>
    <s v="Male"/>
    <s v="Hyderabad"/>
    <d v="2021-08-03T00:00:00"/>
    <d v="2022-08-01T00:00:00"/>
    <x v="0"/>
    <n v="1167"/>
    <x v="10"/>
    <n v="2"/>
    <n v="11.47"/>
    <n v="15"/>
    <x v="1"/>
    <x v="1"/>
    <n v="20830.95"/>
    <b v="1"/>
    <n v="1.5"/>
    <n v="1157.2750000000001"/>
    <n v="3.8233333333333337"/>
    <d v="2021-08-01T00:00:00"/>
    <s v="Middle-aged"/>
    <n v="0"/>
    <s v="Yes"/>
    <n v="363"/>
    <s v="Low"/>
    <s v="Low"/>
    <n v="0.10526315789473684"/>
    <s v="High"/>
    <n v="1"/>
    <d v="2021-08-01T00:00:00"/>
    <s v="13–24 months"/>
    <s v="2–3 tickets"/>
    <s v="11–20 min"/>
    <s v="1000+"/>
    <n v="21006"/>
    <n v="-175.04999999999927"/>
  </r>
  <r>
    <n v="10152"/>
    <n v="54"/>
    <s v="Female"/>
    <s v="Delhi"/>
    <d v="2023-04-14T00:00:00"/>
    <d v="2022-07-26T00:00:00"/>
    <x v="0"/>
    <n v="1197"/>
    <x v="25"/>
    <n v="0"/>
    <n v="114.01"/>
    <n v="20"/>
    <x v="2"/>
    <x v="1"/>
    <n v="16518.599999999999"/>
    <b v="0"/>
    <n v="1.1666666666666667"/>
    <n v="1179.8999999999999"/>
    <n v="114.01"/>
    <d v="2023-04-01T00:00:00"/>
    <s v="Older"/>
    <n v="0"/>
    <s v="Yes"/>
    <m/>
    <s v="High"/>
    <s v="Medium"/>
    <n v="0"/>
    <s v="Medium"/>
    <n v="1"/>
    <d v="2023-04-01T00:00:00"/>
    <s v="13–24 months"/>
    <s v="0–1 tickets"/>
    <s v="46+ min"/>
    <s v="1000+"/>
    <n v="16758"/>
    <n v="-239.40000000000146"/>
  </r>
  <r>
    <n v="10153"/>
    <n v="40"/>
    <s v="Male"/>
    <s v="Delhi"/>
    <d v="2021-06-15T00:00:00"/>
    <d v="2022-04-18T00:00:00"/>
    <x v="2"/>
    <n v="1465"/>
    <x v="15"/>
    <n v="2"/>
    <n v="5.43"/>
    <n v="10"/>
    <x v="2"/>
    <x v="1"/>
    <n v="21828.5"/>
    <b v="1"/>
    <n v="1.25"/>
    <n v="1455.2333333333333"/>
    <n v="1.8099999999999998"/>
    <d v="2021-06-01T00:00:00"/>
    <s v="Middle-aged"/>
    <n v="0"/>
    <s v="Yes"/>
    <n v="307"/>
    <s v="Low"/>
    <s v="Low"/>
    <n v="0.125"/>
    <s v="High"/>
    <n v="2"/>
    <d v="2021-06-01T00:00:00"/>
    <s v="13–24 months"/>
    <s v="2–3 tickets"/>
    <s v="0–10 min"/>
    <s v="1000+"/>
    <n v="21975"/>
    <n v="-146.5"/>
  </r>
  <r>
    <n v="10154"/>
    <n v="56"/>
    <s v="Female"/>
    <s v="Delhi"/>
    <d v="2022-06-27T00:00:00"/>
    <d v="2023-04-11T00:00:00"/>
    <x v="2"/>
    <n v="900"/>
    <x v="8"/>
    <n v="1"/>
    <n v="117.34"/>
    <n v="20"/>
    <x v="0"/>
    <x v="1"/>
    <n v="23220"/>
    <b v="1"/>
    <n v="2.1666666666666665"/>
    <n v="893.07692307692309"/>
    <n v="58.67"/>
    <d v="2022-06-01T00:00:00"/>
    <s v="Older"/>
    <n v="0"/>
    <s v="Yes"/>
    <n v="288"/>
    <s v="High"/>
    <s v="Medium"/>
    <n v="3.7037037037037035E-2"/>
    <s v="High"/>
    <n v="2"/>
    <d v="2022-06-01T00:00:00"/>
    <s v="25+ months"/>
    <s v="0–1 tickets"/>
    <s v="46+ min"/>
    <s v="701–1000"/>
    <n v="23400"/>
    <n v="-180"/>
  </r>
  <r>
    <n v="10155"/>
    <n v="62"/>
    <s v="Female"/>
    <s v="Chennai"/>
    <d v="2023-06-02T00:00:00"/>
    <d v="2021-11-13T00:00:00"/>
    <x v="1"/>
    <n v="1287"/>
    <x v="23"/>
    <n v="2"/>
    <n v="88.82"/>
    <n v="0"/>
    <x v="0"/>
    <x v="1"/>
    <n v="41184"/>
    <b v="0"/>
    <n v="2.6666666666666665"/>
    <n v="1287"/>
    <n v="29.606666666666666"/>
    <d v="2023-06-01T00:00:00"/>
    <s v="Older"/>
    <n v="0"/>
    <s v="Yes"/>
    <m/>
    <s v="High"/>
    <s v="Low"/>
    <n v="6.0606060606060608E-2"/>
    <s v="High"/>
    <n v="3"/>
    <d v="2023-06-01T00:00:00"/>
    <s v="25+ months"/>
    <s v="2–3 tickets"/>
    <s v="46+ min"/>
    <s v="1000+"/>
    <n v="41184"/>
    <n v="0"/>
  </r>
  <r>
    <n v="10156"/>
    <n v="32"/>
    <s v="Male"/>
    <s v="Hyderabad"/>
    <d v="2021-08-20T00:00:00"/>
    <d v="2023-01-18T00:00:00"/>
    <x v="0"/>
    <n v="1472"/>
    <x v="29"/>
    <n v="6"/>
    <n v="42.78"/>
    <n v="10"/>
    <x v="0"/>
    <x v="1"/>
    <n v="41068.800000000003"/>
    <b v="1"/>
    <n v="2.3333333333333335"/>
    <n v="1466.7428571428572"/>
    <n v="6.1114285714285712"/>
    <d v="2021-08-01T00:00:00"/>
    <s v="Adult"/>
    <n v="0"/>
    <s v="Yes"/>
    <n v="516"/>
    <s v="Medium"/>
    <s v="Low"/>
    <n v="0.20689655172413793"/>
    <s v="High"/>
    <n v="1"/>
    <d v="2021-08-01T00:00:00"/>
    <s v="25+ months"/>
    <s v="6+ tickets"/>
    <s v="31–45 min"/>
    <s v="1000+"/>
    <n v="41216"/>
    <n v="-147.19999999999709"/>
  </r>
  <r>
    <n v="10157"/>
    <n v="60"/>
    <s v="Other"/>
    <s v="Bangalore"/>
    <d v="2023-03-05T00:00:00"/>
    <d v="2023-03-11T00:00:00"/>
    <x v="2"/>
    <n v="898"/>
    <x v="23"/>
    <n v="3"/>
    <n v="85.25"/>
    <n v="15"/>
    <x v="3"/>
    <x v="0"/>
    <n v="28601.3"/>
    <b v="1"/>
    <n v="2.6666666666666665"/>
    <n v="893.79062499999998"/>
    <n v="21.3125"/>
    <d v="2023-03-01T00:00:00"/>
    <s v="Older"/>
    <n v="1"/>
    <s v="Yes"/>
    <n v="6"/>
    <s v="High"/>
    <s v="Low"/>
    <n v="9.0909090909090912E-2"/>
    <s v="High"/>
    <n v="2"/>
    <d v="2023-03-01T00:00:00"/>
    <s v="25+ months"/>
    <s v="2–3 tickets"/>
    <s v="46+ min"/>
    <s v="701–1000"/>
    <n v="28736"/>
    <n v="-134.70000000000073"/>
  </r>
  <r>
    <n v="10158"/>
    <n v="46"/>
    <s v="Female"/>
    <s v="Pune"/>
    <d v="2022-06-25T00:00:00"/>
    <d v="2022-09-04T00:00:00"/>
    <x v="2"/>
    <n v="819"/>
    <x v="19"/>
    <n v="3"/>
    <n v="99.06"/>
    <n v="15"/>
    <x v="1"/>
    <x v="0"/>
    <n v="10524.15"/>
    <b v="1"/>
    <n v="1.0833333333333333"/>
    <n v="809.55"/>
    <n v="24.765000000000001"/>
    <d v="2022-06-01T00:00:00"/>
    <s v="Middle-aged"/>
    <n v="1"/>
    <s v="No"/>
    <n v="71"/>
    <s v="High"/>
    <s v="Low"/>
    <n v="0.21428571428571427"/>
    <s v="Medium"/>
    <n v="2"/>
    <d v="2022-06-01T00:00:00"/>
    <s v="13–24 months"/>
    <s v="2–3 tickets"/>
    <s v="46+ min"/>
    <s v="701–1000"/>
    <n v="10647"/>
    <n v="-122.85000000000036"/>
  </r>
  <r>
    <n v="10159"/>
    <n v="53"/>
    <s v="Female"/>
    <s v="Mumbai"/>
    <d v="2021-07-14T00:00:00"/>
    <d v="2022-09-02T00:00:00"/>
    <x v="1"/>
    <n v="1168"/>
    <x v="15"/>
    <n v="2"/>
    <n v="62.59"/>
    <n v="10"/>
    <x v="2"/>
    <x v="1"/>
    <n v="17403.2"/>
    <b v="1"/>
    <n v="1.25"/>
    <n v="1160.2133333333334"/>
    <n v="20.863333333333333"/>
    <d v="2021-07-01T00:00:00"/>
    <s v="Older"/>
    <n v="0"/>
    <s v="Yes"/>
    <n v="415"/>
    <s v="High"/>
    <s v="Low"/>
    <n v="0.125"/>
    <s v="Medium"/>
    <n v="3"/>
    <d v="2021-07-01T00:00:00"/>
    <s v="13–24 months"/>
    <s v="2–3 tickets"/>
    <s v="46+ min"/>
    <s v="1000+"/>
    <n v="17520"/>
    <n v="-116.79999999999927"/>
  </r>
  <r>
    <n v="10160"/>
    <n v="30"/>
    <s v="Male"/>
    <s v="Bangalore"/>
    <d v="2022-05-21T00:00:00"/>
    <d v="2021-12-06T00:00:00"/>
    <x v="0"/>
    <n v="315"/>
    <x v="10"/>
    <n v="3"/>
    <n v="93.65"/>
    <n v="0"/>
    <x v="0"/>
    <x v="1"/>
    <n v="5670"/>
    <b v="0"/>
    <n v="1.5"/>
    <n v="315"/>
    <n v="23.412500000000001"/>
    <d v="2022-05-01T00:00:00"/>
    <s v="Adult"/>
    <n v="0"/>
    <s v="No"/>
    <m/>
    <s v="High"/>
    <s v="Low"/>
    <n v="0.15789473684210525"/>
    <s v="Low"/>
    <n v="1"/>
    <d v="2022-05-01T00:00:00"/>
    <s v="13–24 months"/>
    <s v="2–3 tickets"/>
    <s v="46+ min"/>
    <s v="301–500"/>
    <n v="5670"/>
    <n v="0"/>
  </r>
  <r>
    <n v="10161"/>
    <n v="49"/>
    <s v="Male"/>
    <s v="Chennai"/>
    <d v="2021-11-30T00:00:00"/>
    <d v="2022-09-07T00:00:00"/>
    <x v="2"/>
    <n v="1429"/>
    <x v="20"/>
    <n v="2"/>
    <n v="97.5"/>
    <n v="10"/>
    <x v="3"/>
    <x v="1"/>
    <n v="8431.1"/>
    <b v="1"/>
    <n v="0.5"/>
    <n v="1405.1833333333334"/>
    <n v="32.5"/>
    <d v="2021-11-01T00:00:00"/>
    <s v="Middle-aged"/>
    <n v="0"/>
    <s v="No"/>
    <n v="281"/>
    <s v="High"/>
    <s v="Low"/>
    <n v="0.2857142857142857"/>
    <s v="Low"/>
    <n v="2"/>
    <d v="2021-11-01T00:00:00"/>
    <s v="0–6 months"/>
    <s v="2–3 tickets"/>
    <s v="46+ min"/>
    <s v="1000+"/>
    <n v="8574"/>
    <n v="-142.89999999999964"/>
  </r>
  <r>
    <n v="10162"/>
    <n v="24"/>
    <s v="Male"/>
    <s v="Pune"/>
    <d v="2023-02-07T00:00:00"/>
    <d v="2022-06-14T00:00:00"/>
    <x v="1"/>
    <n v="582"/>
    <x v="11"/>
    <n v="1"/>
    <n v="33.68"/>
    <n v="5"/>
    <x v="2"/>
    <x v="1"/>
    <n v="6372.9"/>
    <b v="0"/>
    <n v="0.91666666666666663"/>
    <n v="579.35454545454547"/>
    <n v="16.84"/>
    <d v="2023-02-01T00:00:00"/>
    <s v="Young"/>
    <n v="0"/>
    <s v="No"/>
    <m/>
    <s v="Medium"/>
    <s v="Low"/>
    <n v="8.3333333333333329E-2"/>
    <s v="Low"/>
    <n v="3"/>
    <d v="2023-02-01T00:00:00"/>
    <s v="7–12 months"/>
    <s v="0–1 tickets"/>
    <s v="31–45 min"/>
    <s v="501–700"/>
    <n v="6402"/>
    <n v="-29.100000000000364"/>
  </r>
  <r>
    <n v="10163"/>
    <n v="39"/>
    <s v="Female"/>
    <s v="unknown"/>
    <d v="2023-03-04T00:00:00"/>
    <d v="2021-06-02T00:00:00"/>
    <x v="0"/>
    <n v="1427"/>
    <x v="23"/>
    <n v="4"/>
    <n v="9.82"/>
    <n v="0"/>
    <x v="3"/>
    <x v="1"/>
    <n v="45664"/>
    <b v="0"/>
    <n v="2.6666666666666665"/>
    <n v="1427"/>
    <n v="1.964"/>
    <d v="2023-03-01T00:00:00"/>
    <s v="Middle-aged"/>
    <n v="0"/>
    <s v="Yes"/>
    <m/>
    <s v="Low"/>
    <s v="Low"/>
    <n v="0.12121212121212122"/>
    <s v="High"/>
    <n v="1"/>
    <d v="2023-03-01T00:00:00"/>
    <s v="25+ months"/>
    <s v="4–5 tickets"/>
    <s v="0–10 min"/>
    <s v="1000+"/>
    <n v="45664"/>
    <n v="0"/>
  </r>
  <r>
    <n v="10164"/>
    <n v="45"/>
    <s v="Male"/>
    <s v="Pune"/>
    <d v="2021-10-31T00:00:00"/>
    <d v="2023-02-08T00:00:00"/>
    <x v="1"/>
    <n v="660"/>
    <x v="28"/>
    <n v="4"/>
    <n v="28.47"/>
    <n v="10"/>
    <x v="3"/>
    <x v="0"/>
    <n v="13134"/>
    <b v="1"/>
    <n v="1.6666666666666667"/>
    <n v="656.7"/>
    <n v="5.694"/>
    <d v="2021-10-01T00:00:00"/>
    <s v="Middle-aged"/>
    <n v="1"/>
    <s v="No"/>
    <n v="465"/>
    <s v="Medium"/>
    <s v="Low"/>
    <n v="0.19047619047619047"/>
    <s v="Medium"/>
    <n v="3"/>
    <d v="2021-10-01T00:00:00"/>
    <s v="13–24 months"/>
    <s v="4–5 tickets"/>
    <s v="21–30 min"/>
    <s v="501–700"/>
    <n v="13200"/>
    <n v="-66"/>
  </r>
  <r>
    <n v="10165"/>
    <n v="19"/>
    <s v="Female"/>
    <s v="Delhi"/>
    <d v="2023-04-13T00:00:00"/>
    <d v="2022-05-30T00:00:00"/>
    <x v="0"/>
    <n v="1358"/>
    <x v="33"/>
    <n v="5"/>
    <n v="28.07"/>
    <n v="5"/>
    <x v="3"/>
    <x v="1"/>
    <n v="44746.1"/>
    <b v="0"/>
    <n v="2.75"/>
    <n v="1355.9424242424243"/>
    <n v="4.6783333333333337"/>
    <d v="2023-04-01T00:00:00"/>
    <s v="Young"/>
    <n v="0"/>
    <s v="Yes"/>
    <m/>
    <s v="Medium"/>
    <s v="Low"/>
    <n v="0.14705882352941177"/>
    <s v="High"/>
    <n v="1"/>
    <d v="2023-04-01T00:00:00"/>
    <s v="25+ months"/>
    <s v="4–5 tickets"/>
    <s v="21–30 min"/>
    <s v="1000+"/>
    <n v="44814"/>
    <n v="-67.900000000001455"/>
  </r>
  <r>
    <n v="10166"/>
    <n v="59"/>
    <s v="Female"/>
    <s v="Mumbai"/>
    <d v="2022-03-13T00:00:00"/>
    <d v="2021-08-11T00:00:00"/>
    <x v="2"/>
    <n v="412"/>
    <x v="14"/>
    <n v="0"/>
    <n v="12.5"/>
    <n v="10"/>
    <x v="1"/>
    <x v="1"/>
    <n v="3213.6"/>
    <b v="0"/>
    <n v="0.66666666666666663"/>
    <n v="401.7"/>
    <n v="12.5"/>
    <d v="2022-03-01T00:00:00"/>
    <s v="Older"/>
    <n v="0"/>
    <s v="No"/>
    <m/>
    <s v="Low"/>
    <s v="Low"/>
    <n v="0"/>
    <s v="Low"/>
    <n v="2"/>
    <d v="2022-03-01T00:00:00"/>
    <s v="7–12 months"/>
    <s v="0–1 tickets"/>
    <s v="11–20 min"/>
    <s v="301–500"/>
    <n v="3296"/>
    <n v="-82.400000000000091"/>
  </r>
  <r>
    <n v="10167"/>
    <n v="62"/>
    <s v="Male"/>
    <s v="Chennai"/>
    <d v="2021-11-19T00:00:00"/>
    <d v="2022-08-01T00:00:00"/>
    <x v="1"/>
    <n v="607"/>
    <x v="12"/>
    <n v="1"/>
    <n v="88.49"/>
    <n v="0"/>
    <x v="2"/>
    <x v="1"/>
    <n v="21245"/>
    <b v="1"/>
    <n v="2.9166666666666665"/>
    <n v="607"/>
    <n v="44.244999999999997"/>
    <d v="2021-11-01T00:00:00"/>
    <s v="Older"/>
    <n v="0"/>
    <s v="Yes"/>
    <n v="255"/>
    <s v="High"/>
    <s v="Low"/>
    <n v="2.7777777777777776E-2"/>
    <s v="High"/>
    <n v="3"/>
    <d v="2021-11-01T00:00:00"/>
    <s v="25+ months"/>
    <s v="0–1 tickets"/>
    <s v="46+ min"/>
    <s v="501–700"/>
    <n v="21245"/>
    <n v="0"/>
  </r>
  <r>
    <n v="10168"/>
    <n v="23"/>
    <s v="Female"/>
    <s v="Chennai"/>
    <d v="2022-05-17T00:00:00"/>
    <d v="2023-02-28T00:00:00"/>
    <x v="2"/>
    <n v="1258"/>
    <x v="21"/>
    <n v="0"/>
    <n v="48.7"/>
    <n v="20"/>
    <x v="2"/>
    <x v="0"/>
    <n v="6038.4"/>
    <b v="1"/>
    <n v="0.41666666666666669"/>
    <n v="1207.6799999999998"/>
    <n v="48.7"/>
    <d v="2022-05-01T00:00:00"/>
    <s v="Young"/>
    <n v="1"/>
    <s v="No"/>
    <n v="287"/>
    <s v="Medium"/>
    <s v="Medium"/>
    <n v="0"/>
    <s v="Low"/>
    <n v="2"/>
    <d v="2022-05-01T00:00:00"/>
    <s v="0–6 months"/>
    <s v="0–1 tickets"/>
    <s v="46+ min"/>
    <s v="1000+"/>
    <n v="6290"/>
    <n v="-251.60000000000036"/>
  </r>
  <r>
    <n v="10169"/>
    <n v="45"/>
    <s v="Male"/>
    <s v="Pune"/>
    <d v="2023-05-08T00:00:00"/>
    <d v="2021-11-17T00:00:00"/>
    <x v="0"/>
    <n v="1376"/>
    <x v="12"/>
    <n v="1"/>
    <n v="106.7"/>
    <n v="5"/>
    <x v="3"/>
    <x v="1"/>
    <n v="48091.199999999997"/>
    <b v="0"/>
    <n v="2.9166666666666665"/>
    <n v="1374.0342857142857"/>
    <n v="53.35"/>
    <d v="2023-05-01T00:00:00"/>
    <s v="Middle-aged"/>
    <n v="0"/>
    <s v="Yes"/>
    <m/>
    <s v="High"/>
    <s v="Low"/>
    <n v="2.7777777777777776E-2"/>
    <s v="High"/>
    <n v="1"/>
    <d v="2023-05-01T00:00:00"/>
    <s v="25+ months"/>
    <s v="0–1 tickets"/>
    <s v="46+ min"/>
    <s v="1000+"/>
    <n v="48160"/>
    <n v="-68.80000000000291"/>
  </r>
  <r>
    <n v="10170"/>
    <n v="45"/>
    <s v="Other"/>
    <s v="Chennai"/>
    <d v="2022-01-28T00:00:00"/>
    <d v="2021-12-22T00:00:00"/>
    <x v="0"/>
    <n v="1404"/>
    <x v="25"/>
    <n v="1"/>
    <n v="34"/>
    <n v="15"/>
    <x v="1"/>
    <x v="1"/>
    <n v="19445.400000000001"/>
    <b v="0"/>
    <n v="1.1666666666666667"/>
    <n v="1388.957142857143"/>
    <n v="17"/>
    <d v="2022-01-01T00:00:00"/>
    <s v="Middle-aged"/>
    <n v="0"/>
    <s v="Yes"/>
    <m/>
    <s v="Medium"/>
    <s v="Low"/>
    <n v="6.6666666666666666E-2"/>
    <s v="High"/>
    <n v="1"/>
    <d v="2022-01-01T00:00:00"/>
    <s v="13–24 months"/>
    <s v="0–1 tickets"/>
    <s v="31–45 min"/>
    <s v="1000+"/>
    <n v="19656"/>
    <n v="-210.59999999999854"/>
  </r>
  <r>
    <n v="10171"/>
    <n v="61"/>
    <s v="Female"/>
    <s v="Mumbai"/>
    <d v="2023-03-17T00:00:00"/>
    <d v="2023-09-03T00:00:00"/>
    <x v="1"/>
    <n v="1133"/>
    <x v="6"/>
    <n v="1"/>
    <n v="57.12"/>
    <n v="15"/>
    <x v="3"/>
    <x v="1"/>
    <n v="23623.05"/>
    <b v="1"/>
    <n v="1.75"/>
    <n v="1124.9071428571428"/>
    <n v="28.56"/>
    <d v="2023-03-01T00:00:00"/>
    <s v="Older"/>
    <n v="0"/>
    <s v="Yes"/>
    <n v="170"/>
    <s v="Medium"/>
    <s v="Low"/>
    <n v="4.5454545454545456E-2"/>
    <s v="High"/>
    <n v="3"/>
    <d v="2023-03-01T00:00:00"/>
    <s v="13–24 months"/>
    <s v="0–1 tickets"/>
    <s v="46+ min"/>
    <s v="1000+"/>
    <n v="23793"/>
    <n v="-169.95000000000073"/>
  </r>
  <r>
    <n v="10172"/>
    <n v="61"/>
    <s v="Male"/>
    <s v="Mumbai"/>
    <d v="2022-08-22T00:00:00"/>
    <d v="2022-05-03T00:00:00"/>
    <x v="2"/>
    <n v="541"/>
    <x v="30"/>
    <n v="0"/>
    <n v="78.489999999999995"/>
    <n v="15"/>
    <x v="0"/>
    <x v="1"/>
    <n v="12902.85"/>
    <b v="0"/>
    <n v="2"/>
    <n v="537.61874999999998"/>
    <n v="78.489999999999995"/>
    <d v="2022-08-01T00:00:00"/>
    <s v="Older"/>
    <n v="0"/>
    <s v="No"/>
    <m/>
    <s v="High"/>
    <s v="Low"/>
    <n v="0"/>
    <s v="Medium"/>
    <n v="2"/>
    <d v="2022-08-01T00:00:00"/>
    <s v="13–24 months"/>
    <s v="0–1 tickets"/>
    <s v="46+ min"/>
    <s v="501–700"/>
    <n v="12984"/>
    <n v="-81.149999999999636"/>
  </r>
  <r>
    <n v="10173"/>
    <n v="37"/>
    <s v="Male"/>
    <s v="Hyderabad"/>
    <d v="2021-05-29T00:00:00"/>
    <d v="2022-09-15T00:00:00"/>
    <x v="0"/>
    <n v="330"/>
    <x v="18"/>
    <n v="3"/>
    <n v="105.91"/>
    <n v="20"/>
    <x v="2"/>
    <x v="1"/>
    <n v="5544"/>
    <b v="1"/>
    <n v="1.4166666666666667"/>
    <n v="326.11764705882354"/>
    <n v="26.477499999999999"/>
    <d v="2021-05-01T00:00:00"/>
    <s v="Middle-aged"/>
    <n v="0"/>
    <s v="No"/>
    <n v="474"/>
    <s v="High"/>
    <s v="Medium"/>
    <n v="0.16666666666666666"/>
    <s v="Low"/>
    <n v="1"/>
    <d v="2021-05-01T00:00:00"/>
    <s v="13–24 months"/>
    <s v="2–3 tickets"/>
    <s v="46+ min"/>
    <s v="301–500"/>
    <n v="5610"/>
    <n v="-66"/>
  </r>
  <r>
    <n v="10174"/>
    <n v="47"/>
    <s v="Male"/>
    <s v="Hyderabad"/>
    <d v="2023-01-31T00:00:00"/>
    <d v="2021-12-12T00:00:00"/>
    <x v="2"/>
    <n v="1003"/>
    <x v="10"/>
    <n v="2"/>
    <n v="65.33"/>
    <n v="0"/>
    <x v="2"/>
    <x v="1"/>
    <n v="18054"/>
    <b v="0"/>
    <n v="1.5"/>
    <n v="1003"/>
    <n v="21.776666666666667"/>
    <d v="2023-01-01T00:00:00"/>
    <s v="Middle-aged"/>
    <n v="0"/>
    <s v="Yes"/>
    <m/>
    <s v="High"/>
    <s v="Low"/>
    <n v="0.10526315789473684"/>
    <s v="Medium"/>
    <n v="2"/>
    <d v="2023-01-01T00:00:00"/>
    <s v="13–24 months"/>
    <s v="2–3 tickets"/>
    <s v="46+ min"/>
    <s v="1000+"/>
    <n v="18054"/>
    <n v="0"/>
  </r>
  <r>
    <n v="10175"/>
    <n v="28"/>
    <s v="Female"/>
    <s v="Bangalore"/>
    <d v="2023-04-13T00:00:00"/>
    <d v="2023-04-01T00:00:00"/>
    <x v="2"/>
    <n v="1168"/>
    <x v="22"/>
    <n v="0"/>
    <n v="47.96"/>
    <n v="20"/>
    <x v="1"/>
    <x v="1"/>
    <n v="39478.400000000001"/>
    <b v="0"/>
    <n v="2.8333333333333335"/>
    <n v="1161.129411764706"/>
    <n v="47.96"/>
    <d v="2023-04-01T00:00:00"/>
    <s v="Adult"/>
    <n v="0"/>
    <s v="Yes"/>
    <m/>
    <s v="Medium"/>
    <s v="Medium"/>
    <n v="0"/>
    <s v="High"/>
    <n v="2"/>
    <d v="2023-04-01T00:00:00"/>
    <s v="25+ months"/>
    <s v="0–1 tickets"/>
    <s v="46+ min"/>
    <s v="1000+"/>
    <n v="39712"/>
    <n v="-233.59999999999854"/>
  </r>
  <r>
    <n v="10176"/>
    <n v="45"/>
    <s v="Female"/>
    <s v="Mumbai"/>
    <d v="2022-02-09T00:00:00"/>
    <d v="2023-03-15T00:00:00"/>
    <x v="0"/>
    <n v="532"/>
    <x v="34"/>
    <n v="1"/>
    <n v="104.71"/>
    <n v="20"/>
    <x v="2"/>
    <x v="1"/>
    <n v="6277.6"/>
    <b v="1"/>
    <n v="1"/>
    <n v="523.13333333333333"/>
    <n v="52.354999999999997"/>
    <d v="2022-02-01T00:00:00"/>
    <s v="Middle-aged"/>
    <n v="0"/>
    <s v="No"/>
    <n v="399"/>
    <s v="High"/>
    <s v="Medium"/>
    <n v="7.6923076923076927E-2"/>
    <s v="Low"/>
    <n v="1"/>
    <d v="2022-02-01T00:00:00"/>
    <s v="7–12 months"/>
    <s v="0–1 tickets"/>
    <s v="46+ min"/>
    <s v="501–700"/>
    <n v="6384"/>
    <n v="-106.39999999999964"/>
  </r>
  <r>
    <n v="10177"/>
    <n v="42"/>
    <s v="Female"/>
    <s v="Mumbai"/>
    <d v="2021-10-10T00:00:00"/>
    <d v="2022-03-02T00:00:00"/>
    <x v="0"/>
    <n v="1357"/>
    <x v="24"/>
    <n v="2"/>
    <n v="40.68"/>
    <n v="15"/>
    <x v="2"/>
    <x v="1"/>
    <n v="21508.45"/>
    <b v="1"/>
    <n v="1.3333333333333333"/>
    <n v="1344.278125"/>
    <n v="13.56"/>
    <d v="2021-10-01T00:00:00"/>
    <s v="Middle-aged"/>
    <n v="0"/>
    <s v="Yes"/>
    <n v="143"/>
    <s v="Medium"/>
    <s v="Low"/>
    <n v="0.11764705882352941"/>
    <s v="High"/>
    <n v="1"/>
    <d v="2021-10-01T00:00:00"/>
    <s v="13–24 months"/>
    <s v="2–3 tickets"/>
    <s v="31–45 min"/>
    <s v="1000+"/>
    <n v="21712"/>
    <n v="-203.54999999999927"/>
  </r>
  <r>
    <n v="10178"/>
    <n v="56"/>
    <s v="Male"/>
    <s v="Mumbai"/>
    <d v="2021-12-28T00:00:00"/>
    <d v="2021-06-07T00:00:00"/>
    <x v="0"/>
    <n v="1250"/>
    <x v="2"/>
    <n v="7"/>
    <n v="14.13"/>
    <n v="20"/>
    <x v="2"/>
    <x v="1"/>
    <n v="4750"/>
    <b v="0"/>
    <n v="0.33333333333333331"/>
    <n v="1187.5"/>
    <n v="1.7662500000000001"/>
    <d v="2021-12-01T00:00:00"/>
    <s v="Older"/>
    <n v="0"/>
    <s v="No"/>
    <m/>
    <s v="Low"/>
    <s v="Medium"/>
    <n v="1.4"/>
    <s v="Low"/>
    <n v="1"/>
    <d v="2021-12-01T00:00:00"/>
    <s v="0–6 months"/>
    <s v="6+ tickets"/>
    <s v="11–20 min"/>
    <s v="1000+"/>
    <n v="5000"/>
    <n v="-250"/>
  </r>
  <r>
    <n v="10179"/>
    <n v="50"/>
    <s v="Male"/>
    <s v="Hyderabad"/>
    <d v="2022-01-14T00:00:00"/>
    <d v="2022-12-18T00:00:00"/>
    <x v="2"/>
    <n v="358"/>
    <x v="0"/>
    <n v="5"/>
    <n v="56.18"/>
    <n v="5"/>
    <x v="1"/>
    <x v="1"/>
    <n v="8932.1"/>
    <b v="1"/>
    <n v="2.0833333333333335"/>
    <n v="357.28399999999999"/>
    <n v="9.3633333333333333"/>
    <d v="2022-01-01T00:00:00"/>
    <s v="Middle-aged"/>
    <n v="0"/>
    <s v="No"/>
    <n v="338"/>
    <s v="Medium"/>
    <s v="Low"/>
    <n v="0.19230769230769232"/>
    <s v="Medium"/>
    <n v="2"/>
    <d v="2022-01-01T00:00:00"/>
    <s v="25+ months"/>
    <s v="4–5 tickets"/>
    <s v="46+ min"/>
    <s v="301–500"/>
    <n v="8950"/>
    <n v="-17.899999999999636"/>
  </r>
  <r>
    <n v="10180"/>
    <n v="18"/>
    <s v="Male"/>
    <s v="Pune"/>
    <d v="2021-07-17T00:00:00"/>
    <d v="2023-02-06T00:00:00"/>
    <x v="2"/>
    <n v="1070"/>
    <x v="22"/>
    <n v="3"/>
    <n v="95.29"/>
    <n v="10"/>
    <x v="3"/>
    <x v="0"/>
    <n v="36273"/>
    <b v="1"/>
    <n v="2.8333333333333335"/>
    <n v="1066.8529411764705"/>
    <n v="23.822500000000002"/>
    <d v="2021-07-01T00:00:00"/>
    <s v="Young"/>
    <n v="1"/>
    <s v="Yes"/>
    <n v="569"/>
    <s v="High"/>
    <s v="Low"/>
    <n v="8.5714285714285715E-2"/>
    <s v="High"/>
    <n v="2"/>
    <d v="2021-07-01T00:00:00"/>
    <s v="25+ months"/>
    <s v="2–3 tickets"/>
    <s v="46+ min"/>
    <s v="1000+"/>
    <n v="36380"/>
    <n v="-107"/>
  </r>
  <r>
    <n v="10181"/>
    <n v="44"/>
    <s v="Female"/>
    <s v="Pune"/>
    <d v="2022-07-10T00:00:00"/>
    <d v="2023-10-02T00:00:00"/>
    <x v="2"/>
    <n v="1401"/>
    <x v="29"/>
    <n v="0"/>
    <n v="8.5399999999999991"/>
    <n v="10"/>
    <x v="2"/>
    <x v="1"/>
    <n v="39087.9"/>
    <b v="1"/>
    <n v="2.3333333333333335"/>
    <n v="1395.9964285714286"/>
    <n v="8.5399999999999991"/>
    <d v="2022-07-01T00:00:00"/>
    <s v="Middle-aged"/>
    <n v="0"/>
    <s v="Yes"/>
    <n v="449"/>
    <s v="Low"/>
    <s v="Low"/>
    <n v="0"/>
    <s v="High"/>
    <n v="2"/>
    <d v="2022-07-01T00:00:00"/>
    <s v="25+ months"/>
    <s v="0–1 tickets"/>
    <s v="0–10 min"/>
    <s v="1000+"/>
    <n v="39228"/>
    <n v="-140.09999999999854"/>
  </r>
  <r>
    <n v="10182"/>
    <n v="30"/>
    <s v="Female"/>
    <s v="Chennai"/>
    <d v="2021-12-22T00:00:00"/>
    <d v="2023-09-28T00:00:00"/>
    <x v="1"/>
    <n v="1017"/>
    <x v="11"/>
    <n v="1"/>
    <n v="72.38"/>
    <n v="10"/>
    <x v="3"/>
    <x v="1"/>
    <n v="11085.3"/>
    <b v="1"/>
    <n v="0.91666666666666663"/>
    <n v="1007.7545454545453"/>
    <n v="36.19"/>
    <d v="2021-12-01T00:00:00"/>
    <s v="Adult"/>
    <n v="0"/>
    <s v="No"/>
    <n v="645"/>
    <s v="High"/>
    <s v="Low"/>
    <n v="8.3333333333333329E-2"/>
    <s v="Medium"/>
    <n v="3"/>
    <d v="2021-12-01T00:00:00"/>
    <s v="7–12 months"/>
    <s v="0–1 tickets"/>
    <s v="46+ min"/>
    <s v="1000+"/>
    <n v="11187"/>
    <n v="-101.70000000000073"/>
  </r>
  <r>
    <n v="10183"/>
    <n v="58"/>
    <s v="Male"/>
    <s v="Pune"/>
    <d v="2022-06-24T00:00:00"/>
    <d v="2022-12-25T00:00:00"/>
    <x v="1"/>
    <n v="601"/>
    <x v="19"/>
    <n v="2"/>
    <n v="73.36"/>
    <n v="15"/>
    <x v="1"/>
    <x v="1"/>
    <n v="7722.85"/>
    <b v="1"/>
    <n v="1.0833333333333333"/>
    <n v="594.06538461538469"/>
    <n v="24.453333333333333"/>
    <d v="2022-06-01T00:00:00"/>
    <s v="Older"/>
    <n v="0"/>
    <s v="No"/>
    <n v="184"/>
    <s v="High"/>
    <s v="Low"/>
    <n v="0.14285714285714285"/>
    <s v="Low"/>
    <n v="3"/>
    <d v="2022-06-01T00:00:00"/>
    <s v="13–24 months"/>
    <s v="2–3 tickets"/>
    <s v="46+ min"/>
    <s v="501–700"/>
    <n v="7813"/>
    <n v="-90.149999999999636"/>
  </r>
  <r>
    <n v="10184"/>
    <n v="20"/>
    <s v="Male"/>
    <s v="unknown"/>
    <d v="2022-03-05T00:00:00"/>
    <d v="2023-01-20T00:00:00"/>
    <x v="2"/>
    <n v="1102"/>
    <x v="27"/>
    <n v="1"/>
    <n v="111.78"/>
    <n v="15"/>
    <x v="3"/>
    <x v="1"/>
    <n v="33996.699999999997"/>
    <b v="1"/>
    <n v="2.5833333333333335"/>
    <n v="1096.6677419354837"/>
    <n v="55.89"/>
    <d v="2022-03-01T00:00:00"/>
    <s v="Young"/>
    <n v="0"/>
    <s v="Yes"/>
    <n v="321"/>
    <s v="High"/>
    <s v="Low"/>
    <n v="3.125E-2"/>
    <s v="High"/>
    <n v="2"/>
    <d v="2022-03-01T00:00:00"/>
    <s v="25+ months"/>
    <s v="0–1 tickets"/>
    <s v="46+ min"/>
    <s v="1000+"/>
    <n v="34162"/>
    <n v="-165.30000000000291"/>
  </r>
  <r>
    <n v="10185"/>
    <n v="56"/>
    <s v="Female"/>
    <s v="Hyderabad"/>
    <d v="2021-01-17T00:00:00"/>
    <d v="2023-07-10T00:00:00"/>
    <x v="0"/>
    <n v="1196"/>
    <x v="0"/>
    <n v="1"/>
    <n v="37.94"/>
    <n v="10"/>
    <x v="0"/>
    <x v="1"/>
    <n v="29780.400000000001"/>
    <b v="1"/>
    <n v="2.0833333333333335"/>
    <n v="1191.2160000000001"/>
    <n v="18.97"/>
    <d v="2021-01-01T00:00:00"/>
    <s v="Older"/>
    <n v="0"/>
    <s v="Yes"/>
    <n v="904"/>
    <s v="Medium"/>
    <s v="Low"/>
    <n v="3.8461538461538464E-2"/>
    <s v="High"/>
    <n v="1"/>
    <d v="2021-01-01T00:00:00"/>
    <s v="25+ months"/>
    <s v="0–1 tickets"/>
    <s v="31–45 min"/>
    <s v="1000+"/>
    <n v="29900"/>
    <n v="-119.59999999999854"/>
  </r>
  <r>
    <n v="10186"/>
    <n v="23"/>
    <s v="Female"/>
    <s v="Mumbai"/>
    <d v="2022-10-01T00:00:00"/>
    <d v="2021-11-25T00:00:00"/>
    <x v="2"/>
    <n v="411"/>
    <x v="32"/>
    <n v="1"/>
    <n v="37.07"/>
    <n v="0"/>
    <x v="2"/>
    <x v="1"/>
    <n v="4110"/>
    <b v="0"/>
    <n v="0.83333333333333337"/>
    <n v="411"/>
    <n v="18.535"/>
    <d v="2022-10-01T00:00:00"/>
    <s v="Young"/>
    <n v="0"/>
    <s v="No"/>
    <m/>
    <s v="Medium"/>
    <s v="Low"/>
    <n v="9.0909090909090912E-2"/>
    <s v="Low"/>
    <n v="2"/>
    <d v="2022-10-01T00:00:00"/>
    <s v="7–12 months"/>
    <s v="0–1 tickets"/>
    <s v="31–45 min"/>
    <s v="301–500"/>
    <n v="4110"/>
    <n v="0"/>
  </r>
  <r>
    <n v="10187"/>
    <n v="25"/>
    <s v="Female"/>
    <s v="Pune"/>
    <d v="2022-01-14T00:00:00"/>
    <d v="2022-01-28T00:00:00"/>
    <x v="0"/>
    <n v="616"/>
    <x v="30"/>
    <n v="5"/>
    <n v="55.66"/>
    <n v="10"/>
    <x v="1"/>
    <x v="0"/>
    <n v="14722.4"/>
    <b v="1"/>
    <n v="2"/>
    <n v="613.43333333333328"/>
    <n v="9.2766666666666655"/>
    <d v="2022-01-01T00:00:00"/>
    <s v="Young"/>
    <n v="1"/>
    <s v="Yes"/>
    <n v="14"/>
    <s v="Medium"/>
    <s v="Low"/>
    <n v="0.2"/>
    <s v="Medium"/>
    <n v="1"/>
    <d v="2022-01-01T00:00:00"/>
    <s v="13–24 months"/>
    <s v="4–5 tickets"/>
    <s v="46+ min"/>
    <s v="501–700"/>
    <n v="14784"/>
    <n v="-61.600000000000364"/>
  </r>
  <r>
    <n v="10188"/>
    <n v="44"/>
    <s v="Female"/>
    <s v="Hyderabad"/>
    <d v="2022-11-11T00:00:00"/>
    <d v="2021-12-20T00:00:00"/>
    <x v="2"/>
    <n v="1468"/>
    <x v="7"/>
    <n v="2"/>
    <n v="46.05"/>
    <n v="20"/>
    <x v="1"/>
    <x v="1"/>
    <n v="1174.4000000000001"/>
    <b v="0"/>
    <n v="8.3333333333333329E-2"/>
    <n v="1174.4000000000001"/>
    <n v="15.35"/>
    <d v="2022-11-01T00:00:00"/>
    <s v="Middle-aged"/>
    <n v="0"/>
    <s v="No"/>
    <m/>
    <s v="Medium"/>
    <s v="Medium"/>
    <n v="1"/>
    <s v="Low"/>
    <n v="2"/>
    <d v="2022-11-01T00:00:00"/>
    <s v="0–6 months"/>
    <s v="2–3 tickets"/>
    <s v="46+ min"/>
    <s v="1000+"/>
    <n v="1468"/>
    <n v="-293.59999999999991"/>
  </r>
  <r>
    <n v="10189"/>
    <n v="26"/>
    <s v="Male"/>
    <s v="Pune"/>
    <d v="2022-05-21T00:00:00"/>
    <d v="2022-11-25T00:00:00"/>
    <x v="2"/>
    <n v="967"/>
    <x v="0"/>
    <n v="1"/>
    <n v="89.68"/>
    <n v="10"/>
    <x v="3"/>
    <x v="0"/>
    <n v="24078.3"/>
    <b v="1"/>
    <n v="2.0833333333333335"/>
    <n v="963.13199999999995"/>
    <n v="44.84"/>
    <d v="2022-05-01T00:00:00"/>
    <s v="Adult"/>
    <n v="1"/>
    <s v="Yes"/>
    <n v="188"/>
    <s v="High"/>
    <s v="Low"/>
    <n v="3.8461538461538464E-2"/>
    <s v="High"/>
    <n v="2"/>
    <d v="2022-05-01T00:00:00"/>
    <s v="25+ months"/>
    <s v="0–1 tickets"/>
    <s v="46+ min"/>
    <s v="701–1000"/>
    <n v="24175"/>
    <n v="-96.700000000000728"/>
  </r>
  <r>
    <n v="10190"/>
    <n v="54"/>
    <s v="Male"/>
    <s v="Bangalore"/>
    <d v="2023-01-26T00:00:00"/>
    <d v="2023-08-10T00:00:00"/>
    <x v="0"/>
    <n v="989"/>
    <x v="29"/>
    <n v="3"/>
    <n v="78.8"/>
    <n v="10"/>
    <x v="2"/>
    <x v="0"/>
    <n v="27593.1"/>
    <b v="1"/>
    <n v="2.3333333333333335"/>
    <n v="985.46785714285704"/>
    <n v="19.7"/>
    <d v="2023-01-01T00:00:00"/>
    <s v="Older"/>
    <n v="1"/>
    <s v="Yes"/>
    <n v="196"/>
    <s v="High"/>
    <s v="Low"/>
    <n v="0.10344827586206896"/>
    <s v="High"/>
    <n v="1"/>
    <d v="2023-01-01T00:00:00"/>
    <s v="25+ months"/>
    <s v="2–3 tickets"/>
    <s v="46+ min"/>
    <s v="701–1000"/>
    <n v="27692"/>
    <n v="-98.900000000001455"/>
  </r>
  <r>
    <n v="10191"/>
    <n v="50"/>
    <s v="Female"/>
    <s v="Mumbai"/>
    <d v="2023-06-18T00:00:00"/>
    <d v="2022-09-05T00:00:00"/>
    <x v="1"/>
    <n v="317"/>
    <x v="10"/>
    <n v="5"/>
    <n v="92.28"/>
    <n v="0"/>
    <x v="1"/>
    <x v="1"/>
    <n v="5706"/>
    <b v="0"/>
    <n v="1.5"/>
    <n v="317"/>
    <n v="15.38"/>
    <d v="2023-06-01T00:00:00"/>
    <s v="Middle-aged"/>
    <n v="0"/>
    <s v="No"/>
    <m/>
    <s v="High"/>
    <s v="Low"/>
    <n v="0.26315789473684209"/>
    <s v="Low"/>
    <n v="3"/>
    <d v="2023-06-01T00:00:00"/>
    <s v="13–24 months"/>
    <s v="4–5 tickets"/>
    <s v="46+ min"/>
    <s v="301–500"/>
    <n v="5706"/>
    <n v="0"/>
  </r>
  <r>
    <n v="10192"/>
    <n v="59"/>
    <s v="Female"/>
    <s v="Bangalore"/>
    <d v="2021-03-17T00:00:00"/>
    <d v="2021-08-19T00:00:00"/>
    <x v="0"/>
    <n v="1478"/>
    <x v="20"/>
    <n v="1"/>
    <n v="99.3"/>
    <n v="15"/>
    <x v="0"/>
    <x v="1"/>
    <n v="8646.2999999999993"/>
    <b v="1"/>
    <n v="0.5"/>
    <n v="1441.05"/>
    <n v="49.65"/>
    <d v="2021-03-01T00:00:00"/>
    <s v="Older"/>
    <n v="0"/>
    <s v="No"/>
    <n v="155"/>
    <s v="High"/>
    <s v="Low"/>
    <n v="0.14285714285714285"/>
    <s v="Low"/>
    <n v="1"/>
    <d v="2021-03-01T00:00:00"/>
    <s v="0–6 months"/>
    <s v="0–1 tickets"/>
    <s v="46+ min"/>
    <s v="1000+"/>
    <n v="8868"/>
    <n v="-221.70000000000073"/>
  </r>
  <r>
    <n v="10193"/>
    <n v="61"/>
    <s v="Male"/>
    <s v="Mumbai"/>
    <d v="2021-08-19T00:00:00"/>
    <d v="2022-11-05T00:00:00"/>
    <x v="2"/>
    <n v="1077"/>
    <x v="4"/>
    <n v="3"/>
    <n v="111.14"/>
    <n v="15"/>
    <x v="3"/>
    <x v="1"/>
    <n v="1992.45"/>
    <b v="1"/>
    <n v="0.16666666666666666"/>
    <n v="996.22500000000002"/>
    <n v="27.785"/>
    <d v="2021-08-01T00:00:00"/>
    <s v="Older"/>
    <n v="0"/>
    <s v="No"/>
    <n v="443"/>
    <s v="High"/>
    <s v="Low"/>
    <n v="1"/>
    <s v="Low"/>
    <n v="2"/>
    <d v="2021-08-01T00:00:00"/>
    <s v="0–6 months"/>
    <s v="2–3 tickets"/>
    <s v="46+ min"/>
    <s v="1000+"/>
    <n v="2154"/>
    <n v="-161.54999999999995"/>
  </r>
  <r>
    <n v="10194"/>
    <n v="41"/>
    <s v="Female"/>
    <s v="unknown"/>
    <d v="2022-12-17T00:00:00"/>
    <d v="2022-07-22T00:00:00"/>
    <x v="0"/>
    <n v="659"/>
    <x v="13"/>
    <n v="1"/>
    <n v="54.56"/>
    <n v="20"/>
    <x v="0"/>
    <x v="1"/>
    <n v="1845.2"/>
    <b v="0"/>
    <n v="0.25"/>
    <n v="615.06666666666672"/>
    <n v="27.28"/>
    <d v="2022-12-01T00:00:00"/>
    <s v="Middle-aged"/>
    <n v="0"/>
    <s v="No"/>
    <m/>
    <s v="Medium"/>
    <s v="Medium"/>
    <n v="0.25"/>
    <s v="Low"/>
    <n v="1"/>
    <d v="2022-12-01T00:00:00"/>
    <s v="0–6 months"/>
    <s v="0–1 tickets"/>
    <s v="46+ min"/>
    <s v="501–700"/>
    <n v="1977"/>
    <n v="-131.79999999999995"/>
  </r>
  <r>
    <n v="10195"/>
    <n v="32"/>
    <s v="Female"/>
    <s v="Chennai"/>
    <d v="2021-09-05T00:00:00"/>
    <d v="2023-07-06T00:00:00"/>
    <x v="1"/>
    <n v="631"/>
    <x v="14"/>
    <n v="3"/>
    <n v="118.24"/>
    <n v="10"/>
    <x v="0"/>
    <x v="1"/>
    <n v="4984.8999999999996"/>
    <b v="1"/>
    <n v="0.66666666666666663"/>
    <n v="623.11249999999995"/>
    <n v="29.56"/>
    <d v="2021-09-01T00:00:00"/>
    <s v="Adult"/>
    <n v="0"/>
    <s v="No"/>
    <n v="669"/>
    <s v="High"/>
    <s v="Low"/>
    <n v="0.33333333333333331"/>
    <s v="Low"/>
    <n v="3"/>
    <d v="2021-09-01T00:00:00"/>
    <s v="7–12 months"/>
    <s v="2–3 tickets"/>
    <s v="46+ min"/>
    <s v="501–700"/>
    <n v="5048"/>
    <n v="-63.100000000000364"/>
  </r>
  <r>
    <n v="10196"/>
    <n v="49"/>
    <s v="Female"/>
    <s v="Pune"/>
    <d v="2021-10-29T00:00:00"/>
    <d v="2022-06-19T00:00:00"/>
    <x v="0"/>
    <n v="827"/>
    <x v="27"/>
    <n v="5"/>
    <n v="29.8"/>
    <n v="5"/>
    <x v="3"/>
    <x v="1"/>
    <n v="25595.65"/>
    <b v="1"/>
    <n v="2.5833333333333335"/>
    <n v="825.66612903225814"/>
    <n v="4.9666666666666668"/>
    <d v="2021-10-01T00:00:00"/>
    <s v="Middle-aged"/>
    <n v="0"/>
    <s v="Yes"/>
    <n v="233"/>
    <s v="Medium"/>
    <s v="Low"/>
    <n v="0.15625"/>
    <s v="High"/>
    <n v="1"/>
    <d v="2021-10-01T00:00:00"/>
    <s v="25+ months"/>
    <s v="4–5 tickets"/>
    <s v="21–30 min"/>
    <s v="701–1000"/>
    <n v="25637"/>
    <n v="-41.349999999998545"/>
  </r>
  <r>
    <n v="10197"/>
    <n v="49"/>
    <s v="Female"/>
    <s v="Pune"/>
    <d v="2022-12-27T00:00:00"/>
    <d v="2022-06-26T00:00:00"/>
    <x v="0"/>
    <n v="311"/>
    <x v="17"/>
    <n v="2"/>
    <n v="87.15"/>
    <n v="20"/>
    <x v="0"/>
    <x v="1"/>
    <n v="5846.8"/>
    <b v="0"/>
    <n v="1.5833333333333333"/>
    <n v="307.72631578947369"/>
    <n v="29.05"/>
    <d v="2022-12-01T00:00:00"/>
    <s v="Middle-aged"/>
    <n v="0"/>
    <s v="No"/>
    <m/>
    <s v="High"/>
    <s v="Medium"/>
    <n v="0.1"/>
    <s v="Low"/>
    <n v="1"/>
    <d v="2022-12-01T00:00:00"/>
    <s v="13–24 months"/>
    <s v="2–3 tickets"/>
    <s v="46+ min"/>
    <s v="301–500"/>
    <n v="5909"/>
    <n v="-62.199999999999818"/>
  </r>
  <r>
    <n v="10198"/>
    <n v="41"/>
    <s v="Male"/>
    <s v="Delhi"/>
    <d v="2021-08-03T00:00:00"/>
    <d v="2023-11-13T00:00:00"/>
    <x v="0"/>
    <n v="1398"/>
    <x v="20"/>
    <n v="1"/>
    <n v="66.41"/>
    <n v="15"/>
    <x v="3"/>
    <x v="0"/>
    <n v="8178.3"/>
    <b v="1"/>
    <n v="0.5"/>
    <n v="1363.05"/>
    <n v="33.204999999999998"/>
    <d v="2021-08-01T00:00:00"/>
    <s v="Middle-aged"/>
    <n v="1"/>
    <s v="No"/>
    <n v="832"/>
    <s v="High"/>
    <s v="Low"/>
    <n v="0.14285714285714285"/>
    <s v="Low"/>
    <n v="1"/>
    <d v="2021-08-01T00:00:00"/>
    <s v="0–6 months"/>
    <s v="0–1 tickets"/>
    <s v="46+ min"/>
    <s v="1000+"/>
    <n v="8388"/>
    <n v="-209.69999999999982"/>
  </r>
  <r>
    <n v="10199"/>
    <n v="58"/>
    <s v="Female"/>
    <s v="Bangalore"/>
    <d v="2021-06-07T00:00:00"/>
    <d v="2023-08-08T00:00:00"/>
    <x v="0"/>
    <n v="511"/>
    <x v="25"/>
    <n v="0"/>
    <n v="98.94"/>
    <n v="10"/>
    <x v="3"/>
    <x v="1"/>
    <n v="7154"/>
    <b v="1"/>
    <n v="1.1666666666666667"/>
    <n v="511"/>
    <n v="98.94"/>
    <d v="2021-06-01T00:00:00"/>
    <s v="Older"/>
    <n v="0"/>
    <s v="No"/>
    <n v="792"/>
    <s v="High"/>
    <s v="Low"/>
    <n v="0"/>
    <s v="Low"/>
    <n v="1"/>
    <d v="2021-06-01T00:00:00"/>
    <s v="13–24 months"/>
    <s v="0–1 tickets"/>
    <s v="46+ min"/>
    <s v="501–700"/>
    <n v="7154"/>
    <n v="0"/>
  </r>
  <r>
    <n v="10200"/>
    <n v="29"/>
    <s v="Female"/>
    <s v="Pune"/>
    <d v="2021-03-10T00:00:00"/>
    <d v="2023-04-19T00:00:00"/>
    <x v="0"/>
    <n v="940"/>
    <x v="13"/>
    <n v="1"/>
    <n v="59.83"/>
    <n v="15"/>
    <x v="1"/>
    <x v="0"/>
    <n v="2679"/>
    <b v="1"/>
    <n v="0.25"/>
    <n v="893"/>
    <n v="29.914999999999999"/>
    <d v="2021-03-01T00:00:00"/>
    <s v="Adult"/>
    <n v="1"/>
    <s v="No"/>
    <n v="770"/>
    <s v="Medium"/>
    <s v="Low"/>
    <n v="0.25"/>
    <s v="Low"/>
    <n v="1"/>
    <d v="2021-03-01T00:00:00"/>
    <s v="0–6 months"/>
    <s v="0–1 tickets"/>
    <s v="46+ min"/>
    <s v="701–1000"/>
    <n v="2820"/>
    <n v="-141"/>
  </r>
  <r>
    <n v="10201"/>
    <n v="56"/>
    <s v="Female"/>
    <s v="Hyderabad"/>
    <d v="2022-01-28T00:00:00"/>
    <d v="2021-10-04T00:00:00"/>
    <x v="2"/>
    <n v="582"/>
    <x v="7"/>
    <n v="3"/>
    <n v="95.15"/>
    <n v="15"/>
    <x v="1"/>
    <x v="1"/>
    <n v="494.7"/>
    <b v="0"/>
    <n v="8.3333333333333329E-2"/>
    <n v="494.7"/>
    <n v="23.787500000000001"/>
    <d v="2022-01-01T00:00:00"/>
    <s v="Older"/>
    <n v="0"/>
    <s v="No"/>
    <m/>
    <s v="High"/>
    <s v="Low"/>
    <n v="1.5"/>
    <s v="Low"/>
    <n v="2"/>
    <d v="2022-01-01T00:00:00"/>
    <s v="0–6 months"/>
    <s v="2–3 tickets"/>
    <s v="46+ min"/>
    <s v="501–700"/>
    <n v="582"/>
    <n v="-87.300000000000011"/>
  </r>
  <r>
    <n v="10202"/>
    <n v="19"/>
    <s v="Female"/>
    <s v="Chennai"/>
    <d v="2021-03-26T00:00:00"/>
    <d v="2022-10-07T00:00:00"/>
    <x v="0"/>
    <n v="1079"/>
    <x v="3"/>
    <n v="4"/>
    <n v="62.59"/>
    <n v="0"/>
    <x v="0"/>
    <x v="1"/>
    <n v="32370"/>
    <b v="1"/>
    <n v="2.5"/>
    <n v="1079"/>
    <n v="12.518000000000001"/>
    <d v="2021-03-01T00:00:00"/>
    <s v="Young"/>
    <n v="0"/>
    <s v="Yes"/>
    <n v="560"/>
    <s v="High"/>
    <s v="Low"/>
    <n v="0.12903225806451613"/>
    <s v="High"/>
    <n v="1"/>
    <d v="2021-03-01T00:00:00"/>
    <s v="25+ months"/>
    <s v="4–5 tickets"/>
    <s v="46+ min"/>
    <s v="1000+"/>
    <n v="32370"/>
    <n v="0"/>
  </r>
  <r>
    <n v="10203"/>
    <n v="20"/>
    <s v="Female"/>
    <s v="Hyderabad"/>
    <d v="2021-09-24T00:00:00"/>
    <d v="2021-07-17T00:00:00"/>
    <x v="0"/>
    <n v="1353"/>
    <x v="17"/>
    <n v="1"/>
    <n v="89.21"/>
    <n v="10"/>
    <x v="0"/>
    <x v="1"/>
    <n v="25571.7"/>
    <b v="0"/>
    <n v="1.5833333333333333"/>
    <n v="1345.878947368421"/>
    <n v="44.604999999999997"/>
    <d v="2021-09-01T00:00:00"/>
    <s v="Young"/>
    <n v="0"/>
    <s v="Yes"/>
    <m/>
    <s v="High"/>
    <s v="Low"/>
    <n v="0.05"/>
    <s v="High"/>
    <n v="1"/>
    <d v="2021-09-01T00:00:00"/>
    <s v="13–24 months"/>
    <s v="0–1 tickets"/>
    <s v="46+ min"/>
    <s v="1000+"/>
    <n v="25707"/>
    <n v="-135.29999999999927"/>
  </r>
  <r>
    <n v="10204"/>
    <n v="54"/>
    <s v="Male"/>
    <s v="Bangalore"/>
    <d v="2021-03-10T00:00:00"/>
    <d v="2023-05-19T00:00:00"/>
    <x v="0"/>
    <n v="1332"/>
    <x v="17"/>
    <n v="5"/>
    <n v="94.25"/>
    <n v="10"/>
    <x v="0"/>
    <x v="1"/>
    <n v="25174.799999999999"/>
    <b v="1"/>
    <n v="1.5833333333333333"/>
    <n v="1324.9894736842105"/>
    <n v="15.708333333333334"/>
    <d v="2021-03-01T00:00:00"/>
    <s v="Older"/>
    <n v="0"/>
    <s v="Yes"/>
    <n v="800"/>
    <s v="High"/>
    <s v="Low"/>
    <n v="0.25"/>
    <s v="High"/>
    <n v="1"/>
    <d v="2021-03-01T00:00:00"/>
    <s v="13–24 months"/>
    <s v="4–5 tickets"/>
    <s v="46+ min"/>
    <s v="1000+"/>
    <n v="25308"/>
    <n v="-133.20000000000073"/>
  </r>
  <r>
    <n v="10205"/>
    <n v="34"/>
    <s v="Female"/>
    <s v="Delhi"/>
    <d v="2022-09-03T00:00:00"/>
    <d v="2022-09-19T00:00:00"/>
    <x v="1"/>
    <n v="976"/>
    <x v="9"/>
    <n v="2"/>
    <n v="12.73"/>
    <n v="15"/>
    <x v="0"/>
    <x v="0"/>
    <n v="8637.6"/>
    <b v="1"/>
    <n v="0.75"/>
    <n v="959.73333333333335"/>
    <n v="4.2433333333333332"/>
    <d v="2022-09-01T00:00:00"/>
    <s v="Adult"/>
    <n v="1"/>
    <s v="No"/>
    <n v="16"/>
    <s v="Low"/>
    <s v="Low"/>
    <n v="0.2"/>
    <s v="Low"/>
    <n v="3"/>
    <d v="2022-09-01T00:00:00"/>
    <s v="7–12 months"/>
    <s v="2–3 tickets"/>
    <s v="11–20 min"/>
    <s v="701–1000"/>
    <n v="8784"/>
    <n v="-146.39999999999964"/>
  </r>
  <r>
    <n v="10206"/>
    <n v="19"/>
    <s v="Female"/>
    <s v="unknown"/>
    <d v="2021-12-13T00:00:00"/>
    <d v="2023-02-09T00:00:00"/>
    <x v="2"/>
    <n v="1004"/>
    <x v="16"/>
    <n v="3"/>
    <n v="28.57"/>
    <n v="20"/>
    <x v="0"/>
    <x v="1"/>
    <n v="6827.2"/>
    <b v="1"/>
    <n v="0.58333333333333337"/>
    <n v="975.31428571428569"/>
    <n v="7.1425000000000001"/>
    <d v="2021-12-01T00:00:00"/>
    <s v="Young"/>
    <n v="0"/>
    <s v="No"/>
    <n v="423"/>
    <s v="Medium"/>
    <s v="Medium"/>
    <n v="0.375"/>
    <s v="Low"/>
    <n v="2"/>
    <d v="2021-12-01T00:00:00"/>
    <s v="7–12 months"/>
    <s v="2–3 tickets"/>
    <s v="21–30 min"/>
    <s v="1000+"/>
    <n v="7028"/>
    <n v="-200.80000000000018"/>
  </r>
  <r>
    <n v="10207"/>
    <n v="19"/>
    <s v="Female"/>
    <s v="Hyderabad"/>
    <d v="2022-12-29T00:00:00"/>
    <d v="2022-09-07T00:00:00"/>
    <x v="2"/>
    <n v="725"/>
    <x v="16"/>
    <n v="1"/>
    <n v="117.04"/>
    <n v="5"/>
    <x v="1"/>
    <x v="1"/>
    <n v="5038.75"/>
    <b v="0"/>
    <n v="0.58333333333333337"/>
    <n v="719.82142857142856"/>
    <n v="58.52"/>
    <d v="2022-12-01T00:00:00"/>
    <s v="Young"/>
    <n v="0"/>
    <s v="No"/>
    <m/>
    <s v="High"/>
    <s v="Low"/>
    <n v="0.125"/>
    <s v="Low"/>
    <n v="2"/>
    <d v="2022-12-01T00:00:00"/>
    <s v="7–12 months"/>
    <s v="0–1 tickets"/>
    <s v="46+ min"/>
    <s v="701–1000"/>
    <n v="5075"/>
    <n v="-36.25"/>
  </r>
  <r>
    <n v="10208"/>
    <n v="45"/>
    <s v="Female"/>
    <s v="Mumbai"/>
    <d v="2022-11-04T00:00:00"/>
    <d v="2023-07-27T00:00:00"/>
    <x v="2"/>
    <n v="890"/>
    <x v="9"/>
    <n v="3"/>
    <n v="84.72"/>
    <n v="20"/>
    <x v="0"/>
    <x v="1"/>
    <n v="7832"/>
    <b v="1"/>
    <n v="0.75"/>
    <n v="870.22222222222217"/>
    <n v="21.18"/>
    <d v="2022-11-01T00:00:00"/>
    <s v="Middle-aged"/>
    <n v="0"/>
    <s v="No"/>
    <n v="265"/>
    <s v="High"/>
    <s v="Medium"/>
    <n v="0.3"/>
    <s v="Low"/>
    <n v="2"/>
    <d v="2022-11-01T00:00:00"/>
    <s v="7–12 months"/>
    <s v="2–3 tickets"/>
    <s v="46+ min"/>
    <s v="701–1000"/>
    <n v="8010"/>
    <n v="-178"/>
  </r>
  <r>
    <n v="10209"/>
    <n v="40"/>
    <s v="Female"/>
    <s v="Chennai"/>
    <d v="2022-02-27T00:00:00"/>
    <d v="2023-09-27T00:00:00"/>
    <x v="0"/>
    <n v="390"/>
    <x v="2"/>
    <n v="1"/>
    <n v="69.569999999999993"/>
    <n v="20"/>
    <x v="0"/>
    <x v="1"/>
    <n v="1482"/>
    <b v="1"/>
    <n v="0.33333333333333331"/>
    <n v="370.5"/>
    <n v="34.784999999999997"/>
    <d v="2022-02-01T00:00:00"/>
    <s v="Middle-aged"/>
    <n v="0"/>
    <s v="No"/>
    <n v="577"/>
    <s v="High"/>
    <s v="Medium"/>
    <n v="0.2"/>
    <s v="Low"/>
    <n v="1"/>
    <d v="2022-02-01T00:00:00"/>
    <s v="0–6 months"/>
    <s v="0–1 tickets"/>
    <s v="46+ min"/>
    <s v="301–500"/>
    <n v="1560"/>
    <n v="-78"/>
  </r>
  <r>
    <n v="10210"/>
    <n v="54"/>
    <s v="Male"/>
    <s v="Hyderabad"/>
    <d v="2022-08-29T00:00:00"/>
    <d v="2021-10-01T00:00:00"/>
    <x v="0"/>
    <n v="755"/>
    <x v="0"/>
    <n v="5"/>
    <n v="47.2"/>
    <n v="15"/>
    <x v="2"/>
    <x v="1"/>
    <n v="18761.75"/>
    <b v="0"/>
    <n v="2.0833333333333335"/>
    <n v="750.47"/>
    <n v="7.8666666666666671"/>
    <d v="2022-08-01T00:00:00"/>
    <s v="Older"/>
    <n v="0"/>
    <s v="Yes"/>
    <m/>
    <s v="Medium"/>
    <s v="Low"/>
    <n v="0.19230769230769232"/>
    <s v="Medium"/>
    <n v="1"/>
    <d v="2022-08-01T00:00:00"/>
    <s v="25+ months"/>
    <s v="4–5 tickets"/>
    <s v="46+ min"/>
    <s v="701–1000"/>
    <n v="18875"/>
    <n v="-113.25"/>
  </r>
  <r>
    <n v="10211"/>
    <n v="49"/>
    <s v="Female"/>
    <s v="unknown"/>
    <d v="2021-06-23T00:00:00"/>
    <d v="2022-09-17T00:00:00"/>
    <x v="0"/>
    <n v="743"/>
    <x v="34"/>
    <n v="4"/>
    <n v="10.1"/>
    <n v="15"/>
    <x v="3"/>
    <x v="1"/>
    <n v="8804.5499999999993"/>
    <b v="1"/>
    <n v="1"/>
    <n v="733.71249999999998"/>
    <n v="2.02"/>
    <d v="2021-06-01T00:00:00"/>
    <s v="Middle-aged"/>
    <n v="0"/>
    <s v="No"/>
    <n v="451"/>
    <s v="Low"/>
    <s v="Low"/>
    <n v="0.30769230769230771"/>
    <s v="Low"/>
    <n v="1"/>
    <d v="2021-06-01T00:00:00"/>
    <s v="7–12 months"/>
    <s v="4–5 tickets"/>
    <s v="11–20 min"/>
    <s v="701–1000"/>
    <n v="8916"/>
    <n v="-111.45000000000073"/>
  </r>
  <r>
    <n v="10212"/>
    <n v="50"/>
    <s v="Male"/>
    <s v="Pune"/>
    <d v="2022-11-08T00:00:00"/>
    <d v="2021-10-12T00:00:00"/>
    <x v="1"/>
    <n v="378"/>
    <x v="20"/>
    <n v="2"/>
    <n v="47.45"/>
    <n v="5"/>
    <x v="3"/>
    <x v="0"/>
    <n v="2249.1"/>
    <b v="0"/>
    <n v="0.5"/>
    <n v="374.84999999999997"/>
    <n v="15.816666666666668"/>
    <d v="2022-11-01T00:00:00"/>
    <s v="Middle-aged"/>
    <n v="1"/>
    <s v="No"/>
    <m/>
    <s v="Medium"/>
    <s v="Low"/>
    <n v="0.2857142857142857"/>
    <s v="Low"/>
    <n v="3"/>
    <d v="2022-11-01T00:00:00"/>
    <s v="0–6 months"/>
    <s v="2–3 tickets"/>
    <s v="46+ min"/>
    <s v="301–500"/>
    <n v="2268"/>
    <n v="-18.900000000000091"/>
  </r>
  <r>
    <n v="10213"/>
    <n v="18"/>
    <s v="Male"/>
    <s v="Mumbai"/>
    <d v="2021-04-25T00:00:00"/>
    <d v="2023-02-09T00:00:00"/>
    <x v="1"/>
    <n v="1226"/>
    <x v="10"/>
    <n v="3"/>
    <n v="62.37"/>
    <n v="5"/>
    <x v="1"/>
    <x v="0"/>
    <n v="22006.7"/>
    <b v="1"/>
    <n v="1.5"/>
    <n v="1222.5944444444444"/>
    <n v="15.592499999999999"/>
    <d v="2021-04-01T00:00:00"/>
    <s v="Young"/>
    <n v="1"/>
    <s v="Yes"/>
    <n v="655"/>
    <s v="High"/>
    <s v="Low"/>
    <n v="0.15789473684210525"/>
    <s v="High"/>
    <n v="3"/>
    <d v="2021-04-01T00:00:00"/>
    <s v="13–24 months"/>
    <s v="2–3 tickets"/>
    <s v="46+ min"/>
    <s v="1000+"/>
    <n v="22068"/>
    <n v="-61.299999999999272"/>
  </r>
  <r>
    <n v="10214"/>
    <n v="36"/>
    <s v="Female"/>
    <s v="Delhi"/>
    <d v="2021-08-08T00:00:00"/>
    <d v="2023-08-26T00:00:00"/>
    <x v="2"/>
    <n v="402"/>
    <x v="6"/>
    <n v="1"/>
    <n v="29.32"/>
    <n v="10"/>
    <x v="3"/>
    <x v="1"/>
    <n v="8421.9"/>
    <b v="1"/>
    <n v="1.75"/>
    <n v="401.04285714285714"/>
    <n v="14.66"/>
    <d v="2021-08-01T00:00:00"/>
    <s v="Middle-aged"/>
    <n v="0"/>
    <s v="No"/>
    <n v="748"/>
    <s v="Medium"/>
    <s v="Low"/>
    <n v="4.5454545454545456E-2"/>
    <s v="Low"/>
    <n v="2"/>
    <d v="2021-08-01T00:00:00"/>
    <s v="13–24 months"/>
    <s v="0–1 tickets"/>
    <s v="21–30 min"/>
    <s v="301–500"/>
    <n v="8442"/>
    <n v="-20.100000000000364"/>
  </r>
  <r>
    <n v="10215"/>
    <n v="19"/>
    <s v="Female"/>
    <s v="Delhi"/>
    <d v="2021-01-31T00:00:00"/>
    <d v="2023-09-19T00:00:00"/>
    <x v="0"/>
    <n v="922"/>
    <x v="15"/>
    <n v="2"/>
    <n v="24.91"/>
    <n v="15"/>
    <x v="0"/>
    <x v="1"/>
    <n v="13691.7"/>
    <b v="1"/>
    <n v="1.25"/>
    <n v="912.78000000000009"/>
    <n v="8.3033333333333328"/>
    <d v="2021-01-01T00:00:00"/>
    <s v="Young"/>
    <n v="0"/>
    <s v="Yes"/>
    <n v="961"/>
    <s v="Medium"/>
    <s v="Low"/>
    <n v="0.125"/>
    <s v="Medium"/>
    <n v="1"/>
    <d v="2021-01-01T00:00:00"/>
    <s v="13–24 months"/>
    <s v="2–3 tickets"/>
    <s v="21–30 min"/>
    <s v="701–1000"/>
    <n v="13830"/>
    <n v="-138.29999999999927"/>
  </r>
  <r>
    <n v="10216"/>
    <n v="61"/>
    <s v="Male"/>
    <s v="Mumbai"/>
    <d v="2022-06-07T00:00:00"/>
    <d v="2022-12-14T00:00:00"/>
    <x v="0"/>
    <n v="1289"/>
    <x v="13"/>
    <n v="1"/>
    <n v="63.47"/>
    <n v="15"/>
    <x v="3"/>
    <x v="1"/>
    <n v="3673.65"/>
    <b v="1"/>
    <n v="0.25"/>
    <n v="1224.55"/>
    <n v="31.734999999999999"/>
    <d v="2022-06-01T00:00:00"/>
    <s v="Older"/>
    <n v="0"/>
    <s v="No"/>
    <n v="190"/>
    <s v="High"/>
    <s v="Low"/>
    <n v="0.25"/>
    <s v="Low"/>
    <n v="1"/>
    <d v="2022-06-01T00:00:00"/>
    <s v="0–6 months"/>
    <s v="0–1 tickets"/>
    <s v="46+ min"/>
    <s v="1000+"/>
    <n v="3867"/>
    <n v="-193.34999999999991"/>
  </r>
  <r>
    <n v="10217"/>
    <n v="43"/>
    <s v="Male"/>
    <s v="Chennai"/>
    <d v="2021-12-09T00:00:00"/>
    <d v="2023-09-27T00:00:00"/>
    <x v="0"/>
    <n v="533"/>
    <x v="4"/>
    <n v="5"/>
    <n v="72.38"/>
    <n v="20"/>
    <x v="1"/>
    <x v="1"/>
    <n v="959.4"/>
    <b v="1"/>
    <n v="0.16666666666666666"/>
    <n v="479.7"/>
    <n v="12.063333333333333"/>
    <d v="2021-12-01T00:00:00"/>
    <s v="Middle-aged"/>
    <n v="0"/>
    <s v="No"/>
    <n v="657"/>
    <s v="High"/>
    <s v="Medium"/>
    <n v="1.6666666666666667"/>
    <s v="Low"/>
    <n v="1"/>
    <d v="2021-12-01T00:00:00"/>
    <s v="0–6 months"/>
    <s v="4–5 tickets"/>
    <s v="46+ min"/>
    <s v="501–700"/>
    <n v="1066"/>
    <n v="-106.60000000000002"/>
  </r>
  <r>
    <n v="10218"/>
    <n v="49"/>
    <s v="Female"/>
    <s v="Pune"/>
    <d v="2022-01-12T00:00:00"/>
    <d v="2023-01-28T00:00:00"/>
    <x v="2"/>
    <n v="943"/>
    <x v="2"/>
    <n v="1"/>
    <n v="32.590000000000003"/>
    <n v="10"/>
    <x v="3"/>
    <x v="1"/>
    <n v="3630.55"/>
    <b v="1"/>
    <n v="0.33333333333333331"/>
    <n v="907.63750000000005"/>
    <n v="16.295000000000002"/>
    <d v="2022-01-01T00:00:00"/>
    <s v="Middle-aged"/>
    <n v="0"/>
    <s v="No"/>
    <n v="381"/>
    <s v="Medium"/>
    <s v="Low"/>
    <n v="0.2"/>
    <s v="Low"/>
    <n v="2"/>
    <d v="2022-01-01T00:00:00"/>
    <s v="0–6 months"/>
    <s v="0–1 tickets"/>
    <s v="31–45 min"/>
    <s v="701–1000"/>
    <n v="3772"/>
    <n v="-141.44999999999982"/>
  </r>
  <r>
    <n v="10219"/>
    <n v="23"/>
    <s v="Male"/>
    <s v="Hyderabad"/>
    <d v="2021-05-10T00:00:00"/>
    <d v="2023-07-20T00:00:00"/>
    <x v="0"/>
    <n v="1089"/>
    <x v="23"/>
    <n v="2"/>
    <n v="62.59"/>
    <n v="10"/>
    <x v="3"/>
    <x v="1"/>
    <n v="34739.1"/>
    <b v="1"/>
    <n v="2.6666666666666665"/>
    <n v="1085.596875"/>
    <n v="20.863333333333333"/>
    <d v="2021-05-01T00:00:00"/>
    <s v="Young"/>
    <n v="0"/>
    <s v="Yes"/>
    <n v="801"/>
    <s v="High"/>
    <s v="Low"/>
    <n v="6.0606060606060608E-2"/>
    <s v="High"/>
    <n v="1"/>
    <d v="2021-05-01T00:00:00"/>
    <s v="25+ months"/>
    <s v="2–3 tickets"/>
    <s v="46+ min"/>
    <s v="1000+"/>
    <n v="34848"/>
    <n v="-108.90000000000146"/>
  </r>
  <r>
    <n v="10220"/>
    <n v="49"/>
    <s v="Male"/>
    <s v="Mumbai"/>
    <d v="2022-09-09T00:00:00"/>
    <d v="2021-06-23T00:00:00"/>
    <x v="1"/>
    <n v="686"/>
    <x v="4"/>
    <n v="0"/>
    <n v="108.54"/>
    <n v="10"/>
    <x v="2"/>
    <x v="1"/>
    <n v="1303.4000000000001"/>
    <b v="0"/>
    <n v="0.16666666666666666"/>
    <n v="651.70000000000005"/>
    <n v="108.54"/>
    <d v="2022-09-01T00:00:00"/>
    <s v="Middle-aged"/>
    <n v="0"/>
    <s v="No"/>
    <m/>
    <s v="High"/>
    <s v="Low"/>
    <n v="0"/>
    <s v="Low"/>
    <n v="3"/>
    <d v="2022-09-01T00:00:00"/>
    <s v="0–6 months"/>
    <s v="0–1 tickets"/>
    <s v="46+ min"/>
    <s v="501–700"/>
    <n v="1372"/>
    <n v="-68.599999999999909"/>
  </r>
  <r>
    <n v="10221"/>
    <n v="21"/>
    <s v="Male"/>
    <s v="Bangalore"/>
    <d v="2022-06-23T00:00:00"/>
    <d v="2022-12-18T00:00:00"/>
    <x v="0"/>
    <n v="1146"/>
    <x v="5"/>
    <n v="1"/>
    <n v="59.41"/>
    <n v="5"/>
    <x v="2"/>
    <x v="0"/>
    <n v="33176.699999999997"/>
    <b v="1"/>
    <n v="2.4166666666666665"/>
    <n v="1144.0241379310344"/>
    <n v="29.704999999999998"/>
    <d v="2022-06-01T00:00:00"/>
    <s v="Young"/>
    <n v="1"/>
    <s v="Yes"/>
    <n v="178"/>
    <s v="Medium"/>
    <s v="Low"/>
    <n v="3.3333333333333333E-2"/>
    <s v="High"/>
    <n v="1"/>
    <d v="2022-06-01T00:00:00"/>
    <s v="25+ months"/>
    <s v="0–1 tickets"/>
    <s v="46+ min"/>
    <s v="1000+"/>
    <n v="33234"/>
    <n v="-57.30000000000291"/>
  </r>
  <r>
    <n v="10222"/>
    <n v="28"/>
    <s v="Male"/>
    <s v="Chennai"/>
    <d v="2023-01-09T00:00:00"/>
    <d v="2023-11-03T00:00:00"/>
    <x v="1"/>
    <n v="337"/>
    <x v="4"/>
    <n v="0"/>
    <n v="103.6"/>
    <n v="15"/>
    <x v="0"/>
    <x v="1"/>
    <n v="623.45000000000005"/>
    <b v="1"/>
    <n v="0.16666666666666666"/>
    <n v="311.72500000000002"/>
    <n v="103.6"/>
    <d v="2023-01-01T00:00:00"/>
    <s v="Adult"/>
    <n v="0"/>
    <s v="No"/>
    <n v="298"/>
    <s v="High"/>
    <s v="Low"/>
    <n v="0"/>
    <s v="Low"/>
    <n v="3"/>
    <d v="2023-01-01T00:00:00"/>
    <s v="0–6 months"/>
    <s v="0–1 tickets"/>
    <s v="46+ min"/>
    <s v="301–500"/>
    <n v="674"/>
    <n v="-50.549999999999955"/>
  </r>
  <r>
    <n v="10223"/>
    <n v="34"/>
    <s v="Male"/>
    <s v="Delhi"/>
    <d v="2021-01-02T00:00:00"/>
    <d v="2023-07-06T00:00:00"/>
    <x v="2"/>
    <n v="1484"/>
    <x v="22"/>
    <n v="3"/>
    <n v="111.64"/>
    <n v="10"/>
    <x v="3"/>
    <x v="1"/>
    <n v="50307.6"/>
    <b v="1"/>
    <n v="2.8333333333333335"/>
    <n v="1479.6352941176469"/>
    <n v="27.91"/>
    <d v="2021-01-01T00:00:00"/>
    <s v="Adult"/>
    <n v="0"/>
    <s v="Yes"/>
    <n v="915"/>
    <s v="High"/>
    <s v="Low"/>
    <n v="8.5714285714285715E-2"/>
    <s v="High"/>
    <n v="2"/>
    <d v="2021-01-01T00:00:00"/>
    <s v="25+ months"/>
    <s v="2–3 tickets"/>
    <s v="46+ min"/>
    <s v="1000+"/>
    <n v="50456"/>
    <n v="-148.40000000000146"/>
  </r>
  <r>
    <n v="10224"/>
    <n v="55"/>
    <s v="Male"/>
    <s v="Mumbai"/>
    <d v="2023-05-21T00:00:00"/>
    <d v="2022-01-21T00:00:00"/>
    <x v="2"/>
    <n v="1440"/>
    <x v="26"/>
    <n v="0"/>
    <n v="15.63"/>
    <n v="20"/>
    <x v="0"/>
    <x v="1"/>
    <n v="38592"/>
    <b v="0"/>
    <n v="2.25"/>
    <n v="1429.3333333333333"/>
    <n v="15.63"/>
    <d v="2023-05-01T00:00:00"/>
    <s v="Older"/>
    <n v="0"/>
    <s v="Yes"/>
    <m/>
    <s v="Low"/>
    <s v="Medium"/>
    <n v="0"/>
    <s v="High"/>
    <n v="2"/>
    <d v="2023-05-01T00:00:00"/>
    <s v="25+ months"/>
    <s v="0–1 tickets"/>
    <s v="11–20 min"/>
    <s v="1000+"/>
    <n v="38880"/>
    <n v="-288"/>
  </r>
  <r>
    <n v="10225"/>
    <n v="41"/>
    <s v="Male"/>
    <s v="Delhi"/>
    <d v="2021-04-11T00:00:00"/>
    <d v="2021-07-29T00:00:00"/>
    <x v="2"/>
    <n v="540"/>
    <x v="10"/>
    <n v="4"/>
    <n v="16.02"/>
    <n v="0"/>
    <x v="3"/>
    <x v="1"/>
    <n v="9720"/>
    <b v="1"/>
    <n v="1.5"/>
    <n v="540"/>
    <n v="3.2039999999999997"/>
    <d v="2021-04-01T00:00:00"/>
    <s v="Middle-aged"/>
    <n v="0"/>
    <s v="No"/>
    <n v="109"/>
    <s v="Low"/>
    <s v="Low"/>
    <n v="0.21052631578947367"/>
    <s v="Medium"/>
    <n v="2"/>
    <d v="2021-04-01T00:00:00"/>
    <s v="13–24 months"/>
    <s v="4–5 tickets"/>
    <s v="11–20 min"/>
    <s v="501–700"/>
    <n v="9720"/>
    <n v="0"/>
  </r>
  <r>
    <n v="10226"/>
    <n v="22"/>
    <s v="Female"/>
    <s v="Chennai"/>
    <d v="2022-06-17T00:00:00"/>
    <d v="2021-11-11T00:00:00"/>
    <x v="2"/>
    <n v="1349"/>
    <x v="17"/>
    <n v="1"/>
    <n v="59.75"/>
    <n v="20"/>
    <x v="0"/>
    <x v="1"/>
    <n v="25361.200000000001"/>
    <b v="0"/>
    <n v="1.5833333333333333"/>
    <n v="1334.8"/>
    <n v="29.875"/>
    <d v="2022-06-01T00:00:00"/>
    <s v="Young"/>
    <n v="0"/>
    <s v="Yes"/>
    <m/>
    <s v="Medium"/>
    <s v="Medium"/>
    <n v="0.05"/>
    <s v="High"/>
    <n v="2"/>
    <d v="2022-06-01T00:00:00"/>
    <s v="13–24 months"/>
    <s v="0–1 tickets"/>
    <s v="46+ min"/>
    <s v="1000+"/>
    <n v="25631"/>
    <n v="-269.79999999999927"/>
  </r>
  <r>
    <n v="10227"/>
    <n v="51"/>
    <s v="Female"/>
    <s v="Delhi"/>
    <d v="2021-02-27T00:00:00"/>
    <d v="2023-07-11T00:00:00"/>
    <x v="2"/>
    <n v="861"/>
    <x v="26"/>
    <n v="2"/>
    <n v="72.63"/>
    <n v="0"/>
    <x v="0"/>
    <x v="1"/>
    <n v="23247"/>
    <b v="1"/>
    <n v="2.25"/>
    <n v="861"/>
    <n v="24.209999999999997"/>
    <d v="2021-02-01T00:00:00"/>
    <s v="Older"/>
    <n v="0"/>
    <s v="Yes"/>
    <n v="864"/>
    <s v="High"/>
    <s v="Low"/>
    <n v="7.1428571428571425E-2"/>
    <s v="High"/>
    <n v="2"/>
    <d v="2021-02-01T00:00:00"/>
    <s v="25+ months"/>
    <s v="2–3 tickets"/>
    <s v="46+ min"/>
    <s v="701–1000"/>
    <n v="23247"/>
    <n v="0"/>
  </r>
  <r>
    <n v="10228"/>
    <n v="23"/>
    <s v="Female"/>
    <s v="Mumbai"/>
    <d v="2022-01-24T00:00:00"/>
    <d v="2023-09-04T00:00:00"/>
    <x v="2"/>
    <n v="1105"/>
    <x v="28"/>
    <n v="2"/>
    <n v="53.98"/>
    <n v="10"/>
    <x v="3"/>
    <x v="1"/>
    <n v="21879"/>
    <b v="1"/>
    <n v="1.6666666666666667"/>
    <n v="1093.95"/>
    <n v="17.993333333333332"/>
    <d v="2022-01-01T00:00:00"/>
    <s v="Young"/>
    <n v="0"/>
    <s v="Yes"/>
    <n v="588"/>
    <s v="Medium"/>
    <s v="Low"/>
    <n v="9.5238095238095233E-2"/>
    <s v="High"/>
    <n v="2"/>
    <d v="2022-01-01T00:00:00"/>
    <s v="13–24 months"/>
    <s v="2–3 tickets"/>
    <s v="46+ min"/>
    <s v="1000+"/>
    <n v="22100"/>
    <n v="-221"/>
  </r>
  <r>
    <n v="10229"/>
    <n v="39"/>
    <s v="Male"/>
    <s v="Chennai"/>
    <d v="2022-11-23T00:00:00"/>
    <d v="2022-01-02T00:00:00"/>
    <x v="2"/>
    <n v="597"/>
    <x v="6"/>
    <n v="2"/>
    <n v="42.54"/>
    <n v="10"/>
    <x v="2"/>
    <x v="1"/>
    <n v="12477.3"/>
    <b v="0"/>
    <n v="1.75"/>
    <n v="594.15714285714284"/>
    <n v="14.18"/>
    <d v="2022-11-01T00:00:00"/>
    <s v="Middle-aged"/>
    <n v="0"/>
    <s v="No"/>
    <m/>
    <s v="Medium"/>
    <s v="Low"/>
    <n v="9.0909090909090912E-2"/>
    <s v="Medium"/>
    <n v="2"/>
    <d v="2022-11-01T00:00:00"/>
    <s v="13–24 months"/>
    <s v="2–3 tickets"/>
    <s v="31–45 min"/>
    <s v="501–700"/>
    <n v="12537"/>
    <n v="-59.700000000000728"/>
  </r>
  <r>
    <n v="10230"/>
    <n v="28"/>
    <s v="Male"/>
    <s v="Bangalore"/>
    <d v="2021-12-07T00:00:00"/>
    <d v="2021-11-30T00:00:00"/>
    <x v="1"/>
    <n v="1104"/>
    <x v="31"/>
    <n v="1"/>
    <n v="78.709999999999994"/>
    <n v="15"/>
    <x v="1"/>
    <x v="1"/>
    <n v="25226.400000000001"/>
    <b v="0"/>
    <n v="1.9166666666666667"/>
    <n v="1096.8"/>
    <n v="39.354999999999997"/>
    <d v="2021-12-01T00:00:00"/>
    <s v="Adult"/>
    <n v="0"/>
    <s v="Yes"/>
    <m/>
    <s v="High"/>
    <s v="Low"/>
    <n v="4.1666666666666664E-2"/>
    <s v="High"/>
    <n v="3"/>
    <d v="2021-12-01T00:00:00"/>
    <s v="13–24 months"/>
    <s v="0–1 tickets"/>
    <s v="46+ min"/>
    <s v="1000+"/>
    <n v="25392"/>
    <n v="-165.59999999999854"/>
  </r>
  <r>
    <n v="10231"/>
    <n v="33"/>
    <s v="Female"/>
    <s v="Mumbai"/>
    <d v="2023-05-11T00:00:00"/>
    <d v="2022-12-21T00:00:00"/>
    <x v="2"/>
    <n v="453"/>
    <x v="3"/>
    <n v="2"/>
    <n v="5.24"/>
    <n v="0"/>
    <x v="0"/>
    <x v="1"/>
    <n v="13590"/>
    <b v="0"/>
    <n v="2.5"/>
    <n v="453"/>
    <n v="1.7466666666666668"/>
    <d v="2023-05-01T00:00:00"/>
    <s v="Adult"/>
    <n v="0"/>
    <s v="Yes"/>
    <m/>
    <s v="Low"/>
    <s v="Low"/>
    <n v="6.4516129032258063E-2"/>
    <s v="Medium"/>
    <n v="2"/>
    <d v="2023-05-01T00:00:00"/>
    <s v="25+ months"/>
    <s v="2–3 tickets"/>
    <s v="0–10 min"/>
    <s v="301–500"/>
    <n v="13590"/>
    <n v="0"/>
  </r>
  <r>
    <n v="10232"/>
    <n v="50"/>
    <s v="Male"/>
    <s v="Hyderabad"/>
    <d v="2021-01-20T00:00:00"/>
    <d v="2023-03-19T00:00:00"/>
    <x v="2"/>
    <n v="1031"/>
    <x v="0"/>
    <n v="0"/>
    <n v="116.33"/>
    <n v="15"/>
    <x v="1"/>
    <x v="1"/>
    <n v="25620.35"/>
    <b v="1"/>
    <n v="2.0833333333333335"/>
    <n v="1024.8139999999999"/>
    <n v="116.33"/>
    <d v="2021-01-01T00:00:00"/>
    <s v="Middle-aged"/>
    <n v="0"/>
    <s v="Yes"/>
    <n v="788"/>
    <s v="High"/>
    <s v="Low"/>
    <n v="0"/>
    <s v="High"/>
    <n v="2"/>
    <d v="2021-01-01T00:00:00"/>
    <s v="25+ months"/>
    <s v="0–1 tickets"/>
    <s v="46+ min"/>
    <s v="1000+"/>
    <n v="25775"/>
    <n v="-154.65000000000146"/>
  </r>
  <r>
    <n v="10233"/>
    <n v="26"/>
    <s v="Female"/>
    <s v="Pune"/>
    <d v="2021-09-12T00:00:00"/>
    <d v="2021-08-29T00:00:00"/>
    <x v="1"/>
    <n v="767"/>
    <x v="27"/>
    <n v="5"/>
    <n v="31.69"/>
    <n v="15"/>
    <x v="3"/>
    <x v="0"/>
    <n v="23661.95"/>
    <b v="0"/>
    <n v="2.5833333333333335"/>
    <n v="763.28870967741943"/>
    <n v="5.2816666666666672"/>
    <d v="2021-09-01T00:00:00"/>
    <s v="Adult"/>
    <n v="1"/>
    <s v="Yes"/>
    <m/>
    <s v="Medium"/>
    <s v="Low"/>
    <n v="0.15625"/>
    <s v="High"/>
    <n v="3"/>
    <d v="2021-09-01T00:00:00"/>
    <s v="25+ months"/>
    <s v="4–5 tickets"/>
    <s v="31–45 min"/>
    <s v="701–1000"/>
    <n v="23777"/>
    <n v="-115.04999999999927"/>
  </r>
  <r>
    <n v="10234"/>
    <n v="23"/>
    <s v="Female"/>
    <s v="Mumbai"/>
    <d v="2021-11-13T00:00:00"/>
    <d v="2022-04-07T00:00:00"/>
    <x v="0"/>
    <n v="348"/>
    <x v="26"/>
    <n v="4"/>
    <n v="110.47"/>
    <n v="10"/>
    <x v="0"/>
    <x v="1"/>
    <n v="9361.2000000000007"/>
    <b v="1"/>
    <n v="2.25"/>
    <n v="346.71111111111117"/>
    <n v="22.094000000000001"/>
    <d v="2021-11-01T00:00:00"/>
    <s v="Young"/>
    <n v="0"/>
    <s v="No"/>
    <n v="145"/>
    <s v="High"/>
    <s v="Low"/>
    <n v="0.14285714285714285"/>
    <s v="Medium"/>
    <n v="1"/>
    <d v="2021-11-01T00:00:00"/>
    <s v="25+ months"/>
    <s v="4–5 tickets"/>
    <s v="46+ min"/>
    <s v="301–500"/>
    <n v="9396"/>
    <n v="-34.799999999999272"/>
  </r>
  <r>
    <n v="10235"/>
    <n v="33"/>
    <s v="Female"/>
    <s v="Chennai"/>
    <d v="2021-02-07T00:00:00"/>
    <d v="2022-12-09T00:00:00"/>
    <x v="0"/>
    <n v="345"/>
    <x v="22"/>
    <n v="4"/>
    <n v="17.54"/>
    <n v="5"/>
    <x v="3"/>
    <x v="0"/>
    <n v="11712.75"/>
    <b v="1"/>
    <n v="2.8333333333333335"/>
    <n v="344.49264705882354"/>
    <n v="3.508"/>
    <d v="2021-02-01T00:00:00"/>
    <s v="Adult"/>
    <n v="1"/>
    <s v="No"/>
    <n v="670"/>
    <s v="Low"/>
    <s v="Low"/>
    <n v="0.11428571428571428"/>
    <s v="Medium"/>
    <n v="1"/>
    <d v="2021-02-01T00:00:00"/>
    <s v="25+ months"/>
    <s v="4–5 tickets"/>
    <s v="11–20 min"/>
    <s v="301–500"/>
    <n v="11730"/>
    <n v="-17.25"/>
  </r>
  <r>
    <n v="10236"/>
    <n v="46"/>
    <s v="Male"/>
    <s v="Pune"/>
    <d v="2022-10-22T00:00:00"/>
    <d v="2022-02-12T00:00:00"/>
    <x v="2"/>
    <n v="1079"/>
    <x v="14"/>
    <n v="1"/>
    <n v="32.380000000000003"/>
    <n v="5"/>
    <x v="0"/>
    <x v="1"/>
    <n v="8578.0499999999993"/>
    <b v="0"/>
    <n v="0.66666666666666663"/>
    <n v="1072.2562499999999"/>
    <n v="16.190000000000001"/>
    <d v="2022-10-01T00:00:00"/>
    <s v="Middle-aged"/>
    <n v="0"/>
    <s v="No"/>
    <m/>
    <s v="Medium"/>
    <s v="Low"/>
    <n v="0.1111111111111111"/>
    <s v="Low"/>
    <n v="2"/>
    <d v="2022-10-01T00:00:00"/>
    <s v="7–12 months"/>
    <s v="0–1 tickets"/>
    <s v="31–45 min"/>
    <s v="1000+"/>
    <n v="8632"/>
    <n v="-53.950000000000728"/>
  </r>
  <r>
    <n v="10237"/>
    <n v="20"/>
    <s v="Male"/>
    <s v="Mumbai"/>
    <d v="2022-06-21T00:00:00"/>
    <d v="2022-11-15T00:00:00"/>
    <x v="2"/>
    <n v="381"/>
    <x v="17"/>
    <n v="1"/>
    <n v="32.01"/>
    <n v="0"/>
    <x v="2"/>
    <x v="1"/>
    <n v="7239"/>
    <b v="1"/>
    <n v="1.5833333333333333"/>
    <n v="381"/>
    <n v="16.004999999999999"/>
    <d v="2022-06-01T00:00:00"/>
    <s v="Young"/>
    <n v="0"/>
    <s v="No"/>
    <n v="147"/>
    <s v="Medium"/>
    <s v="Low"/>
    <n v="0.05"/>
    <s v="Low"/>
    <n v="2"/>
    <d v="2022-06-01T00:00:00"/>
    <s v="13–24 months"/>
    <s v="0–1 tickets"/>
    <s v="31–45 min"/>
    <s v="301–500"/>
    <n v="7239"/>
    <n v="0"/>
  </r>
  <r>
    <n v="10238"/>
    <n v="37"/>
    <s v="Female"/>
    <s v="Bangalore"/>
    <d v="2022-01-21T00:00:00"/>
    <d v="2022-11-15T00:00:00"/>
    <x v="1"/>
    <n v="1367"/>
    <x v="8"/>
    <n v="3"/>
    <n v="119.56"/>
    <n v="10"/>
    <x v="0"/>
    <x v="1"/>
    <n v="35405.300000000003"/>
    <b v="1"/>
    <n v="2.1666666666666665"/>
    <n v="1361.7423076923078"/>
    <n v="29.89"/>
    <d v="2022-01-01T00:00:00"/>
    <s v="Middle-aged"/>
    <n v="0"/>
    <s v="Yes"/>
    <n v="298"/>
    <s v="High"/>
    <s v="Low"/>
    <n v="0.1111111111111111"/>
    <s v="High"/>
    <n v="3"/>
    <d v="2022-01-01T00:00:00"/>
    <s v="25+ months"/>
    <s v="2–3 tickets"/>
    <s v="46+ min"/>
    <s v="1000+"/>
    <n v="35542"/>
    <n v="-136.69999999999709"/>
  </r>
  <r>
    <n v="10239"/>
    <n v="53"/>
    <s v="Male"/>
    <s v="Bangalore"/>
    <d v="2022-09-25T00:00:00"/>
    <d v="2021-07-22T00:00:00"/>
    <x v="0"/>
    <n v="1254"/>
    <x v="29"/>
    <n v="1"/>
    <n v="5.53"/>
    <n v="15"/>
    <x v="0"/>
    <x v="0"/>
    <n v="34923.9"/>
    <b v="0"/>
    <n v="2.3333333333333335"/>
    <n v="1247.2821428571428"/>
    <n v="2.7650000000000001"/>
    <d v="2022-09-01T00:00:00"/>
    <s v="Older"/>
    <n v="1"/>
    <s v="Yes"/>
    <m/>
    <s v="Low"/>
    <s v="Low"/>
    <n v="3.4482758620689655E-2"/>
    <s v="High"/>
    <n v="1"/>
    <d v="2022-09-01T00:00:00"/>
    <s v="25+ months"/>
    <s v="0–1 tickets"/>
    <s v="0–10 min"/>
    <s v="1000+"/>
    <n v="35112"/>
    <n v="-188.09999999999854"/>
  </r>
  <r>
    <n v="10240"/>
    <n v="36"/>
    <s v="Female"/>
    <s v="Hyderabad"/>
    <d v="2021-01-26T00:00:00"/>
    <d v="2022-05-04T00:00:00"/>
    <x v="2"/>
    <n v="572"/>
    <x v="2"/>
    <n v="3"/>
    <n v="78.56"/>
    <n v="20"/>
    <x v="0"/>
    <x v="1"/>
    <n v="2173.6"/>
    <b v="1"/>
    <n v="0.33333333333333331"/>
    <n v="543.4"/>
    <n v="19.64"/>
    <d v="2021-01-01T00:00:00"/>
    <s v="Middle-aged"/>
    <n v="0"/>
    <s v="No"/>
    <n v="463"/>
    <s v="High"/>
    <s v="Medium"/>
    <n v="0.6"/>
    <s v="Low"/>
    <n v="2"/>
    <d v="2021-01-01T00:00:00"/>
    <s v="0–6 months"/>
    <s v="2–3 tickets"/>
    <s v="46+ min"/>
    <s v="501–700"/>
    <n v="2288"/>
    <n v="-114.40000000000009"/>
  </r>
  <r>
    <n v="10241"/>
    <n v="43"/>
    <s v="Female"/>
    <s v="Delhi"/>
    <d v="2022-03-30T00:00:00"/>
    <d v="2021-11-18T00:00:00"/>
    <x v="2"/>
    <n v="693"/>
    <x v="27"/>
    <n v="0"/>
    <n v="105.01"/>
    <n v="20"/>
    <x v="3"/>
    <x v="1"/>
    <n v="21344.400000000001"/>
    <b v="0"/>
    <n v="2.5833333333333335"/>
    <n v="688.5290322580646"/>
    <n v="105.01"/>
    <d v="2022-03-01T00:00:00"/>
    <s v="Middle-aged"/>
    <n v="0"/>
    <s v="Yes"/>
    <m/>
    <s v="High"/>
    <s v="Medium"/>
    <n v="0"/>
    <s v="High"/>
    <n v="2"/>
    <d v="2022-03-01T00:00:00"/>
    <s v="25+ months"/>
    <s v="0–1 tickets"/>
    <s v="46+ min"/>
    <s v="501–700"/>
    <n v="21483"/>
    <n v="-138.59999999999854"/>
  </r>
  <r>
    <n v="10242"/>
    <n v="20"/>
    <s v="Other"/>
    <s v="Pune"/>
    <d v="2022-11-12T00:00:00"/>
    <d v="2021-08-06T00:00:00"/>
    <x v="0"/>
    <n v="1089"/>
    <x v="24"/>
    <n v="1"/>
    <n v="62.59"/>
    <n v="0"/>
    <x v="2"/>
    <x v="0"/>
    <n v="17424"/>
    <b v="0"/>
    <n v="1.3333333333333333"/>
    <n v="1089"/>
    <n v="31.295000000000002"/>
    <d v="2022-11-01T00:00:00"/>
    <s v="Young"/>
    <n v="1"/>
    <s v="Yes"/>
    <m/>
    <s v="High"/>
    <s v="Low"/>
    <n v="5.8823529411764705E-2"/>
    <s v="Medium"/>
    <n v="1"/>
    <d v="2022-11-01T00:00:00"/>
    <s v="13–24 months"/>
    <s v="0–1 tickets"/>
    <s v="46+ min"/>
    <s v="1000+"/>
    <n v="17424"/>
    <n v="0"/>
  </r>
  <r>
    <n v="10243"/>
    <n v="36"/>
    <s v="Male"/>
    <s v="Chennai"/>
    <d v="2021-11-19T00:00:00"/>
    <d v="2023-02-15T00:00:00"/>
    <x v="2"/>
    <n v="894"/>
    <x v="32"/>
    <n v="3"/>
    <n v="46.71"/>
    <n v="0"/>
    <x v="3"/>
    <x v="1"/>
    <n v="8940"/>
    <b v="1"/>
    <n v="0.83333333333333337"/>
    <n v="894"/>
    <n v="11.6775"/>
    <d v="2021-11-01T00:00:00"/>
    <s v="Middle-aged"/>
    <n v="0"/>
    <s v="No"/>
    <n v="453"/>
    <s v="Medium"/>
    <s v="Low"/>
    <n v="0.27272727272727271"/>
    <s v="Medium"/>
    <n v="2"/>
    <d v="2021-11-01T00:00:00"/>
    <s v="7–12 months"/>
    <s v="2–3 tickets"/>
    <s v="46+ min"/>
    <s v="701–1000"/>
    <n v="8940"/>
    <n v="0"/>
  </r>
  <r>
    <n v="10244"/>
    <n v="37"/>
    <s v="Female"/>
    <s v="Chennai"/>
    <d v="2023-01-07T00:00:00"/>
    <d v="2022-03-27T00:00:00"/>
    <x v="1"/>
    <n v="357"/>
    <x v="32"/>
    <n v="2"/>
    <n v="115.21"/>
    <n v="0"/>
    <x v="1"/>
    <x v="1"/>
    <n v="3570"/>
    <b v="0"/>
    <n v="0.83333333333333337"/>
    <n v="357"/>
    <n v="38.403333333333329"/>
    <d v="2023-01-01T00:00:00"/>
    <s v="Middle-aged"/>
    <n v="0"/>
    <s v="No"/>
    <m/>
    <s v="High"/>
    <s v="Low"/>
    <n v="0.18181818181818182"/>
    <s v="Low"/>
    <n v="3"/>
    <d v="2023-01-01T00:00:00"/>
    <s v="7–12 months"/>
    <s v="2–3 tickets"/>
    <s v="46+ min"/>
    <s v="301–500"/>
    <n v="3570"/>
    <n v="0"/>
  </r>
  <r>
    <n v="10245"/>
    <n v="49"/>
    <s v="Female"/>
    <s v="Delhi"/>
    <d v="2022-05-28T00:00:00"/>
    <d v="2023-04-03T00:00:00"/>
    <x v="0"/>
    <n v="864"/>
    <x v="9"/>
    <n v="3"/>
    <n v="107.75"/>
    <n v="10"/>
    <x v="2"/>
    <x v="1"/>
    <n v="7689.6"/>
    <b v="1"/>
    <n v="0.75"/>
    <n v="854.40000000000009"/>
    <n v="26.9375"/>
    <d v="2022-05-01T00:00:00"/>
    <s v="Middle-aged"/>
    <n v="0"/>
    <s v="No"/>
    <n v="310"/>
    <s v="High"/>
    <s v="Low"/>
    <n v="0.3"/>
    <s v="Low"/>
    <n v="1"/>
    <d v="2022-05-01T00:00:00"/>
    <s v="7–12 months"/>
    <s v="2–3 tickets"/>
    <s v="46+ min"/>
    <s v="701–1000"/>
    <n v="7776"/>
    <n v="-86.399999999999636"/>
  </r>
  <r>
    <n v="10246"/>
    <n v="24"/>
    <s v="Male"/>
    <s v="Bangalore"/>
    <d v="2023-03-30T00:00:00"/>
    <d v="2023-07-18T00:00:00"/>
    <x v="2"/>
    <n v="300"/>
    <x v="17"/>
    <n v="2"/>
    <n v="54.9"/>
    <n v="20"/>
    <x v="0"/>
    <x v="0"/>
    <n v="5640"/>
    <b v="1"/>
    <n v="1.5833333333333333"/>
    <n v="296.84210526315792"/>
    <n v="18.3"/>
    <d v="2023-03-01T00:00:00"/>
    <s v="Young"/>
    <n v="1"/>
    <s v="No"/>
    <n v="110"/>
    <s v="Medium"/>
    <s v="Medium"/>
    <n v="0.1"/>
    <s v="Low"/>
    <n v="2"/>
    <d v="2023-03-01T00:00:00"/>
    <s v="13–24 months"/>
    <s v="2–3 tickets"/>
    <s v="46+ min"/>
    <s v="≤300"/>
    <n v="5700"/>
    <n v="-60"/>
  </r>
  <r>
    <n v="10247"/>
    <n v="58"/>
    <s v="Male"/>
    <s v="Bangalore"/>
    <d v="2023-02-12T00:00:00"/>
    <d v="2023-09-10T00:00:00"/>
    <x v="2"/>
    <n v="515"/>
    <x v="17"/>
    <n v="1"/>
    <n v="70.930000000000007"/>
    <n v="10"/>
    <x v="0"/>
    <x v="1"/>
    <n v="9733.5"/>
    <b v="1"/>
    <n v="1.5833333333333333"/>
    <n v="512.28947368421052"/>
    <n v="35.465000000000003"/>
    <d v="2023-02-01T00:00:00"/>
    <s v="Older"/>
    <n v="0"/>
    <s v="No"/>
    <n v="210"/>
    <s v="High"/>
    <s v="Low"/>
    <n v="0.05"/>
    <s v="Medium"/>
    <n v="2"/>
    <d v="2023-02-01T00:00:00"/>
    <s v="13–24 months"/>
    <s v="0–1 tickets"/>
    <s v="46+ min"/>
    <s v="501–700"/>
    <n v="9785"/>
    <n v="-51.5"/>
  </r>
  <r>
    <n v="10248"/>
    <n v="50"/>
    <s v="Female"/>
    <s v="Mumbai"/>
    <d v="2021-01-13T00:00:00"/>
    <d v="2022-01-18T00:00:00"/>
    <x v="0"/>
    <n v="1065"/>
    <x v="34"/>
    <n v="2"/>
    <n v="116.26"/>
    <n v="10"/>
    <x v="0"/>
    <x v="0"/>
    <n v="12673.5"/>
    <b v="1"/>
    <n v="1"/>
    <n v="1056.125"/>
    <n v="38.753333333333337"/>
    <d v="2021-01-01T00:00:00"/>
    <s v="Middle-aged"/>
    <n v="1"/>
    <s v="No"/>
    <n v="370"/>
    <s v="High"/>
    <s v="Low"/>
    <n v="0.15384615384615385"/>
    <s v="Medium"/>
    <n v="1"/>
    <d v="2021-01-01T00:00:00"/>
    <s v="7–12 months"/>
    <s v="2–3 tickets"/>
    <s v="46+ min"/>
    <s v="1000+"/>
    <n v="12780"/>
    <n v="-106.5"/>
  </r>
  <r>
    <n v="10249"/>
    <n v="57"/>
    <s v="Male"/>
    <s v="Hyderabad"/>
    <d v="2022-07-14T00:00:00"/>
    <d v="2023-09-15T00:00:00"/>
    <x v="0"/>
    <n v="970"/>
    <x v="19"/>
    <n v="1"/>
    <n v="117.99"/>
    <n v="15"/>
    <x v="1"/>
    <x v="0"/>
    <n v="12464.5"/>
    <b v="1"/>
    <n v="1.0833333333333333"/>
    <n v="958.80769230769226"/>
    <n v="58.994999999999997"/>
    <d v="2022-07-01T00:00:00"/>
    <s v="Older"/>
    <n v="1"/>
    <s v="No"/>
    <n v="428"/>
    <s v="High"/>
    <s v="Low"/>
    <n v="7.1428571428571425E-2"/>
    <s v="Medium"/>
    <n v="1"/>
    <d v="2022-07-01T00:00:00"/>
    <s v="13–24 months"/>
    <s v="0–1 tickets"/>
    <s v="46+ min"/>
    <s v="701–1000"/>
    <n v="12610"/>
    <n v="-145.5"/>
  </r>
  <r>
    <n v="10250"/>
    <n v="56"/>
    <s v="Male"/>
    <s v="Pune"/>
    <d v="2023-04-05T00:00:00"/>
    <d v="2021-08-07T00:00:00"/>
    <x v="1"/>
    <n v="810"/>
    <x v="0"/>
    <n v="1"/>
    <n v="56.73"/>
    <n v="10"/>
    <x v="1"/>
    <x v="0"/>
    <n v="20169"/>
    <b v="0"/>
    <n v="2.0833333333333335"/>
    <n v="806.76"/>
    <n v="28.364999999999998"/>
    <d v="2023-04-01T00:00:00"/>
    <s v="Older"/>
    <n v="1"/>
    <s v="Yes"/>
    <m/>
    <s v="Medium"/>
    <s v="Low"/>
    <n v="3.8461538461538464E-2"/>
    <s v="High"/>
    <n v="3"/>
    <d v="2023-04-01T00:00:00"/>
    <s v="25+ months"/>
    <s v="0–1 tickets"/>
    <s v="46+ min"/>
    <s v="701–1000"/>
    <n v="20250"/>
    <n v="-81"/>
  </r>
  <r>
    <n v="10251"/>
    <n v="35"/>
    <s v="Male"/>
    <s v="Hyderabad"/>
    <d v="2022-01-06T00:00:00"/>
    <d v="2022-10-19T00:00:00"/>
    <x v="0"/>
    <n v="1214"/>
    <x v="0"/>
    <n v="3"/>
    <n v="102.45"/>
    <n v="10"/>
    <x v="0"/>
    <x v="1"/>
    <n v="30228.6"/>
    <b v="1"/>
    <n v="2.0833333333333335"/>
    <n v="1209.144"/>
    <n v="25.612500000000001"/>
    <d v="2022-01-01T00:00:00"/>
    <s v="Adult"/>
    <n v="0"/>
    <s v="Yes"/>
    <n v="286"/>
    <s v="High"/>
    <s v="Low"/>
    <n v="0.11538461538461539"/>
    <s v="High"/>
    <n v="1"/>
    <d v="2022-01-01T00:00:00"/>
    <s v="25+ months"/>
    <s v="2–3 tickets"/>
    <s v="46+ min"/>
    <s v="1000+"/>
    <n v="30350"/>
    <n v="-121.40000000000146"/>
  </r>
  <r>
    <n v="10252"/>
    <n v="57"/>
    <s v="Female"/>
    <s v="Hyderabad"/>
    <d v="2021-10-18T00:00:00"/>
    <d v="2021-06-28T00:00:00"/>
    <x v="0"/>
    <n v="394"/>
    <x v="29"/>
    <n v="6"/>
    <n v="39.729999999999997"/>
    <n v="15"/>
    <x v="0"/>
    <x v="1"/>
    <n v="10972.9"/>
    <b v="0"/>
    <n v="2.3333333333333335"/>
    <n v="391.88928571428568"/>
    <n v="5.6757142857142853"/>
    <d v="2021-10-01T00:00:00"/>
    <s v="Older"/>
    <n v="0"/>
    <s v="No"/>
    <m/>
    <s v="Medium"/>
    <s v="Low"/>
    <n v="0.20689655172413793"/>
    <s v="Medium"/>
    <n v="1"/>
    <d v="2021-10-01T00:00:00"/>
    <s v="25+ months"/>
    <s v="6+ tickets"/>
    <s v="31–45 min"/>
    <s v="301–500"/>
    <n v="11032"/>
    <n v="-59.100000000000364"/>
  </r>
  <r>
    <n v="10253"/>
    <n v="18"/>
    <s v="Female"/>
    <s v="Mumbai"/>
    <d v="2021-11-28T00:00:00"/>
    <d v="2023-02-18T00:00:00"/>
    <x v="0"/>
    <n v="792"/>
    <x v="3"/>
    <n v="1"/>
    <n v="47.76"/>
    <n v="5"/>
    <x v="1"/>
    <x v="1"/>
    <n v="23720.400000000001"/>
    <b v="1"/>
    <n v="2.5"/>
    <n v="790.68000000000006"/>
    <n v="23.88"/>
    <d v="2021-11-01T00:00:00"/>
    <s v="Young"/>
    <n v="0"/>
    <s v="Yes"/>
    <n v="447"/>
    <s v="Medium"/>
    <s v="Low"/>
    <n v="3.2258064516129031E-2"/>
    <s v="High"/>
    <n v="1"/>
    <d v="2021-11-01T00:00:00"/>
    <s v="25+ months"/>
    <s v="0–1 tickets"/>
    <s v="46+ min"/>
    <s v="701–1000"/>
    <n v="23760"/>
    <n v="-39.599999999998545"/>
  </r>
  <r>
    <n v="10254"/>
    <n v="28"/>
    <s v="Female"/>
    <s v="Hyderabad"/>
    <d v="2022-08-29T00:00:00"/>
    <d v="2021-07-21T00:00:00"/>
    <x v="2"/>
    <n v="1064"/>
    <x v="21"/>
    <n v="2"/>
    <n v="23.95"/>
    <n v="15"/>
    <x v="3"/>
    <x v="1"/>
    <n v="5160.3999999999996"/>
    <b v="0"/>
    <n v="0.41666666666666669"/>
    <n v="1032.08"/>
    <n v="7.9833333333333334"/>
    <d v="2022-08-01T00:00:00"/>
    <s v="Adult"/>
    <n v="0"/>
    <s v="No"/>
    <m/>
    <s v="Medium"/>
    <s v="Low"/>
    <n v="0.33333333333333331"/>
    <s v="Low"/>
    <n v="2"/>
    <d v="2022-08-01T00:00:00"/>
    <s v="0–6 months"/>
    <s v="2–3 tickets"/>
    <s v="21–30 min"/>
    <s v="1000+"/>
    <n v="5320"/>
    <n v="-159.60000000000036"/>
  </r>
  <r>
    <n v="10255"/>
    <n v="45"/>
    <s v="Male"/>
    <s v="Delhi"/>
    <d v="2021-09-18T00:00:00"/>
    <d v="2023-04-24T00:00:00"/>
    <x v="2"/>
    <n v="1321"/>
    <x v="18"/>
    <n v="5"/>
    <n v="29.06"/>
    <n v="0"/>
    <x v="2"/>
    <x v="1"/>
    <n v="22457"/>
    <b v="1"/>
    <n v="1.4166666666666667"/>
    <n v="1321"/>
    <n v="4.8433333333333328"/>
    <d v="2021-09-01T00:00:00"/>
    <s v="Middle-aged"/>
    <n v="0"/>
    <s v="Yes"/>
    <n v="583"/>
    <s v="Medium"/>
    <s v="Low"/>
    <n v="0.27777777777777779"/>
    <s v="High"/>
    <n v="2"/>
    <d v="2021-09-01T00:00:00"/>
    <s v="13–24 months"/>
    <s v="4–5 tickets"/>
    <s v="21–30 min"/>
    <s v="1000+"/>
    <n v="22457"/>
    <n v="0"/>
  </r>
  <r>
    <n v="10256"/>
    <n v="42"/>
    <s v="Male"/>
    <s v="Mumbai"/>
    <d v="2023-03-01T00:00:00"/>
    <d v="2022-02-15T00:00:00"/>
    <x v="2"/>
    <n v="449"/>
    <x v="10"/>
    <n v="2"/>
    <n v="80.540000000000006"/>
    <n v="5"/>
    <x v="2"/>
    <x v="1"/>
    <n v="8059.55"/>
    <b v="0"/>
    <n v="1.5"/>
    <n v="447.75277777777779"/>
    <n v="26.846666666666668"/>
    <d v="2023-03-01T00:00:00"/>
    <s v="Middle-aged"/>
    <n v="0"/>
    <s v="No"/>
    <m/>
    <s v="High"/>
    <s v="Low"/>
    <n v="0.10526315789473684"/>
    <s v="Low"/>
    <n v="2"/>
    <d v="2023-03-01T00:00:00"/>
    <s v="13–24 months"/>
    <s v="2–3 tickets"/>
    <s v="46+ min"/>
    <s v="301–500"/>
    <n v="8082"/>
    <n v="-22.449999999999818"/>
  </r>
  <r>
    <n v="10257"/>
    <n v="40"/>
    <s v="Female"/>
    <s v="Delhi"/>
    <d v="2023-05-21T00:00:00"/>
    <d v="2023-01-12T00:00:00"/>
    <x v="0"/>
    <n v="1346"/>
    <x v="6"/>
    <n v="0"/>
    <n v="63.74"/>
    <n v="20"/>
    <x v="1"/>
    <x v="1"/>
    <n v="27996.799999999999"/>
    <b v="0"/>
    <n v="1.75"/>
    <n v="1333.1809523809522"/>
    <n v="63.74"/>
    <d v="2023-05-01T00:00:00"/>
    <s v="Middle-aged"/>
    <n v="0"/>
    <s v="Yes"/>
    <m/>
    <s v="High"/>
    <s v="Medium"/>
    <n v="0"/>
    <s v="High"/>
    <n v="1"/>
    <d v="2023-05-01T00:00:00"/>
    <s v="13–24 months"/>
    <s v="0–1 tickets"/>
    <s v="46+ min"/>
    <s v="1000+"/>
    <n v="28266"/>
    <n v="-269.20000000000073"/>
  </r>
  <r>
    <n v="10258"/>
    <n v="48"/>
    <s v="Female"/>
    <s v="Mumbai"/>
    <d v="2021-07-24T00:00:00"/>
    <d v="2023-07-25T00:00:00"/>
    <x v="1"/>
    <n v="1055"/>
    <x v="1"/>
    <n v="4"/>
    <n v="31.58"/>
    <n v="10"/>
    <x v="1"/>
    <x v="0"/>
    <n v="23104.5"/>
    <b v="1"/>
    <n v="1.8333333333333333"/>
    <n v="1050.2045454545455"/>
    <n v="6.3159999999999998"/>
    <d v="2021-07-01T00:00:00"/>
    <s v="Middle-aged"/>
    <n v="1"/>
    <s v="Yes"/>
    <n v="731"/>
    <s v="Medium"/>
    <s v="Low"/>
    <n v="0.17391304347826086"/>
    <s v="High"/>
    <n v="3"/>
    <d v="2021-07-01T00:00:00"/>
    <s v="13–24 months"/>
    <s v="4–5 tickets"/>
    <s v="31–45 min"/>
    <s v="1000+"/>
    <n v="23210"/>
    <n v="-105.5"/>
  </r>
  <r>
    <n v="10259"/>
    <n v="47"/>
    <s v="Male"/>
    <s v="Hyderabad"/>
    <d v="2022-11-28T00:00:00"/>
    <d v="2023-02-10T00:00:00"/>
    <x v="0"/>
    <n v="698"/>
    <x v="20"/>
    <n v="1"/>
    <n v="51.33"/>
    <n v="5"/>
    <x v="3"/>
    <x v="1"/>
    <n v="4153.1000000000004"/>
    <b v="1"/>
    <n v="0.5"/>
    <n v="692.18333333333339"/>
    <n v="25.664999999999999"/>
    <d v="2022-11-01T00:00:00"/>
    <s v="Middle-aged"/>
    <n v="0"/>
    <s v="No"/>
    <n v="74"/>
    <s v="Medium"/>
    <s v="Low"/>
    <n v="0.14285714285714285"/>
    <s v="Low"/>
    <n v="1"/>
    <d v="2022-11-01T00:00:00"/>
    <s v="0–6 months"/>
    <s v="0–1 tickets"/>
    <s v="46+ min"/>
    <s v="501–700"/>
    <n v="4188"/>
    <n v="-34.899999999999636"/>
  </r>
  <r>
    <n v="10260"/>
    <n v="59"/>
    <s v="Female"/>
    <s v="Delhi"/>
    <d v="2022-11-18T00:00:00"/>
    <d v="2023-01-07T00:00:00"/>
    <x v="0"/>
    <n v="709"/>
    <x v="24"/>
    <n v="1"/>
    <n v="47.92"/>
    <n v="20"/>
    <x v="0"/>
    <x v="1"/>
    <n v="11202.2"/>
    <b v="1"/>
    <n v="1.3333333333333333"/>
    <n v="700.13750000000005"/>
    <n v="23.96"/>
    <d v="2022-11-01T00:00:00"/>
    <s v="Older"/>
    <n v="0"/>
    <s v="No"/>
    <n v="50"/>
    <s v="Medium"/>
    <s v="Medium"/>
    <n v="5.8823529411764705E-2"/>
    <s v="Medium"/>
    <n v="1"/>
    <d v="2022-11-01T00:00:00"/>
    <s v="13–24 months"/>
    <s v="0–1 tickets"/>
    <s v="46+ min"/>
    <s v="701–1000"/>
    <n v="11344"/>
    <n v="-141.79999999999927"/>
  </r>
  <r>
    <n v="10261"/>
    <n v="52"/>
    <s v="Other"/>
    <s v="Delhi"/>
    <d v="2022-01-22T00:00:00"/>
    <d v="2023-04-18T00:00:00"/>
    <x v="2"/>
    <n v="430"/>
    <x v="4"/>
    <n v="0"/>
    <n v="118.55"/>
    <n v="15"/>
    <x v="1"/>
    <x v="1"/>
    <n v="795.5"/>
    <b v="1"/>
    <n v="0.16666666666666666"/>
    <n v="397.75"/>
    <n v="118.55"/>
    <d v="2022-01-01T00:00:00"/>
    <s v="Older"/>
    <n v="0"/>
    <s v="No"/>
    <n v="451"/>
    <s v="High"/>
    <s v="Low"/>
    <n v="0"/>
    <s v="Low"/>
    <n v="2"/>
    <d v="2022-01-01T00:00:00"/>
    <s v="0–6 months"/>
    <s v="0–1 tickets"/>
    <s v="46+ min"/>
    <s v="301–500"/>
    <n v="860"/>
    <n v="-64.5"/>
  </r>
  <r>
    <n v="10262"/>
    <n v="24"/>
    <s v="Female"/>
    <s v="Delhi"/>
    <d v="2023-06-11T00:00:00"/>
    <d v="2021-12-01T00:00:00"/>
    <x v="0"/>
    <n v="1154"/>
    <x v="7"/>
    <n v="1"/>
    <n v="103.16"/>
    <n v="15"/>
    <x v="3"/>
    <x v="0"/>
    <n v="980.9"/>
    <b v="0"/>
    <n v="8.3333333333333329E-2"/>
    <n v="980.9"/>
    <n v="51.58"/>
    <d v="2023-06-01T00:00:00"/>
    <s v="Young"/>
    <n v="1"/>
    <s v="No"/>
    <m/>
    <s v="High"/>
    <s v="Low"/>
    <n v="0.5"/>
    <s v="Low"/>
    <n v="1"/>
    <d v="2023-06-01T00:00:00"/>
    <s v="0–6 months"/>
    <s v="0–1 tickets"/>
    <s v="46+ min"/>
    <s v="1000+"/>
    <n v="1154"/>
    <n v="-173.10000000000002"/>
  </r>
  <r>
    <n v="10263"/>
    <n v="33"/>
    <s v="Female"/>
    <s v="unknown"/>
    <d v="2023-04-01T00:00:00"/>
    <d v="2021-06-23T00:00:00"/>
    <x v="1"/>
    <n v="447"/>
    <x v="3"/>
    <n v="3"/>
    <n v="49.62"/>
    <n v="0"/>
    <x v="1"/>
    <x v="0"/>
    <n v="13410"/>
    <b v="0"/>
    <n v="2.5"/>
    <n v="447"/>
    <n v="12.404999999999999"/>
    <d v="2023-04-01T00:00:00"/>
    <s v="Adult"/>
    <n v="1"/>
    <s v="No"/>
    <m/>
    <s v="Medium"/>
    <s v="Low"/>
    <n v="9.6774193548387094E-2"/>
    <s v="Medium"/>
    <n v="3"/>
    <d v="2023-04-01T00:00:00"/>
    <s v="25+ months"/>
    <s v="2–3 tickets"/>
    <s v="46+ min"/>
    <s v="301–500"/>
    <n v="13410"/>
    <n v="0"/>
  </r>
  <r>
    <n v="10264"/>
    <n v="43"/>
    <s v="Female"/>
    <s v="Chennai"/>
    <d v="2022-04-13T00:00:00"/>
    <d v="2023-07-26T00:00:00"/>
    <x v="1"/>
    <n v="680"/>
    <x v="31"/>
    <n v="3"/>
    <n v="110.1"/>
    <n v="0"/>
    <x v="0"/>
    <x v="1"/>
    <n v="15640"/>
    <b v="1"/>
    <n v="1.9166666666666667"/>
    <n v="680"/>
    <n v="27.524999999999999"/>
    <d v="2022-04-01T00:00:00"/>
    <s v="Middle-aged"/>
    <n v="0"/>
    <s v="Yes"/>
    <n v="469"/>
    <s v="High"/>
    <s v="Low"/>
    <n v="0.125"/>
    <s v="Medium"/>
    <n v="3"/>
    <d v="2022-04-01T00:00:00"/>
    <s v="13–24 months"/>
    <s v="2–3 tickets"/>
    <s v="46+ min"/>
    <s v="501–700"/>
    <n v="15640"/>
    <n v="0"/>
  </r>
  <r>
    <n v="10265"/>
    <n v="19"/>
    <s v="Male"/>
    <s v="Hyderabad"/>
    <d v="2022-02-19T00:00:00"/>
    <d v="2021-10-07T00:00:00"/>
    <x v="0"/>
    <n v="1432"/>
    <x v="7"/>
    <n v="2"/>
    <n v="44.4"/>
    <n v="5"/>
    <x v="1"/>
    <x v="1"/>
    <n v="1360.4"/>
    <b v="0"/>
    <n v="8.3333333333333329E-2"/>
    <n v="1360.4"/>
    <n v="14.799999999999999"/>
    <d v="2022-02-01T00:00:00"/>
    <s v="Young"/>
    <n v="0"/>
    <s v="No"/>
    <m/>
    <s v="Medium"/>
    <s v="Low"/>
    <n v="1"/>
    <s v="Low"/>
    <n v="1"/>
    <d v="2022-02-01T00:00:00"/>
    <s v="0–6 months"/>
    <s v="2–3 tickets"/>
    <s v="31–45 min"/>
    <s v="1000+"/>
    <n v="1432"/>
    <n v="-71.599999999999909"/>
  </r>
  <r>
    <n v="10266"/>
    <n v="18"/>
    <s v="Female"/>
    <s v="Delhi"/>
    <d v="2021-03-10T00:00:00"/>
    <d v="2022-03-18T00:00:00"/>
    <x v="1"/>
    <n v="851"/>
    <x v="17"/>
    <n v="0"/>
    <n v="81.81"/>
    <n v="10"/>
    <x v="0"/>
    <x v="1"/>
    <n v="16083.9"/>
    <b v="1"/>
    <n v="1.5833333333333333"/>
    <n v="846.52105263157898"/>
    <n v="81.81"/>
    <d v="2021-03-01T00:00:00"/>
    <s v="Young"/>
    <n v="0"/>
    <s v="Yes"/>
    <n v="373"/>
    <s v="High"/>
    <s v="Low"/>
    <n v="0"/>
    <s v="Medium"/>
    <n v="3"/>
    <d v="2021-03-01T00:00:00"/>
    <s v="13–24 months"/>
    <s v="0–1 tickets"/>
    <s v="46+ min"/>
    <s v="701–1000"/>
    <n v="16169"/>
    <n v="-85.100000000000364"/>
  </r>
  <r>
    <n v="10267"/>
    <n v="29"/>
    <s v="Other"/>
    <s v="Pune"/>
    <d v="2022-04-17T00:00:00"/>
    <d v="2023-09-10T00:00:00"/>
    <x v="2"/>
    <n v="1444"/>
    <x v="13"/>
    <n v="2"/>
    <n v="116.16"/>
    <n v="15"/>
    <x v="3"/>
    <x v="1"/>
    <n v="4115.3999999999996"/>
    <b v="1"/>
    <n v="0.25"/>
    <n v="1371.8"/>
    <n v="38.72"/>
    <d v="2022-04-01T00:00:00"/>
    <s v="Adult"/>
    <n v="0"/>
    <s v="No"/>
    <n v="511"/>
    <s v="High"/>
    <s v="Low"/>
    <n v="0.5"/>
    <s v="Low"/>
    <n v="2"/>
    <d v="2022-04-01T00:00:00"/>
    <s v="0–6 months"/>
    <s v="2–3 tickets"/>
    <s v="46+ min"/>
    <s v="1000+"/>
    <n v="4332"/>
    <n v="-216.60000000000036"/>
  </r>
  <r>
    <n v="10268"/>
    <n v="22"/>
    <s v="Male"/>
    <s v="Chennai"/>
    <d v="2021-04-14T00:00:00"/>
    <d v="2022-10-14T00:00:00"/>
    <x v="1"/>
    <n v="594"/>
    <x v="4"/>
    <n v="1"/>
    <n v="49.88"/>
    <n v="5"/>
    <x v="2"/>
    <x v="0"/>
    <n v="1158.3"/>
    <b v="1"/>
    <n v="0.16666666666666666"/>
    <n v="579.15"/>
    <n v="24.94"/>
    <d v="2021-04-01T00:00:00"/>
    <s v="Young"/>
    <n v="1"/>
    <s v="No"/>
    <n v="548"/>
    <s v="Medium"/>
    <s v="Low"/>
    <n v="0.33333333333333331"/>
    <s v="Low"/>
    <n v="3"/>
    <d v="2021-04-01T00:00:00"/>
    <s v="0–6 months"/>
    <s v="0–1 tickets"/>
    <s v="46+ min"/>
    <s v="501–700"/>
    <n v="1188"/>
    <n v="-29.700000000000045"/>
  </r>
  <r>
    <n v="10269"/>
    <n v="54"/>
    <s v="Female"/>
    <s v="unknown"/>
    <d v="2023-01-28T00:00:00"/>
    <d v="2021-12-03T00:00:00"/>
    <x v="0"/>
    <n v="1443"/>
    <x v="18"/>
    <n v="3"/>
    <n v="83.19"/>
    <n v="5"/>
    <x v="3"/>
    <x v="1"/>
    <n v="24458.85"/>
    <b v="0"/>
    <n v="1.4166666666666667"/>
    <n v="1438.7558823529412"/>
    <n v="20.797499999999999"/>
    <d v="2023-01-01T00:00:00"/>
    <s v="Older"/>
    <n v="0"/>
    <s v="Yes"/>
    <m/>
    <s v="High"/>
    <s v="Low"/>
    <n v="0.16666666666666666"/>
    <s v="High"/>
    <n v="1"/>
    <d v="2023-01-01T00:00:00"/>
    <s v="13–24 months"/>
    <s v="2–3 tickets"/>
    <s v="46+ min"/>
    <s v="1000+"/>
    <n v="24531"/>
    <n v="-72.150000000001455"/>
  </r>
  <r>
    <n v="10270"/>
    <n v="49"/>
    <s v="Female"/>
    <s v="Hyderabad"/>
    <d v="2021-06-10T00:00:00"/>
    <d v="2022-09-22T00:00:00"/>
    <x v="2"/>
    <n v="755"/>
    <x v="29"/>
    <n v="0"/>
    <n v="39.03"/>
    <n v="5"/>
    <x v="2"/>
    <x v="1"/>
    <n v="21102.25"/>
    <b v="1"/>
    <n v="2.3333333333333335"/>
    <n v="753.65178571428567"/>
    <n v="39.03"/>
    <d v="2021-06-01T00:00:00"/>
    <s v="Middle-aged"/>
    <n v="0"/>
    <s v="Yes"/>
    <n v="469"/>
    <s v="Medium"/>
    <s v="Low"/>
    <n v="0"/>
    <s v="High"/>
    <n v="2"/>
    <d v="2021-06-01T00:00:00"/>
    <s v="25+ months"/>
    <s v="0–1 tickets"/>
    <s v="31–45 min"/>
    <s v="701–1000"/>
    <n v="21140"/>
    <n v="-37.75"/>
  </r>
  <r>
    <n v="10271"/>
    <n v="26"/>
    <s v="Female"/>
    <s v="Hyderabad"/>
    <d v="2021-07-19T00:00:00"/>
    <d v="2022-12-23T00:00:00"/>
    <x v="0"/>
    <n v="468"/>
    <x v="10"/>
    <n v="1"/>
    <n v="35.630000000000003"/>
    <n v="0"/>
    <x v="3"/>
    <x v="1"/>
    <n v="8424"/>
    <b v="1"/>
    <n v="1.5"/>
    <n v="468"/>
    <n v="17.815000000000001"/>
    <d v="2021-07-01T00:00:00"/>
    <s v="Adult"/>
    <n v="0"/>
    <s v="No"/>
    <n v="522"/>
    <s v="Medium"/>
    <s v="Low"/>
    <n v="5.2631578947368418E-2"/>
    <s v="Low"/>
    <n v="1"/>
    <d v="2021-07-01T00:00:00"/>
    <s v="13–24 months"/>
    <s v="0–1 tickets"/>
    <s v="31–45 min"/>
    <s v="301–500"/>
    <n v="8424"/>
    <n v="0"/>
  </r>
  <r>
    <n v="10272"/>
    <n v="58"/>
    <s v="Female"/>
    <s v="Delhi"/>
    <d v="2021-08-04T00:00:00"/>
    <d v="2022-10-05T00:00:00"/>
    <x v="1"/>
    <n v="1009"/>
    <x v="33"/>
    <n v="3"/>
    <n v="71.03"/>
    <n v="15"/>
    <x v="2"/>
    <x v="1"/>
    <n v="33145.65"/>
    <b v="1"/>
    <n v="2.75"/>
    <n v="1004.4136363636364"/>
    <n v="17.7575"/>
    <d v="2021-08-01T00:00:00"/>
    <s v="Older"/>
    <n v="0"/>
    <s v="Yes"/>
    <n v="427"/>
    <s v="High"/>
    <s v="Low"/>
    <n v="8.8235294117647065E-2"/>
    <s v="High"/>
    <n v="3"/>
    <d v="2021-08-01T00:00:00"/>
    <s v="25+ months"/>
    <s v="2–3 tickets"/>
    <s v="46+ min"/>
    <s v="1000+"/>
    <n v="33297"/>
    <n v="-151.34999999999854"/>
  </r>
  <r>
    <n v="10273"/>
    <n v="52"/>
    <s v="Female"/>
    <s v="Delhi"/>
    <d v="2021-07-31T00:00:00"/>
    <d v="2022-10-26T00:00:00"/>
    <x v="0"/>
    <n v="1466"/>
    <x v="15"/>
    <n v="4"/>
    <n v="117.62"/>
    <n v="0"/>
    <x v="3"/>
    <x v="1"/>
    <n v="21990"/>
    <b v="1"/>
    <n v="1.25"/>
    <n v="1466"/>
    <n v="23.524000000000001"/>
    <d v="2021-07-01T00:00:00"/>
    <s v="Older"/>
    <n v="0"/>
    <s v="Yes"/>
    <n v="452"/>
    <s v="High"/>
    <s v="Low"/>
    <n v="0.25"/>
    <s v="High"/>
    <n v="1"/>
    <d v="2021-07-01T00:00:00"/>
    <s v="13–24 months"/>
    <s v="4–5 tickets"/>
    <s v="46+ min"/>
    <s v="1000+"/>
    <n v="21990"/>
    <n v="0"/>
  </r>
  <r>
    <n v="10274"/>
    <n v="36"/>
    <s v="Female"/>
    <s v="Mumbai"/>
    <d v="2022-05-23T00:00:00"/>
    <d v="2023-03-05T00:00:00"/>
    <x v="2"/>
    <n v="336"/>
    <x v="1"/>
    <n v="0"/>
    <n v="57.11"/>
    <n v="10"/>
    <x v="0"/>
    <x v="1"/>
    <n v="7392"/>
    <b v="1"/>
    <n v="1.8333333333333333"/>
    <n v="336"/>
    <n v="57.11"/>
    <d v="2022-05-01T00:00:00"/>
    <s v="Middle-aged"/>
    <n v="0"/>
    <s v="No"/>
    <n v="286"/>
    <s v="Medium"/>
    <s v="Low"/>
    <n v="0"/>
    <s v="Low"/>
    <n v="2"/>
    <d v="2022-05-01T00:00:00"/>
    <s v="13–24 months"/>
    <s v="0–1 tickets"/>
    <s v="46+ min"/>
    <s v="301–500"/>
    <n v="7392"/>
    <n v="0"/>
  </r>
  <r>
    <n v="10275"/>
    <n v="33"/>
    <s v="Male"/>
    <s v="Chennai"/>
    <d v="2021-01-16T00:00:00"/>
    <d v="2021-08-06T00:00:00"/>
    <x v="0"/>
    <n v="530"/>
    <x v="26"/>
    <n v="2"/>
    <n v="112.83"/>
    <n v="5"/>
    <x v="2"/>
    <x v="1"/>
    <n v="14283.5"/>
    <b v="1"/>
    <n v="2.25"/>
    <n v="529.01851851851848"/>
    <n v="37.61"/>
    <d v="2021-01-01T00:00:00"/>
    <s v="Adult"/>
    <n v="0"/>
    <s v="Yes"/>
    <n v="202"/>
    <s v="High"/>
    <s v="Low"/>
    <n v="7.1428571428571425E-2"/>
    <s v="Medium"/>
    <n v="1"/>
    <d v="2021-01-01T00:00:00"/>
    <s v="25+ months"/>
    <s v="2–3 tickets"/>
    <s v="46+ min"/>
    <s v="501–700"/>
    <n v="14310"/>
    <n v="-26.5"/>
  </r>
  <r>
    <n v="10276"/>
    <n v="20"/>
    <s v="Female"/>
    <s v="Chennai"/>
    <d v="2022-05-13T00:00:00"/>
    <d v="2023-08-14T00:00:00"/>
    <x v="0"/>
    <n v="553"/>
    <x v="23"/>
    <n v="1"/>
    <n v="110.15"/>
    <n v="20"/>
    <x v="2"/>
    <x v="1"/>
    <n v="17585.400000000001"/>
    <b v="1"/>
    <n v="2.6666666666666665"/>
    <n v="549.54375000000005"/>
    <n v="55.075000000000003"/>
    <d v="2022-05-01T00:00:00"/>
    <s v="Young"/>
    <n v="0"/>
    <s v="Yes"/>
    <n v="458"/>
    <s v="High"/>
    <s v="Medium"/>
    <n v="3.0303030303030304E-2"/>
    <s v="Medium"/>
    <n v="1"/>
    <d v="2022-05-01T00:00:00"/>
    <s v="25+ months"/>
    <s v="0–1 tickets"/>
    <s v="46+ min"/>
    <s v="501–700"/>
    <n v="17696"/>
    <n v="-110.59999999999854"/>
  </r>
  <r>
    <n v="10277"/>
    <n v="37"/>
    <s v="Male"/>
    <s v="Delhi"/>
    <d v="2023-06-03T00:00:00"/>
    <d v="2022-09-10T00:00:00"/>
    <x v="2"/>
    <n v="628"/>
    <x v="17"/>
    <n v="1"/>
    <n v="34.18"/>
    <n v="20"/>
    <x v="0"/>
    <x v="1"/>
    <n v="11806.4"/>
    <b v="0"/>
    <n v="1.5833333333333333"/>
    <n v="621.38947368421054"/>
    <n v="17.09"/>
    <d v="2023-06-01T00:00:00"/>
    <s v="Middle-aged"/>
    <n v="0"/>
    <s v="No"/>
    <m/>
    <s v="Medium"/>
    <s v="Medium"/>
    <n v="0.05"/>
    <s v="Medium"/>
    <n v="2"/>
    <d v="2023-06-01T00:00:00"/>
    <s v="13–24 months"/>
    <s v="0–1 tickets"/>
    <s v="31–45 min"/>
    <s v="501–700"/>
    <n v="11932"/>
    <n v="-125.60000000000036"/>
  </r>
  <r>
    <n v="10278"/>
    <n v="41"/>
    <s v="Male"/>
    <s v="Hyderabad"/>
    <d v="2021-11-28T00:00:00"/>
    <d v="2022-03-12T00:00:00"/>
    <x v="1"/>
    <n v="1279"/>
    <x v="29"/>
    <n v="2"/>
    <n v="51.21"/>
    <n v="20"/>
    <x v="0"/>
    <x v="1"/>
    <n v="35556.199999999997"/>
    <b v="1"/>
    <n v="2.3333333333333335"/>
    <n v="1269.8642857142856"/>
    <n v="17.07"/>
    <d v="2021-11-01T00:00:00"/>
    <s v="Middle-aged"/>
    <n v="0"/>
    <s v="Yes"/>
    <n v="104"/>
    <s v="Medium"/>
    <s v="Medium"/>
    <n v="6.8965517241379309E-2"/>
    <s v="High"/>
    <n v="3"/>
    <d v="2021-11-01T00:00:00"/>
    <s v="25+ months"/>
    <s v="2–3 tickets"/>
    <s v="46+ min"/>
    <s v="1000+"/>
    <n v="35812"/>
    <n v="-255.80000000000291"/>
  </r>
  <r>
    <n v="10279"/>
    <n v="50"/>
    <s v="Male"/>
    <s v="Delhi"/>
    <d v="2022-12-18T00:00:00"/>
    <d v="2023-01-22T00:00:00"/>
    <x v="2"/>
    <n v="309"/>
    <x v="29"/>
    <n v="1"/>
    <n v="78.98"/>
    <n v="5"/>
    <x v="2"/>
    <x v="0"/>
    <n v="8636.5499999999993"/>
    <b v="1"/>
    <n v="2.3333333333333335"/>
    <n v="308.44821428571424"/>
    <n v="39.49"/>
    <d v="2022-12-01T00:00:00"/>
    <s v="Middle-aged"/>
    <n v="1"/>
    <s v="No"/>
    <n v="35"/>
    <s v="High"/>
    <s v="Low"/>
    <n v="3.4482758620689655E-2"/>
    <s v="Low"/>
    <n v="2"/>
    <d v="2022-12-01T00:00:00"/>
    <s v="25+ months"/>
    <s v="0–1 tickets"/>
    <s v="46+ min"/>
    <s v="301–500"/>
    <n v="8652"/>
    <n v="-15.450000000000728"/>
  </r>
  <r>
    <n v="10280"/>
    <n v="41"/>
    <s v="Female"/>
    <s v="Hyderabad"/>
    <d v="2023-05-27T00:00:00"/>
    <d v="2022-07-22T00:00:00"/>
    <x v="1"/>
    <n v="745"/>
    <x v="32"/>
    <n v="4"/>
    <n v="64.58"/>
    <n v="10"/>
    <x v="2"/>
    <x v="0"/>
    <n v="7375.5"/>
    <b v="0"/>
    <n v="0.83333333333333337"/>
    <n v="737.55"/>
    <n v="12.916"/>
    <d v="2023-05-01T00:00:00"/>
    <s v="Middle-aged"/>
    <n v="1"/>
    <s v="No"/>
    <m/>
    <s v="High"/>
    <s v="Low"/>
    <n v="0.36363636363636365"/>
    <s v="Low"/>
    <n v="3"/>
    <d v="2023-05-01T00:00:00"/>
    <s v="7–12 months"/>
    <s v="4–5 tickets"/>
    <s v="46+ min"/>
    <s v="701–1000"/>
    <n v="7450"/>
    <n v="-74.5"/>
  </r>
  <r>
    <n v="10281"/>
    <n v="28"/>
    <s v="Male"/>
    <s v="Hyderabad"/>
    <d v="2022-07-05T00:00:00"/>
    <d v="2021-09-08T00:00:00"/>
    <x v="0"/>
    <n v="1221"/>
    <x v="28"/>
    <n v="3"/>
    <n v="16.04"/>
    <n v="10"/>
    <x v="2"/>
    <x v="1"/>
    <n v="24236.85"/>
    <b v="0"/>
    <n v="1.6666666666666667"/>
    <n v="1211.8425"/>
    <n v="4.01"/>
    <d v="2022-07-01T00:00:00"/>
    <s v="Adult"/>
    <n v="0"/>
    <s v="Yes"/>
    <m/>
    <s v="Low"/>
    <s v="Low"/>
    <n v="0.14285714285714285"/>
    <s v="High"/>
    <n v="1"/>
    <d v="2022-07-01T00:00:00"/>
    <s v="13–24 months"/>
    <s v="2–3 tickets"/>
    <s v="11–20 min"/>
    <s v="1000+"/>
    <n v="24420"/>
    <n v="-183.15000000000146"/>
  </r>
  <r>
    <n v="10282"/>
    <n v="25"/>
    <s v="Female"/>
    <s v="Delhi"/>
    <d v="2022-08-24T00:00:00"/>
    <d v="2021-12-06T00:00:00"/>
    <x v="2"/>
    <n v="1135"/>
    <x v="0"/>
    <n v="3"/>
    <n v="119.28"/>
    <n v="5"/>
    <x v="1"/>
    <x v="1"/>
    <n v="28318.25"/>
    <b v="0"/>
    <n v="2.0833333333333335"/>
    <n v="1132.73"/>
    <n v="29.82"/>
    <d v="2022-08-01T00:00:00"/>
    <s v="Young"/>
    <n v="0"/>
    <s v="Yes"/>
    <m/>
    <s v="High"/>
    <s v="Low"/>
    <n v="0.11538461538461539"/>
    <s v="High"/>
    <n v="2"/>
    <d v="2022-08-01T00:00:00"/>
    <s v="25+ months"/>
    <s v="2–3 tickets"/>
    <s v="46+ min"/>
    <s v="1000+"/>
    <n v="28375"/>
    <n v="-56.75"/>
  </r>
  <r>
    <n v="10283"/>
    <n v="53"/>
    <s v="Female"/>
    <s v="Bangalore"/>
    <d v="2021-09-13T00:00:00"/>
    <d v="2023-11-07T00:00:00"/>
    <x v="2"/>
    <n v="377"/>
    <x v="6"/>
    <n v="3"/>
    <n v="91.56"/>
    <n v="5"/>
    <x v="3"/>
    <x v="1"/>
    <n v="7898.15"/>
    <b v="1"/>
    <n v="1.75"/>
    <n v="376.10238095238094"/>
    <n v="22.89"/>
    <d v="2021-09-01T00:00:00"/>
    <s v="Older"/>
    <n v="0"/>
    <s v="No"/>
    <n v="785"/>
    <s v="High"/>
    <s v="Low"/>
    <n v="0.13636363636363635"/>
    <s v="Low"/>
    <n v="2"/>
    <d v="2021-09-01T00:00:00"/>
    <s v="13–24 months"/>
    <s v="2–3 tickets"/>
    <s v="46+ min"/>
    <s v="301–500"/>
    <n v="7917"/>
    <n v="-18.850000000000364"/>
  </r>
  <r>
    <n v="10284"/>
    <n v="55"/>
    <s v="Female"/>
    <s v="Chennai"/>
    <d v="2023-02-05T00:00:00"/>
    <d v="2023-10-06T00:00:00"/>
    <x v="0"/>
    <n v="492"/>
    <x v="25"/>
    <n v="4"/>
    <n v="55.33"/>
    <n v="0"/>
    <x v="0"/>
    <x v="0"/>
    <n v="6888"/>
    <b v="1"/>
    <n v="1.1666666666666667"/>
    <n v="492"/>
    <n v="11.065999999999999"/>
    <d v="2023-02-01T00:00:00"/>
    <s v="Older"/>
    <n v="1"/>
    <s v="No"/>
    <n v="243"/>
    <s v="Medium"/>
    <s v="Low"/>
    <n v="0.26666666666666666"/>
    <s v="Low"/>
    <n v="1"/>
    <d v="2023-02-01T00:00:00"/>
    <s v="13–24 months"/>
    <s v="4–5 tickets"/>
    <s v="46+ min"/>
    <s v="301–500"/>
    <n v="6888"/>
    <n v="0"/>
  </r>
  <r>
    <n v="10285"/>
    <n v="57"/>
    <s v="Male"/>
    <s v="Pune"/>
    <d v="2022-12-29T00:00:00"/>
    <d v="2022-06-23T00:00:00"/>
    <x v="2"/>
    <n v="700"/>
    <x v="1"/>
    <n v="1"/>
    <n v="76.09"/>
    <n v="20"/>
    <x v="0"/>
    <x v="1"/>
    <n v="15260"/>
    <b v="0"/>
    <n v="1.8333333333333333"/>
    <n v="693.63636363636363"/>
    <n v="38.045000000000002"/>
    <d v="2022-12-01T00:00:00"/>
    <s v="Older"/>
    <n v="0"/>
    <s v="Yes"/>
    <m/>
    <s v="High"/>
    <s v="Medium"/>
    <n v="4.3478260869565216E-2"/>
    <s v="Medium"/>
    <n v="2"/>
    <d v="2022-12-01T00:00:00"/>
    <s v="13–24 months"/>
    <s v="0–1 tickets"/>
    <s v="46+ min"/>
    <s v="501–700"/>
    <n v="15400"/>
    <n v="-140"/>
  </r>
  <r>
    <n v="10286"/>
    <n v="37"/>
    <s v="Female"/>
    <s v="Hyderabad"/>
    <d v="2023-05-30T00:00:00"/>
    <d v="2022-01-27T00:00:00"/>
    <x v="2"/>
    <n v="408"/>
    <x v="8"/>
    <n v="3"/>
    <n v="15.07"/>
    <n v="5"/>
    <x v="3"/>
    <x v="1"/>
    <n v="10587.6"/>
    <b v="0"/>
    <n v="2.1666666666666665"/>
    <n v="407.21538461538461"/>
    <n v="3.7675000000000001"/>
    <d v="2023-05-01T00:00:00"/>
    <s v="Middle-aged"/>
    <n v="0"/>
    <s v="No"/>
    <m/>
    <s v="Low"/>
    <s v="Low"/>
    <n v="0.1111111111111111"/>
    <s v="Medium"/>
    <n v="2"/>
    <d v="2023-05-01T00:00:00"/>
    <s v="25+ months"/>
    <s v="2–3 tickets"/>
    <s v="11–20 min"/>
    <s v="301–500"/>
    <n v="10608"/>
    <n v="-20.399999999999636"/>
  </r>
  <r>
    <n v="10287"/>
    <n v="52"/>
    <s v="Female"/>
    <s v="Hyderabad"/>
    <d v="2023-03-26T00:00:00"/>
    <d v="2023-07-22T00:00:00"/>
    <x v="2"/>
    <n v="1091"/>
    <x v="11"/>
    <n v="3"/>
    <n v="61.96"/>
    <n v="10"/>
    <x v="0"/>
    <x v="1"/>
    <n v="11891.9"/>
    <b v="1"/>
    <n v="0.91666666666666663"/>
    <n v="1081.0818181818181"/>
    <n v="15.49"/>
    <d v="2023-03-01T00:00:00"/>
    <s v="Older"/>
    <n v="0"/>
    <s v="No"/>
    <n v="118"/>
    <s v="High"/>
    <s v="Low"/>
    <n v="0.25"/>
    <s v="Medium"/>
    <n v="2"/>
    <d v="2023-03-01T00:00:00"/>
    <s v="7–12 months"/>
    <s v="2–3 tickets"/>
    <s v="46+ min"/>
    <s v="1000+"/>
    <n v="12001"/>
    <n v="-109.10000000000036"/>
  </r>
  <r>
    <n v="10288"/>
    <n v="42"/>
    <s v="Female"/>
    <s v="Bangalore"/>
    <d v="2021-06-21T00:00:00"/>
    <d v="2023-06-01T00:00:00"/>
    <x v="2"/>
    <n v="562"/>
    <x v="16"/>
    <n v="3"/>
    <n v="112.05"/>
    <n v="15"/>
    <x v="0"/>
    <x v="1"/>
    <n v="3849.7"/>
    <b v="1"/>
    <n v="0.58333333333333337"/>
    <n v="549.9571428571428"/>
    <n v="28.012499999999999"/>
    <d v="2021-06-01T00:00:00"/>
    <s v="Middle-aged"/>
    <n v="0"/>
    <s v="No"/>
    <n v="710"/>
    <s v="High"/>
    <s v="Low"/>
    <n v="0.375"/>
    <s v="Low"/>
    <n v="2"/>
    <d v="2021-06-01T00:00:00"/>
    <s v="7–12 months"/>
    <s v="2–3 tickets"/>
    <s v="46+ min"/>
    <s v="501–700"/>
    <n v="3934"/>
    <n v="-84.300000000000182"/>
  </r>
  <r>
    <n v="10289"/>
    <n v="52"/>
    <s v="Male"/>
    <s v="Pune"/>
    <d v="2022-10-11T00:00:00"/>
    <d v="2022-07-22T00:00:00"/>
    <x v="2"/>
    <n v="628"/>
    <x v="18"/>
    <n v="4"/>
    <n v="108.11"/>
    <n v="10"/>
    <x v="2"/>
    <x v="1"/>
    <n v="10613.2"/>
    <b v="0"/>
    <n v="1.4166666666666667"/>
    <n v="624.30588235294124"/>
    <n v="21.622"/>
    <d v="2022-10-01T00:00:00"/>
    <s v="Older"/>
    <n v="0"/>
    <s v="No"/>
    <m/>
    <s v="High"/>
    <s v="Low"/>
    <n v="0.22222222222222221"/>
    <s v="Medium"/>
    <n v="2"/>
    <d v="2022-10-01T00:00:00"/>
    <s v="13–24 months"/>
    <s v="4–5 tickets"/>
    <s v="46+ min"/>
    <s v="501–700"/>
    <n v="10676"/>
    <n v="-62.799999999999272"/>
  </r>
  <r>
    <n v="10290"/>
    <n v="42"/>
    <s v="Male"/>
    <s v="Mumbai"/>
    <d v="2022-05-13T00:00:00"/>
    <d v="2021-11-23T00:00:00"/>
    <x v="0"/>
    <n v="662"/>
    <x v="10"/>
    <n v="1"/>
    <n v="43.8"/>
    <n v="5"/>
    <x v="0"/>
    <x v="1"/>
    <n v="11882.9"/>
    <b v="0"/>
    <n v="1.5"/>
    <n v="660.16111111111104"/>
    <n v="21.9"/>
    <d v="2022-05-01T00:00:00"/>
    <s v="Middle-aged"/>
    <n v="0"/>
    <s v="No"/>
    <m/>
    <s v="Medium"/>
    <s v="Low"/>
    <n v="5.2631578947368418E-2"/>
    <s v="Medium"/>
    <n v="1"/>
    <d v="2022-05-01T00:00:00"/>
    <s v="13–24 months"/>
    <s v="0–1 tickets"/>
    <s v="31–45 min"/>
    <s v="501–700"/>
    <n v="11916"/>
    <n v="-33.100000000000364"/>
  </r>
  <r>
    <n v="10291"/>
    <n v="46"/>
    <s v="Male"/>
    <s v="Bangalore"/>
    <d v="2022-04-16T00:00:00"/>
    <d v="2022-06-22T00:00:00"/>
    <x v="0"/>
    <n v="558"/>
    <x v="16"/>
    <n v="1"/>
    <n v="66.11"/>
    <n v="5"/>
    <x v="1"/>
    <x v="1"/>
    <n v="3878.1"/>
    <b v="1"/>
    <n v="0.58333333333333337"/>
    <n v="554.01428571428573"/>
    <n v="33.055"/>
    <d v="2022-04-01T00:00:00"/>
    <s v="Middle-aged"/>
    <n v="0"/>
    <s v="No"/>
    <n v="67"/>
    <s v="High"/>
    <s v="Low"/>
    <n v="0.125"/>
    <s v="Low"/>
    <n v="1"/>
    <d v="2022-04-01T00:00:00"/>
    <s v="7–12 months"/>
    <s v="0–1 tickets"/>
    <s v="46+ min"/>
    <s v="501–700"/>
    <n v="3906"/>
    <n v="-27.900000000000091"/>
  </r>
  <r>
    <n v="10292"/>
    <n v="35"/>
    <s v="Male"/>
    <s v="Pune"/>
    <d v="2022-01-19T00:00:00"/>
    <d v="2022-09-14T00:00:00"/>
    <x v="2"/>
    <n v="384"/>
    <x v="28"/>
    <n v="0"/>
    <n v="85.2"/>
    <n v="0"/>
    <x v="1"/>
    <x v="1"/>
    <n v="7680"/>
    <b v="1"/>
    <n v="1.6666666666666667"/>
    <n v="384"/>
    <n v="85.2"/>
    <d v="2022-01-01T00:00:00"/>
    <s v="Adult"/>
    <n v="0"/>
    <s v="No"/>
    <n v="238"/>
    <s v="High"/>
    <s v="Low"/>
    <n v="0"/>
    <s v="Low"/>
    <n v="2"/>
    <d v="2022-01-01T00:00:00"/>
    <s v="13–24 months"/>
    <s v="0–1 tickets"/>
    <s v="46+ min"/>
    <s v="301–500"/>
    <n v="7680"/>
    <n v="0"/>
  </r>
  <r>
    <n v="10293"/>
    <n v="63"/>
    <s v="Male"/>
    <s v="Bangalore"/>
    <d v="2022-11-21T00:00:00"/>
    <d v="2023-10-01T00:00:00"/>
    <x v="0"/>
    <n v="607"/>
    <x v="11"/>
    <n v="6"/>
    <n v="44.1"/>
    <n v="10"/>
    <x v="2"/>
    <x v="1"/>
    <n v="6616.3"/>
    <b v="1"/>
    <n v="0.91666666666666663"/>
    <n v="601.4818181818182"/>
    <n v="6.3"/>
    <d v="2022-11-01T00:00:00"/>
    <s v="Older"/>
    <n v="0"/>
    <s v="No"/>
    <n v="314"/>
    <s v="Medium"/>
    <s v="Low"/>
    <n v="0.5"/>
    <s v="Low"/>
    <n v="1"/>
    <d v="2022-11-01T00:00:00"/>
    <s v="7–12 months"/>
    <s v="6+ tickets"/>
    <s v="31–45 min"/>
    <s v="501–700"/>
    <n v="6677"/>
    <n v="-60.699999999999818"/>
  </r>
  <r>
    <n v="10294"/>
    <n v="35"/>
    <s v="Female"/>
    <s v="unknown"/>
    <d v="2022-08-12T00:00:00"/>
    <d v="2022-01-19T00:00:00"/>
    <x v="0"/>
    <n v="561"/>
    <x v="24"/>
    <n v="0"/>
    <n v="12.46"/>
    <n v="0"/>
    <x v="2"/>
    <x v="1"/>
    <n v="8976"/>
    <b v="0"/>
    <n v="1.3333333333333333"/>
    <n v="561"/>
    <n v="12.46"/>
    <d v="2022-08-01T00:00:00"/>
    <s v="Adult"/>
    <n v="0"/>
    <s v="No"/>
    <m/>
    <s v="Low"/>
    <s v="Low"/>
    <n v="0"/>
    <s v="Medium"/>
    <n v="1"/>
    <d v="2022-08-01T00:00:00"/>
    <s v="13–24 months"/>
    <s v="0–1 tickets"/>
    <s v="11–20 min"/>
    <s v="501–700"/>
    <n v="8976"/>
    <n v="0"/>
  </r>
  <r>
    <n v="10295"/>
    <n v="19"/>
    <s v="Male"/>
    <s v="Chennai"/>
    <d v="2022-12-01T00:00:00"/>
    <d v="2023-03-25T00:00:00"/>
    <x v="0"/>
    <n v="1096"/>
    <x v="26"/>
    <n v="1"/>
    <n v="63.13"/>
    <n v="10"/>
    <x v="0"/>
    <x v="1"/>
    <n v="29482.400000000001"/>
    <b v="1"/>
    <n v="2.25"/>
    <n v="1091.9407407407407"/>
    <n v="31.565000000000001"/>
    <d v="2022-12-01T00:00:00"/>
    <s v="Young"/>
    <n v="0"/>
    <s v="Yes"/>
    <n v="114"/>
    <s v="High"/>
    <s v="Low"/>
    <n v="3.5714285714285712E-2"/>
    <s v="High"/>
    <n v="1"/>
    <d v="2022-12-01T00:00:00"/>
    <s v="25+ months"/>
    <s v="0–1 tickets"/>
    <s v="46+ min"/>
    <s v="1000+"/>
    <n v="29592"/>
    <n v="-109.59999999999854"/>
  </r>
  <r>
    <n v="10296"/>
    <n v="41"/>
    <s v="Male"/>
    <s v="Bangalore"/>
    <d v="2022-05-22T00:00:00"/>
    <d v="2022-08-26T00:00:00"/>
    <x v="2"/>
    <n v="930"/>
    <x v="11"/>
    <n v="3"/>
    <n v="74.19"/>
    <n v="20"/>
    <x v="2"/>
    <x v="1"/>
    <n v="10044"/>
    <b v="1"/>
    <n v="0.91666666666666663"/>
    <n v="913.09090909090912"/>
    <n v="18.547499999999999"/>
    <d v="2022-05-01T00:00:00"/>
    <s v="Middle-aged"/>
    <n v="0"/>
    <s v="No"/>
    <n v="96"/>
    <s v="High"/>
    <s v="Medium"/>
    <n v="0.25"/>
    <s v="Medium"/>
    <n v="2"/>
    <d v="2022-05-01T00:00:00"/>
    <s v="7–12 months"/>
    <s v="2–3 tickets"/>
    <s v="46+ min"/>
    <s v="701–1000"/>
    <n v="10230"/>
    <n v="-186"/>
  </r>
  <r>
    <n v="10297"/>
    <n v="33"/>
    <s v="Male"/>
    <s v="Mumbai"/>
    <d v="2022-06-11T00:00:00"/>
    <d v="2022-03-04T00:00:00"/>
    <x v="0"/>
    <n v="979"/>
    <x v="24"/>
    <n v="1"/>
    <n v="5.67"/>
    <n v="10"/>
    <x v="2"/>
    <x v="1"/>
    <n v="15468.2"/>
    <b v="0"/>
    <n v="1.3333333333333333"/>
    <n v="966.76250000000005"/>
    <n v="2.835"/>
    <d v="2022-06-01T00:00:00"/>
    <s v="Adult"/>
    <n v="0"/>
    <s v="Yes"/>
    <m/>
    <s v="Low"/>
    <s v="Low"/>
    <n v="5.8823529411764705E-2"/>
    <s v="Medium"/>
    <n v="1"/>
    <d v="2022-06-01T00:00:00"/>
    <s v="13–24 months"/>
    <s v="0–1 tickets"/>
    <s v="0–10 min"/>
    <s v="701–1000"/>
    <n v="15664"/>
    <n v="-195.79999999999927"/>
  </r>
  <r>
    <n v="10298"/>
    <n v="41"/>
    <s v="Male"/>
    <s v="Delhi"/>
    <d v="2023-03-15T00:00:00"/>
    <d v="2022-01-15T00:00:00"/>
    <x v="2"/>
    <n v="1164"/>
    <x v="31"/>
    <n v="2"/>
    <n v="15.99"/>
    <n v="10"/>
    <x v="3"/>
    <x v="0"/>
    <n v="26655.599999999999"/>
    <b v="0"/>
    <n v="1.9166666666666667"/>
    <n v="1158.9391304347826"/>
    <n v="5.33"/>
    <d v="2023-03-01T00:00:00"/>
    <s v="Middle-aged"/>
    <n v="1"/>
    <s v="Yes"/>
    <m/>
    <s v="Low"/>
    <s v="Low"/>
    <n v="8.3333333333333329E-2"/>
    <s v="High"/>
    <n v="2"/>
    <d v="2023-03-01T00:00:00"/>
    <s v="13–24 months"/>
    <s v="2–3 tickets"/>
    <s v="11–20 min"/>
    <s v="1000+"/>
    <n v="26772"/>
    <n v="-116.40000000000146"/>
  </r>
  <r>
    <n v="10299"/>
    <n v="53"/>
    <s v="Male"/>
    <s v="Pune"/>
    <d v="2023-04-11T00:00:00"/>
    <d v="2021-11-18T00:00:00"/>
    <x v="2"/>
    <n v="623"/>
    <x v="34"/>
    <n v="1"/>
    <n v="28.84"/>
    <n v="0"/>
    <x v="2"/>
    <x v="1"/>
    <n v="7476"/>
    <b v="0"/>
    <n v="1"/>
    <n v="623"/>
    <n v="14.42"/>
    <d v="2023-04-01T00:00:00"/>
    <s v="Older"/>
    <n v="0"/>
    <s v="No"/>
    <m/>
    <s v="Medium"/>
    <s v="Low"/>
    <n v="7.6923076923076927E-2"/>
    <s v="Low"/>
    <n v="2"/>
    <d v="2023-04-01T00:00:00"/>
    <s v="7–12 months"/>
    <s v="0–1 tickets"/>
    <s v="21–30 min"/>
    <s v="501–700"/>
    <n v="7476"/>
    <n v="0"/>
  </r>
  <r>
    <n v="10300"/>
    <n v="50"/>
    <s v="Male"/>
    <s v="Bangalore"/>
    <d v="2021-11-21T00:00:00"/>
    <d v="2023-06-05T00:00:00"/>
    <x v="0"/>
    <n v="1224"/>
    <x v="13"/>
    <n v="1"/>
    <n v="45.03"/>
    <n v="20"/>
    <x v="1"/>
    <x v="0"/>
    <n v="3427.2"/>
    <b v="1"/>
    <n v="0.25"/>
    <n v="1142.3999999999999"/>
    <n v="22.515000000000001"/>
    <d v="2021-11-01T00:00:00"/>
    <s v="Middle-aged"/>
    <n v="1"/>
    <s v="No"/>
    <n v="561"/>
    <s v="Medium"/>
    <s v="Medium"/>
    <n v="0.25"/>
    <s v="Low"/>
    <n v="1"/>
    <d v="2021-11-01T00:00:00"/>
    <s v="0–6 months"/>
    <s v="0–1 tickets"/>
    <s v="46+ min"/>
    <s v="1000+"/>
    <n v="3672"/>
    <n v="-244.80000000000018"/>
  </r>
  <r>
    <n v="10301"/>
    <n v="21"/>
    <s v="Male"/>
    <s v="Bangalore"/>
    <d v="2021-08-02T00:00:00"/>
    <d v="2021-12-30T00:00:00"/>
    <x v="2"/>
    <n v="1026"/>
    <x v="4"/>
    <n v="2"/>
    <n v="67.22"/>
    <n v="5"/>
    <x v="0"/>
    <x v="1"/>
    <n v="2000.7"/>
    <b v="1"/>
    <n v="0.16666666666666666"/>
    <n v="1000.35"/>
    <n v="22.406666666666666"/>
    <d v="2021-08-01T00:00:00"/>
    <s v="Young"/>
    <n v="0"/>
    <s v="No"/>
    <n v="150"/>
    <s v="High"/>
    <s v="Low"/>
    <n v="0.66666666666666663"/>
    <s v="Low"/>
    <n v="2"/>
    <d v="2021-08-01T00:00:00"/>
    <s v="0–6 months"/>
    <s v="2–3 tickets"/>
    <s v="46+ min"/>
    <s v="1000+"/>
    <n v="2052"/>
    <n v="-51.299999999999955"/>
  </r>
  <r>
    <n v="10302"/>
    <n v="50"/>
    <s v="Female"/>
    <s v="Mumbai"/>
    <d v="2021-07-27T00:00:00"/>
    <d v="2022-03-09T00:00:00"/>
    <x v="2"/>
    <n v="1277"/>
    <x v="30"/>
    <n v="2"/>
    <n v="38.79"/>
    <n v="15"/>
    <x v="2"/>
    <x v="1"/>
    <n v="30456.45"/>
    <b v="1"/>
    <n v="2"/>
    <n v="1269.01875"/>
    <n v="12.93"/>
    <d v="2021-07-01T00:00:00"/>
    <s v="Middle-aged"/>
    <n v="0"/>
    <s v="Yes"/>
    <n v="225"/>
    <s v="Medium"/>
    <s v="Low"/>
    <n v="0.08"/>
    <s v="High"/>
    <n v="2"/>
    <d v="2021-07-01T00:00:00"/>
    <s v="13–24 months"/>
    <s v="2–3 tickets"/>
    <s v="31–45 min"/>
    <s v="1000+"/>
    <n v="30648"/>
    <n v="-191.54999999999927"/>
  </r>
  <r>
    <n v="10303"/>
    <n v="31"/>
    <s v="Other"/>
    <s v="Chennai"/>
    <d v="2021-06-18T00:00:00"/>
    <d v="2021-07-11T00:00:00"/>
    <x v="2"/>
    <n v="516"/>
    <x v="5"/>
    <n v="2"/>
    <n v="36.76"/>
    <n v="0"/>
    <x v="3"/>
    <x v="1"/>
    <n v="14964"/>
    <b v="1"/>
    <n v="2.4166666666666665"/>
    <n v="516"/>
    <n v="12.253333333333332"/>
    <d v="2021-06-01T00:00:00"/>
    <s v="Adult"/>
    <n v="0"/>
    <s v="Yes"/>
    <n v="23"/>
    <s v="Medium"/>
    <s v="Low"/>
    <n v="6.6666666666666666E-2"/>
    <s v="Medium"/>
    <n v="2"/>
    <d v="2021-06-01T00:00:00"/>
    <s v="25+ months"/>
    <s v="2–3 tickets"/>
    <s v="31–45 min"/>
    <s v="501–700"/>
    <n v="14964"/>
    <n v="0"/>
  </r>
  <r>
    <n v="10304"/>
    <n v="38"/>
    <s v="Male"/>
    <s v="Bangalore"/>
    <d v="2021-11-26T00:00:00"/>
    <d v="2021-09-30T00:00:00"/>
    <x v="2"/>
    <n v="747"/>
    <x v="22"/>
    <n v="2"/>
    <n v="104.98"/>
    <n v="10"/>
    <x v="0"/>
    <x v="1"/>
    <n v="25323.3"/>
    <b v="0"/>
    <n v="2.8333333333333335"/>
    <n v="744.80294117647054"/>
    <n v="34.993333333333332"/>
    <d v="2021-11-01T00:00:00"/>
    <s v="Middle-aged"/>
    <n v="0"/>
    <s v="Yes"/>
    <m/>
    <s v="High"/>
    <s v="Low"/>
    <n v="5.7142857142857141E-2"/>
    <s v="High"/>
    <n v="2"/>
    <d v="2021-11-01T00:00:00"/>
    <s v="25+ months"/>
    <s v="2–3 tickets"/>
    <s v="46+ min"/>
    <s v="701–1000"/>
    <n v="25398"/>
    <n v="-74.700000000000728"/>
  </r>
  <r>
    <n v="10305"/>
    <n v="37"/>
    <s v="Male"/>
    <s v="Bangalore"/>
    <d v="2021-10-07T00:00:00"/>
    <d v="2022-01-13T00:00:00"/>
    <x v="0"/>
    <n v="618"/>
    <x v="28"/>
    <n v="2"/>
    <n v="21.68"/>
    <n v="15"/>
    <x v="0"/>
    <x v="1"/>
    <n v="12267.3"/>
    <b v="1"/>
    <n v="1.6666666666666667"/>
    <n v="613.36500000000001"/>
    <n v="7.2266666666666666"/>
    <d v="2021-10-01T00:00:00"/>
    <s v="Middle-aged"/>
    <n v="0"/>
    <s v="No"/>
    <n v="98"/>
    <s v="Medium"/>
    <s v="Low"/>
    <n v="9.5238095238095233E-2"/>
    <s v="Medium"/>
    <n v="1"/>
    <d v="2021-10-01T00:00:00"/>
    <s v="13–24 months"/>
    <s v="2–3 tickets"/>
    <s v="21–30 min"/>
    <s v="501–700"/>
    <n v="12360"/>
    <n v="-92.700000000000728"/>
  </r>
  <r>
    <n v="10306"/>
    <n v="25"/>
    <s v="Female"/>
    <s v="Chennai"/>
    <d v="2021-11-01T00:00:00"/>
    <d v="2022-03-21T00:00:00"/>
    <x v="2"/>
    <n v="1293"/>
    <x v="10"/>
    <n v="2"/>
    <n v="61.98"/>
    <n v="15"/>
    <x v="0"/>
    <x v="0"/>
    <n v="23080.05"/>
    <b v="1"/>
    <n v="1.5"/>
    <n v="1282.2249999999999"/>
    <n v="20.66"/>
    <d v="2021-11-01T00:00:00"/>
    <s v="Young"/>
    <n v="1"/>
    <s v="Yes"/>
    <n v="140"/>
    <s v="High"/>
    <s v="Low"/>
    <n v="0.10526315789473684"/>
    <s v="High"/>
    <n v="2"/>
    <d v="2021-11-01T00:00:00"/>
    <s v="13–24 months"/>
    <s v="2–3 tickets"/>
    <s v="46+ min"/>
    <s v="1000+"/>
    <n v="23274"/>
    <n v="-193.95000000000073"/>
  </r>
  <r>
    <n v="10307"/>
    <n v="24"/>
    <s v="Male"/>
    <s v="Mumbai"/>
    <d v="2021-05-26T00:00:00"/>
    <d v="2023-01-21T00:00:00"/>
    <x v="0"/>
    <n v="336"/>
    <x v="25"/>
    <n v="4"/>
    <n v="114.57"/>
    <n v="5"/>
    <x v="3"/>
    <x v="1"/>
    <n v="4687.2"/>
    <b v="1"/>
    <n v="1.1666666666666667"/>
    <n v="334.8"/>
    <n v="22.913999999999998"/>
    <d v="2021-05-01T00:00:00"/>
    <s v="Young"/>
    <n v="0"/>
    <s v="No"/>
    <n v="605"/>
    <s v="High"/>
    <s v="Low"/>
    <n v="0.26666666666666666"/>
    <s v="Low"/>
    <n v="1"/>
    <d v="2021-05-01T00:00:00"/>
    <s v="13–24 months"/>
    <s v="4–5 tickets"/>
    <s v="46+ min"/>
    <s v="301–500"/>
    <n v="4704"/>
    <n v="-16.800000000000182"/>
  </r>
  <r>
    <n v="10308"/>
    <n v="20"/>
    <s v="Male"/>
    <s v="Pune"/>
    <d v="2023-02-14T00:00:00"/>
    <d v="2022-02-22T00:00:00"/>
    <x v="1"/>
    <n v="1030"/>
    <x v="10"/>
    <n v="1"/>
    <n v="76.88"/>
    <n v="0"/>
    <x v="1"/>
    <x v="0"/>
    <n v="18540"/>
    <b v="0"/>
    <n v="1.5"/>
    <n v="1030"/>
    <n v="38.44"/>
    <d v="2023-02-01T00:00:00"/>
    <s v="Young"/>
    <n v="1"/>
    <s v="Yes"/>
    <m/>
    <s v="High"/>
    <s v="Low"/>
    <n v="5.2631578947368418E-2"/>
    <s v="Medium"/>
    <n v="3"/>
    <d v="2023-02-01T00:00:00"/>
    <s v="13–24 months"/>
    <s v="0–1 tickets"/>
    <s v="46+ min"/>
    <s v="1000+"/>
    <n v="18540"/>
    <n v="0"/>
  </r>
  <r>
    <n v="10309"/>
    <n v="34"/>
    <s v="Female"/>
    <s v="Pune"/>
    <d v="2022-05-31T00:00:00"/>
    <d v="2022-11-23T00:00:00"/>
    <x v="1"/>
    <n v="1310"/>
    <x v="4"/>
    <n v="1"/>
    <n v="87.48"/>
    <n v="15"/>
    <x v="3"/>
    <x v="1"/>
    <n v="2423.5"/>
    <b v="1"/>
    <n v="0.16666666666666666"/>
    <n v="1211.75"/>
    <n v="43.74"/>
    <d v="2022-05-01T00:00:00"/>
    <s v="Adult"/>
    <n v="0"/>
    <s v="No"/>
    <n v="176"/>
    <s v="High"/>
    <s v="Low"/>
    <n v="0.33333333333333331"/>
    <s v="Low"/>
    <n v="3"/>
    <d v="2022-05-01T00:00:00"/>
    <s v="0–6 months"/>
    <s v="0–1 tickets"/>
    <s v="46+ min"/>
    <s v="1000+"/>
    <n v="2620"/>
    <n v="-196.5"/>
  </r>
  <r>
    <n v="10310"/>
    <n v="50"/>
    <s v="Male"/>
    <s v="Bangalore"/>
    <d v="2021-03-31T00:00:00"/>
    <d v="2023-06-29T00:00:00"/>
    <x v="2"/>
    <n v="1357"/>
    <x v="7"/>
    <n v="2"/>
    <n v="54.59"/>
    <n v="0"/>
    <x v="3"/>
    <x v="1"/>
    <n v="1357"/>
    <b v="1"/>
    <n v="8.3333333333333329E-2"/>
    <n v="1357"/>
    <n v="18.196666666666669"/>
    <d v="2021-03-01T00:00:00"/>
    <s v="Middle-aged"/>
    <n v="0"/>
    <s v="No"/>
    <n v="820"/>
    <s v="Medium"/>
    <s v="Low"/>
    <n v="1"/>
    <s v="Low"/>
    <n v="2"/>
    <d v="2021-03-01T00:00:00"/>
    <s v="0–6 months"/>
    <s v="2–3 tickets"/>
    <s v="46+ min"/>
    <s v="1000+"/>
    <n v="1357"/>
    <n v="0"/>
  </r>
  <r>
    <n v="10311"/>
    <n v="29"/>
    <s v="Female"/>
    <s v="Chennai"/>
    <d v="2022-03-29T00:00:00"/>
    <d v="2023-09-06T00:00:00"/>
    <x v="0"/>
    <n v="338"/>
    <x v="28"/>
    <n v="2"/>
    <n v="7.29"/>
    <n v="5"/>
    <x v="0"/>
    <x v="1"/>
    <n v="6743.1"/>
    <b v="1"/>
    <n v="1.6666666666666667"/>
    <n v="337.15500000000003"/>
    <n v="2.4300000000000002"/>
    <d v="2022-03-01T00:00:00"/>
    <s v="Adult"/>
    <n v="0"/>
    <s v="No"/>
    <n v="526"/>
    <s v="Low"/>
    <s v="Low"/>
    <n v="9.5238095238095233E-2"/>
    <s v="Low"/>
    <n v="1"/>
    <d v="2022-03-01T00:00:00"/>
    <s v="13–24 months"/>
    <s v="2–3 tickets"/>
    <s v="0–10 min"/>
    <s v="301–500"/>
    <n v="6760"/>
    <n v="-16.899999999999636"/>
  </r>
  <r>
    <n v="10312"/>
    <n v="39"/>
    <s v="Female"/>
    <s v="Bangalore"/>
    <d v="2021-03-01T00:00:00"/>
    <d v="2022-08-25T00:00:00"/>
    <x v="0"/>
    <n v="508"/>
    <x v="22"/>
    <n v="3"/>
    <n v="79.3"/>
    <n v="10"/>
    <x v="3"/>
    <x v="1"/>
    <n v="17221.2"/>
    <b v="1"/>
    <n v="2.8333333333333335"/>
    <n v="506.50588235294117"/>
    <n v="19.824999999999999"/>
    <d v="2021-03-01T00:00:00"/>
    <s v="Middle-aged"/>
    <n v="0"/>
    <s v="Yes"/>
    <n v="542"/>
    <s v="High"/>
    <s v="Low"/>
    <n v="8.5714285714285715E-2"/>
    <s v="Medium"/>
    <n v="1"/>
    <d v="2021-03-01T00:00:00"/>
    <s v="25+ months"/>
    <s v="2–3 tickets"/>
    <s v="46+ min"/>
    <s v="501–700"/>
    <n v="17272"/>
    <n v="-50.799999999999272"/>
  </r>
  <r>
    <n v="10313"/>
    <n v="39"/>
    <s v="Male"/>
    <s v="Delhi"/>
    <d v="2021-11-07T00:00:00"/>
    <d v="2022-08-23T00:00:00"/>
    <x v="0"/>
    <n v="1129"/>
    <x v="11"/>
    <n v="2"/>
    <n v="62.59"/>
    <n v="15"/>
    <x v="0"/>
    <x v="1"/>
    <n v="12249.65"/>
    <b v="1"/>
    <n v="0.91666666666666663"/>
    <n v="1113.6045454545454"/>
    <n v="20.863333333333333"/>
    <d v="2021-11-01T00:00:00"/>
    <s v="Middle-aged"/>
    <n v="0"/>
    <s v="No"/>
    <n v="289"/>
    <s v="High"/>
    <s v="Low"/>
    <n v="0.16666666666666666"/>
    <s v="Medium"/>
    <n v="1"/>
    <d v="2021-11-01T00:00:00"/>
    <s v="7–12 months"/>
    <s v="2–3 tickets"/>
    <s v="46+ min"/>
    <s v="1000+"/>
    <n v="12419"/>
    <n v="-169.35000000000036"/>
  </r>
  <r>
    <n v="10314"/>
    <n v="63"/>
    <s v="Male"/>
    <s v="Pune"/>
    <d v="2022-06-12T00:00:00"/>
    <d v="2023-06-26T00:00:00"/>
    <x v="2"/>
    <n v="1155"/>
    <x v="26"/>
    <n v="1"/>
    <n v="17.7"/>
    <n v="15"/>
    <x v="2"/>
    <x v="1"/>
    <n v="31011.75"/>
    <b v="1"/>
    <n v="2.25"/>
    <n v="1148.5833333333333"/>
    <n v="8.85"/>
    <d v="2022-06-01T00:00:00"/>
    <s v="Older"/>
    <n v="0"/>
    <s v="Yes"/>
    <n v="379"/>
    <s v="Low"/>
    <s v="Low"/>
    <n v="3.5714285714285712E-2"/>
    <s v="High"/>
    <n v="2"/>
    <d v="2022-06-01T00:00:00"/>
    <s v="25+ months"/>
    <s v="0–1 tickets"/>
    <s v="11–20 min"/>
    <s v="1000+"/>
    <n v="31185"/>
    <n v="-173.25"/>
  </r>
  <r>
    <n v="10315"/>
    <n v="47"/>
    <s v="Female"/>
    <s v="Hyderabad"/>
    <d v="2021-08-15T00:00:00"/>
    <d v="2021-07-31T00:00:00"/>
    <x v="0"/>
    <n v="1475"/>
    <x v="31"/>
    <n v="3"/>
    <n v="58.15"/>
    <n v="15"/>
    <x v="2"/>
    <x v="1"/>
    <n v="33703.75"/>
    <b v="0"/>
    <n v="1.9166666666666667"/>
    <n v="1465.3804347826087"/>
    <n v="14.5375"/>
    <d v="2021-08-01T00:00:00"/>
    <s v="Middle-aged"/>
    <n v="0"/>
    <s v="Yes"/>
    <m/>
    <s v="Medium"/>
    <s v="Low"/>
    <n v="0.125"/>
    <s v="High"/>
    <n v="1"/>
    <d v="2021-08-01T00:00:00"/>
    <s v="13–24 months"/>
    <s v="2–3 tickets"/>
    <s v="46+ min"/>
    <s v="1000+"/>
    <n v="33925"/>
    <n v="-221.25"/>
  </r>
  <r>
    <n v="10316"/>
    <n v="55"/>
    <s v="Male"/>
    <s v="Delhi"/>
    <d v="2022-04-19T00:00:00"/>
    <d v="2022-10-15T00:00:00"/>
    <x v="2"/>
    <n v="1198"/>
    <x v="13"/>
    <n v="5"/>
    <n v="110.26"/>
    <n v="10"/>
    <x v="3"/>
    <x v="0"/>
    <n v="3594"/>
    <b v="1"/>
    <n v="0.25"/>
    <n v="1198"/>
    <n v="18.376666666666669"/>
    <d v="2022-04-01T00:00:00"/>
    <s v="Older"/>
    <n v="1"/>
    <s v="No"/>
    <n v="179"/>
    <s v="High"/>
    <s v="Low"/>
    <n v="1.25"/>
    <s v="Low"/>
    <n v="2"/>
    <d v="2022-04-01T00:00:00"/>
    <s v="0–6 months"/>
    <s v="4–5 tickets"/>
    <s v="46+ min"/>
    <s v="1000+"/>
    <n v="3594"/>
    <n v="0"/>
  </r>
  <r>
    <n v="10317"/>
    <n v="55"/>
    <s v="Male"/>
    <s v="Bangalore"/>
    <d v="2022-06-25T00:00:00"/>
    <d v="2021-10-25T00:00:00"/>
    <x v="0"/>
    <n v="900"/>
    <x v="34"/>
    <n v="2"/>
    <n v="28.58"/>
    <n v="15"/>
    <x v="1"/>
    <x v="1"/>
    <n v="10665"/>
    <b v="0"/>
    <n v="1"/>
    <n v="888.75"/>
    <n v="9.5266666666666655"/>
    <d v="2022-06-01T00:00:00"/>
    <s v="Older"/>
    <n v="0"/>
    <s v="No"/>
    <m/>
    <s v="Medium"/>
    <s v="Low"/>
    <n v="0.15384615384615385"/>
    <s v="Medium"/>
    <n v="1"/>
    <d v="2022-06-01T00:00:00"/>
    <s v="7–12 months"/>
    <s v="2–3 tickets"/>
    <s v="21–30 min"/>
    <s v="701–1000"/>
    <n v="10800"/>
    <n v="-135"/>
  </r>
  <r>
    <n v="10318"/>
    <n v="62"/>
    <s v="Female"/>
    <s v="Mumbai"/>
    <d v="2022-10-25T00:00:00"/>
    <d v="2023-04-17T00:00:00"/>
    <x v="1"/>
    <n v="1059"/>
    <x v="3"/>
    <n v="3"/>
    <n v="58.03"/>
    <n v="0"/>
    <x v="0"/>
    <x v="1"/>
    <n v="31770"/>
    <b v="1"/>
    <n v="2.5"/>
    <n v="1059"/>
    <n v="14.5075"/>
    <d v="2022-10-01T00:00:00"/>
    <s v="Older"/>
    <n v="0"/>
    <s v="Yes"/>
    <n v="174"/>
    <s v="Medium"/>
    <s v="Low"/>
    <n v="9.6774193548387094E-2"/>
    <s v="High"/>
    <n v="3"/>
    <d v="2022-10-01T00:00:00"/>
    <s v="25+ months"/>
    <s v="2–3 tickets"/>
    <s v="46+ min"/>
    <s v="1000+"/>
    <n v="31770"/>
    <n v="0"/>
  </r>
  <r>
    <n v="10319"/>
    <n v="25"/>
    <s v="Female"/>
    <s v="Pune"/>
    <d v="2023-01-27T00:00:00"/>
    <d v="2023-07-30T00:00:00"/>
    <x v="0"/>
    <n v="1402"/>
    <x v="27"/>
    <n v="1"/>
    <n v="58.03"/>
    <n v="20"/>
    <x v="3"/>
    <x v="1"/>
    <n v="43181.599999999999"/>
    <b v="1"/>
    <n v="2.5833333333333335"/>
    <n v="1392.9548387096775"/>
    <n v="29.015000000000001"/>
    <d v="2023-01-01T00:00:00"/>
    <s v="Young"/>
    <n v="0"/>
    <s v="Yes"/>
    <n v="184"/>
    <s v="Medium"/>
    <s v="Medium"/>
    <n v="3.125E-2"/>
    <s v="High"/>
    <n v="1"/>
    <d v="2023-01-01T00:00:00"/>
    <s v="25+ months"/>
    <s v="0–1 tickets"/>
    <s v="46+ min"/>
    <s v="1000+"/>
    <n v="43462"/>
    <n v="-280.40000000000146"/>
  </r>
  <r>
    <n v="10320"/>
    <n v="44"/>
    <s v="Male"/>
    <s v="Hyderabad"/>
    <d v="2023-02-21T00:00:00"/>
    <d v="2022-04-30T00:00:00"/>
    <x v="1"/>
    <n v="733"/>
    <x v="31"/>
    <n v="4"/>
    <n v="98.24"/>
    <n v="20"/>
    <x v="3"/>
    <x v="0"/>
    <n v="16712.400000000001"/>
    <b v="0"/>
    <n v="1.9166666666666667"/>
    <n v="726.62608695652182"/>
    <n v="19.648"/>
    <d v="2023-02-01T00:00:00"/>
    <s v="Middle-aged"/>
    <n v="1"/>
    <s v="Yes"/>
    <m/>
    <s v="High"/>
    <s v="Medium"/>
    <n v="0.16666666666666666"/>
    <s v="Medium"/>
    <n v="3"/>
    <d v="2023-02-01T00:00:00"/>
    <s v="13–24 months"/>
    <s v="4–5 tickets"/>
    <s v="46+ min"/>
    <s v="701–1000"/>
    <n v="16859"/>
    <n v="-146.59999999999854"/>
  </r>
  <r>
    <n v="10321"/>
    <n v="44"/>
    <s v="Female"/>
    <s v="Delhi"/>
    <d v="2021-03-20T00:00:00"/>
    <d v="2023-10-29T00:00:00"/>
    <x v="1"/>
    <n v="1141"/>
    <x v="7"/>
    <n v="3"/>
    <n v="99.83"/>
    <n v="0"/>
    <x v="1"/>
    <x v="0"/>
    <n v="1141"/>
    <b v="1"/>
    <n v="8.3333333333333329E-2"/>
    <n v="1141"/>
    <n v="24.9575"/>
    <d v="2021-03-01T00:00:00"/>
    <s v="Middle-aged"/>
    <n v="1"/>
    <s v="No"/>
    <n v="953"/>
    <s v="High"/>
    <s v="Low"/>
    <n v="1.5"/>
    <s v="Low"/>
    <n v="3"/>
    <d v="2021-03-01T00:00:00"/>
    <s v="0–6 months"/>
    <s v="2–3 tickets"/>
    <s v="46+ min"/>
    <s v="1000+"/>
    <n v="1141"/>
    <n v="0"/>
  </r>
  <r>
    <n v="10322"/>
    <n v="51"/>
    <s v="Male"/>
    <s v="Pune"/>
    <d v="2022-03-09T00:00:00"/>
    <d v="2023-11-08T00:00:00"/>
    <x v="2"/>
    <n v="331"/>
    <x v="28"/>
    <n v="2"/>
    <n v="92.32"/>
    <n v="20"/>
    <x v="0"/>
    <x v="1"/>
    <n v="6553.8"/>
    <b v="1"/>
    <n v="1.6666666666666667"/>
    <n v="327.69"/>
    <n v="30.77333333333333"/>
    <d v="2022-03-01T00:00:00"/>
    <s v="Older"/>
    <n v="0"/>
    <s v="No"/>
    <n v="609"/>
    <s v="High"/>
    <s v="Medium"/>
    <n v="9.5238095238095233E-2"/>
    <s v="Low"/>
    <n v="2"/>
    <d v="2022-03-01T00:00:00"/>
    <s v="13–24 months"/>
    <s v="2–3 tickets"/>
    <s v="46+ min"/>
    <s v="301–500"/>
    <n v="6620"/>
    <n v="-66.199999999999818"/>
  </r>
  <r>
    <n v="10323"/>
    <n v="38"/>
    <s v="Female"/>
    <s v="Chennai"/>
    <d v="2023-03-12T00:00:00"/>
    <d v="2021-10-20T00:00:00"/>
    <x v="2"/>
    <n v="1410"/>
    <x v="20"/>
    <n v="3"/>
    <n v="47.03"/>
    <n v="5"/>
    <x v="3"/>
    <x v="1"/>
    <n v="8389.5"/>
    <b v="0"/>
    <n v="0.5"/>
    <n v="1398.25"/>
    <n v="11.7575"/>
    <d v="2023-03-01T00:00:00"/>
    <s v="Middle-aged"/>
    <n v="0"/>
    <s v="No"/>
    <m/>
    <s v="Medium"/>
    <s v="Low"/>
    <n v="0.42857142857142855"/>
    <s v="Low"/>
    <n v="2"/>
    <d v="2023-03-01T00:00:00"/>
    <s v="0–6 months"/>
    <s v="2–3 tickets"/>
    <s v="46+ min"/>
    <s v="1000+"/>
    <n v="8460"/>
    <n v="-70.5"/>
  </r>
  <r>
    <n v="10324"/>
    <n v="47"/>
    <s v="Female"/>
    <s v="Mumbai"/>
    <d v="2021-06-02T00:00:00"/>
    <d v="2021-07-14T00:00:00"/>
    <x v="0"/>
    <n v="692"/>
    <x v="11"/>
    <n v="2"/>
    <n v="13.28"/>
    <n v="5"/>
    <x v="1"/>
    <x v="1"/>
    <n v="7577.4"/>
    <b v="1"/>
    <n v="0.91666666666666663"/>
    <n v="688.85454545454547"/>
    <n v="4.4266666666666667"/>
    <d v="2021-06-01T00:00:00"/>
    <s v="Middle-aged"/>
    <n v="0"/>
    <s v="No"/>
    <n v="42"/>
    <s v="Low"/>
    <s v="Low"/>
    <n v="0.16666666666666666"/>
    <s v="Low"/>
    <n v="1"/>
    <d v="2021-06-01T00:00:00"/>
    <s v="7–12 months"/>
    <s v="2–3 tickets"/>
    <s v="11–20 min"/>
    <s v="501–700"/>
    <n v="7612"/>
    <n v="-34.600000000000364"/>
  </r>
  <r>
    <n v="10325"/>
    <n v="50"/>
    <s v="Female"/>
    <s v="Delhi"/>
    <d v="2023-02-28T00:00:00"/>
    <d v="2021-10-22T00:00:00"/>
    <x v="2"/>
    <n v="1209"/>
    <x v="12"/>
    <n v="1"/>
    <n v="45.19"/>
    <n v="20"/>
    <x v="0"/>
    <x v="0"/>
    <n v="42073.2"/>
    <b v="0"/>
    <n v="2.9166666666666665"/>
    <n v="1202.0914285714284"/>
    <n v="22.594999999999999"/>
    <d v="2023-02-01T00:00:00"/>
    <s v="Middle-aged"/>
    <n v="1"/>
    <s v="Yes"/>
    <m/>
    <s v="Medium"/>
    <s v="Medium"/>
    <n v="2.7777777777777776E-2"/>
    <s v="High"/>
    <n v="2"/>
    <d v="2023-02-01T00:00:00"/>
    <s v="25+ months"/>
    <s v="0–1 tickets"/>
    <s v="46+ min"/>
    <s v="1000+"/>
    <n v="42315"/>
    <n v="-241.80000000000291"/>
  </r>
  <r>
    <n v="10326"/>
    <n v="45"/>
    <s v="Female"/>
    <s v="Chennai"/>
    <d v="2022-02-05T00:00:00"/>
    <d v="2023-10-13T00:00:00"/>
    <x v="0"/>
    <n v="491"/>
    <x v="2"/>
    <n v="1"/>
    <n v="83.18"/>
    <n v="10"/>
    <x v="2"/>
    <x v="0"/>
    <n v="1914.9"/>
    <b v="1"/>
    <n v="0.33333333333333331"/>
    <n v="478.72500000000002"/>
    <n v="41.59"/>
    <d v="2022-02-01T00:00:00"/>
    <s v="Middle-aged"/>
    <n v="1"/>
    <s v="No"/>
    <n v="615"/>
    <s v="High"/>
    <s v="Low"/>
    <n v="0.2"/>
    <s v="Low"/>
    <n v="1"/>
    <d v="2022-02-01T00:00:00"/>
    <s v="0–6 months"/>
    <s v="0–1 tickets"/>
    <s v="46+ min"/>
    <s v="301–500"/>
    <n v="1964"/>
    <n v="-49.099999999999909"/>
  </r>
  <r>
    <n v="10327"/>
    <n v="64"/>
    <s v="Other"/>
    <s v="Bangalore"/>
    <d v="2021-10-06T00:00:00"/>
    <d v="2022-04-29T00:00:00"/>
    <x v="0"/>
    <n v="569"/>
    <x v="5"/>
    <n v="3"/>
    <n v="85.82"/>
    <n v="0"/>
    <x v="1"/>
    <x v="1"/>
    <n v="16501"/>
    <b v="1"/>
    <n v="2.4166666666666665"/>
    <n v="569"/>
    <n v="21.454999999999998"/>
    <d v="2021-10-01T00:00:00"/>
    <s v="Older"/>
    <n v="0"/>
    <s v="Yes"/>
    <n v="205"/>
    <s v="High"/>
    <s v="Low"/>
    <n v="0.1"/>
    <s v="Medium"/>
    <n v="1"/>
    <d v="2021-10-01T00:00:00"/>
    <s v="25+ months"/>
    <s v="2–3 tickets"/>
    <s v="46+ min"/>
    <s v="501–700"/>
    <n v="16501"/>
    <n v="0"/>
  </r>
  <r>
    <n v="10328"/>
    <n v="50"/>
    <s v="Male"/>
    <s v="Chennai"/>
    <d v="2021-02-26T00:00:00"/>
    <d v="2022-10-10T00:00:00"/>
    <x v="2"/>
    <n v="1037"/>
    <x v="32"/>
    <n v="4"/>
    <n v="115.98"/>
    <n v="20"/>
    <x v="3"/>
    <x v="1"/>
    <n v="10162.6"/>
    <b v="1"/>
    <n v="0.83333333333333337"/>
    <n v="1016.26"/>
    <n v="23.196000000000002"/>
    <d v="2021-02-01T00:00:00"/>
    <s v="Middle-aged"/>
    <n v="0"/>
    <s v="No"/>
    <n v="591"/>
    <s v="High"/>
    <s v="Medium"/>
    <n v="0.36363636363636365"/>
    <s v="Medium"/>
    <n v="2"/>
    <d v="2021-02-01T00:00:00"/>
    <s v="7–12 months"/>
    <s v="4–5 tickets"/>
    <s v="46+ min"/>
    <s v="1000+"/>
    <n v="10370"/>
    <n v="-207.39999999999964"/>
  </r>
  <r>
    <n v="10329"/>
    <n v="22"/>
    <s v="Female"/>
    <s v="Delhi"/>
    <d v="2021-07-05T00:00:00"/>
    <d v="2022-07-01T00:00:00"/>
    <x v="2"/>
    <n v="376"/>
    <x v="5"/>
    <n v="5"/>
    <n v="57.17"/>
    <n v="0"/>
    <x v="2"/>
    <x v="1"/>
    <n v="10904"/>
    <b v="1"/>
    <n v="2.4166666666666665"/>
    <n v="376"/>
    <n v="9.5283333333333342"/>
    <d v="2021-07-01T00:00:00"/>
    <s v="Young"/>
    <n v="0"/>
    <s v="No"/>
    <n v="361"/>
    <s v="Medium"/>
    <s v="Low"/>
    <n v="0.16666666666666666"/>
    <s v="Medium"/>
    <n v="2"/>
    <d v="2021-07-01T00:00:00"/>
    <s v="25+ months"/>
    <s v="4–5 tickets"/>
    <s v="46+ min"/>
    <s v="301–500"/>
    <n v="10904"/>
    <n v="0"/>
  </r>
  <r>
    <n v="10330"/>
    <n v="36"/>
    <s v="Male"/>
    <s v="Delhi"/>
    <d v="2022-02-02T00:00:00"/>
    <d v="2021-07-25T00:00:00"/>
    <x v="2"/>
    <n v="1034"/>
    <x v="7"/>
    <n v="3"/>
    <n v="77.73"/>
    <n v="20"/>
    <x v="0"/>
    <x v="0"/>
    <n v="827.2"/>
    <b v="0"/>
    <n v="8.3333333333333329E-2"/>
    <n v="827.2"/>
    <n v="19.432500000000001"/>
    <d v="2022-02-01T00:00:00"/>
    <s v="Middle-aged"/>
    <n v="1"/>
    <s v="No"/>
    <m/>
    <s v="High"/>
    <s v="Medium"/>
    <n v="1.5"/>
    <s v="Low"/>
    <n v="2"/>
    <d v="2022-02-01T00:00:00"/>
    <s v="0–6 months"/>
    <s v="2–3 tickets"/>
    <s v="46+ min"/>
    <s v="1000+"/>
    <n v="1034"/>
    <n v="-206.79999999999995"/>
  </r>
  <r>
    <n v="10331"/>
    <n v="21"/>
    <s v="Male"/>
    <s v="Bangalore"/>
    <d v="2022-08-28T00:00:00"/>
    <d v="2022-04-03T00:00:00"/>
    <x v="0"/>
    <n v="1183"/>
    <x v="14"/>
    <n v="2"/>
    <n v="67.010000000000005"/>
    <n v="5"/>
    <x v="1"/>
    <x v="1"/>
    <n v="9404.85"/>
    <b v="0"/>
    <n v="0.66666666666666663"/>
    <n v="1175.60625"/>
    <n v="22.33666666666667"/>
    <d v="2022-08-01T00:00:00"/>
    <s v="Young"/>
    <n v="0"/>
    <s v="No"/>
    <m/>
    <s v="High"/>
    <s v="Low"/>
    <n v="0.22222222222222221"/>
    <s v="Medium"/>
    <n v="1"/>
    <d v="2022-08-01T00:00:00"/>
    <s v="7–12 months"/>
    <s v="2–3 tickets"/>
    <s v="46+ min"/>
    <s v="1000+"/>
    <n v="9464"/>
    <n v="-59.149999999999636"/>
  </r>
  <r>
    <n v="10332"/>
    <n v="52"/>
    <s v="Male"/>
    <s v="Chennai"/>
    <d v="2023-02-27T00:00:00"/>
    <d v="2023-10-18T00:00:00"/>
    <x v="0"/>
    <n v="1490"/>
    <x v="18"/>
    <n v="0"/>
    <n v="22.32"/>
    <n v="10"/>
    <x v="2"/>
    <x v="1"/>
    <n v="25181"/>
    <b v="1"/>
    <n v="1.4166666666666667"/>
    <n v="1481.2352941176471"/>
    <n v="22.32"/>
    <d v="2023-02-01T00:00:00"/>
    <s v="Older"/>
    <n v="0"/>
    <s v="Yes"/>
    <n v="233"/>
    <s v="Medium"/>
    <s v="Low"/>
    <n v="0"/>
    <s v="High"/>
    <n v="1"/>
    <d v="2023-02-01T00:00:00"/>
    <s v="13–24 months"/>
    <s v="0–1 tickets"/>
    <s v="21–30 min"/>
    <s v="1000+"/>
    <n v="25330"/>
    <n v="-149"/>
  </r>
  <r>
    <n v="10333"/>
    <n v="41"/>
    <s v="Female"/>
    <s v="Chennai"/>
    <d v="2021-06-07T00:00:00"/>
    <d v="2022-07-28T00:00:00"/>
    <x v="0"/>
    <n v="583"/>
    <x v="17"/>
    <n v="3"/>
    <n v="58.04"/>
    <n v="0"/>
    <x v="2"/>
    <x v="1"/>
    <n v="11077"/>
    <b v="1"/>
    <n v="1.5833333333333333"/>
    <n v="583"/>
    <n v="14.51"/>
    <d v="2021-06-01T00:00:00"/>
    <s v="Middle-aged"/>
    <n v="0"/>
    <s v="No"/>
    <n v="416"/>
    <s v="Medium"/>
    <s v="Low"/>
    <n v="0.15"/>
    <s v="Medium"/>
    <n v="1"/>
    <d v="2021-06-01T00:00:00"/>
    <s v="13–24 months"/>
    <s v="2–3 tickets"/>
    <s v="46+ min"/>
    <s v="501–700"/>
    <n v="11077"/>
    <n v="0"/>
  </r>
  <r>
    <n v="10334"/>
    <n v="61"/>
    <s v="Other"/>
    <s v="Bangalore"/>
    <d v="2023-02-26T00:00:00"/>
    <d v="2022-07-22T00:00:00"/>
    <x v="0"/>
    <n v="1412"/>
    <x v="33"/>
    <n v="3"/>
    <n v="67.66"/>
    <n v="10"/>
    <x v="3"/>
    <x v="0"/>
    <n v="46454.8"/>
    <b v="0"/>
    <n v="2.75"/>
    <n v="1407.7212121212121"/>
    <n v="16.914999999999999"/>
    <d v="2023-02-01T00:00:00"/>
    <s v="Older"/>
    <n v="1"/>
    <s v="Yes"/>
    <m/>
    <s v="High"/>
    <s v="Low"/>
    <n v="8.8235294117647065E-2"/>
    <s v="High"/>
    <n v="1"/>
    <d v="2023-02-01T00:00:00"/>
    <s v="25+ months"/>
    <s v="2–3 tickets"/>
    <s v="46+ min"/>
    <s v="1000+"/>
    <n v="46596"/>
    <n v="-141.19999999999709"/>
  </r>
  <r>
    <n v="10335"/>
    <n v="45"/>
    <s v="Male"/>
    <s v="Chennai"/>
    <d v="2022-11-24T00:00:00"/>
    <d v="2023-04-04T00:00:00"/>
    <x v="0"/>
    <n v="843"/>
    <x v="15"/>
    <n v="3"/>
    <n v="114.34"/>
    <n v="5"/>
    <x v="2"/>
    <x v="1"/>
    <n v="12602.85"/>
    <b v="1"/>
    <n v="1.25"/>
    <n v="840.19"/>
    <n v="28.585000000000001"/>
    <d v="2022-11-01T00:00:00"/>
    <s v="Middle-aged"/>
    <n v="0"/>
    <s v="No"/>
    <n v="131"/>
    <s v="High"/>
    <s v="Low"/>
    <n v="0.1875"/>
    <s v="Medium"/>
    <n v="1"/>
    <d v="2022-11-01T00:00:00"/>
    <s v="13–24 months"/>
    <s v="2–3 tickets"/>
    <s v="46+ min"/>
    <s v="701–1000"/>
    <n v="12645"/>
    <n v="-42.149999999999636"/>
  </r>
  <r>
    <n v="10336"/>
    <n v="47"/>
    <s v="Male"/>
    <s v="Pune"/>
    <d v="2021-12-25T00:00:00"/>
    <d v="2023-08-06T00:00:00"/>
    <x v="0"/>
    <n v="948"/>
    <x v="27"/>
    <n v="1"/>
    <n v="47.15"/>
    <n v="15"/>
    <x v="3"/>
    <x v="1"/>
    <n v="29245.8"/>
    <b v="1"/>
    <n v="2.5833333333333335"/>
    <n v="943.41290322580642"/>
    <n v="23.574999999999999"/>
    <d v="2021-12-01T00:00:00"/>
    <s v="Middle-aged"/>
    <n v="0"/>
    <s v="Yes"/>
    <n v="589"/>
    <s v="Medium"/>
    <s v="Low"/>
    <n v="3.125E-2"/>
    <s v="High"/>
    <n v="1"/>
    <d v="2021-12-01T00:00:00"/>
    <s v="25+ months"/>
    <s v="0–1 tickets"/>
    <s v="46+ min"/>
    <s v="701–1000"/>
    <n v="29388"/>
    <n v="-142.20000000000073"/>
  </r>
  <r>
    <n v="10337"/>
    <n v="41"/>
    <s v="Female"/>
    <s v="Bangalore"/>
    <d v="2022-03-16T00:00:00"/>
    <d v="2022-04-21T00:00:00"/>
    <x v="0"/>
    <n v="1479"/>
    <x v="6"/>
    <n v="2"/>
    <n v="117.71"/>
    <n v="15"/>
    <x v="0"/>
    <x v="1"/>
    <n v="30837.15"/>
    <b v="1"/>
    <n v="1.75"/>
    <n v="1468.4357142857143"/>
    <n v="39.236666666666665"/>
    <d v="2022-03-01T00:00:00"/>
    <s v="Middle-aged"/>
    <n v="0"/>
    <s v="Yes"/>
    <n v="36"/>
    <s v="High"/>
    <s v="Low"/>
    <n v="9.0909090909090912E-2"/>
    <s v="High"/>
    <n v="1"/>
    <d v="2022-03-01T00:00:00"/>
    <s v="13–24 months"/>
    <s v="2–3 tickets"/>
    <s v="46+ min"/>
    <s v="1000+"/>
    <n v="31059"/>
    <n v="-221.84999999999854"/>
  </r>
  <r>
    <n v="10338"/>
    <n v="63"/>
    <s v="Male"/>
    <s v="Mumbai"/>
    <d v="2022-08-12T00:00:00"/>
    <d v="2023-05-11T00:00:00"/>
    <x v="1"/>
    <n v="549"/>
    <x v="13"/>
    <n v="3"/>
    <n v="67.36"/>
    <n v="0"/>
    <x v="3"/>
    <x v="1"/>
    <n v="1647"/>
    <b v="1"/>
    <n v="0.25"/>
    <n v="549"/>
    <n v="16.84"/>
    <d v="2022-08-01T00:00:00"/>
    <s v="Older"/>
    <n v="0"/>
    <s v="No"/>
    <n v="272"/>
    <s v="High"/>
    <s v="Low"/>
    <n v="0.75"/>
    <s v="Low"/>
    <n v="3"/>
    <d v="2022-08-01T00:00:00"/>
    <s v="0–6 months"/>
    <s v="2–3 tickets"/>
    <s v="46+ min"/>
    <s v="501–700"/>
    <n v="1647"/>
    <n v="0"/>
  </r>
  <r>
    <n v="10339"/>
    <n v="23"/>
    <s v="Male"/>
    <s v="Delhi"/>
    <d v="2022-04-11T00:00:00"/>
    <d v="2023-04-02T00:00:00"/>
    <x v="0"/>
    <n v="394"/>
    <x v="4"/>
    <n v="1"/>
    <n v="32.880000000000003"/>
    <n v="5"/>
    <x v="1"/>
    <x v="1"/>
    <n v="768.3"/>
    <b v="1"/>
    <n v="0.16666666666666666"/>
    <n v="384.15"/>
    <n v="16.440000000000001"/>
    <d v="2022-04-01T00:00:00"/>
    <s v="Young"/>
    <n v="0"/>
    <s v="No"/>
    <n v="356"/>
    <s v="Medium"/>
    <s v="Low"/>
    <n v="0.33333333333333331"/>
    <s v="Low"/>
    <n v="1"/>
    <d v="2022-04-01T00:00:00"/>
    <s v="0–6 months"/>
    <s v="0–1 tickets"/>
    <s v="31–45 min"/>
    <s v="301–500"/>
    <n v="788"/>
    <n v="-19.700000000000045"/>
  </r>
  <r>
    <n v="10340"/>
    <n v="52"/>
    <s v="Female"/>
    <s v="Mumbai"/>
    <d v="2022-10-25T00:00:00"/>
    <d v="2021-08-19T00:00:00"/>
    <x v="2"/>
    <n v="316"/>
    <x v="12"/>
    <n v="4"/>
    <n v="62.59"/>
    <n v="0"/>
    <x v="2"/>
    <x v="1"/>
    <n v="11060"/>
    <b v="0"/>
    <n v="2.9166666666666665"/>
    <n v="316"/>
    <n v="12.518000000000001"/>
    <d v="2022-10-01T00:00:00"/>
    <s v="Older"/>
    <n v="0"/>
    <s v="No"/>
    <m/>
    <s v="High"/>
    <s v="Low"/>
    <n v="0.1111111111111111"/>
    <s v="Medium"/>
    <n v="2"/>
    <d v="2022-10-01T00:00:00"/>
    <s v="25+ months"/>
    <s v="4–5 tickets"/>
    <s v="46+ min"/>
    <s v="301–500"/>
    <n v="11060"/>
    <n v="0"/>
  </r>
  <r>
    <n v="10341"/>
    <n v="41"/>
    <s v="Female"/>
    <s v="Pune"/>
    <d v="2022-03-22T00:00:00"/>
    <d v="2021-07-01T00:00:00"/>
    <x v="0"/>
    <n v="416"/>
    <x v="24"/>
    <n v="2"/>
    <n v="21.29"/>
    <n v="0"/>
    <x v="0"/>
    <x v="1"/>
    <n v="6656"/>
    <b v="0"/>
    <n v="1.3333333333333333"/>
    <n v="416"/>
    <n v="7.0966666666666667"/>
    <d v="2022-03-01T00:00:00"/>
    <s v="Middle-aged"/>
    <n v="0"/>
    <s v="No"/>
    <m/>
    <s v="Medium"/>
    <s v="Low"/>
    <n v="0.11764705882352941"/>
    <s v="Low"/>
    <n v="1"/>
    <d v="2022-03-01T00:00:00"/>
    <s v="13–24 months"/>
    <s v="2–3 tickets"/>
    <s v="21–30 min"/>
    <s v="301–500"/>
    <n v="6656"/>
    <n v="0"/>
  </r>
  <r>
    <n v="10342"/>
    <n v="54"/>
    <s v="Other"/>
    <s v="Pune"/>
    <d v="2023-01-20T00:00:00"/>
    <d v="2021-09-20T00:00:00"/>
    <x v="1"/>
    <n v="1282"/>
    <x v="6"/>
    <n v="2"/>
    <n v="57.09"/>
    <n v="0"/>
    <x v="3"/>
    <x v="1"/>
    <n v="26922"/>
    <b v="0"/>
    <n v="1.75"/>
    <n v="1282"/>
    <n v="19.03"/>
    <d v="2023-01-01T00:00:00"/>
    <s v="Older"/>
    <n v="0"/>
    <s v="Yes"/>
    <m/>
    <s v="Medium"/>
    <s v="Low"/>
    <n v="9.0909090909090912E-2"/>
    <s v="High"/>
    <n v="3"/>
    <d v="2023-01-01T00:00:00"/>
    <s v="13–24 months"/>
    <s v="2–3 tickets"/>
    <s v="46+ min"/>
    <s v="1000+"/>
    <n v="26922"/>
    <n v="0"/>
  </r>
  <r>
    <n v="10343"/>
    <n v="41"/>
    <s v="Male"/>
    <s v="Hyderabad"/>
    <d v="2023-03-12T00:00:00"/>
    <d v="2022-12-10T00:00:00"/>
    <x v="2"/>
    <n v="632"/>
    <x v="34"/>
    <n v="2"/>
    <n v="7.52"/>
    <n v="10"/>
    <x v="3"/>
    <x v="1"/>
    <n v="7520.8"/>
    <b v="0"/>
    <n v="1"/>
    <n v="626.73333333333335"/>
    <n v="2.5066666666666664"/>
    <d v="2023-03-01T00:00:00"/>
    <s v="Middle-aged"/>
    <n v="0"/>
    <s v="No"/>
    <m/>
    <s v="Low"/>
    <s v="Low"/>
    <n v="0.15384615384615385"/>
    <s v="Low"/>
    <n v="2"/>
    <d v="2023-03-01T00:00:00"/>
    <s v="7–12 months"/>
    <s v="2–3 tickets"/>
    <s v="0–10 min"/>
    <s v="501–700"/>
    <n v="7584"/>
    <n v="-63.199999999999818"/>
  </r>
  <r>
    <n v="10344"/>
    <n v="46"/>
    <s v="Male"/>
    <s v="Hyderabad"/>
    <d v="2023-01-13T00:00:00"/>
    <d v="2023-10-13T00:00:00"/>
    <x v="0"/>
    <n v="1403"/>
    <x v="29"/>
    <n v="1"/>
    <n v="56.18"/>
    <n v="20"/>
    <x v="3"/>
    <x v="1"/>
    <n v="39003.4"/>
    <b v="1"/>
    <n v="2.3333333333333335"/>
    <n v="1392.9785714285715"/>
    <n v="28.09"/>
    <d v="2023-01-01T00:00:00"/>
    <s v="Middle-aged"/>
    <n v="0"/>
    <s v="Yes"/>
    <n v="273"/>
    <s v="Medium"/>
    <s v="Medium"/>
    <n v="3.4482758620689655E-2"/>
    <s v="High"/>
    <n v="1"/>
    <d v="2023-01-01T00:00:00"/>
    <s v="25+ months"/>
    <s v="0–1 tickets"/>
    <s v="46+ min"/>
    <s v="1000+"/>
    <n v="39284"/>
    <n v="-280.59999999999854"/>
  </r>
  <r>
    <n v="10345"/>
    <n v="63"/>
    <s v="Female"/>
    <s v="Hyderabad"/>
    <d v="2022-05-03T00:00:00"/>
    <d v="2023-05-18T00:00:00"/>
    <x v="2"/>
    <n v="945"/>
    <x v="34"/>
    <n v="2"/>
    <n v="118.67"/>
    <n v="5"/>
    <x v="0"/>
    <x v="1"/>
    <n v="11292.75"/>
    <b v="1"/>
    <n v="1"/>
    <n v="941.0625"/>
    <n v="39.556666666666665"/>
    <d v="2022-05-01T00:00:00"/>
    <s v="Older"/>
    <n v="0"/>
    <s v="No"/>
    <n v="380"/>
    <s v="High"/>
    <s v="Low"/>
    <n v="0.15384615384615385"/>
    <s v="Medium"/>
    <n v="2"/>
    <d v="2022-05-01T00:00:00"/>
    <s v="7–12 months"/>
    <s v="2–3 tickets"/>
    <s v="46+ min"/>
    <s v="701–1000"/>
    <n v="11340"/>
    <n v="-47.25"/>
  </r>
  <r>
    <n v="10346"/>
    <n v="48"/>
    <s v="Female"/>
    <s v="Bangalore"/>
    <d v="2022-06-14T00:00:00"/>
    <d v="2022-12-16T00:00:00"/>
    <x v="0"/>
    <n v="415"/>
    <x v="33"/>
    <n v="1"/>
    <n v="82.06"/>
    <n v="10"/>
    <x v="0"/>
    <x v="1"/>
    <n v="13653.5"/>
    <b v="1"/>
    <n v="2.75"/>
    <n v="413.74242424242425"/>
    <n v="41.03"/>
    <d v="2022-06-01T00:00:00"/>
    <s v="Middle-aged"/>
    <n v="0"/>
    <s v="Yes"/>
    <n v="185"/>
    <s v="High"/>
    <s v="Low"/>
    <n v="2.9411764705882353E-2"/>
    <s v="Medium"/>
    <n v="1"/>
    <d v="2022-06-01T00:00:00"/>
    <s v="25+ months"/>
    <s v="0–1 tickets"/>
    <s v="46+ min"/>
    <s v="301–500"/>
    <n v="13695"/>
    <n v="-41.5"/>
  </r>
  <r>
    <n v="10347"/>
    <n v="52"/>
    <s v="Female"/>
    <s v="Chennai"/>
    <d v="2021-03-14T00:00:00"/>
    <d v="2023-03-12T00:00:00"/>
    <x v="2"/>
    <n v="1262"/>
    <x v="28"/>
    <n v="5"/>
    <n v="92.38"/>
    <n v="20"/>
    <x v="1"/>
    <x v="1"/>
    <n v="24987.599999999999"/>
    <b v="1"/>
    <n v="1.6666666666666667"/>
    <n v="1249.3799999999999"/>
    <n v="15.396666666666667"/>
    <d v="2021-03-01T00:00:00"/>
    <s v="Older"/>
    <n v="0"/>
    <s v="Yes"/>
    <n v="728"/>
    <s v="High"/>
    <s v="Medium"/>
    <n v="0.23809523809523808"/>
    <s v="High"/>
    <n v="2"/>
    <d v="2021-03-01T00:00:00"/>
    <s v="13–24 months"/>
    <s v="4–5 tickets"/>
    <s v="46+ min"/>
    <s v="1000+"/>
    <n v="25240"/>
    <n v="-252.40000000000146"/>
  </r>
  <r>
    <n v="10348"/>
    <n v="50"/>
    <s v="Female"/>
    <s v="Pune"/>
    <d v="2022-12-02T00:00:00"/>
    <d v="2022-09-15T00:00:00"/>
    <x v="0"/>
    <n v="1492"/>
    <x v="6"/>
    <n v="3"/>
    <n v="18.690000000000001"/>
    <n v="0"/>
    <x v="0"/>
    <x v="0"/>
    <n v="31332"/>
    <b v="0"/>
    <n v="1.75"/>
    <n v="1492"/>
    <n v="4.6725000000000003"/>
    <d v="2022-12-01T00:00:00"/>
    <s v="Middle-aged"/>
    <n v="1"/>
    <s v="Yes"/>
    <m/>
    <s v="Low"/>
    <s v="Low"/>
    <n v="0.13636363636363635"/>
    <s v="High"/>
    <n v="1"/>
    <d v="2022-12-01T00:00:00"/>
    <s v="13–24 months"/>
    <s v="2–3 tickets"/>
    <s v="11–20 min"/>
    <s v="1000+"/>
    <n v="31332"/>
    <n v="0"/>
  </r>
  <r>
    <n v="10349"/>
    <n v="38"/>
    <s v="Male"/>
    <s v="Mumbai"/>
    <d v="2021-01-17T00:00:00"/>
    <d v="2021-08-13T00:00:00"/>
    <x v="1"/>
    <n v="1146"/>
    <x v="1"/>
    <n v="1"/>
    <n v="59.41"/>
    <n v="15"/>
    <x v="3"/>
    <x v="1"/>
    <n v="25040.1"/>
    <b v="1"/>
    <n v="1.8333333333333333"/>
    <n v="1138.1863636363635"/>
    <n v="29.704999999999998"/>
    <d v="2021-01-01T00:00:00"/>
    <s v="Middle-aged"/>
    <n v="0"/>
    <s v="Yes"/>
    <n v="208"/>
    <s v="Medium"/>
    <s v="Low"/>
    <n v="4.3478260869565216E-2"/>
    <s v="High"/>
    <n v="3"/>
    <d v="2021-01-01T00:00:00"/>
    <s v="13–24 months"/>
    <s v="0–1 tickets"/>
    <s v="46+ min"/>
    <s v="1000+"/>
    <n v="25212"/>
    <n v="-171.90000000000146"/>
  </r>
  <r>
    <n v="10350"/>
    <n v="49"/>
    <s v="Female"/>
    <s v="Mumbai"/>
    <d v="2022-06-15T00:00:00"/>
    <d v="2022-12-05T00:00:00"/>
    <x v="0"/>
    <n v="615"/>
    <x v="8"/>
    <n v="2"/>
    <n v="37.92"/>
    <n v="10"/>
    <x v="0"/>
    <x v="1"/>
    <n v="15928.5"/>
    <b v="1"/>
    <n v="2.1666666666666665"/>
    <n v="612.63461538461536"/>
    <n v="12.64"/>
    <d v="2022-06-01T00:00:00"/>
    <s v="Middle-aged"/>
    <n v="0"/>
    <s v="Yes"/>
    <n v="173"/>
    <s v="Medium"/>
    <s v="Low"/>
    <n v="7.407407407407407E-2"/>
    <s v="Medium"/>
    <n v="1"/>
    <d v="2022-06-01T00:00:00"/>
    <s v="25+ months"/>
    <s v="2–3 tickets"/>
    <s v="31–45 min"/>
    <s v="501–700"/>
    <n v="15990"/>
    <n v="-61.5"/>
  </r>
  <r>
    <n v="10351"/>
    <n v="40"/>
    <s v="Male"/>
    <s v="Mumbai"/>
    <d v="2023-01-01T00:00:00"/>
    <d v="2022-09-22T00:00:00"/>
    <x v="0"/>
    <n v="1109"/>
    <x v="16"/>
    <n v="3"/>
    <n v="62.59"/>
    <n v="5"/>
    <x v="3"/>
    <x v="1"/>
    <n v="7707.55"/>
    <b v="0"/>
    <n v="0.58333333333333337"/>
    <n v="1101.0785714285714"/>
    <n v="15.647500000000001"/>
    <d v="2023-01-01T00:00:00"/>
    <s v="Middle-aged"/>
    <n v="0"/>
    <s v="No"/>
    <m/>
    <s v="High"/>
    <s v="Low"/>
    <n v="0.375"/>
    <s v="Low"/>
    <n v="1"/>
    <d v="2023-01-01T00:00:00"/>
    <s v="7–12 months"/>
    <s v="2–3 tickets"/>
    <s v="46+ min"/>
    <s v="1000+"/>
    <n v="7763"/>
    <n v="-55.449999999999818"/>
  </r>
  <r>
    <n v="10352"/>
    <n v="50"/>
    <s v="Male"/>
    <s v="Mumbai"/>
    <d v="2021-11-22T00:00:00"/>
    <d v="2023-01-10T00:00:00"/>
    <x v="2"/>
    <n v="671"/>
    <x v="16"/>
    <n v="3"/>
    <n v="25.85"/>
    <n v="5"/>
    <x v="1"/>
    <x v="1"/>
    <n v="4663.45"/>
    <b v="1"/>
    <n v="0.58333333333333337"/>
    <n v="666.2071428571428"/>
    <n v="6.4625000000000004"/>
    <d v="2021-11-01T00:00:00"/>
    <s v="Middle-aged"/>
    <n v="0"/>
    <s v="No"/>
    <n v="414"/>
    <s v="Medium"/>
    <s v="Low"/>
    <n v="0.375"/>
    <s v="Low"/>
    <n v="2"/>
    <d v="2021-11-01T00:00:00"/>
    <s v="7–12 months"/>
    <s v="2–3 tickets"/>
    <s v="21–30 min"/>
    <s v="501–700"/>
    <n v="4697"/>
    <n v="-33.550000000000182"/>
  </r>
  <r>
    <n v="10353"/>
    <n v="41"/>
    <s v="Female"/>
    <s v="Hyderabad"/>
    <d v="2022-09-24T00:00:00"/>
    <d v="2022-06-22T00:00:00"/>
    <x v="0"/>
    <n v="1059"/>
    <x v="14"/>
    <n v="5"/>
    <n v="57.75"/>
    <n v="20"/>
    <x v="1"/>
    <x v="1"/>
    <n v="8260.2000000000007"/>
    <b v="0"/>
    <n v="0.66666666666666663"/>
    <n v="1032.5250000000001"/>
    <n v="9.625"/>
    <d v="2022-09-01T00:00:00"/>
    <s v="Middle-aged"/>
    <n v="0"/>
    <s v="No"/>
    <m/>
    <s v="Medium"/>
    <s v="Medium"/>
    <n v="0.55555555555555558"/>
    <s v="Low"/>
    <n v="1"/>
    <d v="2022-09-01T00:00:00"/>
    <s v="7–12 months"/>
    <s v="4–5 tickets"/>
    <s v="46+ min"/>
    <s v="1000+"/>
    <n v="8472"/>
    <n v="-211.79999999999927"/>
  </r>
  <r>
    <n v="10354"/>
    <n v="35"/>
    <s v="Male"/>
    <s v="Mumbai"/>
    <d v="2022-09-05T00:00:00"/>
    <d v="2023-04-30T00:00:00"/>
    <x v="1"/>
    <n v="1176"/>
    <x v="8"/>
    <n v="1"/>
    <n v="72.63"/>
    <n v="10"/>
    <x v="3"/>
    <x v="0"/>
    <n v="30458.400000000001"/>
    <b v="1"/>
    <n v="2.1666666666666665"/>
    <n v="1171.4769230769232"/>
    <n v="36.314999999999998"/>
    <d v="2022-09-01T00:00:00"/>
    <s v="Adult"/>
    <n v="1"/>
    <s v="Yes"/>
    <n v="237"/>
    <s v="High"/>
    <s v="Low"/>
    <n v="3.7037037037037035E-2"/>
    <s v="High"/>
    <n v="3"/>
    <d v="2022-09-01T00:00:00"/>
    <s v="25+ months"/>
    <s v="0–1 tickets"/>
    <s v="46+ min"/>
    <s v="1000+"/>
    <n v="30576"/>
    <n v="-117.59999999999854"/>
  </r>
  <r>
    <n v="10355"/>
    <n v="42"/>
    <s v="Male"/>
    <s v="Chennai"/>
    <d v="2022-06-30T00:00:00"/>
    <d v="2023-10-30T00:00:00"/>
    <x v="2"/>
    <n v="1276"/>
    <x v="30"/>
    <n v="0"/>
    <n v="64.11"/>
    <n v="0"/>
    <x v="0"/>
    <x v="1"/>
    <n v="30624"/>
    <b v="1"/>
    <n v="2"/>
    <n v="1276"/>
    <n v="64.11"/>
    <d v="2022-06-01T00:00:00"/>
    <s v="Middle-aged"/>
    <n v="0"/>
    <s v="Yes"/>
    <n v="487"/>
    <s v="High"/>
    <s v="Low"/>
    <n v="0"/>
    <s v="High"/>
    <n v="2"/>
    <d v="2022-06-01T00:00:00"/>
    <s v="13–24 months"/>
    <s v="0–1 tickets"/>
    <s v="46+ min"/>
    <s v="1000+"/>
    <n v="30624"/>
    <n v="0"/>
  </r>
  <r>
    <n v="10356"/>
    <n v="59"/>
    <s v="Female"/>
    <s v="Hyderabad"/>
    <d v="2022-08-19T00:00:00"/>
    <d v="2022-12-16T00:00:00"/>
    <x v="2"/>
    <n v="455"/>
    <x v="30"/>
    <n v="0"/>
    <n v="100.48"/>
    <n v="20"/>
    <x v="0"/>
    <x v="1"/>
    <n v="10829"/>
    <b v="1"/>
    <n v="2"/>
    <n v="451.20833333333331"/>
    <n v="100.48"/>
    <d v="2022-08-01T00:00:00"/>
    <s v="Older"/>
    <n v="0"/>
    <s v="No"/>
    <n v="119"/>
    <s v="High"/>
    <s v="Medium"/>
    <n v="0"/>
    <s v="Medium"/>
    <n v="2"/>
    <d v="2022-08-01T00:00:00"/>
    <s v="13–24 months"/>
    <s v="0–1 tickets"/>
    <s v="46+ min"/>
    <s v="301–500"/>
    <n v="10920"/>
    <n v="-91"/>
  </r>
  <r>
    <n v="10357"/>
    <n v="48"/>
    <s v="Male"/>
    <s v="Mumbai"/>
    <d v="2022-12-09T00:00:00"/>
    <d v="2022-08-07T00:00:00"/>
    <x v="0"/>
    <n v="913"/>
    <x v="34"/>
    <n v="4"/>
    <n v="31.62"/>
    <n v="5"/>
    <x v="2"/>
    <x v="1"/>
    <n v="10910.35"/>
    <b v="0"/>
    <n v="1"/>
    <n v="909.19583333333333"/>
    <n v="6.3239999999999998"/>
    <d v="2022-12-01T00:00:00"/>
    <s v="Middle-aged"/>
    <n v="0"/>
    <s v="No"/>
    <m/>
    <s v="Medium"/>
    <s v="Low"/>
    <n v="0.30769230769230771"/>
    <s v="Medium"/>
    <n v="1"/>
    <d v="2022-12-01T00:00:00"/>
    <s v="7–12 months"/>
    <s v="4–5 tickets"/>
    <s v="31–45 min"/>
    <s v="701–1000"/>
    <n v="10956"/>
    <n v="-45.649999999999636"/>
  </r>
  <r>
    <n v="10358"/>
    <n v="20"/>
    <s v="Female"/>
    <s v="Bangalore"/>
    <d v="2023-04-22T00:00:00"/>
    <d v="2022-07-17T00:00:00"/>
    <x v="1"/>
    <n v="1336"/>
    <x v="14"/>
    <n v="0"/>
    <n v="48.4"/>
    <n v="10"/>
    <x v="1"/>
    <x v="1"/>
    <n v="10554.4"/>
    <b v="0"/>
    <n v="0.66666666666666663"/>
    <n v="1319.3"/>
    <n v="48.4"/>
    <d v="2023-04-01T00:00:00"/>
    <s v="Young"/>
    <n v="0"/>
    <s v="No"/>
    <m/>
    <s v="Medium"/>
    <s v="Low"/>
    <n v="0"/>
    <s v="Medium"/>
    <n v="3"/>
    <d v="2023-04-01T00:00:00"/>
    <s v="7–12 months"/>
    <s v="0–1 tickets"/>
    <s v="46+ min"/>
    <s v="1000+"/>
    <n v="10688"/>
    <n v="-133.60000000000036"/>
  </r>
  <r>
    <n v="10359"/>
    <n v="57"/>
    <s v="Male"/>
    <s v="Delhi"/>
    <d v="2021-07-21T00:00:00"/>
    <d v="2022-09-10T00:00:00"/>
    <x v="2"/>
    <n v="807"/>
    <x v="9"/>
    <n v="1"/>
    <n v="96.09"/>
    <n v="15"/>
    <x v="1"/>
    <x v="0"/>
    <n v="7141.95"/>
    <b v="1"/>
    <n v="0.75"/>
    <n v="793.55"/>
    <n v="48.045000000000002"/>
    <d v="2021-07-01T00:00:00"/>
    <s v="Older"/>
    <n v="1"/>
    <s v="No"/>
    <n v="416"/>
    <s v="High"/>
    <s v="Low"/>
    <n v="0.1"/>
    <s v="Low"/>
    <n v="2"/>
    <d v="2021-07-01T00:00:00"/>
    <s v="7–12 months"/>
    <s v="0–1 tickets"/>
    <s v="46+ min"/>
    <s v="701–1000"/>
    <n v="7263"/>
    <n v="-121.05000000000018"/>
  </r>
  <r>
    <n v="10360"/>
    <n v="63"/>
    <s v="Female"/>
    <s v="Delhi"/>
    <d v="2021-12-10T00:00:00"/>
    <d v="2023-01-20T00:00:00"/>
    <x v="0"/>
    <n v="764"/>
    <x v="13"/>
    <n v="1"/>
    <n v="65.73"/>
    <n v="0"/>
    <x v="3"/>
    <x v="1"/>
    <n v="2292"/>
    <b v="1"/>
    <n v="0.25"/>
    <n v="764"/>
    <n v="32.865000000000002"/>
    <d v="2021-12-01T00:00:00"/>
    <s v="Older"/>
    <n v="0"/>
    <s v="No"/>
    <n v="406"/>
    <s v="High"/>
    <s v="Low"/>
    <n v="0.25"/>
    <s v="Low"/>
    <n v="1"/>
    <d v="2021-12-01T00:00:00"/>
    <s v="0–6 months"/>
    <s v="0–1 tickets"/>
    <s v="46+ min"/>
    <s v="701–1000"/>
    <n v="2292"/>
    <n v="0"/>
  </r>
  <r>
    <n v="10361"/>
    <n v="41"/>
    <s v="Male"/>
    <s v="Delhi"/>
    <d v="2023-05-03T00:00:00"/>
    <d v="2023-02-11T00:00:00"/>
    <x v="0"/>
    <n v="1082"/>
    <x v="6"/>
    <n v="2"/>
    <n v="51.24"/>
    <n v="5"/>
    <x v="2"/>
    <x v="1"/>
    <n v="22667.9"/>
    <b v="0"/>
    <n v="1.75"/>
    <n v="1079.4238095238095"/>
    <n v="17.080000000000002"/>
    <d v="2023-05-01T00:00:00"/>
    <s v="Middle-aged"/>
    <n v="0"/>
    <s v="Yes"/>
    <m/>
    <s v="Medium"/>
    <s v="Low"/>
    <n v="9.0909090909090912E-2"/>
    <s v="High"/>
    <n v="1"/>
    <d v="2023-05-01T00:00:00"/>
    <s v="13–24 months"/>
    <s v="2–3 tickets"/>
    <s v="46+ min"/>
    <s v="1000+"/>
    <n v="22722"/>
    <n v="-54.099999999998545"/>
  </r>
  <r>
    <n v="10362"/>
    <n v="49"/>
    <s v="Male"/>
    <s v="Hyderabad"/>
    <d v="2022-06-07T00:00:00"/>
    <d v="2023-06-07T00:00:00"/>
    <x v="0"/>
    <n v="1103"/>
    <x v="27"/>
    <n v="1"/>
    <n v="8.39"/>
    <n v="10"/>
    <x v="0"/>
    <x v="1"/>
    <n v="34082.699999999997"/>
    <b v="1"/>
    <n v="2.5833333333333335"/>
    <n v="1099.4419354838708"/>
    <n v="4.1950000000000003"/>
    <d v="2022-06-01T00:00:00"/>
    <s v="Middle-aged"/>
    <n v="0"/>
    <s v="Yes"/>
    <n v="365"/>
    <s v="Low"/>
    <s v="Low"/>
    <n v="3.125E-2"/>
    <s v="High"/>
    <n v="1"/>
    <d v="2022-06-01T00:00:00"/>
    <s v="25+ months"/>
    <s v="0–1 tickets"/>
    <s v="0–10 min"/>
    <s v="1000+"/>
    <n v="34193"/>
    <n v="-110.30000000000291"/>
  </r>
  <r>
    <n v="10363"/>
    <n v="64"/>
    <s v="Other"/>
    <s v="Mumbai"/>
    <d v="2023-05-09T00:00:00"/>
    <d v="2022-02-03T00:00:00"/>
    <x v="1"/>
    <n v="519"/>
    <x v="30"/>
    <n v="3"/>
    <n v="91.64"/>
    <n v="15"/>
    <x v="3"/>
    <x v="1"/>
    <n v="12378.15"/>
    <b v="0"/>
    <n v="2"/>
    <n v="515.75625000000002"/>
    <n v="22.91"/>
    <d v="2023-05-01T00:00:00"/>
    <s v="Older"/>
    <n v="0"/>
    <s v="No"/>
    <m/>
    <s v="High"/>
    <s v="Low"/>
    <n v="0.12"/>
    <s v="Medium"/>
    <n v="3"/>
    <d v="2023-05-01T00:00:00"/>
    <s v="13–24 months"/>
    <s v="2–3 tickets"/>
    <s v="46+ min"/>
    <s v="501–700"/>
    <n v="12456"/>
    <n v="-77.850000000000364"/>
  </r>
  <r>
    <n v="10364"/>
    <n v="39"/>
    <s v="Female"/>
    <s v="Pune"/>
    <d v="2022-02-04T00:00:00"/>
    <d v="2023-01-02T00:00:00"/>
    <x v="0"/>
    <n v="314"/>
    <x v="2"/>
    <n v="4"/>
    <n v="116.8"/>
    <n v="5"/>
    <x v="0"/>
    <x v="1"/>
    <n v="1240.3"/>
    <b v="1"/>
    <n v="0.33333333333333331"/>
    <n v="310.07499999999999"/>
    <n v="23.36"/>
    <d v="2022-02-01T00:00:00"/>
    <s v="Middle-aged"/>
    <n v="0"/>
    <s v="No"/>
    <n v="332"/>
    <s v="High"/>
    <s v="Low"/>
    <n v="0.8"/>
    <s v="Low"/>
    <n v="1"/>
    <d v="2022-02-01T00:00:00"/>
    <s v="0–6 months"/>
    <s v="4–5 tickets"/>
    <s v="46+ min"/>
    <s v="301–500"/>
    <n v="1256"/>
    <n v="-15.700000000000045"/>
  </r>
  <r>
    <n v="10365"/>
    <n v="40"/>
    <s v="Female"/>
    <s v="Pune"/>
    <d v="2021-08-06T00:00:00"/>
    <d v="2021-09-28T00:00:00"/>
    <x v="2"/>
    <n v="416"/>
    <x v="28"/>
    <n v="2"/>
    <n v="76.33"/>
    <n v="15"/>
    <x v="0"/>
    <x v="1"/>
    <n v="8257.6"/>
    <b v="1"/>
    <n v="1.6666666666666667"/>
    <n v="412.88"/>
    <n v="25.443333333333332"/>
    <d v="2021-08-01T00:00:00"/>
    <s v="Middle-aged"/>
    <n v="0"/>
    <s v="No"/>
    <n v="53"/>
    <s v="High"/>
    <s v="Low"/>
    <n v="9.5238095238095233E-2"/>
    <s v="Low"/>
    <n v="2"/>
    <d v="2021-08-01T00:00:00"/>
    <s v="13–24 months"/>
    <s v="2–3 tickets"/>
    <s v="46+ min"/>
    <s v="301–500"/>
    <n v="8320"/>
    <n v="-62.399999999999636"/>
  </r>
  <r>
    <n v="10366"/>
    <n v="19"/>
    <s v="Male"/>
    <s v="Pune"/>
    <d v="2022-03-21T00:00:00"/>
    <d v="2021-08-06T00:00:00"/>
    <x v="0"/>
    <n v="630"/>
    <x v="24"/>
    <n v="3"/>
    <n v="103.5"/>
    <n v="5"/>
    <x v="0"/>
    <x v="1"/>
    <n v="10048.5"/>
    <b v="0"/>
    <n v="1.3333333333333333"/>
    <n v="628.03125"/>
    <n v="25.875"/>
    <d v="2022-03-01T00:00:00"/>
    <s v="Young"/>
    <n v="0"/>
    <s v="No"/>
    <m/>
    <s v="High"/>
    <s v="Low"/>
    <n v="0.17647058823529413"/>
    <s v="Medium"/>
    <n v="1"/>
    <d v="2022-03-01T00:00:00"/>
    <s v="13–24 months"/>
    <s v="2–3 tickets"/>
    <s v="46+ min"/>
    <s v="501–700"/>
    <n v="10080"/>
    <n v="-31.5"/>
  </r>
  <r>
    <n v="10367"/>
    <n v="44"/>
    <s v="Female"/>
    <s v="Hyderabad"/>
    <d v="2023-02-04T00:00:00"/>
    <d v="2022-12-25T00:00:00"/>
    <x v="0"/>
    <n v="355"/>
    <x v="32"/>
    <n v="2"/>
    <n v="64.44"/>
    <n v="20"/>
    <x v="2"/>
    <x v="1"/>
    <n v="3479"/>
    <b v="0"/>
    <n v="0.83333333333333337"/>
    <n v="347.9"/>
    <n v="21.48"/>
    <d v="2023-02-01T00:00:00"/>
    <s v="Middle-aged"/>
    <n v="0"/>
    <s v="No"/>
    <m/>
    <s v="High"/>
    <s v="Medium"/>
    <n v="0.18181818181818182"/>
    <s v="Low"/>
    <n v="1"/>
    <d v="2023-02-01T00:00:00"/>
    <s v="7–12 months"/>
    <s v="2–3 tickets"/>
    <s v="46+ min"/>
    <s v="301–500"/>
    <n v="3550"/>
    <n v="-71"/>
  </r>
  <r>
    <n v="10368"/>
    <n v="59"/>
    <s v="Female"/>
    <s v="Chennai"/>
    <d v="2021-08-10T00:00:00"/>
    <d v="2022-04-23T00:00:00"/>
    <x v="2"/>
    <n v="1455"/>
    <x v="8"/>
    <n v="2"/>
    <n v="31.64"/>
    <n v="20"/>
    <x v="1"/>
    <x v="1"/>
    <n v="37539"/>
    <b v="1"/>
    <n v="2.1666666666666665"/>
    <n v="1443.8076923076924"/>
    <n v="10.546666666666667"/>
    <d v="2021-08-01T00:00:00"/>
    <s v="Older"/>
    <n v="0"/>
    <s v="Yes"/>
    <n v="256"/>
    <s v="Medium"/>
    <s v="Medium"/>
    <n v="7.407407407407407E-2"/>
    <s v="High"/>
    <n v="2"/>
    <d v="2021-08-01T00:00:00"/>
    <s v="25+ months"/>
    <s v="2–3 tickets"/>
    <s v="31–45 min"/>
    <s v="1000+"/>
    <n v="37830"/>
    <n v="-291"/>
  </r>
  <r>
    <n v="10369"/>
    <n v="19"/>
    <s v="Female"/>
    <s v="Bangalore"/>
    <d v="2022-01-18T00:00:00"/>
    <d v="2023-05-04T00:00:00"/>
    <x v="1"/>
    <n v="607"/>
    <x v="5"/>
    <n v="2"/>
    <n v="6.66"/>
    <n v="20"/>
    <x v="1"/>
    <x v="1"/>
    <n v="17481.599999999999"/>
    <b v="1"/>
    <n v="2.4166666666666665"/>
    <n v="602.81379310344823"/>
    <n v="2.2200000000000002"/>
    <d v="2022-01-01T00:00:00"/>
    <s v="Young"/>
    <n v="0"/>
    <s v="Yes"/>
    <n v="471"/>
    <s v="Low"/>
    <s v="Medium"/>
    <n v="6.6666666666666666E-2"/>
    <s v="Medium"/>
    <n v="3"/>
    <d v="2022-01-01T00:00:00"/>
    <s v="25+ months"/>
    <s v="2–3 tickets"/>
    <s v="0–10 min"/>
    <s v="501–700"/>
    <n v="17603"/>
    <n v="-121.40000000000146"/>
  </r>
  <r>
    <n v="10370"/>
    <n v="43"/>
    <s v="Female"/>
    <s v="Bangalore"/>
    <d v="2023-05-31T00:00:00"/>
    <d v="2022-09-13T00:00:00"/>
    <x v="2"/>
    <n v="521"/>
    <x v="21"/>
    <n v="2"/>
    <n v="62.59"/>
    <n v="10"/>
    <x v="0"/>
    <x v="0"/>
    <n v="2552.9"/>
    <b v="0"/>
    <n v="0.41666666666666669"/>
    <n v="510.58000000000004"/>
    <n v="20.863333333333333"/>
    <d v="2023-05-01T00:00:00"/>
    <s v="Middle-aged"/>
    <n v="1"/>
    <s v="No"/>
    <m/>
    <s v="High"/>
    <s v="Low"/>
    <n v="0.33333333333333331"/>
    <s v="Low"/>
    <n v="2"/>
    <d v="2023-05-01T00:00:00"/>
    <s v="0–6 months"/>
    <s v="2–3 tickets"/>
    <s v="46+ min"/>
    <s v="501–700"/>
    <n v="2605"/>
    <n v="-52.099999999999909"/>
  </r>
  <r>
    <n v="10371"/>
    <n v="34"/>
    <s v="Male"/>
    <s v="Delhi"/>
    <d v="2022-08-15T00:00:00"/>
    <d v="2022-10-06T00:00:00"/>
    <x v="1"/>
    <n v="1496"/>
    <x v="11"/>
    <n v="4"/>
    <n v="61.71"/>
    <n v="20"/>
    <x v="2"/>
    <x v="1"/>
    <n v="16156.8"/>
    <b v="1"/>
    <n v="0.91666666666666663"/>
    <n v="1468.8"/>
    <n v="12.342000000000001"/>
    <d v="2022-08-01T00:00:00"/>
    <s v="Adult"/>
    <n v="0"/>
    <s v="Yes"/>
    <n v="52"/>
    <s v="High"/>
    <s v="Medium"/>
    <n v="0.33333333333333331"/>
    <s v="Medium"/>
    <n v="3"/>
    <d v="2022-08-01T00:00:00"/>
    <s v="7–12 months"/>
    <s v="4–5 tickets"/>
    <s v="46+ min"/>
    <s v="1000+"/>
    <n v="16456"/>
    <n v="-299.20000000000073"/>
  </r>
  <r>
    <n v="10372"/>
    <n v="57"/>
    <s v="Male"/>
    <s v="Delhi"/>
    <d v="2021-01-07T00:00:00"/>
    <d v="2023-05-02T00:00:00"/>
    <x v="2"/>
    <n v="1096"/>
    <x v="5"/>
    <n v="1"/>
    <n v="62.59"/>
    <n v="10"/>
    <x v="0"/>
    <x v="1"/>
    <n v="31674.400000000001"/>
    <b v="1"/>
    <n v="2.4166666666666665"/>
    <n v="1092.2206896551725"/>
    <n v="31.295000000000002"/>
    <d v="2021-01-01T00:00:00"/>
    <s v="Older"/>
    <n v="0"/>
    <s v="Yes"/>
    <n v="845"/>
    <s v="High"/>
    <s v="Low"/>
    <n v="3.3333333333333333E-2"/>
    <s v="High"/>
    <n v="2"/>
    <d v="2021-01-01T00:00:00"/>
    <s v="25+ months"/>
    <s v="0–1 tickets"/>
    <s v="46+ min"/>
    <s v="1000+"/>
    <n v="31784"/>
    <n v="-109.59999999999854"/>
  </r>
  <r>
    <n v="10373"/>
    <n v="50"/>
    <s v="Female"/>
    <s v="Pune"/>
    <d v="2021-09-29T00:00:00"/>
    <d v="2023-03-25T00:00:00"/>
    <x v="0"/>
    <n v="1480"/>
    <x v="15"/>
    <n v="1"/>
    <n v="84.89"/>
    <n v="10"/>
    <x v="0"/>
    <x v="0"/>
    <n v="22200"/>
    <b v="1"/>
    <n v="1.25"/>
    <n v="1480"/>
    <n v="42.445"/>
    <d v="2021-09-01T00:00:00"/>
    <s v="Middle-aged"/>
    <n v="1"/>
    <s v="Yes"/>
    <n v="542"/>
    <s v="High"/>
    <s v="Low"/>
    <n v="6.25E-2"/>
    <s v="High"/>
    <n v="1"/>
    <d v="2021-09-01T00:00:00"/>
    <s v="13–24 months"/>
    <s v="0–1 tickets"/>
    <s v="46+ min"/>
    <s v="1000+"/>
    <n v="22200"/>
    <n v="0"/>
  </r>
  <r>
    <n v="10374"/>
    <n v="26"/>
    <s v="Male"/>
    <s v="Pune"/>
    <d v="2023-01-09T00:00:00"/>
    <d v="2022-03-13T00:00:00"/>
    <x v="0"/>
    <n v="450"/>
    <x v="20"/>
    <n v="1"/>
    <n v="118.61"/>
    <n v="20"/>
    <x v="3"/>
    <x v="1"/>
    <n v="2610"/>
    <b v="0"/>
    <n v="0.5"/>
    <n v="435"/>
    <n v="59.305"/>
    <d v="2023-01-01T00:00:00"/>
    <s v="Adult"/>
    <n v="0"/>
    <s v="No"/>
    <m/>
    <s v="High"/>
    <s v="Medium"/>
    <n v="0.14285714285714285"/>
    <s v="Low"/>
    <n v="1"/>
    <d v="2023-01-01T00:00:00"/>
    <s v="0–6 months"/>
    <s v="0–1 tickets"/>
    <s v="46+ min"/>
    <s v="301–500"/>
    <n v="2700"/>
    <n v="-90"/>
  </r>
  <r>
    <n v="10375"/>
    <n v="60"/>
    <s v="Male"/>
    <s v="Delhi"/>
    <d v="2021-01-16T00:00:00"/>
    <d v="2023-01-29T00:00:00"/>
    <x v="2"/>
    <n v="411"/>
    <x v="15"/>
    <n v="5"/>
    <n v="62.59"/>
    <n v="10"/>
    <x v="2"/>
    <x v="1"/>
    <n v="6123.9"/>
    <b v="1"/>
    <n v="1.25"/>
    <n v="408.26"/>
    <n v="10.431666666666667"/>
    <d v="2021-01-01T00:00:00"/>
    <s v="Older"/>
    <n v="0"/>
    <s v="No"/>
    <n v="743"/>
    <s v="High"/>
    <s v="Low"/>
    <n v="0.3125"/>
    <s v="Low"/>
    <n v="2"/>
    <d v="2021-01-01T00:00:00"/>
    <s v="13–24 months"/>
    <s v="4–5 tickets"/>
    <s v="46+ min"/>
    <s v="301–500"/>
    <n v="6165"/>
    <n v="-41.100000000000364"/>
  </r>
  <r>
    <n v="10376"/>
    <n v="56"/>
    <s v="Female"/>
    <s v="Mumbai"/>
    <d v="2022-02-28T00:00:00"/>
    <d v="2022-04-08T00:00:00"/>
    <x v="1"/>
    <n v="982"/>
    <x v="28"/>
    <n v="4"/>
    <n v="54.13"/>
    <n v="5"/>
    <x v="2"/>
    <x v="0"/>
    <n v="19590.900000000001"/>
    <b v="1"/>
    <n v="1.6666666666666667"/>
    <n v="979.54500000000007"/>
    <n v="10.826000000000001"/>
    <d v="2022-02-01T00:00:00"/>
    <s v="Older"/>
    <n v="1"/>
    <s v="Yes"/>
    <n v="39"/>
    <s v="Medium"/>
    <s v="Low"/>
    <n v="0.19047619047619047"/>
    <s v="High"/>
    <n v="3"/>
    <d v="2022-02-01T00:00:00"/>
    <s v="13–24 months"/>
    <s v="4–5 tickets"/>
    <s v="46+ min"/>
    <s v="701–1000"/>
    <n v="19640"/>
    <n v="-49.099999999998545"/>
  </r>
  <r>
    <n v="10377"/>
    <n v="46"/>
    <s v="Female"/>
    <s v="Chennai"/>
    <d v="2022-06-08T00:00:00"/>
    <d v="2022-04-05T00:00:00"/>
    <x v="1"/>
    <n v="1461"/>
    <x v="22"/>
    <n v="1"/>
    <n v="37.979999999999997"/>
    <n v="10"/>
    <x v="1"/>
    <x v="1"/>
    <n v="49527.9"/>
    <b v="0"/>
    <n v="2.8333333333333335"/>
    <n v="1456.7029411764706"/>
    <n v="18.989999999999998"/>
    <d v="2022-06-01T00:00:00"/>
    <s v="Middle-aged"/>
    <n v="0"/>
    <s v="Yes"/>
    <m/>
    <s v="Medium"/>
    <s v="Low"/>
    <n v="2.8571428571428571E-2"/>
    <s v="High"/>
    <n v="3"/>
    <d v="2022-06-01T00:00:00"/>
    <s v="25+ months"/>
    <s v="0–1 tickets"/>
    <s v="31–45 min"/>
    <s v="1000+"/>
    <n v="49674"/>
    <n v="-146.09999999999854"/>
  </r>
  <r>
    <n v="10378"/>
    <n v="59"/>
    <s v="Female"/>
    <s v="Chennai"/>
    <d v="2023-03-14T00:00:00"/>
    <d v="2023-07-15T00:00:00"/>
    <x v="0"/>
    <n v="631"/>
    <x v="4"/>
    <n v="2"/>
    <n v="59.84"/>
    <n v="10"/>
    <x v="1"/>
    <x v="0"/>
    <n v="1198.9000000000001"/>
    <b v="1"/>
    <n v="0.16666666666666666"/>
    <n v="599.45000000000005"/>
    <n v="19.946666666666669"/>
    <d v="2023-03-01T00:00:00"/>
    <s v="Older"/>
    <n v="1"/>
    <s v="No"/>
    <n v="123"/>
    <s v="Medium"/>
    <s v="Low"/>
    <n v="0.66666666666666663"/>
    <s v="Low"/>
    <n v="1"/>
    <d v="2023-03-01T00:00:00"/>
    <s v="0–6 months"/>
    <s v="2–3 tickets"/>
    <s v="46+ min"/>
    <s v="501–700"/>
    <n v="1262"/>
    <n v="-63.099999999999909"/>
  </r>
  <r>
    <n v="10379"/>
    <n v="41"/>
    <s v="Female"/>
    <s v="Chennai"/>
    <d v="2023-01-23T00:00:00"/>
    <d v="2021-09-05T00:00:00"/>
    <x v="0"/>
    <n v="1192"/>
    <x v="24"/>
    <n v="4"/>
    <n v="105.38"/>
    <n v="10"/>
    <x v="0"/>
    <x v="1"/>
    <n v="19012.400000000001"/>
    <b v="0"/>
    <n v="1.3333333333333333"/>
    <n v="1188.2750000000001"/>
    <n v="21.076000000000001"/>
    <d v="2023-01-01T00:00:00"/>
    <s v="Middle-aged"/>
    <n v="0"/>
    <s v="Yes"/>
    <m/>
    <s v="High"/>
    <s v="Low"/>
    <n v="0.23529411764705882"/>
    <s v="Medium"/>
    <n v="1"/>
    <d v="2023-01-01T00:00:00"/>
    <s v="13–24 months"/>
    <s v="4–5 tickets"/>
    <s v="46+ min"/>
    <s v="1000+"/>
    <n v="19072"/>
    <n v="-59.599999999998545"/>
  </r>
  <r>
    <n v="10380"/>
    <n v="52"/>
    <s v="Female"/>
    <s v="Chennai"/>
    <d v="2021-01-21T00:00:00"/>
    <d v="2021-09-21T00:00:00"/>
    <x v="0"/>
    <n v="460"/>
    <x v="17"/>
    <n v="0"/>
    <n v="9.8800000000000008"/>
    <n v="10"/>
    <x v="3"/>
    <x v="1"/>
    <n v="8694"/>
    <b v="1"/>
    <n v="1.5833333333333333"/>
    <n v="457.57894736842104"/>
    <n v="9.8800000000000008"/>
    <d v="2021-01-01T00:00:00"/>
    <s v="Older"/>
    <n v="0"/>
    <s v="No"/>
    <n v="243"/>
    <s v="Low"/>
    <s v="Low"/>
    <n v="0"/>
    <s v="Low"/>
    <n v="1"/>
    <d v="2021-01-01T00:00:00"/>
    <s v="13–24 months"/>
    <s v="0–1 tickets"/>
    <s v="0–10 min"/>
    <s v="301–500"/>
    <n v="8740"/>
    <n v="-46"/>
  </r>
  <r>
    <n v="10381"/>
    <n v="42"/>
    <s v="Male"/>
    <s v="Delhi"/>
    <d v="2022-11-21T00:00:00"/>
    <d v="2023-02-27T00:00:00"/>
    <x v="1"/>
    <n v="577"/>
    <x v="22"/>
    <n v="3"/>
    <n v="117.46"/>
    <n v="5"/>
    <x v="3"/>
    <x v="1"/>
    <n v="19589.150000000001"/>
    <b v="1"/>
    <n v="2.8333333333333335"/>
    <n v="576.15147058823538"/>
    <n v="29.364999999999998"/>
    <d v="2022-11-01T00:00:00"/>
    <s v="Middle-aged"/>
    <n v="0"/>
    <s v="Yes"/>
    <n v="98"/>
    <s v="High"/>
    <s v="Low"/>
    <n v="8.5714285714285715E-2"/>
    <s v="High"/>
    <n v="3"/>
    <d v="2022-11-01T00:00:00"/>
    <s v="25+ months"/>
    <s v="2–3 tickets"/>
    <s v="46+ min"/>
    <s v="501–700"/>
    <n v="19618"/>
    <n v="-28.849999999998545"/>
  </r>
  <r>
    <n v="10382"/>
    <n v="41"/>
    <s v="Male"/>
    <s v="Bangalore"/>
    <d v="2021-08-16T00:00:00"/>
    <d v="2022-08-30T00:00:00"/>
    <x v="1"/>
    <n v="1196"/>
    <x v="25"/>
    <n v="3"/>
    <n v="119.23"/>
    <n v="15"/>
    <x v="3"/>
    <x v="1"/>
    <n v="16564.599999999999"/>
    <b v="1"/>
    <n v="1.1666666666666667"/>
    <n v="1183.1857142857141"/>
    <n v="29.807500000000001"/>
    <d v="2021-08-01T00:00:00"/>
    <s v="Middle-aged"/>
    <n v="0"/>
    <s v="Yes"/>
    <n v="379"/>
    <s v="High"/>
    <s v="Low"/>
    <n v="0.2"/>
    <s v="Medium"/>
    <n v="3"/>
    <d v="2021-08-01T00:00:00"/>
    <s v="13–24 months"/>
    <s v="2–3 tickets"/>
    <s v="46+ min"/>
    <s v="1000+"/>
    <n v="16744"/>
    <n v="-179.40000000000146"/>
  </r>
  <r>
    <n v="10383"/>
    <n v="30"/>
    <s v="Male"/>
    <s v="Delhi"/>
    <d v="2023-02-24T00:00:00"/>
    <d v="2022-09-06T00:00:00"/>
    <x v="2"/>
    <n v="796"/>
    <x v="30"/>
    <n v="3"/>
    <n v="73.75"/>
    <n v="10"/>
    <x v="0"/>
    <x v="0"/>
    <n v="18944.8"/>
    <b v="0"/>
    <n v="2"/>
    <n v="789.36666666666667"/>
    <n v="18.4375"/>
    <d v="2023-02-01T00:00:00"/>
    <s v="Adult"/>
    <n v="1"/>
    <s v="Yes"/>
    <m/>
    <s v="High"/>
    <s v="Low"/>
    <n v="0.12"/>
    <s v="Medium"/>
    <n v="2"/>
    <d v="2023-02-01T00:00:00"/>
    <s v="13–24 months"/>
    <s v="2–3 tickets"/>
    <s v="46+ min"/>
    <s v="701–1000"/>
    <n v="19104"/>
    <n v="-159.20000000000073"/>
  </r>
  <r>
    <n v="10384"/>
    <n v="24"/>
    <s v="Male"/>
    <s v="Chennai"/>
    <d v="2021-10-15T00:00:00"/>
    <d v="2021-10-10T00:00:00"/>
    <x v="0"/>
    <n v="954"/>
    <x v="29"/>
    <n v="4"/>
    <n v="43.13"/>
    <n v="0"/>
    <x v="1"/>
    <x v="1"/>
    <n v="26712"/>
    <b v="0"/>
    <n v="2.3333333333333335"/>
    <n v="954"/>
    <n v="8.6260000000000012"/>
    <d v="2021-10-01T00:00:00"/>
    <s v="Young"/>
    <n v="0"/>
    <s v="Yes"/>
    <m/>
    <s v="Medium"/>
    <s v="Low"/>
    <n v="0.13793103448275862"/>
    <s v="High"/>
    <n v="1"/>
    <d v="2021-10-01T00:00:00"/>
    <s v="25+ months"/>
    <s v="4–5 tickets"/>
    <s v="31–45 min"/>
    <s v="701–1000"/>
    <n v="26712"/>
    <n v="0"/>
  </r>
  <r>
    <n v="10385"/>
    <n v="53"/>
    <s v="Female"/>
    <s v="Delhi"/>
    <d v="2023-03-20T00:00:00"/>
    <d v="2021-09-29T00:00:00"/>
    <x v="2"/>
    <n v="1359"/>
    <x v="23"/>
    <n v="2"/>
    <n v="30.65"/>
    <n v="10"/>
    <x v="2"/>
    <x v="0"/>
    <n v="43352.1"/>
    <b v="0"/>
    <n v="2.6666666666666665"/>
    <n v="1354.753125"/>
    <n v="10.216666666666667"/>
    <d v="2023-03-01T00:00:00"/>
    <s v="Older"/>
    <n v="1"/>
    <s v="Yes"/>
    <m/>
    <s v="Medium"/>
    <s v="Low"/>
    <n v="6.0606060606060608E-2"/>
    <s v="High"/>
    <n v="2"/>
    <d v="2023-03-01T00:00:00"/>
    <s v="25+ months"/>
    <s v="2–3 tickets"/>
    <s v="31–45 min"/>
    <s v="1000+"/>
    <n v="43488"/>
    <n v="-135.90000000000146"/>
  </r>
  <r>
    <n v="10386"/>
    <n v="62"/>
    <s v="Male"/>
    <s v="Chennai"/>
    <d v="2021-05-14T00:00:00"/>
    <d v="2021-12-14T00:00:00"/>
    <x v="2"/>
    <n v="602"/>
    <x v="32"/>
    <n v="2"/>
    <n v="36.799999999999997"/>
    <n v="5"/>
    <x v="0"/>
    <x v="1"/>
    <n v="5989.9"/>
    <b v="1"/>
    <n v="0.83333333333333337"/>
    <n v="598.99"/>
    <n v="12.266666666666666"/>
    <d v="2021-05-01T00:00:00"/>
    <s v="Older"/>
    <n v="0"/>
    <s v="No"/>
    <n v="214"/>
    <s v="Medium"/>
    <s v="Low"/>
    <n v="0.18181818181818182"/>
    <s v="Low"/>
    <n v="2"/>
    <d v="2021-05-01T00:00:00"/>
    <s v="7–12 months"/>
    <s v="2–3 tickets"/>
    <s v="31–45 min"/>
    <s v="501–700"/>
    <n v="6020"/>
    <n v="-30.100000000000364"/>
  </r>
  <r>
    <n v="10387"/>
    <n v="37"/>
    <s v="Male"/>
    <s v="Hyderabad"/>
    <d v="2021-10-10T00:00:00"/>
    <d v="2023-08-15T00:00:00"/>
    <x v="0"/>
    <n v="737"/>
    <x v="9"/>
    <n v="1"/>
    <n v="10.76"/>
    <n v="20"/>
    <x v="3"/>
    <x v="1"/>
    <n v="6485.6"/>
    <b v="1"/>
    <n v="0.75"/>
    <n v="720.62222222222226"/>
    <n v="5.38"/>
    <d v="2021-10-01T00:00:00"/>
    <s v="Middle-aged"/>
    <n v="0"/>
    <s v="No"/>
    <n v="674"/>
    <s v="Low"/>
    <s v="Medium"/>
    <n v="0.1"/>
    <s v="Low"/>
    <n v="1"/>
    <d v="2021-10-01T00:00:00"/>
    <s v="7–12 months"/>
    <s v="0–1 tickets"/>
    <s v="11–20 min"/>
    <s v="701–1000"/>
    <n v="6633"/>
    <n v="-147.39999999999964"/>
  </r>
  <r>
    <n v="10388"/>
    <n v="18"/>
    <s v="Male"/>
    <s v="Pune"/>
    <d v="2022-02-08T00:00:00"/>
    <d v="2022-09-25T00:00:00"/>
    <x v="2"/>
    <n v="1025"/>
    <x v="30"/>
    <n v="3"/>
    <n v="59.64"/>
    <n v="10"/>
    <x v="3"/>
    <x v="1"/>
    <n v="24497.5"/>
    <b v="1"/>
    <n v="2"/>
    <n v="1020.7291666666666"/>
    <n v="14.91"/>
    <d v="2022-02-01T00:00:00"/>
    <s v="Young"/>
    <n v="0"/>
    <s v="Yes"/>
    <n v="229"/>
    <s v="Medium"/>
    <s v="Low"/>
    <n v="0.12"/>
    <s v="High"/>
    <n v="2"/>
    <d v="2022-02-01T00:00:00"/>
    <s v="13–24 months"/>
    <s v="2–3 tickets"/>
    <s v="46+ min"/>
    <s v="1000+"/>
    <n v="24600"/>
    <n v="-102.5"/>
  </r>
  <r>
    <n v="10389"/>
    <n v="25"/>
    <s v="Male"/>
    <s v="Bangalore"/>
    <d v="2022-10-27T00:00:00"/>
    <d v="2023-02-24T00:00:00"/>
    <x v="0"/>
    <n v="1355"/>
    <x v="5"/>
    <n v="3"/>
    <n v="11.59"/>
    <n v="20"/>
    <x v="0"/>
    <x v="0"/>
    <n v="39024"/>
    <b v="1"/>
    <n v="2.4166666666666665"/>
    <n v="1345.655172413793"/>
    <n v="2.8975"/>
    <d v="2022-10-01T00:00:00"/>
    <s v="Young"/>
    <n v="1"/>
    <s v="Yes"/>
    <n v="120"/>
    <s v="Low"/>
    <s v="Medium"/>
    <n v="0.1"/>
    <s v="High"/>
    <n v="1"/>
    <d v="2022-10-01T00:00:00"/>
    <s v="25+ months"/>
    <s v="2–3 tickets"/>
    <s v="11–20 min"/>
    <s v="1000+"/>
    <n v="39295"/>
    <n v="-271"/>
  </r>
  <r>
    <n v="10390"/>
    <n v="63"/>
    <s v="Male"/>
    <s v="Hyderabad"/>
    <d v="2021-03-07T00:00:00"/>
    <d v="2023-08-03T00:00:00"/>
    <x v="0"/>
    <n v="485"/>
    <x v="5"/>
    <n v="2"/>
    <n v="87.62"/>
    <n v="15"/>
    <x v="3"/>
    <x v="0"/>
    <n v="13992.25"/>
    <b v="1"/>
    <n v="2.4166666666666665"/>
    <n v="482.49137931034483"/>
    <n v="29.206666666666667"/>
    <d v="2021-03-01T00:00:00"/>
    <s v="Older"/>
    <n v="1"/>
    <s v="Yes"/>
    <n v="879"/>
    <s v="High"/>
    <s v="Low"/>
    <n v="6.6666666666666666E-2"/>
    <s v="Medium"/>
    <n v="1"/>
    <d v="2021-03-01T00:00:00"/>
    <s v="25+ months"/>
    <s v="2–3 tickets"/>
    <s v="46+ min"/>
    <s v="301–500"/>
    <n v="14065"/>
    <n v="-72.75"/>
  </r>
  <r>
    <n v="10391"/>
    <n v="33"/>
    <s v="Male"/>
    <s v="Mumbai"/>
    <d v="2022-10-11T00:00:00"/>
    <d v="2023-11-14T00:00:00"/>
    <x v="1"/>
    <n v="1497"/>
    <x v="31"/>
    <n v="2"/>
    <n v="47.77"/>
    <n v="10"/>
    <x v="2"/>
    <x v="1"/>
    <n v="34281.300000000003"/>
    <b v="1"/>
    <n v="1.9166666666666667"/>
    <n v="1490.4913043478261"/>
    <n v="15.923333333333334"/>
    <d v="2022-10-01T00:00:00"/>
    <s v="Adult"/>
    <n v="0"/>
    <s v="Yes"/>
    <n v="399"/>
    <s v="Medium"/>
    <s v="Low"/>
    <n v="8.3333333333333329E-2"/>
    <s v="High"/>
    <n v="3"/>
    <d v="2022-10-01T00:00:00"/>
    <s v="13–24 months"/>
    <s v="2–3 tickets"/>
    <s v="46+ min"/>
    <s v="1000+"/>
    <n v="34431"/>
    <n v="-149.69999999999709"/>
  </r>
  <r>
    <n v="10392"/>
    <n v="31"/>
    <s v="Male"/>
    <s v="Delhi"/>
    <d v="2022-08-27T00:00:00"/>
    <d v="2023-07-12T00:00:00"/>
    <x v="2"/>
    <n v="972"/>
    <x v="26"/>
    <n v="2"/>
    <n v="27.93"/>
    <n v="5"/>
    <x v="0"/>
    <x v="0"/>
    <n v="26195.4"/>
    <b v="1"/>
    <n v="2.25"/>
    <n v="970.2"/>
    <n v="9.31"/>
    <d v="2022-08-01T00:00:00"/>
    <s v="Adult"/>
    <n v="1"/>
    <s v="Yes"/>
    <n v="319"/>
    <s v="Medium"/>
    <s v="Low"/>
    <n v="7.1428571428571425E-2"/>
    <s v="High"/>
    <n v="2"/>
    <d v="2022-08-01T00:00:00"/>
    <s v="25+ months"/>
    <s v="2–3 tickets"/>
    <s v="21–30 min"/>
    <s v="701–1000"/>
    <n v="26244"/>
    <n v="-48.599999999998545"/>
  </r>
  <r>
    <n v="10393"/>
    <n v="29"/>
    <s v="Male"/>
    <s v="Mumbai"/>
    <d v="2022-03-13T00:00:00"/>
    <d v="2021-07-09T00:00:00"/>
    <x v="0"/>
    <n v="1300"/>
    <x v="27"/>
    <n v="5"/>
    <n v="67.66"/>
    <n v="15"/>
    <x v="2"/>
    <x v="1"/>
    <n v="40105"/>
    <b v="0"/>
    <n v="2.5833333333333335"/>
    <n v="1293.7096774193549"/>
    <n v="11.276666666666666"/>
    <d v="2022-03-01T00:00:00"/>
    <s v="Adult"/>
    <n v="0"/>
    <s v="Yes"/>
    <m/>
    <s v="High"/>
    <s v="Low"/>
    <n v="0.15625"/>
    <s v="High"/>
    <n v="1"/>
    <d v="2022-03-01T00:00:00"/>
    <s v="25+ months"/>
    <s v="4–5 tickets"/>
    <s v="46+ min"/>
    <s v="1000+"/>
    <n v="40300"/>
    <n v="-195"/>
  </r>
  <r>
    <n v="10394"/>
    <n v="40"/>
    <s v="Male"/>
    <s v="Delhi"/>
    <d v="2023-04-09T00:00:00"/>
    <d v="2022-12-18T00:00:00"/>
    <x v="2"/>
    <n v="578"/>
    <x v="16"/>
    <n v="3"/>
    <n v="116.98"/>
    <n v="10"/>
    <x v="1"/>
    <x v="0"/>
    <n v="3988.2"/>
    <b v="0"/>
    <n v="0.58333333333333337"/>
    <n v="569.74285714285713"/>
    <n v="29.245000000000001"/>
    <d v="2023-04-01T00:00:00"/>
    <s v="Middle-aged"/>
    <n v="1"/>
    <s v="No"/>
    <m/>
    <s v="High"/>
    <s v="Low"/>
    <n v="0.375"/>
    <s v="Low"/>
    <n v="2"/>
    <d v="2023-04-01T00:00:00"/>
    <s v="7–12 months"/>
    <s v="2–3 tickets"/>
    <s v="46+ min"/>
    <s v="501–700"/>
    <n v="4046"/>
    <n v="-57.800000000000182"/>
  </r>
  <r>
    <n v="10395"/>
    <n v="32"/>
    <s v="Female"/>
    <s v="Pune"/>
    <d v="2021-09-16T00:00:00"/>
    <d v="2022-10-25T00:00:00"/>
    <x v="0"/>
    <n v="982"/>
    <x v="2"/>
    <n v="2"/>
    <n v="84.94"/>
    <n v="20"/>
    <x v="3"/>
    <x v="1"/>
    <n v="3731.6"/>
    <b v="1"/>
    <n v="0.33333333333333331"/>
    <n v="932.9"/>
    <n v="28.313333333333333"/>
    <d v="2021-09-01T00:00:00"/>
    <s v="Adult"/>
    <n v="0"/>
    <s v="No"/>
    <n v="404"/>
    <s v="High"/>
    <s v="Medium"/>
    <n v="0.4"/>
    <s v="Low"/>
    <n v="1"/>
    <d v="2021-09-01T00:00:00"/>
    <s v="0–6 months"/>
    <s v="2–3 tickets"/>
    <s v="46+ min"/>
    <s v="701–1000"/>
    <n v="3928"/>
    <n v="-196.40000000000009"/>
  </r>
  <r>
    <n v="10396"/>
    <n v="45"/>
    <s v="Male"/>
    <s v="Hyderabad"/>
    <d v="2021-04-13T00:00:00"/>
    <d v="2022-09-17T00:00:00"/>
    <x v="2"/>
    <n v="1325"/>
    <x v="25"/>
    <n v="3"/>
    <n v="61.55"/>
    <n v="15"/>
    <x v="3"/>
    <x v="1"/>
    <n v="18351.25"/>
    <b v="1"/>
    <n v="1.1666666666666667"/>
    <n v="1310.8035714285713"/>
    <n v="15.387499999999999"/>
    <d v="2021-04-01T00:00:00"/>
    <s v="Middle-aged"/>
    <n v="0"/>
    <s v="Yes"/>
    <n v="522"/>
    <s v="High"/>
    <s v="Low"/>
    <n v="0.2"/>
    <s v="Medium"/>
    <n v="2"/>
    <d v="2021-04-01T00:00:00"/>
    <s v="13–24 months"/>
    <s v="2–3 tickets"/>
    <s v="46+ min"/>
    <s v="1000+"/>
    <n v="18550"/>
    <n v="-198.75"/>
  </r>
  <r>
    <n v="10397"/>
    <n v="51"/>
    <s v="Male"/>
    <s v="Pune"/>
    <d v="2022-07-21T00:00:00"/>
    <d v="2021-11-08T00:00:00"/>
    <x v="2"/>
    <n v="1489"/>
    <x v="32"/>
    <n v="4"/>
    <n v="94.35"/>
    <n v="5"/>
    <x v="1"/>
    <x v="1"/>
    <n v="14815.55"/>
    <b v="0"/>
    <n v="0.83333333333333337"/>
    <n v="1481.5549999999998"/>
    <n v="18.869999999999997"/>
    <d v="2022-07-01T00:00:00"/>
    <s v="Older"/>
    <n v="0"/>
    <s v="Yes"/>
    <m/>
    <s v="High"/>
    <s v="Low"/>
    <n v="0.36363636363636365"/>
    <s v="Medium"/>
    <n v="2"/>
    <d v="2022-07-01T00:00:00"/>
    <s v="7–12 months"/>
    <s v="4–5 tickets"/>
    <s v="46+ min"/>
    <s v="1000+"/>
    <n v="14890"/>
    <n v="-74.450000000000728"/>
  </r>
  <r>
    <n v="10398"/>
    <n v="19"/>
    <s v="Female"/>
    <s v="Chennai"/>
    <d v="2023-02-08T00:00:00"/>
    <d v="2022-03-16T00:00:00"/>
    <x v="2"/>
    <n v="1310"/>
    <x v="22"/>
    <n v="3"/>
    <n v="89.81"/>
    <n v="10"/>
    <x v="1"/>
    <x v="1"/>
    <n v="44409"/>
    <b v="0"/>
    <n v="2.8333333333333335"/>
    <n v="1306.1470588235295"/>
    <n v="22.452500000000001"/>
    <d v="2023-02-01T00:00:00"/>
    <s v="Young"/>
    <n v="0"/>
    <s v="Yes"/>
    <m/>
    <s v="High"/>
    <s v="Low"/>
    <n v="8.5714285714285715E-2"/>
    <s v="High"/>
    <n v="2"/>
    <d v="2023-02-01T00:00:00"/>
    <s v="25+ months"/>
    <s v="2–3 tickets"/>
    <s v="46+ min"/>
    <s v="1000+"/>
    <n v="44540"/>
    <n v="-131"/>
  </r>
  <r>
    <n v="10399"/>
    <n v="49"/>
    <s v="Male"/>
    <s v="Pune"/>
    <d v="2021-04-11T00:00:00"/>
    <d v="2021-12-17T00:00:00"/>
    <x v="2"/>
    <n v="1224"/>
    <x v="8"/>
    <n v="1"/>
    <n v="107.55"/>
    <n v="20"/>
    <x v="1"/>
    <x v="1"/>
    <n v="31579.200000000001"/>
    <b v="1"/>
    <n v="2.1666666666666665"/>
    <n v="1214.5846153846155"/>
    <n v="53.774999999999999"/>
    <d v="2021-04-01T00:00:00"/>
    <s v="Middle-aged"/>
    <n v="0"/>
    <s v="Yes"/>
    <n v="250"/>
    <s v="High"/>
    <s v="Medium"/>
    <n v="3.7037037037037035E-2"/>
    <s v="High"/>
    <n v="2"/>
    <d v="2021-04-01T00:00:00"/>
    <s v="25+ months"/>
    <s v="0–1 tickets"/>
    <s v="46+ min"/>
    <s v="1000+"/>
    <n v="31824"/>
    <n v="-244.79999999999927"/>
  </r>
  <r>
    <n v="10400"/>
    <n v="40"/>
    <s v="Female"/>
    <s v="Pune"/>
    <d v="2021-07-17T00:00:00"/>
    <d v="2023-07-28T00:00:00"/>
    <x v="0"/>
    <n v="1433"/>
    <x v="31"/>
    <n v="0"/>
    <n v="28.54"/>
    <n v="20"/>
    <x v="3"/>
    <x v="0"/>
    <n v="32672.400000000001"/>
    <b v="1"/>
    <n v="1.9166666666666667"/>
    <n v="1420.5391304347827"/>
    <n v="28.54"/>
    <d v="2021-07-01T00:00:00"/>
    <s v="Middle-aged"/>
    <n v="1"/>
    <s v="Yes"/>
    <n v="741"/>
    <s v="Medium"/>
    <s v="Medium"/>
    <n v="0"/>
    <s v="High"/>
    <n v="1"/>
    <d v="2021-07-01T00:00:00"/>
    <s v="13–24 months"/>
    <s v="0–1 tickets"/>
    <s v="21–30 min"/>
    <s v="1000+"/>
    <n v="32959"/>
    <n v="-286.59999999999854"/>
  </r>
  <r>
    <n v="10401"/>
    <n v="39"/>
    <s v="Female"/>
    <s v="Chennai"/>
    <d v="2023-03-24T00:00:00"/>
    <d v="2022-11-10T00:00:00"/>
    <x v="0"/>
    <n v="679"/>
    <x v="9"/>
    <n v="7"/>
    <n v="103.77"/>
    <n v="15"/>
    <x v="1"/>
    <x v="1"/>
    <n v="6009.15"/>
    <b v="0"/>
    <n v="0.75"/>
    <n v="667.68333333333328"/>
    <n v="12.97125"/>
    <d v="2023-03-01T00:00:00"/>
    <s v="Middle-aged"/>
    <n v="0"/>
    <s v="No"/>
    <m/>
    <s v="High"/>
    <s v="Low"/>
    <n v="0.7"/>
    <s v="Low"/>
    <n v="1"/>
    <d v="2023-03-01T00:00:00"/>
    <s v="7–12 months"/>
    <s v="6+ tickets"/>
    <s v="46+ min"/>
    <s v="501–700"/>
    <n v="6111"/>
    <n v="-101.85000000000036"/>
  </r>
  <r>
    <n v="10402"/>
    <n v="42"/>
    <s v="Male"/>
    <s v="Delhi"/>
    <d v="2021-08-14T00:00:00"/>
    <d v="2023-04-16T00:00:00"/>
    <x v="2"/>
    <n v="1134"/>
    <x v="14"/>
    <n v="2"/>
    <n v="39.619999999999997"/>
    <n v="10"/>
    <x v="0"/>
    <x v="0"/>
    <n v="8958.6"/>
    <b v="1"/>
    <n v="0.66666666666666663"/>
    <n v="1119.825"/>
    <n v="13.206666666666665"/>
    <d v="2021-08-01T00:00:00"/>
    <s v="Middle-aged"/>
    <n v="1"/>
    <s v="No"/>
    <n v="610"/>
    <s v="Medium"/>
    <s v="Low"/>
    <n v="0.22222222222222221"/>
    <s v="Medium"/>
    <n v="2"/>
    <d v="2021-08-01T00:00:00"/>
    <s v="7–12 months"/>
    <s v="2–3 tickets"/>
    <s v="31–45 min"/>
    <s v="1000+"/>
    <n v="9072"/>
    <n v="-113.39999999999964"/>
  </r>
  <r>
    <n v="10403"/>
    <n v="39"/>
    <s v="Female"/>
    <s v="Chennai"/>
    <d v="2022-04-08T00:00:00"/>
    <d v="2022-10-16T00:00:00"/>
    <x v="0"/>
    <n v="1298"/>
    <x v="25"/>
    <n v="4"/>
    <n v="113.21"/>
    <n v="20"/>
    <x v="1"/>
    <x v="1"/>
    <n v="17912.400000000001"/>
    <b v="1"/>
    <n v="1.1666666666666667"/>
    <n v="1279.457142857143"/>
    <n v="22.641999999999999"/>
    <d v="2022-04-01T00:00:00"/>
    <s v="Middle-aged"/>
    <n v="0"/>
    <s v="Yes"/>
    <n v="191"/>
    <s v="High"/>
    <s v="Medium"/>
    <n v="0.26666666666666666"/>
    <s v="Medium"/>
    <n v="1"/>
    <d v="2022-04-01T00:00:00"/>
    <s v="13–24 months"/>
    <s v="4–5 tickets"/>
    <s v="46+ min"/>
    <s v="1000+"/>
    <n v="18172"/>
    <n v="-259.59999999999854"/>
  </r>
  <r>
    <n v="10404"/>
    <n v="39"/>
    <s v="Male"/>
    <s v="Hyderabad"/>
    <d v="2021-08-25T00:00:00"/>
    <d v="2022-02-03T00:00:00"/>
    <x v="2"/>
    <n v="584"/>
    <x v="16"/>
    <n v="0"/>
    <n v="37.32"/>
    <n v="15"/>
    <x v="0"/>
    <x v="1"/>
    <n v="4000.4"/>
    <b v="1"/>
    <n v="0.58333333333333337"/>
    <n v="571.48571428571427"/>
    <n v="37.32"/>
    <d v="2021-08-01T00:00:00"/>
    <s v="Middle-aged"/>
    <n v="0"/>
    <s v="No"/>
    <n v="162"/>
    <s v="Medium"/>
    <s v="Low"/>
    <n v="0"/>
    <s v="Low"/>
    <n v="2"/>
    <d v="2021-08-01T00:00:00"/>
    <s v="7–12 months"/>
    <s v="0–1 tickets"/>
    <s v="31–45 min"/>
    <s v="501–700"/>
    <n v="4088"/>
    <n v="-87.599999999999909"/>
  </r>
  <r>
    <n v="10405"/>
    <n v="59"/>
    <s v="Female"/>
    <s v="Pune"/>
    <d v="2021-01-26T00:00:00"/>
    <d v="2022-06-18T00:00:00"/>
    <x v="0"/>
    <n v="720"/>
    <x v="16"/>
    <n v="1"/>
    <n v="111.59"/>
    <n v="0"/>
    <x v="0"/>
    <x v="1"/>
    <n v="5040"/>
    <b v="1"/>
    <n v="0.58333333333333337"/>
    <n v="720"/>
    <n v="55.795000000000002"/>
    <d v="2021-01-01T00:00:00"/>
    <s v="Older"/>
    <n v="0"/>
    <s v="No"/>
    <n v="508"/>
    <s v="High"/>
    <s v="Low"/>
    <n v="0.125"/>
    <s v="Low"/>
    <n v="1"/>
    <d v="2021-01-01T00:00:00"/>
    <s v="7–12 months"/>
    <s v="0–1 tickets"/>
    <s v="46+ min"/>
    <s v="701–1000"/>
    <n v="5040"/>
    <n v="0"/>
  </r>
  <r>
    <n v="10406"/>
    <n v="23"/>
    <s v="Male"/>
    <s v="Chennai"/>
    <d v="2021-05-01T00:00:00"/>
    <d v="2022-01-04T00:00:00"/>
    <x v="0"/>
    <n v="412"/>
    <x v="9"/>
    <n v="2"/>
    <n v="115.84"/>
    <n v="20"/>
    <x v="2"/>
    <x v="1"/>
    <n v="3625.6"/>
    <b v="1"/>
    <n v="0.75"/>
    <n v="402.84444444444443"/>
    <n v="38.613333333333337"/>
    <d v="2021-05-01T00:00:00"/>
    <s v="Young"/>
    <n v="0"/>
    <s v="No"/>
    <n v="248"/>
    <s v="High"/>
    <s v="Medium"/>
    <n v="0.2"/>
    <s v="Low"/>
    <n v="1"/>
    <d v="2021-05-01T00:00:00"/>
    <s v="7–12 months"/>
    <s v="2–3 tickets"/>
    <s v="46+ min"/>
    <s v="301–500"/>
    <n v="3708"/>
    <n v="-82.400000000000091"/>
  </r>
  <r>
    <n v="10407"/>
    <n v="32"/>
    <s v="Female"/>
    <s v="Pune"/>
    <d v="2022-05-21T00:00:00"/>
    <d v="2021-08-26T00:00:00"/>
    <x v="0"/>
    <n v="1317"/>
    <x v="13"/>
    <n v="1"/>
    <n v="21.73"/>
    <n v="15"/>
    <x v="0"/>
    <x v="0"/>
    <n v="3753.45"/>
    <b v="0"/>
    <n v="0.25"/>
    <n v="1251.1499999999999"/>
    <n v="10.865"/>
    <d v="2022-05-01T00:00:00"/>
    <s v="Adult"/>
    <n v="1"/>
    <s v="No"/>
    <m/>
    <s v="Medium"/>
    <s v="Low"/>
    <n v="0.25"/>
    <s v="Low"/>
    <n v="1"/>
    <d v="2022-05-01T00:00:00"/>
    <s v="0–6 months"/>
    <s v="0–1 tickets"/>
    <s v="21–30 min"/>
    <s v="1000+"/>
    <n v="3951"/>
    <n v="-197.55000000000018"/>
  </r>
  <r>
    <n v="10408"/>
    <n v="60"/>
    <s v="Male"/>
    <s v="Hyderabad"/>
    <d v="2021-07-01T00:00:00"/>
    <d v="2021-08-21T00:00:00"/>
    <x v="1"/>
    <n v="527"/>
    <x v="25"/>
    <n v="0"/>
    <n v="117.07"/>
    <n v="0"/>
    <x v="0"/>
    <x v="1"/>
    <n v="7378"/>
    <b v="1"/>
    <n v="1.1666666666666667"/>
    <n v="527"/>
    <n v="117.07"/>
    <d v="2021-07-01T00:00:00"/>
    <s v="Older"/>
    <n v="0"/>
    <s v="No"/>
    <n v="51"/>
    <s v="High"/>
    <s v="Low"/>
    <n v="0"/>
    <s v="Low"/>
    <n v="3"/>
    <d v="2021-07-01T00:00:00"/>
    <s v="13–24 months"/>
    <s v="0–1 tickets"/>
    <s v="46+ min"/>
    <s v="501–700"/>
    <n v="7378"/>
    <n v="0"/>
  </r>
  <r>
    <n v="10409"/>
    <n v="54"/>
    <s v="Female"/>
    <s v="Mumbai"/>
    <d v="2022-12-12T00:00:00"/>
    <d v="2021-08-01T00:00:00"/>
    <x v="0"/>
    <n v="827"/>
    <x v="18"/>
    <n v="1"/>
    <n v="14.86"/>
    <n v="15"/>
    <x v="1"/>
    <x v="1"/>
    <n v="13934.95"/>
    <b v="0"/>
    <n v="1.4166666666666667"/>
    <n v="819.70294117647063"/>
    <n v="7.43"/>
    <d v="2022-12-01T00:00:00"/>
    <s v="Older"/>
    <n v="0"/>
    <s v="Yes"/>
    <m/>
    <s v="Low"/>
    <s v="Low"/>
    <n v="5.5555555555555552E-2"/>
    <s v="Medium"/>
    <n v="1"/>
    <d v="2022-12-01T00:00:00"/>
    <s v="13–24 months"/>
    <s v="0–1 tickets"/>
    <s v="11–20 min"/>
    <s v="701–1000"/>
    <n v="14059"/>
    <n v="-124.04999999999927"/>
  </r>
  <r>
    <n v="10410"/>
    <n v="50"/>
    <s v="Female"/>
    <s v="Hyderabad"/>
    <d v="2023-03-25T00:00:00"/>
    <d v="2023-08-08T00:00:00"/>
    <x v="2"/>
    <n v="795"/>
    <x v="1"/>
    <n v="1"/>
    <n v="30.14"/>
    <n v="20"/>
    <x v="3"/>
    <x v="0"/>
    <n v="17331"/>
    <b v="1"/>
    <n v="1.8333333333333333"/>
    <n v="787.77272727272725"/>
    <n v="15.07"/>
    <d v="2023-03-01T00:00:00"/>
    <s v="Middle-aged"/>
    <n v="1"/>
    <s v="Yes"/>
    <n v="136"/>
    <s v="Medium"/>
    <s v="Medium"/>
    <n v="4.3478260869565216E-2"/>
    <s v="Medium"/>
    <n v="2"/>
    <d v="2023-03-01T00:00:00"/>
    <s v="13–24 months"/>
    <s v="0–1 tickets"/>
    <s v="31–45 min"/>
    <s v="701–1000"/>
    <n v="17490"/>
    <n v="-159"/>
  </r>
  <r>
    <n v="10411"/>
    <n v="25"/>
    <s v="Male"/>
    <s v="Bangalore"/>
    <d v="2023-02-06T00:00:00"/>
    <d v="2022-10-13T00:00:00"/>
    <x v="0"/>
    <n v="330"/>
    <x v="8"/>
    <n v="0"/>
    <n v="62.59"/>
    <n v="0"/>
    <x v="1"/>
    <x v="1"/>
    <n v="8580"/>
    <b v="0"/>
    <n v="2.1666666666666665"/>
    <n v="330"/>
    <n v="62.59"/>
    <d v="2023-02-01T00:00:00"/>
    <s v="Young"/>
    <n v="0"/>
    <s v="No"/>
    <m/>
    <s v="High"/>
    <s v="Low"/>
    <n v="0"/>
    <s v="Low"/>
    <n v="1"/>
    <d v="2023-02-01T00:00:00"/>
    <s v="25+ months"/>
    <s v="0–1 tickets"/>
    <s v="46+ min"/>
    <s v="301–500"/>
    <n v="8580"/>
    <n v="0"/>
  </r>
  <r>
    <n v="10412"/>
    <n v="61"/>
    <s v="Male"/>
    <s v="Bangalore"/>
    <d v="2022-09-26T00:00:00"/>
    <d v="2021-07-12T00:00:00"/>
    <x v="0"/>
    <n v="461"/>
    <x v="29"/>
    <n v="2"/>
    <n v="119.26"/>
    <n v="15"/>
    <x v="2"/>
    <x v="1"/>
    <n v="12838.85"/>
    <b v="0"/>
    <n v="2.3333333333333335"/>
    <n v="458.53035714285716"/>
    <n v="39.753333333333337"/>
    <d v="2022-09-01T00:00:00"/>
    <s v="Older"/>
    <n v="0"/>
    <s v="No"/>
    <m/>
    <s v="High"/>
    <s v="Low"/>
    <n v="6.8965517241379309E-2"/>
    <s v="Medium"/>
    <n v="1"/>
    <d v="2022-09-01T00:00:00"/>
    <s v="25+ months"/>
    <s v="2–3 tickets"/>
    <s v="46+ min"/>
    <s v="301–500"/>
    <n v="12908"/>
    <n v="-69.149999999999636"/>
  </r>
  <r>
    <n v="10413"/>
    <n v="61"/>
    <s v="Female"/>
    <s v="Bangalore"/>
    <d v="2022-06-27T00:00:00"/>
    <d v="2021-06-12T00:00:00"/>
    <x v="2"/>
    <n v="1004"/>
    <x v="25"/>
    <n v="3"/>
    <n v="61.18"/>
    <n v="10"/>
    <x v="2"/>
    <x v="1"/>
    <n v="13955.6"/>
    <b v="0"/>
    <n v="1.1666666666666667"/>
    <n v="996.82857142857142"/>
    <n v="15.295"/>
    <d v="2022-06-01T00:00:00"/>
    <s v="Older"/>
    <n v="0"/>
    <s v="Yes"/>
    <m/>
    <s v="High"/>
    <s v="Low"/>
    <n v="0.2"/>
    <s v="Medium"/>
    <n v="2"/>
    <d v="2022-06-01T00:00:00"/>
    <s v="13–24 months"/>
    <s v="2–3 tickets"/>
    <s v="46+ min"/>
    <s v="1000+"/>
    <n v="14056"/>
    <n v="-100.39999999999964"/>
  </r>
  <r>
    <n v="10414"/>
    <n v="22"/>
    <s v="Female"/>
    <s v="Pune"/>
    <d v="2021-11-11T00:00:00"/>
    <d v="2023-09-11T00:00:00"/>
    <x v="2"/>
    <n v="1021"/>
    <x v="9"/>
    <n v="2"/>
    <n v="68.3"/>
    <n v="0"/>
    <x v="3"/>
    <x v="0"/>
    <n v="9189"/>
    <b v="1"/>
    <n v="0.75"/>
    <n v="1021"/>
    <n v="22.766666666666666"/>
    <d v="2021-11-01T00:00:00"/>
    <s v="Young"/>
    <n v="1"/>
    <s v="No"/>
    <n v="669"/>
    <s v="High"/>
    <s v="Low"/>
    <n v="0.2"/>
    <s v="Medium"/>
    <n v="2"/>
    <d v="2021-11-01T00:00:00"/>
    <s v="7–12 months"/>
    <s v="2–3 tickets"/>
    <s v="46+ min"/>
    <s v="1000+"/>
    <n v="9189"/>
    <n v="0"/>
  </r>
  <r>
    <n v="10415"/>
    <n v="56"/>
    <s v="Male"/>
    <s v="Delhi"/>
    <d v="2023-03-08T00:00:00"/>
    <d v="2023-06-16T00:00:00"/>
    <x v="2"/>
    <n v="745"/>
    <x v="8"/>
    <n v="8"/>
    <n v="84.86"/>
    <n v="15"/>
    <x v="0"/>
    <x v="1"/>
    <n v="19258.25"/>
    <b v="1"/>
    <n v="2.1666666666666665"/>
    <n v="740.70192307692309"/>
    <n v="9.4288888888888884"/>
    <d v="2023-03-01T00:00:00"/>
    <s v="Older"/>
    <n v="0"/>
    <s v="Yes"/>
    <n v="100"/>
    <s v="High"/>
    <s v="Low"/>
    <n v="0.29629629629629628"/>
    <s v="Medium"/>
    <n v="2"/>
    <d v="2023-03-01T00:00:00"/>
    <s v="25+ months"/>
    <s v="6+ tickets"/>
    <s v="46+ min"/>
    <s v="701–1000"/>
    <n v="19370"/>
    <n v="-111.75"/>
  </r>
  <r>
    <n v="10416"/>
    <n v="21"/>
    <s v="Female"/>
    <s v="Delhi"/>
    <d v="2022-09-10T00:00:00"/>
    <d v="2023-09-19T00:00:00"/>
    <x v="1"/>
    <n v="1043"/>
    <x v="4"/>
    <n v="1"/>
    <n v="116.35"/>
    <n v="10"/>
    <x v="2"/>
    <x v="1"/>
    <n v="1981.7"/>
    <b v="1"/>
    <n v="0.16666666666666666"/>
    <n v="990.85"/>
    <n v="58.174999999999997"/>
    <d v="2022-09-01T00:00:00"/>
    <s v="Young"/>
    <n v="0"/>
    <s v="No"/>
    <n v="374"/>
    <s v="High"/>
    <s v="Low"/>
    <n v="0.33333333333333331"/>
    <s v="Low"/>
    <n v="3"/>
    <d v="2022-09-01T00:00:00"/>
    <s v="0–6 months"/>
    <s v="0–1 tickets"/>
    <s v="46+ min"/>
    <s v="1000+"/>
    <n v="2086"/>
    <n v="-104.29999999999995"/>
  </r>
  <r>
    <n v="10417"/>
    <n v="23"/>
    <s v="Other"/>
    <s v="Delhi"/>
    <d v="2023-01-06T00:00:00"/>
    <d v="2023-03-05T00:00:00"/>
    <x v="0"/>
    <n v="726"/>
    <x v="11"/>
    <n v="1"/>
    <n v="95.09"/>
    <n v="0"/>
    <x v="3"/>
    <x v="1"/>
    <n v="7986"/>
    <b v="1"/>
    <n v="0.91666666666666663"/>
    <n v="726"/>
    <n v="47.545000000000002"/>
    <d v="2023-01-01T00:00:00"/>
    <s v="Young"/>
    <n v="0"/>
    <s v="No"/>
    <n v="58"/>
    <s v="High"/>
    <s v="Low"/>
    <n v="8.3333333333333329E-2"/>
    <s v="Low"/>
    <n v="1"/>
    <d v="2023-01-01T00:00:00"/>
    <s v="7–12 months"/>
    <s v="0–1 tickets"/>
    <s v="46+ min"/>
    <s v="701–1000"/>
    <n v="7986"/>
    <n v="0"/>
  </r>
  <r>
    <n v="10418"/>
    <n v="62"/>
    <s v="Female"/>
    <s v="Pune"/>
    <d v="2021-09-30T00:00:00"/>
    <d v="2021-09-23T00:00:00"/>
    <x v="0"/>
    <n v="803"/>
    <x v="18"/>
    <n v="5"/>
    <n v="30.78"/>
    <n v="15"/>
    <x v="1"/>
    <x v="0"/>
    <n v="13530.55"/>
    <b v="0"/>
    <n v="1.4166666666666667"/>
    <n v="795.91470588235291"/>
    <n v="5.13"/>
    <d v="2021-09-01T00:00:00"/>
    <s v="Older"/>
    <n v="1"/>
    <s v="Yes"/>
    <m/>
    <s v="Medium"/>
    <s v="Low"/>
    <n v="0.27777777777777779"/>
    <s v="Medium"/>
    <n v="1"/>
    <d v="2021-09-01T00:00:00"/>
    <s v="13–24 months"/>
    <s v="4–5 tickets"/>
    <s v="31–45 min"/>
    <s v="701–1000"/>
    <n v="13651"/>
    <n v="-120.45000000000073"/>
  </r>
  <r>
    <n v="10419"/>
    <n v="49"/>
    <s v="Male"/>
    <s v="Hyderabad"/>
    <d v="2021-08-20T00:00:00"/>
    <d v="2022-01-04T00:00:00"/>
    <x v="1"/>
    <n v="1020"/>
    <x v="22"/>
    <n v="2"/>
    <n v="39.840000000000003"/>
    <n v="20"/>
    <x v="1"/>
    <x v="1"/>
    <n v="34476"/>
    <b v="1"/>
    <n v="2.8333333333333335"/>
    <n v="1014"/>
    <n v="13.280000000000001"/>
    <d v="2021-08-01T00:00:00"/>
    <s v="Middle-aged"/>
    <n v="0"/>
    <s v="Yes"/>
    <n v="137"/>
    <s v="Medium"/>
    <s v="Medium"/>
    <n v="5.7142857142857141E-2"/>
    <s v="High"/>
    <n v="3"/>
    <d v="2021-08-01T00:00:00"/>
    <s v="25+ months"/>
    <s v="2–3 tickets"/>
    <s v="31–45 min"/>
    <s v="1000+"/>
    <n v="34680"/>
    <n v="-204"/>
  </r>
  <r>
    <n v="10420"/>
    <n v="47"/>
    <s v="Female"/>
    <s v="Delhi"/>
    <d v="2022-02-24T00:00:00"/>
    <d v="2023-03-11T00:00:00"/>
    <x v="0"/>
    <n v="983"/>
    <x v="17"/>
    <n v="1"/>
    <n v="16.23"/>
    <n v="0"/>
    <x v="1"/>
    <x v="1"/>
    <n v="18677"/>
    <b v="1"/>
    <n v="1.5833333333333333"/>
    <n v="983"/>
    <n v="8.1150000000000002"/>
    <d v="2022-02-01T00:00:00"/>
    <s v="Middle-aged"/>
    <n v="0"/>
    <s v="Yes"/>
    <n v="380"/>
    <s v="Low"/>
    <s v="Low"/>
    <n v="0.05"/>
    <s v="Medium"/>
    <n v="1"/>
    <d v="2022-02-01T00:00:00"/>
    <s v="13–24 months"/>
    <s v="0–1 tickets"/>
    <s v="11–20 min"/>
    <s v="701–1000"/>
    <n v="18677"/>
    <n v="0"/>
  </r>
  <r>
    <n v="10421"/>
    <n v="64"/>
    <s v="Male"/>
    <s v="Mumbai"/>
    <d v="2023-02-07T00:00:00"/>
    <d v="2021-09-14T00:00:00"/>
    <x v="2"/>
    <n v="881"/>
    <x v="10"/>
    <n v="2"/>
    <n v="79.11"/>
    <n v="0"/>
    <x v="0"/>
    <x v="1"/>
    <n v="15858"/>
    <b v="0"/>
    <n v="1.5"/>
    <n v="881"/>
    <n v="26.37"/>
    <d v="2023-02-01T00:00:00"/>
    <s v="Older"/>
    <n v="0"/>
    <s v="Yes"/>
    <m/>
    <s v="High"/>
    <s v="Low"/>
    <n v="0.10526315789473684"/>
    <s v="Medium"/>
    <n v="2"/>
    <d v="2023-02-01T00:00:00"/>
    <s v="13–24 months"/>
    <s v="2–3 tickets"/>
    <s v="46+ min"/>
    <s v="701–1000"/>
    <n v="15858"/>
    <n v="0"/>
  </r>
  <r>
    <n v="10422"/>
    <n v="52"/>
    <s v="Other"/>
    <s v="Bangalore"/>
    <d v="2022-03-18T00:00:00"/>
    <d v="2023-04-22T00:00:00"/>
    <x v="2"/>
    <n v="1357"/>
    <x v="19"/>
    <n v="2"/>
    <n v="25.79"/>
    <n v="10"/>
    <x v="0"/>
    <x v="1"/>
    <n v="17505.3"/>
    <b v="1"/>
    <n v="1.0833333333333333"/>
    <n v="1346.5615384615385"/>
    <n v="8.5966666666666658"/>
    <d v="2022-03-01T00:00:00"/>
    <s v="Older"/>
    <n v="0"/>
    <s v="Yes"/>
    <n v="400"/>
    <s v="Medium"/>
    <s v="Low"/>
    <n v="0.14285714285714285"/>
    <s v="Medium"/>
    <n v="2"/>
    <d v="2022-03-01T00:00:00"/>
    <s v="13–24 months"/>
    <s v="2–3 tickets"/>
    <s v="21–30 min"/>
    <s v="1000+"/>
    <n v="17641"/>
    <n v="-135.70000000000073"/>
  </r>
  <r>
    <n v="10423"/>
    <n v="57"/>
    <s v="Female"/>
    <s v="Hyderabad"/>
    <d v="2022-05-11T00:00:00"/>
    <d v="2022-11-10T00:00:00"/>
    <x v="0"/>
    <n v="1035"/>
    <x v="21"/>
    <n v="3"/>
    <n v="34.6"/>
    <n v="15"/>
    <x v="3"/>
    <x v="1"/>
    <n v="5019.75"/>
    <b v="1"/>
    <n v="0.41666666666666669"/>
    <n v="1003.95"/>
    <n v="8.65"/>
    <d v="2022-05-01T00:00:00"/>
    <s v="Older"/>
    <n v="0"/>
    <s v="No"/>
    <n v="183"/>
    <s v="Medium"/>
    <s v="Low"/>
    <n v="0.5"/>
    <s v="Low"/>
    <n v="1"/>
    <d v="2022-05-01T00:00:00"/>
    <s v="0–6 months"/>
    <s v="2–3 tickets"/>
    <s v="31–45 min"/>
    <s v="1000+"/>
    <n v="5175"/>
    <n v="-155.25"/>
  </r>
  <r>
    <n v="10424"/>
    <n v="33"/>
    <s v="Male"/>
    <s v="Bangalore"/>
    <d v="2021-01-24T00:00:00"/>
    <d v="2022-09-15T00:00:00"/>
    <x v="2"/>
    <n v="990"/>
    <x v="31"/>
    <n v="3"/>
    <n v="107.13"/>
    <n v="20"/>
    <x v="2"/>
    <x v="1"/>
    <n v="22572"/>
    <b v="1"/>
    <n v="1.9166666666666667"/>
    <n v="981.39130434782612"/>
    <n v="26.782499999999999"/>
    <d v="2021-01-01T00:00:00"/>
    <s v="Adult"/>
    <n v="0"/>
    <s v="Yes"/>
    <n v="599"/>
    <s v="High"/>
    <s v="Medium"/>
    <n v="0.125"/>
    <s v="High"/>
    <n v="2"/>
    <d v="2021-01-01T00:00:00"/>
    <s v="13–24 months"/>
    <s v="2–3 tickets"/>
    <s v="46+ min"/>
    <s v="701–1000"/>
    <n v="22770"/>
    <n v="-198"/>
  </r>
  <r>
    <n v="10425"/>
    <n v="30"/>
    <s v="Female"/>
    <s v="unknown"/>
    <d v="2021-04-19T00:00:00"/>
    <d v="2023-06-24T00:00:00"/>
    <x v="0"/>
    <n v="1057"/>
    <x v="30"/>
    <n v="1"/>
    <n v="42.58"/>
    <n v="10"/>
    <x v="1"/>
    <x v="1"/>
    <n v="25262.3"/>
    <b v="1"/>
    <n v="2"/>
    <n v="1052.5958333333333"/>
    <n v="21.29"/>
    <d v="2021-04-01T00:00:00"/>
    <s v="Adult"/>
    <n v="0"/>
    <s v="Yes"/>
    <n v="796"/>
    <s v="Medium"/>
    <s v="Low"/>
    <n v="0.04"/>
    <s v="High"/>
    <n v="1"/>
    <d v="2021-04-01T00:00:00"/>
    <s v="13–24 months"/>
    <s v="0–1 tickets"/>
    <s v="31–45 min"/>
    <s v="1000+"/>
    <n v="25368"/>
    <n v="-105.70000000000073"/>
  </r>
  <r>
    <n v="10426"/>
    <n v="59"/>
    <s v="Male"/>
    <s v="Hyderabad"/>
    <d v="2022-12-04T00:00:00"/>
    <d v="2023-09-24T00:00:00"/>
    <x v="0"/>
    <n v="1053"/>
    <x v="5"/>
    <n v="1"/>
    <n v="70.16"/>
    <n v="0"/>
    <x v="0"/>
    <x v="1"/>
    <n v="30537"/>
    <b v="1"/>
    <n v="2.4166666666666665"/>
    <n v="1053"/>
    <n v="35.08"/>
    <d v="2022-12-01T00:00:00"/>
    <s v="Older"/>
    <n v="0"/>
    <s v="Yes"/>
    <n v="294"/>
    <s v="High"/>
    <s v="Low"/>
    <n v="3.3333333333333333E-2"/>
    <s v="High"/>
    <n v="1"/>
    <d v="2022-12-01T00:00:00"/>
    <s v="25+ months"/>
    <s v="0–1 tickets"/>
    <s v="46+ min"/>
    <s v="1000+"/>
    <n v="30537"/>
    <n v="0"/>
  </r>
  <r>
    <n v="10427"/>
    <n v="47"/>
    <s v="Other"/>
    <s v="Chennai"/>
    <d v="2022-05-17T00:00:00"/>
    <d v="2023-11-10T00:00:00"/>
    <x v="0"/>
    <n v="323"/>
    <x v="14"/>
    <n v="4"/>
    <n v="50.72"/>
    <n v="10"/>
    <x v="0"/>
    <x v="1"/>
    <n v="2551.6999999999998"/>
    <b v="1"/>
    <n v="0.66666666666666663"/>
    <n v="318.96249999999998"/>
    <n v="10.144"/>
    <d v="2022-05-01T00:00:00"/>
    <s v="Middle-aged"/>
    <n v="0"/>
    <s v="No"/>
    <n v="542"/>
    <s v="Medium"/>
    <s v="Low"/>
    <n v="0.44444444444444442"/>
    <s v="Low"/>
    <n v="1"/>
    <d v="2022-05-01T00:00:00"/>
    <s v="7–12 months"/>
    <s v="4–5 tickets"/>
    <s v="46+ min"/>
    <s v="301–500"/>
    <n v="2584"/>
    <n v="-32.300000000000182"/>
  </r>
  <r>
    <n v="10428"/>
    <n v="36"/>
    <s v="Other"/>
    <s v="Mumbai"/>
    <d v="2023-05-09T00:00:00"/>
    <d v="2022-06-22T00:00:00"/>
    <x v="1"/>
    <n v="354"/>
    <x v="8"/>
    <n v="3"/>
    <n v="13.51"/>
    <n v="10"/>
    <x v="2"/>
    <x v="1"/>
    <n v="9168.6"/>
    <b v="0"/>
    <n v="2.1666666666666665"/>
    <n v="352.63846153846157"/>
    <n v="3.3774999999999999"/>
    <d v="2023-05-01T00:00:00"/>
    <s v="Middle-aged"/>
    <n v="0"/>
    <s v="No"/>
    <m/>
    <s v="Low"/>
    <s v="Low"/>
    <n v="0.1111111111111111"/>
    <s v="Medium"/>
    <n v="3"/>
    <d v="2023-05-01T00:00:00"/>
    <s v="25+ months"/>
    <s v="2–3 tickets"/>
    <s v="11–20 min"/>
    <s v="301–500"/>
    <n v="9204"/>
    <n v="-35.399999999999636"/>
  </r>
  <r>
    <n v="10429"/>
    <n v="34"/>
    <s v="Female"/>
    <s v="Delhi"/>
    <d v="2021-01-25T00:00:00"/>
    <d v="2022-01-12T00:00:00"/>
    <x v="0"/>
    <n v="1349"/>
    <x v="15"/>
    <n v="2"/>
    <n v="46.73"/>
    <n v="10"/>
    <x v="1"/>
    <x v="1"/>
    <n v="20100.099999999999"/>
    <b v="1"/>
    <n v="1.25"/>
    <n v="1340.0066666666667"/>
    <n v="15.576666666666666"/>
    <d v="2021-01-01T00:00:00"/>
    <s v="Adult"/>
    <n v="0"/>
    <s v="Yes"/>
    <n v="352"/>
    <s v="Medium"/>
    <s v="Low"/>
    <n v="0.125"/>
    <s v="High"/>
    <n v="1"/>
    <d v="2021-01-01T00:00:00"/>
    <s v="13–24 months"/>
    <s v="2–3 tickets"/>
    <s v="46+ min"/>
    <s v="1000+"/>
    <n v="20235"/>
    <n v="-134.90000000000146"/>
  </r>
  <r>
    <n v="10430"/>
    <n v="36"/>
    <s v="Male"/>
    <s v="Delhi"/>
    <d v="2021-07-06T00:00:00"/>
    <d v="2022-09-24T00:00:00"/>
    <x v="2"/>
    <n v="1103"/>
    <x v="7"/>
    <n v="3"/>
    <n v="51.93"/>
    <n v="0"/>
    <x v="1"/>
    <x v="1"/>
    <n v="1103"/>
    <b v="1"/>
    <n v="8.3333333333333329E-2"/>
    <n v="1103"/>
    <n v="12.9825"/>
    <d v="2021-07-01T00:00:00"/>
    <s v="Middle-aged"/>
    <n v="0"/>
    <s v="No"/>
    <n v="445"/>
    <s v="Medium"/>
    <s v="Low"/>
    <n v="1.5"/>
    <s v="Low"/>
    <n v="2"/>
    <d v="2021-07-01T00:00:00"/>
    <s v="0–6 months"/>
    <s v="2–3 tickets"/>
    <s v="46+ min"/>
    <s v="1000+"/>
    <n v="1103"/>
    <n v="0"/>
  </r>
  <r>
    <n v="10431"/>
    <n v="45"/>
    <s v="Female"/>
    <s v="Mumbai"/>
    <d v="2021-10-15T00:00:00"/>
    <d v="2023-06-24T00:00:00"/>
    <x v="1"/>
    <n v="626"/>
    <x v="29"/>
    <n v="3"/>
    <n v="108.01"/>
    <n v="5"/>
    <x v="2"/>
    <x v="0"/>
    <n v="17496.7"/>
    <b v="1"/>
    <n v="2.3333333333333335"/>
    <n v="624.88214285714287"/>
    <n v="27.002500000000001"/>
    <d v="2021-10-01T00:00:00"/>
    <s v="Middle-aged"/>
    <n v="1"/>
    <s v="Yes"/>
    <n v="617"/>
    <s v="High"/>
    <s v="Low"/>
    <n v="0.10344827586206896"/>
    <s v="Medium"/>
    <n v="3"/>
    <d v="2021-10-01T00:00:00"/>
    <s v="25+ months"/>
    <s v="2–3 tickets"/>
    <s v="46+ min"/>
    <s v="501–700"/>
    <n v="17528"/>
    <n v="-31.299999999999272"/>
  </r>
  <r>
    <n v="10432"/>
    <n v="43"/>
    <s v="Male"/>
    <s v="Mumbai"/>
    <d v="2022-09-20T00:00:00"/>
    <d v="2022-07-13T00:00:00"/>
    <x v="2"/>
    <n v="1269"/>
    <x v="25"/>
    <n v="1"/>
    <n v="42.31"/>
    <n v="10"/>
    <x v="3"/>
    <x v="0"/>
    <n v="17639.099999999999"/>
    <b v="0"/>
    <n v="1.1666666666666667"/>
    <n v="1259.9357142857141"/>
    <n v="21.155000000000001"/>
    <d v="2022-09-01T00:00:00"/>
    <s v="Middle-aged"/>
    <n v="1"/>
    <s v="Yes"/>
    <m/>
    <s v="Medium"/>
    <s v="Low"/>
    <n v="6.6666666666666666E-2"/>
    <s v="Medium"/>
    <n v="2"/>
    <d v="2022-09-01T00:00:00"/>
    <s v="13–24 months"/>
    <s v="0–1 tickets"/>
    <s v="31–45 min"/>
    <s v="1000+"/>
    <n v="17766"/>
    <n v="-126.90000000000146"/>
  </r>
  <r>
    <n v="10433"/>
    <n v="54"/>
    <s v="Male"/>
    <s v="Chennai"/>
    <d v="2021-12-04T00:00:00"/>
    <d v="2022-08-31T00:00:00"/>
    <x v="2"/>
    <n v="485"/>
    <x v="22"/>
    <n v="3"/>
    <n v="48.61"/>
    <n v="5"/>
    <x v="3"/>
    <x v="1"/>
    <n v="16465.75"/>
    <b v="1"/>
    <n v="2.8333333333333335"/>
    <n v="484.28676470588238"/>
    <n v="12.1525"/>
    <d v="2021-12-01T00:00:00"/>
    <s v="Older"/>
    <n v="0"/>
    <s v="Yes"/>
    <n v="270"/>
    <s v="Medium"/>
    <s v="Low"/>
    <n v="8.5714285714285715E-2"/>
    <s v="Medium"/>
    <n v="2"/>
    <d v="2021-12-01T00:00:00"/>
    <s v="25+ months"/>
    <s v="2–3 tickets"/>
    <s v="46+ min"/>
    <s v="301–500"/>
    <n v="16490"/>
    <n v="-24.25"/>
  </r>
  <r>
    <n v="10434"/>
    <n v="43"/>
    <s v="Female"/>
    <s v="Delhi"/>
    <d v="2023-05-28T00:00:00"/>
    <d v="2023-03-15T00:00:00"/>
    <x v="2"/>
    <n v="794"/>
    <x v="27"/>
    <n v="0"/>
    <n v="95.03"/>
    <n v="20"/>
    <x v="2"/>
    <x v="1"/>
    <n v="24455.200000000001"/>
    <b v="0"/>
    <n v="2.5833333333333335"/>
    <n v="788.87741935483871"/>
    <n v="95.03"/>
    <d v="2023-05-01T00:00:00"/>
    <s v="Middle-aged"/>
    <n v="0"/>
    <s v="Yes"/>
    <m/>
    <s v="High"/>
    <s v="Medium"/>
    <n v="0"/>
    <s v="High"/>
    <n v="2"/>
    <d v="2023-05-01T00:00:00"/>
    <s v="25+ months"/>
    <s v="0–1 tickets"/>
    <s v="46+ min"/>
    <s v="701–1000"/>
    <n v="24614"/>
    <n v="-158.79999999999927"/>
  </r>
  <r>
    <n v="10435"/>
    <n v="40"/>
    <s v="Male"/>
    <s v="Pune"/>
    <d v="2021-02-06T00:00:00"/>
    <d v="2023-11-15T00:00:00"/>
    <x v="0"/>
    <n v="1335"/>
    <x v="20"/>
    <n v="1"/>
    <n v="92.28"/>
    <n v="20"/>
    <x v="2"/>
    <x v="0"/>
    <n v="7743"/>
    <b v="1"/>
    <n v="0.5"/>
    <n v="1290.5"/>
    <n v="46.14"/>
    <d v="2021-02-01T00:00:00"/>
    <s v="Middle-aged"/>
    <n v="1"/>
    <s v="No"/>
    <n v="1012"/>
    <s v="High"/>
    <s v="Medium"/>
    <n v="0.14285714285714285"/>
    <s v="Low"/>
    <n v="1"/>
    <d v="2021-02-01T00:00:00"/>
    <s v="0–6 months"/>
    <s v="0–1 tickets"/>
    <s v="46+ min"/>
    <s v="1000+"/>
    <n v="8010"/>
    <n v="-267"/>
  </r>
  <r>
    <n v="10436"/>
    <n v="26"/>
    <s v="Male"/>
    <s v="Delhi"/>
    <d v="2023-03-05T00:00:00"/>
    <d v="2023-05-12T00:00:00"/>
    <x v="2"/>
    <n v="733"/>
    <x v="21"/>
    <n v="3"/>
    <n v="96.8"/>
    <n v="20"/>
    <x v="3"/>
    <x v="1"/>
    <n v="3518.4"/>
    <b v="1"/>
    <n v="0.41666666666666669"/>
    <n v="703.68000000000006"/>
    <n v="24.2"/>
    <d v="2023-03-01T00:00:00"/>
    <s v="Adult"/>
    <n v="0"/>
    <s v="No"/>
    <n v="68"/>
    <s v="High"/>
    <s v="Medium"/>
    <n v="0.5"/>
    <s v="Low"/>
    <n v="2"/>
    <d v="2023-03-01T00:00:00"/>
    <s v="0–6 months"/>
    <s v="2–3 tickets"/>
    <s v="46+ min"/>
    <s v="701–1000"/>
    <n v="3665"/>
    <n v="-146.59999999999991"/>
  </r>
  <r>
    <n v="10437"/>
    <n v="29"/>
    <s v="Other"/>
    <s v="Bangalore"/>
    <d v="2021-05-17T00:00:00"/>
    <d v="2023-02-14T00:00:00"/>
    <x v="2"/>
    <n v="507"/>
    <x v="27"/>
    <n v="0"/>
    <n v="114.68"/>
    <n v="15"/>
    <x v="2"/>
    <x v="0"/>
    <n v="15640.95"/>
    <b v="1"/>
    <n v="2.5833333333333335"/>
    <n v="504.5467741935484"/>
    <n v="114.68"/>
    <d v="2021-05-01T00:00:00"/>
    <s v="Adult"/>
    <n v="1"/>
    <s v="Yes"/>
    <n v="638"/>
    <s v="High"/>
    <s v="Low"/>
    <n v="0"/>
    <s v="Medium"/>
    <n v="2"/>
    <d v="2021-05-01T00:00:00"/>
    <s v="25+ months"/>
    <s v="0–1 tickets"/>
    <s v="46+ min"/>
    <s v="501–700"/>
    <n v="15717"/>
    <n v="-76.049999999999272"/>
  </r>
  <r>
    <n v="10438"/>
    <n v="18"/>
    <s v="Male"/>
    <s v="Hyderabad"/>
    <d v="2022-05-23T00:00:00"/>
    <d v="2023-03-01T00:00:00"/>
    <x v="1"/>
    <n v="432"/>
    <x v="15"/>
    <n v="2"/>
    <n v="96.49"/>
    <n v="0"/>
    <x v="1"/>
    <x v="1"/>
    <n v="6480"/>
    <b v="1"/>
    <n v="1.25"/>
    <n v="432"/>
    <n v="32.163333333333334"/>
    <d v="2022-05-01T00:00:00"/>
    <s v="Young"/>
    <n v="0"/>
    <s v="No"/>
    <n v="282"/>
    <s v="High"/>
    <s v="Low"/>
    <n v="0.125"/>
    <s v="Low"/>
    <n v="3"/>
    <d v="2022-05-01T00:00:00"/>
    <s v="13–24 months"/>
    <s v="2–3 tickets"/>
    <s v="46+ min"/>
    <s v="301–500"/>
    <n v="6480"/>
    <n v="0"/>
  </r>
  <r>
    <n v="10439"/>
    <n v="18"/>
    <s v="Male"/>
    <s v="Hyderabad"/>
    <d v="2021-08-15T00:00:00"/>
    <d v="2021-06-21T00:00:00"/>
    <x v="1"/>
    <n v="668"/>
    <x v="15"/>
    <n v="3"/>
    <n v="62.59"/>
    <n v="5"/>
    <x v="3"/>
    <x v="0"/>
    <n v="9986.6"/>
    <b v="0"/>
    <n v="1.25"/>
    <n v="665.77333333333331"/>
    <n v="15.647500000000001"/>
    <d v="2021-08-01T00:00:00"/>
    <s v="Young"/>
    <n v="1"/>
    <s v="No"/>
    <m/>
    <s v="High"/>
    <s v="Low"/>
    <n v="0.1875"/>
    <s v="Medium"/>
    <n v="3"/>
    <d v="2021-08-01T00:00:00"/>
    <s v="13–24 months"/>
    <s v="2–3 tickets"/>
    <s v="46+ min"/>
    <s v="501–700"/>
    <n v="10020"/>
    <n v="-33.399999999999636"/>
  </r>
  <r>
    <n v="10440"/>
    <n v="64"/>
    <s v="Female"/>
    <s v="Bangalore"/>
    <d v="2021-11-16T00:00:00"/>
    <d v="2023-03-21T00:00:00"/>
    <x v="1"/>
    <n v="1426"/>
    <x v="21"/>
    <n v="4"/>
    <n v="99.47"/>
    <n v="15"/>
    <x v="3"/>
    <x v="1"/>
    <n v="6916.1"/>
    <b v="1"/>
    <n v="0.41666666666666669"/>
    <n v="1383.22"/>
    <n v="19.893999999999998"/>
    <d v="2021-11-01T00:00:00"/>
    <s v="Older"/>
    <n v="0"/>
    <s v="No"/>
    <n v="490"/>
    <s v="High"/>
    <s v="Low"/>
    <n v="0.66666666666666663"/>
    <s v="Low"/>
    <n v="3"/>
    <d v="2021-11-01T00:00:00"/>
    <s v="0–6 months"/>
    <s v="4–5 tickets"/>
    <s v="46+ min"/>
    <s v="1000+"/>
    <n v="7130"/>
    <n v="-213.89999999999964"/>
  </r>
  <r>
    <n v="10441"/>
    <n v="51"/>
    <s v="Male"/>
    <s v="unknown"/>
    <d v="2023-04-20T00:00:00"/>
    <d v="2023-01-22T00:00:00"/>
    <x v="1"/>
    <n v="722"/>
    <x v="29"/>
    <n v="1"/>
    <n v="63.5"/>
    <n v="5"/>
    <x v="3"/>
    <x v="0"/>
    <n v="20179.900000000001"/>
    <b v="0"/>
    <n v="2.3333333333333335"/>
    <n v="720.71071428571429"/>
    <n v="31.75"/>
    <d v="2023-04-01T00:00:00"/>
    <s v="Older"/>
    <n v="1"/>
    <s v="Yes"/>
    <m/>
    <s v="High"/>
    <s v="Low"/>
    <n v="3.4482758620689655E-2"/>
    <s v="High"/>
    <n v="3"/>
    <d v="2023-04-01T00:00:00"/>
    <s v="25+ months"/>
    <s v="0–1 tickets"/>
    <s v="46+ min"/>
    <s v="701–1000"/>
    <n v="20216"/>
    <n v="-36.099999999998545"/>
  </r>
  <r>
    <n v="10442"/>
    <n v="49"/>
    <s v="Female"/>
    <s v="Mumbai"/>
    <d v="2021-07-01T00:00:00"/>
    <d v="2023-08-24T00:00:00"/>
    <x v="2"/>
    <n v="1332"/>
    <x v="33"/>
    <n v="3"/>
    <n v="36.94"/>
    <n v="0"/>
    <x v="1"/>
    <x v="1"/>
    <n v="43956"/>
    <b v="1"/>
    <n v="2.75"/>
    <n v="1332"/>
    <n v="9.2349999999999994"/>
    <d v="2021-07-01T00:00:00"/>
    <s v="Middle-aged"/>
    <n v="0"/>
    <s v="Yes"/>
    <n v="784"/>
    <s v="Medium"/>
    <s v="Low"/>
    <n v="8.8235294117647065E-2"/>
    <s v="High"/>
    <n v="2"/>
    <d v="2021-07-01T00:00:00"/>
    <s v="25+ months"/>
    <s v="2–3 tickets"/>
    <s v="31–45 min"/>
    <s v="1000+"/>
    <n v="43956"/>
    <n v="0"/>
  </r>
  <r>
    <n v="10443"/>
    <n v="42"/>
    <s v="Other"/>
    <s v="Hyderabad"/>
    <d v="2023-05-24T00:00:00"/>
    <d v="2021-12-20T00:00:00"/>
    <x v="2"/>
    <n v="543"/>
    <x v="11"/>
    <n v="0"/>
    <n v="39.840000000000003"/>
    <n v="10"/>
    <x v="2"/>
    <x v="1"/>
    <n v="5918.7"/>
    <b v="0"/>
    <n v="0.91666666666666663"/>
    <n v="538.06363636363631"/>
    <n v="39.840000000000003"/>
    <d v="2023-05-01T00:00:00"/>
    <s v="Middle-aged"/>
    <n v="0"/>
    <s v="No"/>
    <m/>
    <s v="Medium"/>
    <s v="Low"/>
    <n v="0"/>
    <s v="Low"/>
    <n v="2"/>
    <d v="2023-05-01T00:00:00"/>
    <s v="7–12 months"/>
    <s v="0–1 tickets"/>
    <s v="31–45 min"/>
    <s v="501–700"/>
    <n v="5973"/>
    <n v="-54.300000000000182"/>
  </r>
  <r>
    <n v="10444"/>
    <n v="57"/>
    <s v="Female"/>
    <s v="unknown"/>
    <d v="2021-03-27T00:00:00"/>
    <d v="2022-07-22T00:00:00"/>
    <x v="1"/>
    <n v="1081"/>
    <x v="20"/>
    <n v="1"/>
    <n v="30.74"/>
    <n v="15"/>
    <x v="0"/>
    <x v="1"/>
    <n v="6323.85"/>
    <b v="1"/>
    <n v="0.5"/>
    <n v="1053.9750000000001"/>
    <n v="15.37"/>
    <d v="2021-03-01T00:00:00"/>
    <s v="Older"/>
    <n v="0"/>
    <s v="No"/>
    <n v="482"/>
    <s v="Medium"/>
    <s v="Low"/>
    <n v="0.14285714285714285"/>
    <s v="Low"/>
    <n v="3"/>
    <d v="2021-03-01T00:00:00"/>
    <s v="0–6 months"/>
    <s v="0–1 tickets"/>
    <s v="31–45 min"/>
    <s v="1000+"/>
    <n v="6486"/>
    <n v="-162.14999999999964"/>
  </r>
  <r>
    <n v="10445"/>
    <n v="62"/>
    <s v="Female"/>
    <s v="Bangalore"/>
    <d v="2022-04-12T00:00:00"/>
    <d v="2022-07-21T00:00:00"/>
    <x v="0"/>
    <n v="923"/>
    <x v="31"/>
    <n v="1"/>
    <n v="21.67"/>
    <n v="0"/>
    <x v="0"/>
    <x v="1"/>
    <n v="21229"/>
    <b v="1"/>
    <n v="1.9166666666666667"/>
    <n v="923"/>
    <n v="10.835000000000001"/>
    <d v="2022-04-01T00:00:00"/>
    <s v="Older"/>
    <n v="0"/>
    <s v="Yes"/>
    <n v="100"/>
    <s v="Medium"/>
    <s v="Low"/>
    <n v="4.1666666666666664E-2"/>
    <s v="High"/>
    <n v="1"/>
    <d v="2022-04-01T00:00:00"/>
    <s v="13–24 months"/>
    <s v="0–1 tickets"/>
    <s v="21–30 min"/>
    <s v="701–1000"/>
    <n v="21229"/>
    <n v="0"/>
  </r>
  <r>
    <n v="10446"/>
    <n v="41"/>
    <s v="Male"/>
    <s v="Chennai"/>
    <d v="2021-02-22T00:00:00"/>
    <d v="2022-08-22T00:00:00"/>
    <x v="1"/>
    <n v="866"/>
    <x v="4"/>
    <n v="3"/>
    <n v="26.22"/>
    <n v="15"/>
    <x v="1"/>
    <x v="1"/>
    <n v="1602.1"/>
    <b v="1"/>
    <n v="0.16666666666666666"/>
    <n v="801.05"/>
    <n v="6.5549999999999997"/>
    <d v="2021-02-01T00:00:00"/>
    <s v="Middle-aged"/>
    <n v="0"/>
    <s v="No"/>
    <n v="546"/>
    <s v="Medium"/>
    <s v="Low"/>
    <n v="1"/>
    <s v="Low"/>
    <n v="3"/>
    <d v="2021-02-01T00:00:00"/>
    <s v="0–6 months"/>
    <s v="2–3 tickets"/>
    <s v="21–30 min"/>
    <s v="701–1000"/>
    <n v="1732"/>
    <n v="-129.90000000000009"/>
  </r>
  <r>
    <n v="10447"/>
    <n v="33"/>
    <s v="Male"/>
    <s v="Hyderabad"/>
    <d v="2023-05-10T00:00:00"/>
    <d v="2022-10-25T00:00:00"/>
    <x v="0"/>
    <n v="826"/>
    <x v="15"/>
    <n v="2"/>
    <n v="12.27"/>
    <n v="20"/>
    <x v="1"/>
    <x v="0"/>
    <n v="12224.8"/>
    <b v="0"/>
    <n v="1.25"/>
    <n v="814.98666666666657"/>
    <n v="4.09"/>
    <d v="2023-05-01T00:00:00"/>
    <s v="Adult"/>
    <n v="1"/>
    <s v="No"/>
    <m/>
    <s v="Low"/>
    <s v="Medium"/>
    <n v="0.125"/>
    <s v="Medium"/>
    <n v="1"/>
    <d v="2023-05-01T00:00:00"/>
    <s v="13–24 months"/>
    <s v="2–3 tickets"/>
    <s v="11–20 min"/>
    <s v="701–1000"/>
    <n v="12390"/>
    <n v="-165.20000000000073"/>
  </r>
  <r>
    <n v="10448"/>
    <n v="56"/>
    <s v="Female"/>
    <s v="Pune"/>
    <d v="2023-05-17T00:00:00"/>
    <d v="2021-08-24T00:00:00"/>
    <x v="2"/>
    <n v="336"/>
    <x v="31"/>
    <n v="0"/>
    <n v="107.17"/>
    <n v="15"/>
    <x v="2"/>
    <x v="1"/>
    <n v="7677.6"/>
    <b v="0"/>
    <n v="1.9166666666666667"/>
    <n v="333.80869565217392"/>
    <n v="107.17"/>
    <d v="2023-05-01T00:00:00"/>
    <s v="Older"/>
    <n v="0"/>
    <s v="No"/>
    <m/>
    <s v="High"/>
    <s v="Low"/>
    <n v="0"/>
    <s v="Low"/>
    <n v="2"/>
    <d v="2023-05-01T00:00:00"/>
    <s v="13–24 months"/>
    <s v="0–1 tickets"/>
    <s v="46+ min"/>
    <s v="301–500"/>
    <n v="7728"/>
    <n v="-50.399999999999636"/>
  </r>
  <r>
    <n v="10449"/>
    <n v="22"/>
    <s v="Female"/>
    <s v="Hyderabad"/>
    <d v="2021-08-23T00:00:00"/>
    <d v="2021-11-14T00:00:00"/>
    <x v="2"/>
    <n v="477"/>
    <x v="1"/>
    <n v="2"/>
    <n v="112.07"/>
    <n v="10"/>
    <x v="0"/>
    <x v="1"/>
    <n v="10446.299999999999"/>
    <b v="1"/>
    <n v="1.8333333333333333"/>
    <n v="474.83181818181816"/>
    <n v="37.356666666666662"/>
    <d v="2021-08-01T00:00:00"/>
    <s v="Young"/>
    <n v="0"/>
    <s v="No"/>
    <n v="83"/>
    <s v="High"/>
    <s v="Low"/>
    <n v="8.6956521739130432E-2"/>
    <s v="Medium"/>
    <n v="2"/>
    <d v="2021-08-01T00:00:00"/>
    <s v="13–24 months"/>
    <s v="2–3 tickets"/>
    <s v="46+ min"/>
    <s v="301–500"/>
    <n v="10494"/>
    <n v="-47.700000000000728"/>
  </r>
  <r>
    <n v="10450"/>
    <n v="39"/>
    <s v="Female"/>
    <s v="Chennai"/>
    <d v="2023-02-18T00:00:00"/>
    <d v="2022-06-19T00:00:00"/>
    <x v="1"/>
    <n v="938"/>
    <x v="9"/>
    <n v="2"/>
    <n v="72.48"/>
    <n v="10"/>
    <x v="3"/>
    <x v="1"/>
    <n v="8348.2000000000007"/>
    <b v="0"/>
    <n v="0.75"/>
    <n v="927.5777777777779"/>
    <n v="24.16"/>
    <d v="2023-02-01T00:00:00"/>
    <s v="Middle-aged"/>
    <n v="0"/>
    <s v="No"/>
    <m/>
    <s v="High"/>
    <s v="Low"/>
    <n v="0.2"/>
    <s v="Low"/>
    <n v="3"/>
    <d v="2023-02-01T00:00:00"/>
    <s v="7–12 months"/>
    <s v="2–3 tickets"/>
    <s v="46+ min"/>
    <s v="701–1000"/>
    <n v="8442"/>
    <n v="-93.799999999999272"/>
  </r>
  <r>
    <n v="10451"/>
    <n v="46"/>
    <s v="Male"/>
    <s v="Bangalore"/>
    <d v="2023-03-10T00:00:00"/>
    <d v="2022-09-11T00:00:00"/>
    <x v="0"/>
    <n v="1151"/>
    <x v="3"/>
    <n v="4"/>
    <n v="101.66"/>
    <n v="5"/>
    <x v="1"/>
    <x v="1"/>
    <n v="34472.449999999997"/>
    <b v="0"/>
    <n v="2.5"/>
    <n v="1149.0816666666665"/>
    <n v="20.332000000000001"/>
    <d v="2023-03-01T00:00:00"/>
    <s v="Middle-aged"/>
    <n v="0"/>
    <s v="Yes"/>
    <m/>
    <s v="High"/>
    <s v="Low"/>
    <n v="0.12903225806451613"/>
    <s v="High"/>
    <n v="1"/>
    <d v="2023-03-01T00:00:00"/>
    <s v="25+ months"/>
    <s v="4–5 tickets"/>
    <s v="46+ min"/>
    <s v="1000+"/>
    <n v="34530"/>
    <n v="-57.55000000000291"/>
  </r>
  <r>
    <n v="10452"/>
    <n v="20"/>
    <s v="Male"/>
    <s v="Chennai"/>
    <d v="2022-03-09T00:00:00"/>
    <d v="2021-08-11T00:00:00"/>
    <x v="2"/>
    <n v="371"/>
    <x v="24"/>
    <n v="3"/>
    <n v="26.11"/>
    <n v="15"/>
    <x v="0"/>
    <x v="1"/>
    <n v="5880.35"/>
    <b v="0"/>
    <n v="1.3333333333333333"/>
    <n v="367.52187500000002"/>
    <n v="6.5274999999999999"/>
    <d v="2022-03-01T00:00:00"/>
    <s v="Young"/>
    <n v="0"/>
    <s v="No"/>
    <m/>
    <s v="Medium"/>
    <s v="Low"/>
    <n v="0.17647058823529413"/>
    <s v="Low"/>
    <n v="2"/>
    <d v="2022-03-01T00:00:00"/>
    <s v="13–24 months"/>
    <s v="2–3 tickets"/>
    <s v="21–30 min"/>
    <s v="301–500"/>
    <n v="5936"/>
    <n v="-55.649999999999636"/>
  </r>
  <r>
    <n v="10453"/>
    <n v="29"/>
    <s v="Male"/>
    <s v="Bangalore"/>
    <d v="2022-05-11T00:00:00"/>
    <d v="2023-08-19T00:00:00"/>
    <x v="2"/>
    <n v="651"/>
    <x v="3"/>
    <n v="5"/>
    <n v="108.69"/>
    <n v="20"/>
    <x v="3"/>
    <x v="1"/>
    <n v="19399.8"/>
    <b v="1"/>
    <n v="2.5"/>
    <n v="646.66"/>
    <n v="18.114999999999998"/>
    <d v="2022-05-01T00:00:00"/>
    <s v="Adult"/>
    <n v="0"/>
    <s v="Yes"/>
    <n v="465"/>
    <s v="High"/>
    <s v="Medium"/>
    <n v="0.16129032258064516"/>
    <s v="Medium"/>
    <n v="2"/>
    <d v="2022-05-01T00:00:00"/>
    <s v="25+ months"/>
    <s v="4–5 tickets"/>
    <s v="46+ min"/>
    <s v="501–700"/>
    <n v="19530"/>
    <n v="-130.20000000000073"/>
  </r>
  <r>
    <n v="10454"/>
    <n v="43"/>
    <s v="Female"/>
    <s v="Mumbai"/>
    <d v="2021-04-10T00:00:00"/>
    <d v="2022-11-03T00:00:00"/>
    <x v="0"/>
    <n v="922"/>
    <x v="9"/>
    <n v="2"/>
    <n v="63.23"/>
    <n v="10"/>
    <x v="3"/>
    <x v="1"/>
    <n v="8205.7999999999993"/>
    <b v="1"/>
    <n v="0.75"/>
    <n v="911.75555555555547"/>
    <n v="21.076666666666664"/>
    <d v="2021-04-01T00:00:00"/>
    <s v="Middle-aged"/>
    <n v="0"/>
    <s v="No"/>
    <n v="572"/>
    <s v="High"/>
    <s v="Low"/>
    <n v="0.2"/>
    <s v="Low"/>
    <n v="1"/>
    <d v="2021-04-01T00:00:00"/>
    <s v="7–12 months"/>
    <s v="2–3 tickets"/>
    <s v="46+ min"/>
    <s v="701–1000"/>
    <n v="8298"/>
    <n v="-92.200000000000728"/>
  </r>
  <r>
    <n v="10455"/>
    <n v="33"/>
    <s v="Male"/>
    <s v="Bangalore"/>
    <d v="2022-08-22T00:00:00"/>
    <d v="2023-08-02T00:00:00"/>
    <x v="2"/>
    <n v="1472"/>
    <x v="7"/>
    <n v="4"/>
    <n v="12.72"/>
    <n v="5"/>
    <x v="2"/>
    <x v="0"/>
    <n v="1398.4"/>
    <b v="1"/>
    <n v="8.3333333333333329E-2"/>
    <n v="1398.4"/>
    <n v="2.544"/>
    <d v="2022-08-01T00:00:00"/>
    <s v="Adult"/>
    <n v="1"/>
    <s v="No"/>
    <n v="345"/>
    <s v="Low"/>
    <s v="Low"/>
    <n v="2"/>
    <s v="Low"/>
    <n v="2"/>
    <d v="2022-08-01T00:00:00"/>
    <s v="0–6 months"/>
    <s v="4–5 tickets"/>
    <s v="11–20 min"/>
    <s v="1000+"/>
    <n v="1472"/>
    <n v="-73.599999999999909"/>
  </r>
  <r>
    <n v="10456"/>
    <n v="54"/>
    <s v="Female"/>
    <s v="Mumbai"/>
    <d v="2022-02-07T00:00:00"/>
    <d v="2022-09-16T00:00:00"/>
    <x v="2"/>
    <n v="404"/>
    <x v="14"/>
    <n v="3"/>
    <n v="21.25"/>
    <n v="20"/>
    <x v="1"/>
    <x v="1"/>
    <n v="3151.2"/>
    <b v="1"/>
    <n v="0.66666666666666663"/>
    <n v="393.9"/>
    <n v="5.3125"/>
    <d v="2022-02-01T00:00:00"/>
    <s v="Older"/>
    <n v="0"/>
    <s v="No"/>
    <n v="221"/>
    <s v="Medium"/>
    <s v="Medium"/>
    <n v="0.33333333333333331"/>
    <s v="Low"/>
    <n v="2"/>
    <d v="2022-02-01T00:00:00"/>
    <s v="7–12 months"/>
    <s v="2–3 tickets"/>
    <s v="21–30 min"/>
    <s v="301–500"/>
    <n v="3232"/>
    <n v="-80.800000000000182"/>
  </r>
  <r>
    <n v="10457"/>
    <n v="39"/>
    <s v="Female"/>
    <s v="Mumbai"/>
    <d v="2022-01-31T00:00:00"/>
    <d v="2022-02-13T00:00:00"/>
    <x v="2"/>
    <n v="520"/>
    <x v="10"/>
    <n v="5"/>
    <n v="40.53"/>
    <n v="20"/>
    <x v="3"/>
    <x v="0"/>
    <n v="9256"/>
    <b v="1"/>
    <n v="1.5"/>
    <n v="514.22222222222217"/>
    <n v="6.7549999999999999"/>
    <d v="2022-01-01T00:00:00"/>
    <s v="Middle-aged"/>
    <n v="1"/>
    <s v="No"/>
    <n v="13"/>
    <s v="Medium"/>
    <s v="Medium"/>
    <n v="0.26315789473684209"/>
    <s v="Medium"/>
    <n v="2"/>
    <d v="2022-01-01T00:00:00"/>
    <s v="13–24 months"/>
    <s v="4–5 tickets"/>
    <s v="31–45 min"/>
    <s v="501–700"/>
    <n v="9360"/>
    <n v="-104"/>
  </r>
  <r>
    <n v="10458"/>
    <n v="46"/>
    <s v="Male"/>
    <s v="Bangalore"/>
    <d v="2022-06-11T00:00:00"/>
    <d v="2022-03-02T00:00:00"/>
    <x v="0"/>
    <n v="1162"/>
    <x v="26"/>
    <n v="0"/>
    <n v="10.01"/>
    <n v="20"/>
    <x v="1"/>
    <x v="0"/>
    <n v="31141.599999999999"/>
    <b v="0"/>
    <n v="2.25"/>
    <n v="1153.3925925925926"/>
    <n v="10.01"/>
    <d v="2022-06-01T00:00:00"/>
    <s v="Middle-aged"/>
    <n v="1"/>
    <s v="Yes"/>
    <m/>
    <s v="Low"/>
    <s v="Medium"/>
    <n v="0"/>
    <s v="High"/>
    <n v="1"/>
    <d v="2022-06-01T00:00:00"/>
    <s v="25+ months"/>
    <s v="0–1 tickets"/>
    <s v="11–20 min"/>
    <s v="1000+"/>
    <n v="31374"/>
    <n v="-232.40000000000146"/>
  </r>
  <r>
    <n v="10459"/>
    <n v="31"/>
    <s v="Female"/>
    <s v="Pune"/>
    <d v="2022-02-19T00:00:00"/>
    <d v="2023-06-20T00:00:00"/>
    <x v="2"/>
    <n v="817"/>
    <x v="10"/>
    <n v="1"/>
    <n v="40.57"/>
    <n v="0"/>
    <x v="0"/>
    <x v="0"/>
    <n v="14706"/>
    <b v="1"/>
    <n v="1.5"/>
    <n v="817"/>
    <n v="20.285"/>
    <d v="2022-02-01T00:00:00"/>
    <s v="Adult"/>
    <n v="1"/>
    <s v="Yes"/>
    <n v="486"/>
    <s v="Medium"/>
    <s v="Low"/>
    <n v="5.2631578947368418E-2"/>
    <s v="Medium"/>
    <n v="2"/>
    <d v="2022-02-01T00:00:00"/>
    <s v="13–24 months"/>
    <s v="0–1 tickets"/>
    <s v="31–45 min"/>
    <s v="701–1000"/>
    <n v="14706"/>
    <n v="0"/>
  </r>
  <r>
    <n v="10460"/>
    <n v="45"/>
    <s v="Male"/>
    <s v="Delhi"/>
    <d v="2022-09-05T00:00:00"/>
    <d v="2021-06-20T00:00:00"/>
    <x v="2"/>
    <n v="598"/>
    <x v="23"/>
    <n v="2"/>
    <n v="11.89"/>
    <n v="10"/>
    <x v="0"/>
    <x v="1"/>
    <n v="19076.2"/>
    <b v="0"/>
    <n v="2.6666666666666665"/>
    <n v="596.13125000000002"/>
    <n v="3.9633333333333334"/>
    <d v="2022-09-01T00:00:00"/>
    <s v="Middle-aged"/>
    <n v="0"/>
    <s v="Yes"/>
    <m/>
    <s v="Low"/>
    <s v="Low"/>
    <n v="6.0606060606060608E-2"/>
    <s v="Medium"/>
    <n v="2"/>
    <d v="2022-09-01T00:00:00"/>
    <s v="25+ months"/>
    <s v="2–3 tickets"/>
    <s v="11–20 min"/>
    <s v="501–700"/>
    <n v="19136"/>
    <n v="-59.799999999999272"/>
  </r>
  <r>
    <n v="10461"/>
    <n v="22"/>
    <s v="Female"/>
    <s v="Bangalore"/>
    <d v="2022-11-08T00:00:00"/>
    <d v="2022-10-03T00:00:00"/>
    <x v="0"/>
    <n v="1160"/>
    <x v="23"/>
    <n v="2"/>
    <n v="32.14"/>
    <n v="10"/>
    <x v="1"/>
    <x v="1"/>
    <n v="37120"/>
    <b v="0"/>
    <n v="2.6666666666666665"/>
    <n v="1160"/>
    <n v="10.713333333333333"/>
    <d v="2022-11-01T00:00:00"/>
    <s v="Young"/>
    <n v="0"/>
    <s v="Yes"/>
    <m/>
    <s v="Medium"/>
    <s v="Low"/>
    <n v="6.0606060606060608E-2"/>
    <s v="High"/>
    <n v="1"/>
    <d v="2022-11-01T00:00:00"/>
    <s v="25+ months"/>
    <s v="2–3 tickets"/>
    <s v="31–45 min"/>
    <s v="1000+"/>
    <n v="37120"/>
    <n v="0"/>
  </r>
  <r>
    <n v="10462"/>
    <n v="64"/>
    <s v="Female"/>
    <s v="Hyderabad"/>
    <d v="2022-04-08T00:00:00"/>
    <d v="2023-06-15T00:00:00"/>
    <x v="0"/>
    <n v="341"/>
    <x v="6"/>
    <n v="1"/>
    <n v="35.549999999999997"/>
    <n v="0"/>
    <x v="3"/>
    <x v="1"/>
    <n v="7161"/>
    <b v="1"/>
    <n v="1.75"/>
    <n v="341"/>
    <n v="17.774999999999999"/>
    <d v="2022-04-01T00:00:00"/>
    <s v="Older"/>
    <n v="0"/>
    <s v="No"/>
    <n v="433"/>
    <s v="Medium"/>
    <s v="Low"/>
    <n v="4.5454545454545456E-2"/>
    <s v="Low"/>
    <n v="1"/>
    <d v="2022-04-01T00:00:00"/>
    <s v="13–24 months"/>
    <s v="0–1 tickets"/>
    <s v="31–45 min"/>
    <s v="301–500"/>
    <n v="7161"/>
    <n v="0"/>
  </r>
  <r>
    <n v="10463"/>
    <n v="47"/>
    <s v="Female"/>
    <s v="Pune"/>
    <d v="2022-06-25T00:00:00"/>
    <d v="2022-10-03T00:00:00"/>
    <x v="1"/>
    <n v="1070"/>
    <x v="23"/>
    <n v="3"/>
    <n v="119.35"/>
    <n v="10"/>
    <x v="3"/>
    <x v="1"/>
    <n v="34133"/>
    <b v="1"/>
    <n v="2.6666666666666665"/>
    <n v="1066.65625"/>
    <n v="29.837499999999999"/>
    <d v="2022-06-01T00:00:00"/>
    <s v="Middle-aged"/>
    <n v="0"/>
    <s v="Yes"/>
    <n v="100"/>
    <s v="High"/>
    <s v="Low"/>
    <n v="9.0909090909090912E-2"/>
    <s v="High"/>
    <n v="3"/>
    <d v="2022-06-01T00:00:00"/>
    <s v="25+ months"/>
    <s v="2–3 tickets"/>
    <s v="46+ min"/>
    <s v="1000+"/>
    <n v="34240"/>
    <n v="-107"/>
  </r>
  <r>
    <n v="10464"/>
    <n v="63"/>
    <s v="Female"/>
    <s v="Pune"/>
    <d v="2022-09-18T00:00:00"/>
    <d v="2023-06-03T00:00:00"/>
    <x v="2"/>
    <n v="1196"/>
    <x v="27"/>
    <n v="6"/>
    <n v="32.090000000000003"/>
    <n v="15"/>
    <x v="0"/>
    <x v="1"/>
    <n v="36896.6"/>
    <b v="1"/>
    <n v="2.5833333333333335"/>
    <n v="1190.2129032258065"/>
    <n v="4.5842857142857145"/>
    <d v="2022-09-01T00:00:00"/>
    <s v="Older"/>
    <n v="0"/>
    <s v="Yes"/>
    <n v="258"/>
    <s v="Medium"/>
    <s v="Low"/>
    <n v="0.1875"/>
    <s v="High"/>
    <n v="2"/>
    <d v="2022-09-01T00:00:00"/>
    <s v="25+ months"/>
    <s v="6+ tickets"/>
    <s v="31–45 min"/>
    <s v="1000+"/>
    <n v="37076"/>
    <n v="-179.40000000000146"/>
  </r>
  <r>
    <n v="10465"/>
    <n v="22"/>
    <s v="Male"/>
    <s v="Hyderabad"/>
    <d v="2022-09-11T00:00:00"/>
    <d v="2022-04-22T00:00:00"/>
    <x v="2"/>
    <n v="791"/>
    <x v="24"/>
    <n v="5"/>
    <n v="32.51"/>
    <n v="5"/>
    <x v="3"/>
    <x v="0"/>
    <n v="12616.45"/>
    <b v="0"/>
    <n v="1.3333333333333333"/>
    <n v="788.52812500000005"/>
    <n v="5.418333333333333"/>
    <d v="2022-09-01T00:00:00"/>
    <s v="Young"/>
    <n v="1"/>
    <s v="No"/>
    <m/>
    <s v="Medium"/>
    <s v="Low"/>
    <n v="0.29411764705882354"/>
    <s v="Medium"/>
    <n v="2"/>
    <d v="2022-09-01T00:00:00"/>
    <s v="13–24 months"/>
    <s v="4–5 tickets"/>
    <s v="31–45 min"/>
    <s v="701–1000"/>
    <n v="12656"/>
    <n v="-39.549999999999272"/>
  </r>
  <r>
    <n v="10466"/>
    <n v="29"/>
    <s v="Male"/>
    <s v="Delhi"/>
    <d v="2021-12-30T00:00:00"/>
    <d v="2022-11-11T00:00:00"/>
    <x v="0"/>
    <n v="1370"/>
    <x v="25"/>
    <n v="0"/>
    <n v="83.98"/>
    <n v="10"/>
    <x v="3"/>
    <x v="1"/>
    <n v="19043"/>
    <b v="1"/>
    <n v="1.1666666666666667"/>
    <n v="1360.2142857142858"/>
    <n v="83.98"/>
    <d v="2021-12-01T00:00:00"/>
    <s v="Adult"/>
    <n v="0"/>
    <s v="Yes"/>
    <n v="316"/>
    <s v="High"/>
    <s v="Low"/>
    <n v="0"/>
    <s v="Medium"/>
    <n v="1"/>
    <d v="2021-12-01T00:00:00"/>
    <s v="13–24 months"/>
    <s v="0–1 tickets"/>
    <s v="46+ min"/>
    <s v="1000+"/>
    <n v="19180"/>
    <n v="-137"/>
  </r>
  <r>
    <n v="10467"/>
    <n v="33"/>
    <s v="Female"/>
    <s v="Pune"/>
    <d v="2021-05-10T00:00:00"/>
    <d v="2023-11-09T00:00:00"/>
    <x v="0"/>
    <n v="384"/>
    <x v="30"/>
    <n v="2"/>
    <n v="62.59"/>
    <n v="5"/>
    <x v="0"/>
    <x v="1"/>
    <n v="9196.7999999999993"/>
    <b v="1"/>
    <n v="2"/>
    <n v="383.2"/>
    <n v="20.863333333333333"/>
    <d v="2021-05-01T00:00:00"/>
    <s v="Adult"/>
    <n v="0"/>
    <s v="No"/>
    <n v="913"/>
    <s v="High"/>
    <s v="Low"/>
    <n v="0.08"/>
    <s v="Medium"/>
    <n v="1"/>
    <d v="2021-05-01T00:00:00"/>
    <s v="13–24 months"/>
    <s v="2–3 tickets"/>
    <s v="46+ min"/>
    <s v="301–500"/>
    <n v="9216"/>
    <n v="-19.200000000000728"/>
  </r>
  <r>
    <n v="10468"/>
    <n v="43"/>
    <s v="Male"/>
    <s v="Mumbai"/>
    <d v="2021-03-25T00:00:00"/>
    <d v="2021-08-28T00:00:00"/>
    <x v="0"/>
    <n v="1381"/>
    <x v="0"/>
    <n v="0"/>
    <n v="49.51"/>
    <n v="15"/>
    <x v="2"/>
    <x v="1"/>
    <n v="34317.85"/>
    <b v="1"/>
    <n v="2.0833333333333335"/>
    <n v="1372.7139999999999"/>
    <n v="49.51"/>
    <d v="2021-03-01T00:00:00"/>
    <s v="Middle-aged"/>
    <n v="0"/>
    <s v="Yes"/>
    <n v="156"/>
    <s v="Medium"/>
    <s v="Low"/>
    <n v="0"/>
    <s v="High"/>
    <n v="1"/>
    <d v="2021-03-01T00:00:00"/>
    <s v="25+ months"/>
    <s v="0–1 tickets"/>
    <s v="46+ min"/>
    <s v="1000+"/>
    <n v="34525"/>
    <n v="-207.15000000000146"/>
  </r>
  <r>
    <n v="10469"/>
    <n v="43"/>
    <s v="Male"/>
    <s v="Delhi"/>
    <d v="2021-09-28T00:00:00"/>
    <d v="2022-09-29T00:00:00"/>
    <x v="0"/>
    <n v="1290"/>
    <x v="12"/>
    <n v="3"/>
    <n v="105.7"/>
    <n v="10"/>
    <x v="0"/>
    <x v="1"/>
    <n v="45021"/>
    <b v="1"/>
    <n v="2.9166666666666665"/>
    <n v="1286.3142857142857"/>
    <n v="26.425000000000001"/>
    <d v="2021-09-01T00:00:00"/>
    <s v="Middle-aged"/>
    <n v="0"/>
    <s v="Yes"/>
    <n v="366"/>
    <s v="High"/>
    <s v="Low"/>
    <n v="8.3333333333333329E-2"/>
    <s v="High"/>
    <n v="1"/>
    <d v="2021-09-01T00:00:00"/>
    <s v="25+ months"/>
    <s v="2–3 tickets"/>
    <s v="46+ min"/>
    <s v="1000+"/>
    <n v="45150"/>
    <n v="-129"/>
  </r>
  <r>
    <n v="10470"/>
    <n v="38"/>
    <s v="Male"/>
    <s v="Hyderabad"/>
    <d v="2021-09-01T00:00:00"/>
    <d v="2023-05-09T00:00:00"/>
    <x v="2"/>
    <n v="1010"/>
    <x v="18"/>
    <n v="1"/>
    <n v="44.12"/>
    <n v="20"/>
    <x v="1"/>
    <x v="1"/>
    <n v="16968"/>
    <b v="1"/>
    <n v="1.4166666666666667"/>
    <n v="998.11764705882354"/>
    <n v="22.06"/>
    <d v="2021-09-01T00:00:00"/>
    <s v="Middle-aged"/>
    <n v="0"/>
    <s v="Yes"/>
    <n v="615"/>
    <s v="Medium"/>
    <s v="Medium"/>
    <n v="5.5555555555555552E-2"/>
    <s v="Medium"/>
    <n v="2"/>
    <d v="2021-09-01T00:00:00"/>
    <s v="13–24 months"/>
    <s v="0–1 tickets"/>
    <s v="31–45 min"/>
    <s v="1000+"/>
    <n v="17170"/>
    <n v="-202"/>
  </r>
  <r>
    <n v="10471"/>
    <n v="56"/>
    <s v="Female"/>
    <s v="Delhi"/>
    <d v="2022-01-23T00:00:00"/>
    <d v="2022-05-16T00:00:00"/>
    <x v="2"/>
    <n v="508"/>
    <x v="2"/>
    <n v="4"/>
    <n v="27.66"/>
    <n v="10"/>
    <x v="2"/>
    <x v="1"/>
    <n v="1981.2"/>
    <b v="1"/>
    <n v="0.33333333333333331"/>
    <n v="495.3"/>
    <n v="5.532"/>
    <d v="2022-01-01T00:00:00"/>
    <s v="Older"/>
    <n v="0"/>
    <s v="No"/>
    <n v="113"/>
    <s v="Medium"/>
    <s v="Low"/>
    <n v="0.8"/>
    <s v="Low"/>
    <n v="2"/>
    <d v="2022-01-01T00:00:00"/>
    <s v="0–6 months"/>
    <s v="4–5 tickets"/>
    <s v="21–30 min"/>
    <s v="501–700"/>
    <n v="2032"/>
    <n v="-50.799999999999955"/>
  </r>
  <r>
    <n v="10472"/>
    <n v="53"/>
    <s v="Male"/>
    <s v="Bangalore"/>
    <d v="2021-08-02T00:00:00"/>
    <d v="2021-08-23T00:00:00"/>
    <x v="2"/>
    <n v="338"/>
    <x v="11"/>
    <n v="2"/>
    <n v="42.91"/>
    <n v="15"/>
    <x v="1"/>
    <x v="0"/>
    <n v="3667.3"/>
    <b v="1"/>
    <n v="0.91666666666666663"/>
    <n v="333.39090909090913"/>
    <n v="14.303333333333333"/>
    <d v="2021-08-01T00:00:00"/>
    <s v="Older"/>
    <n v="1"/>
    <s v="No"/>
    <n v="21"/>
    <s v="Medium"/>
    <s v="Low"/>
    <n v="0.16666666666666666"/>
    <s v="Low"/>
    <n v="2"/>
    <d v="2021-08-01T00:00:00"/>
    <s v="7–12 months"/>
    <s v="2–3 tickets"/>
    <s v="31–45 min"/>
    <s v="301–500"/>
    <n v="3718"/>
    <n v="-50.699999999999818"/>
  </r>
  <r>
    <n v="10473"/>
    <n v="50"/>
    <s v="Female"/>
    <s v="Delhi"/>
    <d v="2023-03-29T00:00:00"/>
    <d v="2022-06-22T00:00:00"/>
    <x v="0"/>
    <n v="1225"/>
    <x v="15"/>
    <n v="3"/>
    <n v="75.08"/>
    <n v="0"/>
    <x v="2"/>
    <x v="1"/>
    <n v="18375"/>
    <b v="0"/>
    <n v="1.25"/>
    <n v="1225"/>
    <n v="18.77"/>
    <d v="2023-03-01T00:00:00"/>
    <s v="Middle-aged"/>
    <n v="0"/>
    <s v="Yes"/>
    <m/>
    <s v="High"/>
    <s v="Low"/>
    <n v="0.1875"/>
    <s v="Medium"/>
    <n v="1"/>
    <d v="2023-03-01T00:00:00"/>
    <s v="13–24 months"/>
    <s v="2–3 tickets"/>
    <s v="46+ min"/>
    <s v="1000+"/>
    <n v="18375"/>
    <n v="0"/>
  </r>
  <r>
    <n v="10474"/>
    <n v="47"/>
    <s v="Other"/>
    <s v="Mumbai"/>
    <d v="2021-06-15T00:00:00"/>
    <d v="2021-08-26T00:00:00"/>
    <x v="2"/>
    <n v="1061"/>
    <x v="3"/>
    <n v="0"/>
    <n v="47.22"/>
    <n v="10"/>
    <x v="2"/>
    <x v="0"/>
    <n v="31723.9"/>
    <b v="1"/>
    <n v="2.5"/>
    <n v="1057.4633333333334"/>
    <n v="47.22"/>
    <d v="2021-06-01T00:00:00"/>
    <s v="Middle-aged"/>
    <n v="1"/>
    <s v="Yes"/>
    <n v="72"/>
    <s v="Medium"/>
    <s v="Low"/>
    <n v="0"/>
    <s v="High"/>
    <n v="2"/>
    <d v="2021-06-01T00:00:00"/>
    <s v="25+ months"/>
    <s v="0–1 tickets"/>
    <s v="46+ min"/>
    <s v="1000+"/>
    <n v="31830"/>
    <n v="-106.09999999999854"/>
  </r>
  <r>
    <n v="10475"/>
    <n v="54"/>
    <s v="Male"/>
    <s v="Bangalore"/>
    <d v="2023-03-02T00:00:00"/>
    <d v="2022-04-03T00:00:00"/>
    <x v="0"/>
    <n v="1245"/>
    <x v="30"/>
    <n v="2"/>
    <n v="82.38"/>
    <n v="20"/>
    <x v="0"/>
    <x v="1"/>
    <n v="29631"/>
    <b v="0"/>
    <n v="2"/>
    <n v="1234.625"/>
    <n v="27.459999999999997"/>
    <d v="2023-03-01T00:00:00"/>
    <s v="Older"/>
    <n v="0"/>
    <s v="Yes"/>
    <m/>
    <s v="High"/>
    <s v="Medium"/>
    <n v="0.08"/>
    <s v="High"/>
    <n v="1"/>
    <d v="2023-03-01T00:00:00"/>
    <s v="13–24 months"/>
    <s v="2–3 tickets"/>
    <s v="46+ min"/>
    <s v="1000+"/>
    <n v="29880"/>
    <n v="-249"/>
  </r>
  <r>
    <n v="10476"/>
    <n v="40"/>
    <s v="Male"/>
    <s v="Chennai"/>
    <d v="2021-02-28T00:00:00"/>
    <d v="2023-09-28T00:00:00"/>
    <x v="0"/>
    <n v="351"/>
    <x v="4"/>
    <n v="2"/>
    <n v="32.25"/>
    <n v="10"/>
    <x v="0"/>
    <x v="1"/>
    <n v="666.9"/>
    <b v="1"/>
    <n v="0.16666666666666666"/>
    <n v="333.45"/>
    <n v="10.75"/>
    <d v="2021-02-01T00:00:00"/>
    <s v="Middle-aged"/>
    <n v="0"/>
    <s v="No"/>
    <n v="942"/>
    <s v="Medium"/>
    <s v="Low"/>
    <n v="0.66666666666666663"/>
    <s v="Low"/>
    <n v="1"/>
    <d v="2021-02-01T00:00:00"/>
    <s v="0–6 months"/>
    <s v="2–3 tickets"/>
    <s v="31–45 min"/>
    <s v="301–500"/>
    <n v="702"/>
    <n v="-35.100000000000023"/>
  </r>
  <r>
    <n v="10477"/>
    <n v="27"/>
    <s v="Male"/>
    <s v="Hyderabad"/>
    <d v="2022-08-25T00:00:00"/>
    <d v="2021-11-01T00:00:00"/>
    <x v="1"/>
    <n v="673"/>
    <x v="22"/>
    <n v="1"/>
    <n v="85.61"/>
    <n v="0"/>
    <x v="1"/>
    <x v="1"/>
    <n v="22882"/>
    <b v="0"/>
    <n v="2.8333333333333335"/>
    <n v="673"/>
    <n v="42.805"/>
    <d v="2022-08-01T00:00:00"/>
    <s v="Adult"/>
    <n v="0"/>
    <s v="Yes"/>
    <m/>
    <s v="High"/>
    <s v="Low"/>
    <n v="2.8571428571428571E-2"/>
    <s v="High"/>
    <n v="3"/>
    <d v="2022-08-01T00:00:00"/>
    <s v="25+ months"/>
    <s v="0–1 tickets"/>
    <s v="46+ min"/>
    <s v="501–700"/>
    <n v="22882"/>
    <n v="0"/>
  </r>
  <r>
    <n v="10478"/>
    <n v="22"/>
    <s v="Female"/>
    <s v="Hyderabad"/>
    <d v="2023-06-02T00:00:00"/>
    <d v="2022-08-14T00:00:00"/>
    <x v="2"/>
    <n v="1230"/>
    <x v="31"/>
    <n v="4"/>
    <n v="44.96"/>
    <n v="10"/>
    <x v="0"/>
    <x v="1"/>
    <n v="28167"/>
    <b v="0"/>
    <n v="1.9166666666666667"/>
    <n v="1224.6521739130435"/>
    <n v="8.9920000000000009"/>
    <d v="2023-06-01T00:00:00"/>
    <s v="Young"/>
    <n v="0"/>
    <s v="Yes"/>
    <m/>
    <s v="Medium"/>
    <s v="Low"/>
    <n v="0.16666666666666666"/>
    <s v="High"/>
    <n v="2"/>
    <d v="2023-06-01T00:00:00"/>
    <s v="13–24 months"/>
    <s v="4–5 tickets"/>
    <s v="31–45 min"/>
    <s v="1000+"/>
    <n v="28290"/>
    <n v="-123"/>
  </r>
  <r>
    <n v="10479"/>
    <n v="53"/>
    <s v="Male"/>
    <s v="Delhi"/>
    <d v="2023-04-23T00:00:00"/>
    <d v="2023-06-10T00:00:00"/>
    <x v="2"/>
    <n v="455"/>
    <x v="27"/>
    <n v="1"/>
    <n v="57.42"/>
    <n v="20"/>
    <x v="2"/>
    <x v="0"/>
    <n v="14014"/>
    <b v="1"/>
    <n v="2.5833333333333335"/>
    <n v="452.06451612903226"/>
    <n v="28.71"/>
    <d v="2023-04-01T00:00:00"/>
    <s v="Older"/>
    <n v="1"/>
    <s v="Yes"/>
    <n v="48"/>
    <s v="Medium"/>
    <s v="Medium"/>
    <n v="3.125E-2"/>
    <s v="Medium"/>
    <n v="2"/>
    <d v="2023-04-01T00:00:00"/>
    <s v="25+ months"/>
    <s v="0–1 tickets"/>
    <s v="46+ min"/>
    <s v="301–500"/>
    <n v="14105"/>
    <n v="-91"/>
  </r>
  <r>
    <n v="10480"/>
    <n v="51"/>
    <s v="Male"/>
    <s v="Pune"/>
    <d v="2022-05-19T00:00:00"/>
    <d v="2022-02-19T00:00:00"/>
    <x v="0"/>
    <n v="1413"/>
    <x v="19"/>
    <n v="1"/>
    <n v="69.14"/>
    <n v="15"/>
    <x v="0"/>
    <x v="1"/>
    <n v="18157.05"/>
    <b v="0"/>
    <n v="1.0833333333333333"/>
    <n v="1396.6961538461537"/>
    <n v="34.57"/>
    <d v="2022-05-01T00:00:00"/>
    <s v="Older"/>
    <n v="0"/>
    <s v="Yes"/>
    <m/>
    <s v="High"/>
    <s v="Low"/>
    <n v="7.1428571428571425E-2"/>
    <s v="Medium"/>
    <n v="1"/>
    <d v="2022-05-01T00:00:00"/>
    <s v="13–24 months"/>
    <s v="0–1 tickets"/>
    <s v="46+ min"/>
    <s v="1000+"/>
    <n v="18369"/>
    <n v="-211.95000000000073"/>
  </r>
  <r>
    <n v="10481"/>
    <n v="48"/>
    <s v="Male"/>
    <s v="Bangalore"/>
    <d v="2022-12-07T00:00:00"/>
    <d v="2023-06-05T00:00:00"/>
    <x v="1"/>
    <n v="978"/>
    <x v="33"/>
    <n v="1"/>
    <n v="83.92"/>
    <n v="20"/>
    <x v="1"/>
    <x v="1"/>
    <n v="32078.400000000001"/>
    <b v="1"/>
    <n v="2.75"/>
    <n v="972.07272727272732"/>
    <n v="41.96"/>
    <d v="2022-12-01T00:00:00"/>
    <s v="Middle-aged"/>
    <n v="0"/>
    <s v="Yes"/>
    <n v="180"/>
    <s v="High"/>
    <s v="Medium"/>
    <n v="2.9411764705882353E-2"/>
    <s v="High"/>
    <n v="3"/>
    <d v="2022-12-01T00:00:00"/>
    <s v="25+ months"/>
    <s v="0–1 tickets"/>
    <s v="46+ min"/>
    <s v="701–1000"/>
    <n v="32274"/>
    <n v="-195.59999999999854"/>
  </r>
  <r>
    <n v="10482"/>
    <n v="27"/>
    <s v="Female"/>
    <s v="Chennai"/>
    <d v="2021-05-03T00:00:00"/>
    <d v="2022-07-26T00:00:00"/>
    <x v="2"/>
    <n v="650"/>
    <x v="16"/>
    <n v="3"/>
    <n v="32.450000000000003"/>
    <n v="15"/>
    <x v="2"/>
    <x v="0"/>
    <n v="4452.5"/>
    <b v="1"/>
    <n v="0.58333333333333337"/>
    <n v="636.07142857142856"/>
    <n v="8.1125000000000007"/>
    <d v="2021-05-01T00:00:00"/>
    <s v="Adult"/>
    <n v="1"/>
    <s v="No"/>
    <n v="449"/>
    <s v="Medium"/>
    <s v="Low"/>
    <n v="0.375"/>
    <s v="Low"/>
    <n v="2"/>
    <d v="2021-05-01T00:00:00"/>
    <s v="7–12 months"/>
    <s v="2–3 tickets"/>
    <s v="31–45 min"/>
    <s v="501–700"/>
    <n v="4550"/>
    <n v="-97.5"/>
  </r>
  <r>
    <n v="10483"/>
    <n v="36"/>
    <s v="Male"/>
    <s v="Bangalore"/>
    <d v="2022-10-10T00:00:00"/>
    <d v="2022-10-06T00:00:00"/>
    <x v="2"/>
    <n v="368"/>
    <x v="23"/>
    <n v="2"/>
    <n v="62.59"/>
    <n v="20"/>
    <x v="1"/>
    <x v="1"/>
    <n v="11702.4"/>
    <b v="0"/>
    <n v="2.6666666666666665"/>
    <n v="365.7"/>
    <n v="20.863333333333333"/>
    <d v="2022-10-01T00:00:00"/>
    <s v="Middle-aged"/>
    <n v="0"/>
    <s v="No"/>
    <m/>
    <s v="High"/>
    <s v="Medium"/>
    <n v="6.0606060606060608E-2"/>
    <s v="Medium"/>
    <n v="2"/>
    <d v="2022-10-01T00:00:00"/>
    <s v="25+ months"/>
    <s v="2–3 tickets"/>
    <s v="46+ min"/>
    <s v="301–500"/>
    <n v="11776"/>
    <n v="-73.600000000000364"/>
  </r>
  <r>
    <n v="10484"/>
    <n v="49"/>
    <s v="Female"/>
    <s v="Hyderabad"/>
    <d v="2022-02-17T00:00:00"/>
    <d v="2023-02-23T00:00:00"/>
    <x v="0"/>
    <n v="1486"/>
    <x v="16"/>
    <n v="0"/>
    <n v="88.01"/>
    <n v="5"/>
    <x v="3"/>
    <x v="1"/>
    <n v="10327.700000000001"/>
    <b v="1"/>
    <n v="0.58333333333333337"/>
    <n v="1475.3857142857144"/>
    <n v="88.01"/>
    <d v="2022-02-01T00:00:00"/>
    <s v="Middle-aged"/>
    <n v="0"/>
    <s v="No"/>
    <n v="371"/>
    <s v="High"/>
    <s v="Low"/>
    <n v="0"/>
    <s v="Medium"/>
    <n v="1"/>
    <d v="2022-02-01T00:00:00"/>
    <s v="7–12 months"/>
    <s v="0–1 tickets"/>
    <s v="46+ min"/>
    <s v="1000+"/>
    <n v="10402"/>
    <n v="-74.299999999999272"/>
  </r>
  <r>
    <n v="10485"/>
    <n v="18"/>
    <s v="Female"/>
    <s v="Bangalore"/>
    <d v="2021-05-19T00:00:00"/>
    <d v="2022-07-16T00:00:00"/>
    <x v="1"/>
    <n v="1375"/>
    <x v="19"/>
    <n v="6"/>
    <n v="31.92"/>
    <n v="10"/>
    <x v="0"/>
    <x v="1"/>
    <n v="17737.5"/>
    <b v="1"/>
    <n v="1.0833333333333333"/>
    <n v="1364.4230769230769"/>
    <n v="4.5600000000000005"/>
    <d v="2021-05-01T00:00:00"/>
    <s v="Young"/>
    <n v="0"/>
    <s v="Yes"/>
    <n v="423"/>
    <s v="Medium"/>
    <s v="Low"/>
    <n v="0.42857142857142855"/>
    <s v="Medium"/>
    <n v="3"/>
    <d v="2021-05-01T00:00:00"/>
    <s v="13–24 months"/>
    <s v="6+ tickets"/>
    <s v="31–45 min"/>
    <s v="1000+"/>
    <n v="17875"/>
    <n v="-137.5"/>
  </r>
  <r>
    <n v="10486"/>
    <n v="22"/>
    <s v="Male"/>
    <s v="Chennai"/>
    <d v="2021-08-17T00:00:00"/>
    <d v="2021-11-20T00:00:00"/>
    <x v="1"/>
    <n v="953"/>
    <x v="30"/>
    <n v="2"/>
    <n v="117.12"/>
    <n v="10"/>
    <x v="2"/>
    <x v="1"/>
    <n v="22776.7"/>
    <b v="1"/>
    <n v="2"/>
    <n v="949.0291666666667"/>
    <n v="39.04"/>
    <d v="2021-08-01T00:00:00"/>
    <s v="Young"/>
    <n v="0"/>
    <s v="Yes"/>
    <n v="95"/>
    <s v="High"/>
    <s v="Low"/>
    <n v="0.08"/>
    <s v="High"/>
    <n v="3"/>
    <d v="2021-08-01T00:00:00"/>
    <s v="13–24 months"/>
    <s v="2–3 tickets"/>
    <s v="46+ min"/>
    <s v="701–1000"/>
    <n v="22872"/>
    <n v="-95.299999999999272"/>
  </r>
  <r>
    <n v="10487"/>
    <n v="62"/>
    <s v="Female"/>
    <s v="Pune"/>
    <d v="2021-10-01T00:00:00"/>
    <d v="2021-06-04T00:00:00"/>
    <x v="1"/>
    <n v="362"/>
    <x v="29"/>
    <n v="1"/>
    <n v="81.45"/>
    <n v="0"/>
    <x v="1"/>
    <x v="1"/>
    <n v="10136"/>
    <b v="0"/>
    <n v="2.3333333333333335"/>
    <n v="362"/>
    <n v="40.725000000000001"/>
    <d v="2021-10-01T00:00:00"/>
    <s v="Older"/>
    <n v="0"/>
    <s v="No"/>
    <m/>
    <s v="High"/>
    <s v="Low"/>
    <n v="3.4482758620689655E-2"/>
    <s v="Medium"/>
    <n v="3"/>
    <d v="2021-10-01T00:00:00"/>
    <s v="25+ months"/>
    <s v="0–1 tickets"/>
    <s v="46+ min"/>
    <s v="301–500"/>
    <n v="10136"/>
    <n v="0"/>
  </r>
  <r>
    <n v="10488"/>
    <n v="21"/>
    <s v="Male"/>
    <s v="Delhi"/>
    <d v="2022-03-15T00:00:00"/>
    <d v="2023-10-02T00:00:00"/>
    <x v="0"/>
    <n v="808"/>
    <x v="23"/>
    <n v="1"/>
    <n v="57.03"/>
    <n v="5"/>
    <x v="0"/>
    <x v="1"/>
    <n v="25815.599999999999"/>
    <b v="1"/>
    <n v="2.6666666666666665"/>
    <n v="806.73749999999995"/>
    <n v="28.515000000000001"/>
    <d v="2022-03-01T00:00:00"/>
    <s v="Young"/>
    <n v="0"/>
    <s v="Yes"/>
    <n v="566"/>
    <s v="Medium"/>
    <s v="Low"/>
    <n v="3.0303030303030304E-2"/>
    <s v="High"/>
    <n v="1"/>
    <d v="2022-03-01T00:00:00"/>
    <s v="25+ months"/>
    <s v="0–1 tickets"/>
    <s v="46+ min"/>
    <s v="701–1000"/>
    <n v="25856"/>
    <n v="-40.400000000001455"/>
  </r>
  <r>
    <n v="10489"/>
    <n v="41"/>
    <s v="Female"/>
    <s v="Mumbai"/>
    <d v="2022-07-16T00:00:00"/>
    <d v="2023-03-02T00:00:00"/>
    <x v="0"/>
    <n v="591"/>
    <x v="10"/>
    <n v="4"/>
    <n v="23.12"/>
    <n v="0"/>
    <x v="0"/>
    <x v="1"/>
    <n v="10638"/>
    <b v="1"/>
    <n v="1.5"/>
    <n v="591"/>
    <n v="4.6240000000000006"/>
    <d v="2022-07-01T00:00:00"/>
    <s v="Middle-aged"/>
    <n v="0"/>
    <s v="No"/>
    <n v="229"/>
    <s v="Medium"/>
    <s v="Low"/>
    <n v="0.21052631578947367"/>
    <s v="Medium"/>
    <n v="1"/>
    <d v="2022-07-01T00:00:00"/>
    <s v="13–24 months"/>
    <s v="4–5 tickets"/>
    <s v="21–30 min"/>
    <s v="501–700"/>
    <n v="10638"/>
    <n v="0"/>
  </r>
  <r>
    <n v="10490"/>
    <n v="41"/>
    <s v="Female"/>
    <s v="Bangalore"/>
    <d v="2021-04-28T00:00:00"/>
    <d v="2022-09-15T00:00:00"/>
    <x v="0"/>
    <n v="1414"/>
    <x v="22"/>
    <n v="4"/>
    <n v="66.319999999999993"/>
    <n v="10"/>
    <x v="1"/>
    <x v="1"/>
    <n v="47934.6"/>
    <b v="1"/>
    <n v="2.8333333333333335"/>
    <n v="1409.8411764705882"/>
    <n v="13.263999999999999"/>
    <d v="2021-04-01T00:00:00"/>
    <s v="Middle-aged"/>
    <n v="0"/>
    <s v="Yes"/>
    <n v="505"/>
    <s v="High"/>
    <s v="Low"/>
    <n v="0.11428571428571428"/>
    <s v="High"/>
    <n v="1"/>
    <d v="2021-04-01T00:00:00"/>
    <s v="25+ months"/>
    <s v="4–5 tickets"/>
    <s v="46+ min"/>
    <s v="1000+"/>
    <n v="48076"/>
    <n v="-141.40000000000146"/>
  </r>
  <r>
    <n v="10491"/>
    <n v="33"/>
    <s v="Female"/>
    <s v="Mumbai"/>
    <d v="2022-12-15T00:00:00"/>
    <d v="2021-09-18T00:00:00"/>
    <x v="0"/>
    <n v="1120"/>
    <x v="22"/>
    <n v="2"/>
    <n v="23.95"/>
    <n v="0"/>
    <x v="2"/>
    <x v="1"/>
    <n v="38080"/>
    <b v="0"/>
    <n v="2.8333333333333335"/>
    <n v="1120"/>
    <n v="7.9833333333333334"/>
    <d v="2022-12-01T00:00:00"/>
    <s v="Adult"/>
    <n v="0"/>
    <s v="Yes"/>
    <m/>
    <s v="Medium"/>
    <s v="Low"/>
    <n v="5.7142857142857141E-2"/>
    <s v="High"/>
    <n v="1"/>
    <d v="2022-12-01T00:00:00"/>
    <s v="25+ months"/>
    <s v="2–3 tickets"/>
    <s v="21–30 min"/>
    <s v="1000+"/>
    <n v="38080"/>
    <n v="0"/>
  </r>
  <r>
    <n v="10492"/>
    <n v="19"/>
    <s v="Male"/>
    <s v="Hyderabad"/>
    <d v="2022-04-28T00:00:00"/>
    <d v="2023-10-15T00:00:00"/>
    <x v="1"/>
    <n v="449"/>
    <x v="7"/>
    <n v="5"/>
    <n v="54.39"/>
    <n v="15"/>
    <x v="1"/>
    <x v="1"/>
    <n v="381.65"/>
    <b v="1"/>
    <n v="8.3333333333333329E-2"/>
    <n v="381.65"/>
    <n v="9.0649999999999995"/>
    <d v="2022-04-01T00:00:00"/>
    <s v="Young"/>
    <n v="0"/>
    <s v="No"/>
    <n v="535"/>
    <s v="Medium"/>
    <s v="Low"/>
    <n v="2.5"/>
    <s v="Low"/>
    <n v="3"/>
    <d v="2022-04-01T00:00:00"/>
    <s v="0–6 months"/>
    <s v="4–5 tickets"/>
    <s v="46+ min"/>
    <s v="301–500"/>
    <n v="449"/>
    <n v="-67.350000000000023"/>
  </r>
  <r>
    <n v="10493"/>
    <n v="45"/>
    <s v="Male"/>
    <s v="Delhi"/>
    <d v="2022-01-30T00:00:00"/>
    <d v="2021-07-07T00:00:00"/>
    <x v="0"/>
    <n v="1180"/>
    <x v="27"/>
    <n v="1"/>
    <n v="52"/>
    <n v="5"/>
    <x v="0"/>
    <x v="1"/>
    <n v="36521"/>
    <b v="0"/>
    <n v="2.5833333333333335"/>
    <n v="1178.0967741935483"/>
    <n v="26"/>
    <d v="2022-01-01T00:00:00"/>
    <s v="Middle-aged"/>
    <n v="0"/>
    <s v="Yes"/>
    <m/>
    <s v="Medium"/>
    <s v="Low"/>
    <n v="3.125E-2"/>
    <s v="High"/>
    <n v="1"/>
    <d v="2022-01-01T00:00:00"/>
    <s v="25+ months"/>
    <s v="0–1 tickets"/>
    <s v="46+ min"/>
    <s v="1000+"/>
    <n v="36580"/>
    <n v="-59"/>
  </r>
  <r>
    <n v="10494"/>
    <n v="41"/>
    <s v="Male"/>
    <s v="Delhi"/>
    <d v="2022-12-04T00:00:00"/>
    <d v="2023-01-04T00:00:00"/>
    <x v="0"/>
    <n v="1439"/>
    <x v="7"/>
    <n v="0"/>
    <n v="87.79"/>
    <n v="20"/>
    <x v="1"/>
    <x v="1"/>
    <n v="1151.2"/>
    <b v="1"/>
    <n v="8.3333333333333329E-2"/>
    <n v="1151.2"/>
    <n v="87.79"/>
    <d v="2022-12-01T00:00:00"/>
    <s v="Middle-aged"/>
    <n v="0"/>
    <s v="No"/>
    <n v="31"/>
    <s v="High"/>
    <s v="Medium"/>
    <n v="0"/>
    <s v="Low"/>
    <n v="1"/>
    <d v="2022-12-01T00:00:00"/>
    <s v="0–6 months"/>
    <s v="0–1 tickets"/>
    <s v="46+ min"/>
    <s v="1000+"/>
    <n v="1439"/>
    <n v="-287.79999999999995"/>
  </r>
  <r>
    <n v="10495"/>
    <n v="44"/>
    <s v="Male"/>
    <s v="Bangalore"/>
    <d v="2023-05-26T00:00:00"/>
    <d v="2023-08-10T00:00:00"/>
    <x v="0"/>
    <n v="1003"/>
    <x v="24"/>
    <n v="4"/>
    <n v="27.12"/>
    <n v="15"/>
    <x v="3"/>
    <x v="1"/>
    <n v="15897.55"/>
    <b v="1"/>
    <n v="1.3333333333333333"/>
    <n v="993.59687499999995"/>
    <n v="5.4240000000000004"/>
    <d v="2023-05-01T00:00:00"/>
    <s v="Middle-aged"/>
    <n v="0"/>
    <s v="Yes"/>
    <n v="76"/>
    <s v="Medium"/>
    <s v="Low"/>
    <n v="0.23529411764705882"/>
    <s v="Medium"/>
    <n v="1"/>
    <d v="2023-05-01T00:00:00"/>
    <s v="13–24 months"/>
    <s v="4–5 tickets"/>
    <s v="21–30 min"/>
    <s v="1000+"/>
    <n v="16048"/>
    <n v="-150.45000000000073"/>
  </r>
  <r>
    <n v="10496"/>
    <n v="37"/>
    <s v="Male"/>
    <s v="Pune"/>
    <d v="2022-04-05T00:00:00"/>
    <d v="2021-07-01T00:00:00"/>
    <x v="0"/>
    <n v="815"/>
    <x v="15"/>
    <n v="7"/>
    <n v="99.52"/>
    <n v="20"/>
    <x v="0"/>
    <x v="1"/>
    <n v="12062"/>
    <b v="0"/>
    <n v="1.25"/>
    <n v="804.13333333333333"/>
    <n v="12.44"/>
    <d v="2022-04-01T00:00:00"/>
    <s v="Middle-aged"/>
    <n v="0"/>
    <s v="No"/>
    <m/>
    <s v="High"/>
    <s v="Medium"/>
    <n v="0.4375"/>
    <s v="Medium"/>
    <n v="1"/>
    <d v="2022-04-01T00:00:00"/>
    <s v="13–24 months"/>
    <s v="6+ tickets"/>
    <s v="46+ min"/>
    <s v="701–1000"/>
    <n v="12225"/>
    <n v="-163"/>
  </r>
  <r>
    <n v="10497"/>
    <n v="41"/>
    <s v="Male"/>
    <s v="Delhi"/>
    <d v="2023-04-15T00:00:00"/>
    <d v="2022-06-16T00:00:00"/>
    <x v="0"/>
    <n v="329"/>
    <x v="33"/>
    <n v="3"/>
    <n v="62.59"/>
    <n v="0"/>
    <x v="2"/>
    <x v="1"/>
    <n v="10857"/>
    <b v="0"/>
    <n v="2.75"/>
    <n v="329"/>
    <n v="15.647500000000001"/>
    <d v="2023-04-01T00:00:00"/>
    <s v="Middle-aged"/>
    <n v="0"/>
    <s v="No"/>
    <m/>
    <s v="High"/>
    <s v="Low"/>
    <n v="8.8235294117647065E-2"/>
    <s v="Medium"/>
    <n v="1"/>
    <d v="2023-04-01T00:00:00"/>
    <s v="25+ months"/>
    <s v="2–3 tickets"/>
    <s v="46+ min"/>
    <s v="301–500"/>
    <n v="10857"/>
    <n v="0"/>
  </r>
  <r>
    <n v="10498"/>
    <n v="29"/>
    <s v="Male"/>
    <s v="Bangalore"/>
    <d v="2022-11-24T00:00:00"/>
    <d v="2022-02-23T00:00:00"/>
    <x v="2"/>
    <n v="1466"/>
    <x v="31"/>
    <n v="2"/>
    <n v="56.06"/>
    <n v="10"/>
    <x v="3"/>
    <x v="1"/>
    <n v="33571.4"/>
    <b v="0"/>
    <n v="1.9166666666666667"/>
    <n v="1459.6260869565217"/>
    <n v="18.686666666666667"/>
    <d v="2022-11-01T00:00:00"/>
    <s v="Adult"/>
    <n v="0"/>
    <s v="Yes"/>
    <m/>
    <s v="Medium"/>
    <s v="Low"/>
    <n v="8.3333333333333329E-2"/>
    <s v="High"/>
    <n v="2"/>
    <d v="2022-11-01T00:00:00"/>
    <s v="13–24 months"/>
    <s v="2–3 tickets"/>
    <s v="46+ min"/>
    <s v="1000+"/>
    <n v="33718"/>
    <n v="-146.59999999999854"/>
  </r>
  <r>
    <n v="10499"/>
    <n v="52"/>
    <s v="Male"/>
    <s v="Bangalore"/>
    <d v="2021-03-19T00:00:00"/>
    <d v="2021-06-11T00:00:00"/>
    <x v="2"/>
    <n v="625"/>
    <x v="22"/>
    <n v="1"/>
    <n v="93.82"/>
    <n v="15"/>
    <x v="1"/>
    <x v="1"/>
    <n v="21156.25"/>
    <b v="1"/>
    <n v="2.8333333333333335"/>
    <n v="622.24264705882354"/>
    <n v="46.91"/>
    <d v="2021-03-01T00:00:00"/>
    <s v="Older"/>
    <n v="0"/>
    <s v="Yes"/>
    <n v="84"/>
    <s v="High"/>
    <s v="Low"/>
    <n v="2.8571428571428571E-2"/>
    <s v="High"/>
    <n v="2"/>
    <d v="2021-03-01T00:00:00"/>
    <s v="25+ months"/>
    <s v="0–1 tickets"/>
    <s v="46+ min"/>
    <s v="501–700"/>
    <n v="21250"/>
    <n v="-93.75"/>
  </r>
  <r>
    <n v="10500"/>
    <n v="50"/>
    <s v="Female"/>
    <s v="Mumbai"/>
    <d v="2022-02-16T00:00:00"/>
    <d v="2022-05-10T00:00:00"/>
    <x v="0"/>
    <n v="1248"/>
    <x v="18"/>
    <n v="2"/>
    <n v="76.92"/>
    <n v="5"/>
    <x v="2"/>
    <x v="1"/>
    <n v="21153.599999999999"/>
    <b v="1"/>
    <n v="1.4166666666666667"/>
    <n v="1244.3294117647058"/>
    <n v="25.64"/>
    <d v="2022-02-01T00:00:00"/>
    <s v="Middle-aged"/>
    <n v="0"/>
    <s v="Yes"/>
    <n v="83"/>
    <s v="High"/>
    <s v="Low"/>
    <n v="0.1111111111111111"/>
    <s v="High"/>
    <n v="1"/>
    <d v="2022-02-01T00:00:00"/>
    <s v="13–24 months"/>
    <s v="2–3 tickets"/>
    <s v="46+ min"/>
    <s v="1000+"/>
    <n v="21216"/>
    <n v="-62.400000000001455"/>
  </r>
  <r>
    <n v="10501"/>
    <n v="50"/>
    <s v="Male"/>
    <s v="Delhi"/>
    <d v="2021-03-16T00:00:00"/>
    <d v="2023-09-18T00:00:00"/>
    <x v="0"/>
    <n v="315"/>
    <x v="0"/>
    <n v="1"/>
    <n v="40.42"/>
    <n v="20"/>
    <x v="3"/>
    <x v="1"/>
    <n v="7812"/>
    <b v="1"/>
    <n v="2.0833333333333335"/>
    <n v="312.48"/>
    <n v="20.21"/>
    <d v="2021-03-01T00:00:00"/>
    <s v="Middle-aged"/>
    <n v="0"/>
    <s v="No"/>
    <n v="916"/>
    <s v="Medium"/>
    <s v="Medium"/>
    <n v="3.8461538461538464E-2"/>
    <s v="Low"/>
    <n v="1"/>
    <d v="2021-03-01T00:00:00"/>
    <s v="25+ months"/>
    <s v="0–1 tickets"/>
    <s v="31–45 min"/>
    <s v="301–500"/>
    <n v="7875"/>
    <n v="-63"/>
  </r>
  <r>
    <n v="10502"/>
    <n v="60"/>
    <s v="Male"/>
    <s v="Bangalore"/>
    <d v="2021-10-22T00:00:00"/>
    <d v="2022-11-26T00:00:00"/>
    <x v="0"/>
    <n v="410"/>
    <x v="20"/>
    <n v="1"/>
    <n v="49.41"/>
    <n v="15"/>
    <x v="1"/>
    <x v="1"/>
    <n v="2398.5"/>
    <b v="1"/>
    <n v="0.5"/>
    <n v="399.75"/>
    <n v="24.704999999999998"/>
    <d v="2021-10-01T00:00:00"/>
    <s v="Older"/>
    <n v="0"/>
    <s v="No"/>
    <n v="400"/>
    <s v="Medium"/>
    <s v="Low"/>
    <n v="0.14285714285714285"/>
    <s v="Low"/>
    <n v="1"/>
    <d v="2021-10-01T00:00:00"/>
    <s v="0–6 months"/>
    <s v="0–1 tickets"/>
    <s v="46+ min"/>
    <s v="301–500"/>
    <n v="2460"/>
    <n v="-61.5"/>
  </r>
  <r>
    <n v="10503"/>
    <n v="54"/>
    <s v="Male"/>
    <s v="Mumbai"/>
    <d v="2023-03-04T00:00:00"/>
    <d v="2022-12-21T00:00:00"/>
    <x v="0"/>
    <n v="1171"/>
    <x v="27"/>
    <n v="3"/>
    <n v="40.17"/>
    <n v="10"/>
    <x v="3"/>
    <x v="0"/>
    <n v="36183.9"/>
    <b v="0"/>
    <n v="2.5833333333333335"/>
    <n v="1167.2225806451613"/>
    <n v="10.0425"/>
    <d v="2023-03-01T00:00:00"/>
    <s v="Older"/>
    <n v="1"/>
    <s v="Yes"/>
    <m/>
    <s v="Medium"/>
    <s v="Low"/>
    <n v="9.375E-2"/>
    <s v="High"/>
    <n v="1"/>
    <d v="2023-03-01T00:00:00"/>
    <s v="25+ months"/>
    <s v="2–3 tickets"/>
    <s v="31–45 min"/>
    <s v="1000+"/>
    <n v="36301"/>
    <n v="-117.09999999999854"/>
  </r>
  <r>
    <n v="10504"/>
    <n v="29"/>
    <s v="Male"/>
    <s v="Chennai"/>
    <d v="2021-01-21T00:00:00"/>
    <d v="2021-11-13T00:00:00"/>
    <x v="2"/>
    <n v="1012"/>
    <x v="21"/>
    <n v="3"/>
    <n v="73.400000000000006"/>
    <n v="5"/>
    <x v="0"/>
    <x v="1"/>
    <n v="5009.3999999999996"/>
    <b v="1"/>
    <n v="0.41666666666666669"/>
    <n v="1001.8799999999999"/>
    <n v="18.350000000000001"/>
    <d v="2021-01-01T00:00:00"/>
    <s v="Adult"/>
    <n v="0"/>
    <s v="No"/>
    <n v="296"/>
    <s v="High"/>
    <s v="Low"/>
    <n v="0.5"/>
    <s v="Low"/>
    <n v="2"/>
    <d v="2021-01-01T00:00:00"/>
    <s v="0–6 months"/>
    <s v="2–3 tickets"/>
    <s v="46+ min"/>
    <s v="1000+"/>
    <n v="5060"/>
    <n v="-50.600000000000364"/>
  </r>
  <r>
    <n v="10505"/>
    <n v="20"/>
    <s v="Other"/>
    <s v="Mumbai"/>
    <d v="2021-06-20T00:00:00"/>
    <d v="2023-05-01T00:00:00"/>
    <x v="2"/>
    <n v="406"/>
    <x v="3"/>
    <n v="6"/>
    <n v="43.25"/>
    <n v="5"/>
    <x v="2"/>
    <x v="1"/>
    <n v="12159.7"/>
    <b v="1"/>
    <n v="2.5"/>
    <n v="405.32333333333338"/>
    <n v="6.1785714285714288"/>
    <d v="2021-06-01T00:00:00"/>
    <s v="Young"/>
    <n v="0"/>
    <s v="No"/>
    <n v="680"/>
    <s v="Medium"/>
    <s v="Low"/>
    <n v="0.19354838709677419"/>
    <s v="Medium"/>
    <n v="2"/>
    <d v="2021-06-01T00:00:00"/>
    <s v="25+ months"/>
    <s v="6+ tickets"/>
    <s v="31–45 min"/>
    <s v="301–500"/>
    <n v="12180"/>
    <n v="-20.299999999999272"/>
  </r>
  <r>
    <n v="10506"/>
    <n v="41"/>
    <s v="Male"/>
    <s v="Mumbai"/>
    <d v="2021-01-15T00:00:00"/>
    <d v="2022-05-08T00:00:00"/>
    <x v="2"/>
    <n v="678"/>
    <x v="21"/>
    <n v="3"/>
    <n v="88.46"/>
    <n v="20"/>
    <x v="3"/>
    <x v="1"/>
    <n v="3254.4"/>
    <b v="1"/>
    <n v="0.41666666666666669"/>
    <n v="650.88"/>
    <n v="22.114999999999998"/>
    <d v="2021-01-01T00:00:00"/>
    <s v="Middle-aged"/>
    <n v="0"/>
    <s v="No"/>
    <n v="478"/>
    <s v="High"/>
    <s v="Medium"/>
    <n v="0.5"/>
    <s v="Low"/>
    <n v="2"/>
    <d v="2021-01-01T00:00:00"/>
    <s v="0–6 months"/>
    <s v="2–3 tickets"/>
    <s v="46+ min"/>
    <s v="501–700"/>
    <n v="3390"/>
    <n v="-135.59999999999991"/>
  </r>
  <r>
    <n v="10507"/>
    <n v="50"/>
    <s v="Female"/>
    <s v="Bangalore"/>
    <d v="2021-07-30T00:00:00"/>
    <d v="2022-09-25T00:00:00"/>
    <x v="2"/>
    <n v="461"/>
    <x v="34"/>
    <n v="1"/>
    <n v="71.680000000000007"/>
    <n v="15"/>
    <x v="0"/>
    <x v="1"/>
    <n v="5462.85"/>
    <b v="1"/>
    <n v="1"/>
    <n v="455.23750000000001"/>
    <n v="35.840000000000003"/>
    <d v="2021-07-01T00:00:00"/>
    <s v="Middle-aged"/>
    <n v="0"/>
    <s v="No"/>
    <n v="422"/>
    <s v="High"/>
    <s v="Low"/>
    <n v="7.6923076923076927E-2"/>
    <s v="Low"/>
    <n v="2"/>
    <d v="2021-07-01T00:00:00"/>
    <s v="7–12 months"/>
    <s v="0–1 tickets"/>
    <s v="46+ min"/>
    <s v="301–500"/>
    <n v="5532"/>
    <n v="-69.149999999999636"/>
  </r>
  <r>
    <n v="10508"/>
    <n v="57"/>
    <s v="Other"/>
    <s v="Hyderabad"/>
    <d v="2022-07-14T00:00:00"/>
    <d v="2021-06-19T00:00:00"/>
    <x v="0"/>
    <n v="582"/>
    <x v="16"/>
    <n v="4"/>
    <n v="21.76"/>
    <n v="15"/>
    <x v="1"/>
    <x v="0"/>
    <n v="3986.7"/>
    <b v="0"/>
    <n v="0.58333333333333337"/>
    <n v="569.52857142857135"/>
    <n v="4.3520000000000003"/>
    <d v="2022-07-01T00:00:00"/>
    <s v="Older"/>
    <n v="1"/>
    <s v="No"/>
    <m/>
    <s v="Medium"/>
    <s v="Low"/>
    <n v="0.5"/>
    <s v="Low"/>
    <n v="1"/>
    <d v="2022-07-01T00:00:00"/>
    <s v="7–12 months"/>
    <s v="4–5 tickets"/>
    <s v="21–30 min"/>
    <s v="501–700"/>
    <n v="4074"/>
    <n v="-87.300000000000182"/>
  </r>
  <r>
    <n v="10509"/>
    <n v="27"/>
    <s v="Female"/>
    <s v="Hyderabad"/>
    <d v="2021-03-27T00:00:00"/>
    <d v="2023-02-18T00:00:00"/>
    <x v="1"/>
    <n v="568"/>
    <x v="19"/>
    <n v="3"/>
    <n v="40.68"/>
    <n v="5"/>
    <x v="0"/>
    <x v="1"/>
    <n v="7355.6"/>
    <b v="1"/>
    <n v="1.0833333333333333"/>
    <n v="565.81538461538469"/>
    <n v="10.17"/>
    <d v="2021-03-01T00:00:00"/>
    <s v="Adult"/>
    <n v="0"/>
    <s v="No"/>
    <n v="693"/>
    <s v="Medium"/>
    <s v="Low"/>
    <n v="0.21428571428571427"/>
    <s v="Low"/>
    <n v="3"/>
    <d v="2021-03-01T00:00:00"/>
    <s v="13–24 months"/>
    <s v="2–3 tickets"/>
    <s v="31–45 min"/>
    <s v="501–700"/>
    <n v="7384"/>
    <n v="-28.399999999999636"/>
  </r>
  <r>
    <n v="10510"/>
    <n v="60"/>
    <s v="Female"/>
    <s v="Pune"/>
    <d v="2021-05-29T00:00:00"/>
    <d v="2021-12-01T00:00:00"/>
    <x v="1"/>
    <n v="783"/>
    <x v="2"/>
    <n v="2"/>
    <n v="30.47"/>
    <n v="0"/>
    <x v="1"/>
    <x v="0"/>
    <n v="3132"/>
    <b v="1"/>
    <n v="0.33333333333333331"/>
    <n v="783"/>
    <n v="10.156666666666666"/>
    <d v="2021-05-01T00:00:00"/>
    <s v="Older"/>
    <n v="1"/>
    <s v="No"/>
    <n v="186"/>
    <s v="Medium"/>
    <s v="Low"/>
    <n v="0.4"/>
    <s v="Low"/>
    <n v="3"/>
    <d v="2021-05-01T00:00:00"/>
    <s v="0–6 months"/>
    <s v="2–3 tickets"/>
    <s v="31–45 min"/>
    <s v="701–1000"/>
    <n v="3132"/>
    <n v="0"/>
  </r>
  <r>
    <n v="10511"/>
    <n v="61"/>
    <s v="Female"/>
    <s v="Hyderabad"/>
    <d v="2022-12-01T00:00:00"/>
    <d v="2023-07-22T00:00:00"/>
    <x v="1"/>
    <n v="966"/>
    <x v="13"/>
    <n v="7"/>
    <n v="49.89"/>
    <n v="5"/>
    <x v="2"/>
    <x v="1"/>
    <n v="2849.7"/>
    <b v="1"/>
    <n v="0.25"/>
    <n v="949.9"/>
    <n v="6.2362500000000001"/>
    <d v="2022-12-01T00:00:00"/>
    <s v="Older"/>
    <n v="0"/>
    <s v="No"/>
    <n v="233"/>
    <s v="Medium"/>
    <s v="Low"/>
    <n v="1.75"/>
    <s v="Low"/>
    <n v="3"/>
    <d v="2022-12-01T00:00:00"/>
    <s v="0–6 months"/>
    <s v="6+ tickets"/>
    <s v="46+ min"/>
    <s v="701–1000"/>
    <n v="2898"/>
    <n v="-48.300000000000182"/>
  </r>
  <r>
    <n v="10512"/>
    <n v="46"/>
    <s v="Other"/>
    <s v="Mumbai"/>
    <d v="2022-01-07T00:00:00"/>
    <d v="2022-11-27T00:00:00"/>
    <x v="0"/>
    <n v="1396"/>
    <x v="34"/>
    <n v="1"/>
    <n v="64.34"/>
    <n v="10"/>
    <x v="0"/>
    <x v="1"/>
    <n v="16612.400000000001"/>
    <b v="1"/>
    <n v="1"/>
    <n v="1384.3666666666668"/>
    <n v="32.17"/>
    <d v="2022-01-01T00:00:00"/>
    <s v="Middle-aged"/>
    <n v="0"/>
    <s v="Yes"/>
    <n v="324"/>
    <s v="High"/>
    <s v="Low"/>
    <n v="7.6923076923076927E-2"/>
    <s v="Medium"/>
    <n v="1"/>
    <d v="2022-01-01T00:00:00"/>
    <s v="7–12 months"/>
    <s v="0–1 tickets"/>
    <s v="46+ min"/>
    <s v="1000+"/>
    <n v="16752"/>
    <n v="-139.59999999999854"/>
  </r>
  <r>
    <n v="10513"/>
    <n v="30"/>
    <s v="Female"/>
    <s v="Pune"/>
    <d v="2022-04-25T00:00:00"/>
    <d v="2021-06-10T00:00:00"/>
    <x v="1"/>
    <n v="897"/>
    <x v="7"/>
    <n v="0"/>
    <n v="63.28"/>
    <n v="15"/>
    <x v="0"/>
    <x v="1"/>
    <n v="762.45"/>
    <b v="0"/>
    <n v="8.3333333333333329E-2"/>
    <n v="762.45"/>
    <n v="63.28"/>
    <d v="2022-04-01T00:00:00"/>
    <s v="Adult"/>
    <n v="0"/>
    <s v="No"/>
    <m/>
    <s v="High"/>
    <s v="Low"/>
    <n v="0"/>
    <s v="Low"/>
    <n v="3"/>
    <d v="2022-04-01T00:00:00"/>
    <s v="0–6 months"/>
    <s v="0–1 tickets"/>
    <s v="46+ min"/>
    <s v="701–1000"/>
    <n v="897"/>
    <n v="-134.54999999999995"/>
  </r>
  <r>
    <n v="10514"/>
    <n v="29"/>
    <s v="Female"/>
    <s v="Bangalore"/>
    <d v="2023-03-29T00:00:00"/>
    <d v="2023-01-13T00:00:00"/>
    <x v="1"/>
    <n v="1098"/>
    <x v="26"/>
    <n v="1"/>
    <n v="91.77"/>
    <n v="20"/>
    <x v="1"/>
    <x v="1"/>
    <n v="29426.400000000001"/>
    <b v="0"/>
    <n v="2.25"/>
    <n v="1089.8666666666668"/>
    <n v="45.884999999999998"/>
    <d v="2023-03-01T00:00:00"/>
    <s v="Adult"/>
    <n v="0"/>
    <s v="Yes"/>
    <m/>
    <s v="High"/>
    <s v="Medium"/>
    <n v="3.5714285714285712E-2"/>
    <s v="High"/>
    <n v="3"/>
    <d v="2023-03-01T00:00:00"/>
    <s v="25+ months"/>
    <s v="0–1 tickets"/>
    <s v="46+ min"/>
    <s v="1000+"/>
    <n v="29646"/>
    <n v="-219.59999999999854"/>
  </r>
  <r>
    <n v="10515"/>
    <n v="48"/>
    <s v="Female"/>
    <s v="Delhi"/>
    <d v="2021-05-31T00:00:00"/>
    <d v="2021-12-09T00:00:00"/>
    <x v="1"/>
    <n v="1097"/>
    <x v="19"/>
    <n v="2"/>
    <n v="26.75"/>
    <n v="15"/>
    <x v="3"/>
    <x v="1"/>
    <n v="14096.45"/>
    <b v="1"/>
    <n v="1.0833333333333333"/>
    <n v="1084.3423076923077"/>
    <n v="8.9166666666666661"/>
    <d v="2021-05-01T00:00:00"/>
    <s v="Middle-aged"/>
    <n v="0"/>
    <s v="Yes"/>
    <n v="192"/>
    <s v="Medium"/>
    <s v="Low"/>
    <n v="0.14285714285714285"/>
    <s v="Medium"/>
    <n v="3"/>
    <d v="2021-05-01T00:00:00"/>
    <s v="13–24 months"/>
    <s v="2–3 tickets"/>
    <s v="21–30 min"/>
    <s v="1000+"/>
    <n v="14261"/>
    <n v="-164.54999999999927"/>
  </r>
  <r>
    <n v="10516"/>
    <n v="63"/>
    <s v="Female"/>
    <s v="Mumbai"/>
    <d v="2021-05-21T00:00:00"/>
    <d v="2022-04-16T00:00:00"/>
    <x v="0"/>
    <n v="1472"/>
    <x v="18"/>
    <n v="5"/>
    <n v="113.84"/>
    <n v="5"/>
    <x v="1"/>
    <x v="1"/>
    <n v="24950.400000000001"/>
    <b v="1"/>
    <n v="1.4166666666666667"/>
    <n v="1467.6705882352942"/>
    <n v="18.973333333333333"/>
    <d v="2021-05-01T00:00:00"/>
    <s v="Older"/>
    <n v="0"/>
    <s v="Yes"/>
    <n v="330"/>
    <s v="High"/>
    <s v="Low"/>
    <n v="0.27777777777777779"/>
    <s v="High"/>
    <n v="1"/>
    <d v="2021-05-01T00:00:00"/>
    <s v="13–24 months"/>
    <s v="4–5 tickets"/>
    <s v="46+ min"/>
    <s v="1000+"/>
    <n v="25024"/>
    <n v="-73.599999999998545"/>
  </r>
  <r>
    <n v="10517"/>
    <n v="19"/>
    <s v="Female"/>
    <s v="Mumbai"/>
    <d v="2021-03-10T00:00:00"/>
    <d v="2023-05-03T00:00:00"/>
    <x v="2"/>
    <n v="689"/>
    <x v="14"/>
    <n v="1"/>
    <n v="44.43"/>
    <n v="10"/>
    <x v="3"/>
    <x v="0"/>
    <n v="5443.1"/>
    <b v="1"/>
    <n v="0.66666666666666663"/>
    <n v="680.38750000000005"/>
    <n v="22.215"/>
    <d v="2021-03-01T00:00:00"/>
    <s v="Young"/>
    <n v="1"/>
    <s v="No"/>
    <n v="784"/>
    <s v="Medium"/>
    <s v="Low"/>
    <n v="0.1111111111111111"/>
    <s v="Low"/>
    <n v="2"/>
    <d v="2021-03-01T00:00:00"/>
    <s v="7–12 months"/>
    <s v="0–1 tickets"/>
    <s v="31–45 min"/>
    <s v="501–700"/>
    <n v="5512"/>
    <n v="-68.899999999999636"/>
  </r>
  <r>
    <n v="10518"/>
    <n v="52"/>
    <s v="Male"/>
    <s v="Pune"/>
    <d v="2021-09-17T00:00:00"/>
    <d v="2023-01-01T00:00:00"/>
    <x v="1"/>
    <n v="715"/>
    <x v="23"/>
    <n v="2"/>
    <n v="39.53"/>
    <n v="0"/>
    <x v="1"/>
    <x v="1"/>
    <n v="22880"/>
    <b v="1"/>
    <n v="2.6666666666666665"/>
    <n v="715"/>
    <n v="13.176666666666668"/>
    <d v="2021-09-01T00:00:00"/>
    <s v="Older"/>
    <n v="0"/>
    <s v="Yes"/>
    <n v="471"/>
    <s v="Medium"/>
    <s v="Low"/>
    <n v="6.0606060606060608E-2"/>
    <s v="High"/>
    <n v="3"/>
    <d v="2021-09-01T00:00:00"/>
    <s v="25+ months"/>
    <s v="2–3 tickets"/>
    <s v="31–45 min"/>
    <s v="701–1000"/>
    <n v="22880"/>
    <n v="0"/>
  </r>
  <r>
    <n v="10519"/>
    <n v="40"/>
    <s v="Male"/>
    <s v="Bangalore"/>
    <d v="2023-04-26T00:00:00"/>
    <d v="2022-09-18T00:00:00"/>
    <x v="2"/>
    <n v="725"/>
    <x v="28"/>
    <n v="1"/>
    <n v="83.8"/>
    <n v="15"/>
    <x v="2"/>
    <x v="1"/>
    <n v="14391.25"/>
    <b v="0"/>
    <n v="1.6666666666666667"/>
    <n v="719.5625"/>
    <n v="41.9"/>
    <d v="2023-04-01T00:00:00"/>
    <s v="Middle-aged"/>
    <n v="0"/>
    <s v="Yes"/>
    <m/>
    <s v="High"/>
    <s v="Low"/>
    <n v="4.7619047619047616E-2"/>
    <s v="Medium"/>
    <n v="2"/>
    <d v="2023-04-01T00:00:00"/>
    <s v="13–24 months"/>
    <s v="0–1 tickets"/>
    <s v="46+ min"/>
    <s v="701–1000"/>
    <n v="14500"/>
    <n v="-108.75"/>
  </r>
  <r>
    <n v="10520"/>
    <n v="34"/>
    <s v="Male"/>
    <s v="Chennai"/>
    <d v="2022-06-05T00:00:00"/>
    <d v="2023-10-08T00:00:00"/>
    <x v="2"/>
    <n v="1296"/>
    <x v="18"/>
    <n v="2"/>
    <n v="97.63"/>
    <n v="5"/>
    <x v="3"/>
    <x v="0"/>
    <n v="21967.200000000001"/>
    <b v="1"/>
    <n v="1.4166666666666667"/>
    <n v="1292.1882352941177"/>
    <n v="32.543333333333329"/>
    <d v="2022-06-01T00:00:00"/>
    <s v="Adult"/>
    <n v="1"/>
    <s v="Yes"/>
    <n v="490"/>
    <s v="High"/>
    <s v="Low"/>
    <n v="0.1111111111111111"/>
    <s v="High"/>
    <n v="2"/>
    <d v="2022-06-01T00:00:00"/>
    <s v="13–24 months"/>
    <s v="2–3 tickets"/>
    <s v="46+ min"/>
    <s v="1000+"/>
    <n v="22032"/>
    <n v="-64.799999999999272"/>
  </r>
  <r>
    <n v="10521"/>
    <n v="43"/>
    <s v="Male"/>
    <s v="Mumbai"/>
    <d v="2022-09-25T00:00:00"/>
    <d v="2023-02-27T00:00:00"/>
    <x v="1"/>
    <n v="1166"/>
    <x v="22"/>
    <n v="1"/>
    <n v="48.52"/>
    <n v="5"/>
    <x v="0"/>
    <x v="1"/>
    <n v="39585.699999999997"/>
    <b v="1"/>
    <n v="2.8333333333333335"/>
    <n v="1164.285294117647"/>
    <n v="24.26"/>
    <d v="2022-09-01T00:00:00"/>
    <s v="Middle-aged"/>
    <n v="0"/>
    <s v="Yes"/>
    <n v="155"/>
    <s v="Medium"/>
    <s v="Low"/>
    <n v="2.8571428571428571E-2"/>
    <s v="High"/>
    <n v="3"/>
    <d v="2022-09-01T00:00:00"/>
    <s v="25+ months"/>
    <s v="0–1 tickets"/>
    <s v="46+ min"/>
    <s v="1000+"/>
    <n v="39644"/>
    <n v="-58.30000000000291"/>
  </r>
  <r>
    <n v="10522"/>
    <n v="25"/>
    <s v="Male"/>
    <s v="Chennai"/>
    <d v="2022-01-06T00:00:00"/>
    <d v="2022-08-01T00:00:00"/>
    <x v="0"/>
    <n v="385"/>
    <x v="12"/>
    <n v="0"/>
    <n v="90.89"/>
    <n v="10"/>
    <x v="3"/>
    <x v="1"/>
    <n v="13455.75"/>
    <b v="1"/>
    <n v="2.9166666666666665"/>
    <n v="384.45"/>
    <n v="90.89"/>
    <d v="2022-01-01T00:00:00"/>
    <s v="Young"/>
    <n v="0"/>
    <s v="No"/>
    <n v="207"/>
    <s v="High"/>
    <s v="Low"/>
    <n v="0"/>
    <s v="Medium"/>
    <n v="1"/>
    <d v="2022-01-01T00:00:00"/>
    <s v="25+ months"/>
    <s v="0–1 tickets"/>
    <s v="46+ min"/>
    <s v="301–500"/>
    <n v="13475"/>
    <n v="-19.25"/>
  </r>
  <r>
    <n v="10523"/>
    <n v="46"/>
    <s v="Male"/>
    <s v="Chennai"/>
    <d v="2022-02-23T00:00:00"/>
    <d v="2023-09-26T00:00:00"/>
    <x v="2"/>
    <n v="722"/>
    <x v="12"/>
    <n v="1"/>
    <n v="106.63"/>
    <n v="10"/>
    <x v="1"/>
    <x v="1"/>
    <n v="25197.8"/>
    <b v="1"/>
    <n v="2.9166666666666665"/>
    <n v="719.93714285714282"/>
    <n v="53.314999999999998"/>
    <d v="2022-02-01T00:00:00"/>
    <s v="Middle-aged"/>
    <n v="0"/>
    <s v="Yes"/>
    <n v="580"/>
    <s v="High"/>
    <s v="Low"/>
    <n v="2.7777777777777776E-2"/>
    <s v="High"/>
    <n v="2"/>
    <d v="2022-02-01T00:00:00"/>
    <s v="25+ months"/>
    <s v="0–1 tickets"/>
    <s v="46+ min"/>
    <s v="701–1000"/>
    <n v="25270"/>
    <n v="-72.200000000000728"/>
  </r>
  <r>
    <n v="10524"/>
    <n v="43"/>
    <s v="Female"/>
    <s v="Hyderabad"/>
    <d v="2021-04-11T00:00:00"/>
    <d v="2021-07-29T00:00:00"/>
    <x v="2"/>
    <n v="417"/>
    <x v="30"/>
    <n v="4"/>
    <n v="93.18"/>
    <n v="5"/>
    <x v="1"/>
    <x v="1"/>
    <n v="9987.15"/>
    <b v="1"/>
    <n v="2"/>
    <n v="416.13124999999997"/>
    <n v="18.636000000000003"/>
    <d v="2021-04-01T00:00:00"/>
    <s v="Middle-aged"/>
    <n v="0"/>
    <s v="No"/>
    <n v="109"/>
    <s v="High"/>
    <s v="Low"/>
    <n v="0.16"/>
    <s v="Medium"/>
    <n v="2"/>
    <d v="2021-04-01T00:00:00"/>
    <s v="13–24 months"/>
    <s v="4–5 tickets"/>
    <s v="46+ min"/>
    <s v="301–500"/>
    <n v="10008"/>
    <n v="-20.850000000000364"/>
  </r>
  <r>
    <n v="10525"/>
    <n v="27"/>
    <s v="Male"/>
    <s v="Bangalore"/>
    <d v="2022-10-23T00:00:00"/>
    <d v="2022-08-10T00:00:00"/>
    <x v="1"/>
    <n v="1258"/>
    <x v="10"/>
    <n v="0"/>
    <n v="8.93"/>
    <n v="5"/>
    <x v="3"/>
    <x v="1"/>
    <n v="22581.1"/>
    <b v="0"/>
    <n v="1.5"/>
    <n v="1254.5055555555555"/>
    <n v="8.93"/>
    <d v="2022-10-01T00:00:00"/>
    <s v="Adult"/>
    <n v="0"/>
    <s v="Yes"/>
    <m/>
    <s v="Low"/>
    <s v="Low"/>
    <n v="0"/>
    <s v="High"/>
    <n v="3"/>
    <d v="2022-10-01T00:00:00"/>
    <s v="13–24 months"/>
    <s v="0–1 tickets"/>
    <s v="0–10 min"/>
    <s v="1000+"/>
    <n v="22644"/>
    <n v="-62.900000000001455"/>
  </r>
  <r>
    <n v="10526"/>
    <n v="43"/>
    <s v="Female"/>
    <s v="Chennai"/>
    <d v="2022-10-20T00:00:00"/>
    <d v="2021-09-05T00:00:00"/>
    <x v="0"/>
    <n v="1181"/>
    <x v="33"/>
    <n v="2"/>
    <n v="100.15"/>
    <n v="5"/>
    <x v="0"/>
    <x v="1"/>
    <n v="38913.949999999997"/>
    <b v="0"/>
    <n v="2.75"/>
    <n v="1179.2106060606059"/>
    <n v="33.383333333333333"/>
    <d v="2022-10-01T00:00:00"/>
    <s v="Middle-aged"/>
    <n v="0"/>
    <s v="Yes"/>
    <m/>
    <s v="High"/>
    <s v="Low"/>
    <n v="5.8823529411764705E-2"/>
    <s v="High"/>
    <n v="1"/>
    <d v="2022-10-01T00:00:00"/>
    <s v="25+ months"/>
    <s v="2–3 tickets"/>
    <s v="46+ min"/>
    <s v="1000+"/>
    <n v="38973"/>
    <n v="-59.05000000000291"/>
  </r>
  <r>
    <n v="10527"/>
    <n v="51"/>
    <s v="Male"/>
    <s v="Bangalore"/>
    <d v="2023-05-15T00:00:00"/>
    <d v="2022-10-09T00:00:00"/>
    <x v="2"/>
    <n v="1291"/>
    <x v="31"/>
    <n v="3"/>
    <n v="94.07"/>
    <n v="15"/>
    <x v="2"/>
    <x v="1"/>
    <n v="29499.35"/>
    <b v="0"/>
    <n v="1.9166666666666667"/>
    <n v="1282.5804347826086"/>
    <n v="23.517499999999998"/>
    <d v="2023-05-01T00:00:00"/>
    <s v="Older"/>
    <n v="0"/>
    <s v="Yes"/>
    <m/>
    <s v="High"/>
    <s v="Low"/>
    <n v="0.125"/>
    <s v="High"/>
    <n v="2"/>
    <d v="2023-05-01T00:00:00"/>
    <s v="13–24 months"/>
    <s v="2–3 tickets"/>
    <s v="46+ min"/>
    <s v="1000+"/>
    <n v="29693"/>
    <n v="-193.65000000000146"/>
  </r>
  <r>
    <n v="10528"/>
    <n v="58"/>
    <s v="Male"/>
    <s v="Hyderabad"/>
    <d v="2021-08-31T00:00:00"/>
    <d v="2023-07-27T00:00:00"/>
    <x v="2"/>
    <n v="714"/>
    <x v="0"/>
    <n v="1"/>
    <n v="62.59"/>
    <n v="5"/>
    <x v="0"/>
    <x v="1"/>
    <n v="17814.3"/>
    <b v="1"/>
    <n v="2.0833333333333335"/>
    <n v="712.572"/>
    <n v="31.295000000000002"/>
    <d v="2021-08-01T00:00:00"/>
    <s v="Older"/>
    <n v="0"/>
    <s v="Yes"/>
    <n v="695"/>
    <s v="High"/>
    <s v="Low"/>
    <n v="3.8461538461538464E-2"/>
    <s v="Medium"/>
    <n v="2"/>
    <d v="2021-08-01T00:00:00"/>
    <s v="25+ months"/>
    <s v="0–1 tickets"/>
    <s v="46+ min"/>
    <s v="701–1000"/>
    <n v="17850"/>
    <n v="-35.700000000000728"/>
  </r>
  <r>
    <n v="10529"/>
    <n v="24"/>
    <s v="Female"/>
    <s v="Bangalore"/>
    <d v="2023-01-23T00:00:00"/>
    <d v="2023-03-23T00:00:00"/>
    <x v="2"/>
    <n v="898"/>
    <x v="26"/>
    <n v="2"/>
    <n v="92.4"/>
    <n v="10"/>
    <x v="3"/>
    <x v="1"/>
    <n v="24156.2"/>
    <b v="1"/>
    <n v="2.25"/>
    <n v="894.67407407407416"/>
    <n v="30.8"/>
    <d v="2023-01-01T00:00:00"/>
    <s v="Young"/>
    <n v="0"/>
    <s v="Yes"/>
    <n v="59"/>
    <s v="High"/>
    <s v="Low"/>
    <n v="7.1428571428571425E-2"/>
    <s v="High"/>
    <n v="2"/>
    <d v="2023-01-01T00:00:00"/>
    <s v="25+ months"/>
    <s v="2–3 tickets"/>
    <s v="46+ min"/>
    <s v="701–1000"/>
    <n v="24246"/>
    <n v="-89.799999999999272"/>
  </r>
  <r>
    <n v="10530"/>
    <n v="21"/>
    <s v="Female"/>
    <s v="Mumbai"/>
    <d v="2022-05-27T00:00:00"/>
    <d v="2022-03-05T00:00:00"/>
    <x v="2"/>
    <n v="339"/>
    <x v="7"/>
    <n v="3"/>
    <n v="117.63"/>
    <n v="15"/>
    <x v="1"/>
    <x v="1"/>
    <n v="288.14999999999998"/>
    <b v="0"/>
    <n v="8.3333333333333329E-2"/>
    <n v="288.14999999999998"/>
    <n v="29.407499999999999"/>
    <d v="2022-05-01T00:00:00"/>
    <s v="Young"/>
    <n v="0"/>
    <s v="No"/>
    <m/>
    <s v="High"/>
    <s v="Low"/>
    <n v="1.5"/>
    <s v="Low"/>
    <n v="2"/>
    <d v="2022-05-01T00:00:00"/>
    <s v="0–6 months"/>
    <s v="2–3 tickets"/>
    <s v="46+ min"/>
    <s v="301–500"/>
    <n v="339"/>
    <n v="-50.850000000000023"/>
  </r>
  <r>
    <n v="10531"/>
    <n v="62"/>
    <s v="Male"/>
    <s v="unknown"/>
    <d v="2023-04-29T00:00:00"/>
    <d v="2022-02-20T00:00:00"/>
    <x v="1"/>
    <n v="1484"/>
    <x v="6"/>
    <n v="4"/>
    <n v="54.58"/>
    <n v="5"/>
    <x v="0"/>
    <x v="1"/>
    <n v="31089.8"/>
    <b v="0"/>
    <n v="1.75"/>
    <n v="1480.4666666666667"/>
    <n v="10.916"/>
    <d v="2023-04-01T00:00:00"/>
    <s v="Older"/>
    <n v="0"/>
    <s v="Yes"/>
    <m/>
    <s v="Medium"/>
    <s v="Low"/>
    <n v="0.18181818181818182"/>
    <s v="High"/>
    <n v="3"/>
    <d v="2023-04-01T00:00:00"/>
    <s v="13–24 months"/>
    <s v="4–5 tickets"/>
    <s v="46+ min"/>
    <s v="1000+"/>
    <n v="31164"/>
    <n v="-74.200000000000728"/>
  </r>
  <r>
    <n v="10532"/>
    <n v="28"/>
    <s v="Female"/>
    <s v="Bangalore"/>
    <d v="2022-07-09T00:00:00"/>
    <d v="2021-06-09T00:00:00"/>
    <x v="1"/>
    <n v="1002"/>
    <x v="32"/>
    <n v="3"/>
    <n v="12.73"/>
    <n v="0"/>
    <x v="1"/>
    <x v="1"/>
    <n v="10020"/>
    <b v="0"/>
    <n v="0.83333333333333337"/>
    <n v="1002"/>
    <n v="3.1825000000000001"/>
    <d v="2022-07-01T00:00:00"/>
    <s v="Adult"/>
    <n v="0"/>
    <s v="No"/>
    <m/>
    <s v="Low"/>
    <s v="Low"/>
    <n v="0.27272727272727271"/>
    <s v="Medium"/>
    <n v="3"/>
    <d v="2022-07-01T00:00:00"/>
    <s v="7–12 months"/>
    <s v="2–3 tickets"/>
    <s v="11–20 min"/>
    <s v="1000+"/>
    <n v="10020"/>
    <n v="0"/>
  </r>
  <r>
    <n v="10533"/>
    <n v="46"/>
    <s v="Female"/>
    <s v="Delhi"/>
    <d v="2021-04-05T00:00:00"/>
    <d v="2022-08-31T00:00:00"/>
    <x v="0"/>
    <n v="836"/>
    <x v="27"/>
    <n v="5"/>
    <n v="62.59"/>
    <n v="10"/>
    <x v="1"/>
    <x v="1"/>
    <n v="25832.400000000001"/>
    <b v="1"/>
    <n v="2.5833333333333335"/>
    <n v="833.30322580645168"/>
    <n v="10.431666666666667"/>
    <d v="2021-04-01T00:00:00"/>
    <s v="Middle-aged"/>
    <n v="0"/>
    <s v="Yes"/>
    <n v="513"/>
    <s v="High"/>
    <s v="Low"/>
    <n v="0.15625"/>
    <s v="High"/>
    <n v="1"/>
    <d v="2021-04-01T00:00:00"/>
    <s v="25+ months"/>
    <s v="4–5 tickets"/>
    <s v="46+ min"/>
    <s v="701–1000"/>
    <n v="25916"/>
    <n v="-83.599999999998545"/>
  </r>
  <r>
    <n v="10534"/>
    <n v="53"/>
    <s v="Male"/>
    <s v="Bangalore"/>
    <d v="2021-08-14T00:00:00"/>
    <d v="2023-08-04T00:00:00"/>
    <x v="0"/>
    <n v="719"/>
    <x v="0"/>
    <n v="1"/>
    <n v="10.34"/>
    <n v="0"/>
    <x v="0"/>
    <x v="1"/>
    <n v="17975"/>
    <b v="1"/>
    <n v="2.0833333333333335"/>
    <n v="719"/>
    <n v="5.17"/>
    <d v="2021-08-01T00:00:00"/>
    <s v="Older"/>
    <n v="0"/>
    <s v="Yes"/>
    <n v="720"/>
    <s v="Low"/>
    <s v="Low"/>
    <n v="3.8461538461538464E-2"/>
    <s v="Medium"/>
    <n v="1"/>
    <d v="2021-08-01T00:00:00"/>
    <s v="25+ months"/>
    <s v="0–1 tickets"/>
    <s v="11–20 min"/>
    <s v="701–1000"/>
    <n v="17975"/>
    <n v="0"/>
  </r>
  <r>
    <n v="10535"/>
    <n v="42"/>
    <s v="Male"/>
    <s v="Chennai"/>
    <d v="2022-06-02T00:00:00"/>
    <d v="2022-02-28T00:00:00"/>
    <x v="0"/>
    <n v="963"/>
    <x v="28"/>
    <n v="2"/>
    <n v="38.840000000000003"/>
    <n v="10"/>
    <x v="3"/>
    <x v="0"/>
    <n v="19163.7"/>
    <b v="0"/>
    <n v="1.6666666666666667"/>
    <n v="958.18500000000006"/>
    <n v="12.946666666666667"/>
    <d v="2022-06-01T00:00:00"/>
    <s v="Middle-aged"/>
    <n v="1"/>
    <s v="Yes"/>
    <m/>
    <s v="Medium"/>
    <s v="Low"/>
    <n v="9.5238095238095233E-2"/>
    <s v="Medium"/>
    <n v="1"/>
    <d v="2022-06-01T00:00:00"/>
    <s v="13–24 months"/>
    <s v="2–3 tickets"/>
    <s v="31–45 min"/>
    <s v="701–1000"/>
    <n v="19260"/>
    <n v="-96.299999999999272"/>
  </r>
  <r>
    <n v="10536"/>
    <n v="38"/>
    <s v="Other"/>
    <s v="Hyderabad"/>
    <d v="2021-08-02T00:00:00"/>
    <d v="2023-08-22T00:00:00"/>
    <x v="0"/>
    <n v="394"/>
    <x v="4"/>
    <n v="2"/>
    <n v="72.489999999999995"/>
    <n v="0"/>
    <x v="0"/>
    <x v="1"/>
    <n v="788"/>
    <b v="1"/>
    <n v="0.16666666666666666"/>
    <n v="394"/>
    <n v="24.16333333333333"/>
    <d v="2021-08-01T00:00:00"/>
    <s v="Middle-aged"/>
    <n v="0"/>
    <s v="No"/>
    <n v="750"/>
    <s v="High"/>
    <s v="Low"/>
    <n v="0.66666666666666663"/>
    <s v="Low"/>
    <n v="1"/>
    <d v="2021-08-01T00:00:00"/>
    <s v="0–6 months"/>
    <s v="2–3 tickets"/>
    <s v="46+ min"/>
    <s v="301–500"/>
    <n v="788"/>
    <n v="0"/>
  </r>
  <r>
    <n v="10537"/>
    <n v="53"/>
    <s v="Female"/>
    <s v="Hyderabad"/>
    <d v="2022-12-19T00:00:00"/>
    <d v="2021-06-08T00:00:00"/>
    <x v="2"/>
    <n v="1272"/>
    <x v="15"/>
    <n v="2"/>
    <n v="40.61"/>
    <n v="5"/>
    <x v="2"/>
    <x v="1"/>
    <n v="19016.400000000001"/>
    <b v="0"/>
    <n v="1.25"/>
    <n v="1267.76"/>
    <n v="13.536666666666667"/>
    <d v="2022-12-01T00:00:00"/>
    <s v="Older"/>
    <n v="0"/>
    <s v="Yes"/>
    <m/>
    <s v="Medium"/>
    <s v="Low"/>
    <n v="0.125"/>
    <s v="Medium"/>
    <n v="2"/>
    <d v="2022-12-01T00:00:00"/>
    <s v="13–24 months"/>
    <s v="2–3 tickets"/>
    <s v="31–45 min"/>
    <s v="1000+"/>
    <n v="19080"/>
    <n v="-63.599999999998545"/>
  </r>
  <r>
    <n v="10538"/>
    <n v="27"/>
    <s v="Female"/>
    <s v="Chennai"/>
    <d v="2021-03-08T00:00:00"/>
    <d v="2021-12-25T00:00:00"/>
    <x v="1"/>
    <n v="949"/>
    <x v="29"/>
    <n v="3"/>
    <n v="83.82"/>
    <n v="0"/>
    <x v="1"/>
    <x v="1"/>
    <n v="26572"/>
    <b v="1"/>
    <n v="2.3333333333333335"/>
    <n v="949"/>
    <n v="20.954999999999998"/>
    <d v="2021-03-01T00:00:00"/>
    <s v="Adult"/>
    <n v="0"/>
    <s v="Yes"/>
    <n v="292"/>
    <s v="High"/>
    <s v="Low"/>
    <n v="0.10344827586206896"/>
    <s v="High"/>
    <n v="3"/>
    <d v="2021-03-01T00:00:00"/>
    <s v="25+ months"/>
    <s v="2–3 tickets"/>
    <s v="46+ min"/>
    <s v="701–1000"/>
    <n v="26572"/>
    <n v="0"/>
  </r>
  <r>
    <n v="10539"/>
    <n v="54"/>
    <s v="Female"/>
    <s v="Mumbai"/>
    <d v="2022-01-31T00:00:00"/>
    <d v="2023-02-27T00:00:00"/>
    <x v="1"/>
    <n v="587"/>
    <x v="19"/>
    <n v="2"/>
    <n v="99.53"/>
    <n v="0"/>
    <x v="1"/>
    <x v="1"/>
    <n v="7631"/>
    <b v="1"/>
    <n v="1.0833333333333333"/>
    <n v="587"/>
    <n v="33.176666666666669"/>
    <d v="2022-01-01T00:00:00"/>
    <s v="Older"/>
    <n v="0"/>
    <s v="No"/>
    <n v="392"/>
    <s v="High"/>
    <s v="Low"/>
    <n v="0.14285714285714285"/>
    <s v="Low"/>
    <n v="3"/>
    <d v="2022-01-01T00:00:00"/>
    <s v="13–24 months"/>
    <s v="2–3 tickets"/>
    <s v="46+ min"/>
    <s v="501–700"/>
    <n v="7631"/>
    <n v="0"/>
  </r>
  <r>
    <n v="10540"/>
    <n v="26"/>
    <s v="Male"/>
    <s v="Mumbai"/>
    <d v="2022-09-04T00:00:00"/>
    <d v="2021-10-01T00:00:00"/>
    <x v="0"/>
    <n v="711"/>
    <x v="25"/>
    <n v="2"/>
    <n v="53.35"/>
    <n v="10"/>
    <x v="3"/>
    <x v="1"/>
    <n v="9882.9"/>
    <b v="0"/>
    <n v="1.1666666666666667"/>
    <n v="705.92142857142858"/>
    <n v="17.783333333333335"/>
    <d v="2022-09-01T00:00:00"/>
    <s v="Adult"/>
    <n v="0"/>
    <s v="No"/>
    <m/>
    <s v="Medium"/>
    <s v="Low"/>
    <n v="0.13333333333333333"/>
    <s v="Medium"/>
    <n v="1"/>
    <d v="2022-09-01T00:00:00"/>
    <s v="13–24 months"/>
    <s v="2–3 tickets"/>
    <s v="46+ min"/>
    <s v="701–1000"/>
    <n v="9954"/>
    <n v="-71.100000000000364"/>
  </r>
  <r>
    <n v="10541"/>
    <n v="41"/>
    <s v="Male"/>
    <s v="Hyderabad"/>
    <d v="2021-01-12T00:00:00"/>
    <d v="2021-07-03T00:00:00"/>
    <x v="0"/>
    <n v="699"/>
    <x v="4"/>
    <n v="5"/>
    <n v="108.52"/>
    <n v="5"/>
    <x v="1"/>
    <x v="1"/>
    <n v="1363.05"/>
    <b v="1"/>
    <n v="0.16666666666666666"/>
    <n v="681.52499999999998"/>
    <n v="18.086666666666666"/>
    <d v="2021-01-01T00:00:00"/>
    <s v="Middle-aged"/>
    <n v="0"/>
    <s v="No"/>
    <n v="172"/>
    <s v="High"/>
    <s v="Low"/>
    <n v="1.6666666666666667"/>
    <s v="Low"/>
    <n v="1"/>
    <d v="2021-01-01T00:00:00"/>
    <s v="0–6 months"/>
    <s v="4–5 tickets"/>
    <s v="46+ min"/>
    <s v="501–700"/>
    <n v="1398"/>
    <n v="-34.950000000000045"/>
  </r>
  <r>
    <n v="10542"/>
    <n v="52"/>
    <s v="Male"/>
    <s v="Hyderabad"/>
    <d v="2021-08-25T00:00:00"/>
    <d v="2022-10-26T00:00:00"/>
    <x v="2"/>
    <n v="827"/>
    <x v="22"/>
    <n v="2"/>
    <n v="62.59"/>
    <n v="10"/>
    <x v="1"/>
    <x v="1"/>
    <n v="28035.3"/>
    <b v="1"/>
    <n v="2.8333333333333335"/>
    <n v="824.56764705882347"/>
    <n v="20.863333333333333"/>
    <d v="2021-08-01T00:00:00"/>
    <s v="Older"/>
    <n v="0"/>
    <s v="Yes"/>
    <n v="427"/>
    <s v="High"/>
    <s v="Low"/>
    <n v="5.7142857142857141E-2"/>
    <s v="High"/>
    <n v="2"/>
    <d v="2021-08-01T00:00:00"/>
    <s v="25+ months"/>
    <s v="2–3 tickets"/>
    <s v="46+ min"/>
    <s v="701–1000"/>
    <n v="28118"/>
    <n v="-82.700000000000728"/>
  </r>
  <r>
    <n v="10543"/>
    <n v="52"/>
    <s v="Female"/>
    <s v="Chennai"/>
    <d v="2023-04-14T00:00:00"/>
    <d v="2021-12-21T00:00:00"/>
    <x v="2"/>
    <n v="1341"/>
    <x v="12"/>
    <n v="2"/>
    <n v="101.61"/>
    <n v="5"/>
    <x v="1"/>
    <x v="1"/>
    <n v="46867.95"/>
    <b v="0"/>
    <n v="2.9166666666666665"/>
    <n v="1339.0842857142857"/>
    <n v="33.869999999999997"/>
    <d v="2023-04-01T00:00:00"/>
    <s v="Older"/>
    <n v="0"/>
    <s v="Yes"/>
    <m/>
    <s v="High"/>
    <s v="Low"/>
    <n v="5.5555555555555552E-2"/>
    <s v="High"/>
    <n v="2"/>
    <d v="2023-04-01T00:00:00"/>
    <s v="25+ months"/>
    <s v="2–3 tickets"/>
    <s v="46+ min"/>
    <s v="1000+"/>
    <n v="46935"/>
    <n v="-67.05000000000291"/>
  </r>
  <r>
    <n v="10544"/>
    <n v="53"/>
    <s v="Female"/>
    <s v="Mumbai"/>
    <d v="2023-02-09T00:00:00"/>
    <d v="2022-10-31T00:00:00"/>
    <x v="0"/>
    <n v="435"/>
    <x v="0"/>
    <n v="3"/>
    <n v="100.29"/>
    <n v="20"/>
    <x v="0"/>
    <x v="0"/>
    <n v="10788"/>
    <b v="0"/>
    <n v="2.0833333333333335"/>
    <n v="431.52"/>
    <n v="25.072500000000002"/>
    <d v="2023-02-01T00:00:00"/>
    <s v="Older"/>
    <n v="1"/>
    <s v="No"/>
    <m/>
    <s v="High"/>
    <s v="Medium"/>
    <n v="0.11538461538461539"/>
    <s v="Medium"/>
    <n v="1"/>
    <d v="2023-02-01T00:00:00"/>
    <s v="25+ months"/>
    <s v="2–3 tickets"/>
    <s v="46+ min"/>
    <s v="301–500"/>
    <n v="10875"/>
    <n v="-87"/>
  </r>
  <r>
    <n v="10545"/>
    <n v="35"/>
    <s v="Female"/>
    <s v="Hyderabad"/>
    <d v="2022-02-03T00:00:00"/>
    <d v="2023-08-18T00:00:00"/>
    <x v="1"/>
    <n v="1058"/>
    <x v="15"/>
    <n v="1"/>
    <n v="42.03"/>
    <n v="15"/>
    <x v="1"/>
    <x v="1"/>
    <n v="15711.3"/>
    <b v="1"/>
    <n v="1.25"/>
    <n v="1047.4199999999998"/>
    <n v="21.015000000000001"/>
    <d v="2022-02-01T00:00:00"/>
    <s v="Adult"/>
    <n v="0"/>
    <s v="Yes"/>
    <n v="561"/>
    <s v="Medium"/>
    <s v="Low"/>
    <n v="6.25E-2"/>
    <s v="Medium"/>
    <n v="3"/>
    <d v="2022-02-01T00:00:00"/>
    <s v="13–24 months"/>
    <s v="0–1 tickets"/>
    <s v="31–45 min"/>
    <s v="1000+"/>
    <n v="15870"/>
    <n v="-158.70000000000073"/>
  </r>
  <r>
    <n v="10546"/>
    <n v="56"/>
    <s v="Male"/>
    <s v="Mumbai"/>
    <d v="2022-02-11T00:00:00"/>
    <d v="2022-10-30T00:00:00"/>
    <x v="1"/>
    <n v="1142"/>
    <x v="34"/>
    <n v="3"/>
    <n v="39.35"/>
    <n v="15"/>
    <x v="0"/>
    <x v="0"/>
    <n v="13532.7"/>
    <b v="1"/>
    <n v="1"/>
    <n v="1127.7250000000001"/>
    <n v="9.8375000000000004"/>
    <d v="2022-02-01T00:00:00"/>
    <s v="Older"/>
    <n v="1"/>
    <s v="Yes"/>
    <n v="261"/>
    <s v="Medium"/>
    <s v="Low"/>
    <n v="0.23076923076923078"/>
    <s v="Medium"/>
    <n v="3"/>
    <d v="2022-02-01T00:00:00"/>
    <s v="7–12 months"/>
    <s v="2–3 tickets"/>
    <s v="31–45 min"/>
    <s v="1000+"/>
    <n v="13704"/>
    <n v="-171.29999999999927"/>
  </r>
  <r>
    <n v="10547"/>
    <n v="49"/>
    <s v="Male"/>
    <s v="Hyderabad"/>
    <d v="2023-04-29T00:00:00"/>
    <d v="2022-08-17T00:00:00"/>
    <x v="0"/>
    <n v="1009"/>
    <x v="9"/>
    <n v="1"/>
    <n v="40.090000000000003"/>
    <n v="10"/>
    <x v="3"/>
    <x v="1"/>
    <n v="8980.1"/>
    <b v="0"/>
    <n v="0.75"/>
    <n v="997.78888888888889"/>
    <n v="20.045000000000002"/>
    <d v="2023-04-01T00:00:00"/>
    <s v="Middle-aged"/>
    <n v="0"/>
    <s v="No"/>
    <m/>
    <s v="Medium"/>
    <s v="Low"/>
    <n v="0.1"/>
    <s v="Medium"/>
    <n v="1"/>
    <d v="2023-04-01T00:00:00"/>
    <s v="7–12 months"/>
    <s v="0–1 tickets"/>
    <s v="31–45 min"/>
    <s v="1000+"/>
    <n v="9081"/>
    <n v="-100.89999999999964"/>
  </r>
  <r>
    <n v="10548"/>
    <n v="41"/>
    <s v="Female"/>
    <s v="Bangalore"/>
    <d v="2022-04-25T00:00:00"/>
    <d v="2023-01-13T00:00:00"/>
    <x v="1"/>
    <n v="1324"/>
    <x v="27"/>
    <n v="2"/>
    <n v="98.31"/>
    <n v="5"/>
    <x v="2"/>
    <x v="1"/>
    <n v="40977.800000000003"/>
    <b v="1"/>
    <n v="2.5833333333333335"/>
    <n v="1321.8645161290324"/>
    <n v="32.770000000000003"/>
    <d v="2022-04-01T00:00:00"/>
    <s v="Middle-aged"/>
    <n v="0"/>
    <s v="Yes"/>
    <n v="263"/>
    <s v="High"/>
    <s v="Low"/>
    <n v="6.25E-2"/>
    <s v="High"/>
    <n v="3"/>
    <d v="2022-04-01T00:00:00"/>
    <s v="25+ months"/>
    <s v="2–3 tickets"/>
    <s v="46+ min"/>
    <s v="1000+"/>
    <n v="41044"/>
    <n v="-66.19999999999709"/>
  </r>
  <r>
    <n v="10549"/>
    <n v="40"/>
    <s v="Female"/>
    <s v="Delhi"/>
    <d v="2022-10-09T00:00:00"/>
    <d v="2023-07-26T00:00:00"/>
    <x v="0"/>
    <n v="680"/>
    <x v="25"/>
    <n v="2"/>
    <n v="100.64"/>
    <n v="0"/>
    <x v="1"/>
    <x v="1"/>
    <n v="9520"/>
    <b v="1"/>
    <n v="1.1666666666666667"/>
    <n v="680"/>
    <n v="33.546666666666667"/>
    <d v="2022-10-01T00:00:00"/>
    <s v="Middle-aged"/>
    <n v="0"/>
    <s v="No"/>
    <n v="290"/>
    <s v="High"/>
    <s v="Low"/>
    <n v="0.13333333333333333"/>
    <s v="Medium"/>
    <n v="1"/>
    <d v="2022-10-01T00:00:00"/>
    <s v="13–24 months"/>
    <s v="2–3 tickets"/>
    <s v="46+ min"/>
    <s v="501–700"/>
    <n v="9520"/>
    <n v="0"/>
  </r>
  <r>
    <n v="10550"/>
    <n v="49"/>
    <s v="Female"/>
    <s v="Pune"/>
    <d v="2021-08-10T00:00:00"/>
    <d v="2023-04-20T00:00:00"/>
    <x v="2"/>
    <n v="808"/>
    <x v="5"/>
    <n v="2"/>
    <n v="42.92"/>
    <n v="15"/>
    <x v="2"/>
    <x v="1"/>
    <n v="23310.799999999999"/>
    <b v="1"/>
    <n v="2.4166666666666665"/>
    <n v="803.82068965517237"/>
    <n v="14.306666666666667"/>
    <d v="2021-08-01T00:00:00"/>
    <s v="Middle-aged"/>
    <n v="0"/>
    <s v="Yes"/>
    <n v="618"/>
    <s v="Medium"/>
    <s v="Low"/>
    <n v="6.6666666666666666E-2"/>
    <s v="High"/>
    <n v="2"/>
    <d v="2021-08-01T00:00:00"/>
    <s v="25+ months"/>
    <s v="2–3 tickets"/>
    <s v="31–45 min"/>
    <s v="701–1000"/>
    <n v="23432"/>
    <n v="-121.20000000000073"/>
  </r>
  <r>
    <n v="10551"/>
    <n v="54"/>
    <s v="Male"/>
    <s v="Bangalore"/>
    <d v="2021-06-05T00:00:00"/>
    <d v="2023-09-28T00:00:00"/>
    <x v="2"/>
    <n v="1105"/>
    <x v="14"/>
    <n v="2"/>
    <n v="73.150000000000006"/>
    <n v="10"/>
    <x v="0"/>
    <x v="1"/>
    <n v="8729.5"/>
    <b v="1"/>
    <n v="0.66666666666666663"/>
    <n v="1091.1875"/>
    <n v="24.383333333333336"/>
    <d v="2021-06-01T00:00:00"/>
    <s v="Older"/>
    <n v="0"/>
    <s v="No"/>
    <n v="845"/>
    <s v="High"/>
    <s v="Low"/>
    <n v="0.22222222222222221"/>
    <s v="Low"/>
    <n v="2"/>
    <d v="2021-06-01T00:00:00"/>
    <s v="7–12 months"/>
    <s v="2–3 tickets"/>
    <s v="46+ min"/>
    <s v="1000+"/>
    <n v="8840"/>
    <n v="-110.5"/>
  </r>
  <r>
    <n v="10552"/>
    <n v="29"/>
    <s v="Female"/>
    <s v="Pune"/>
    <d v="2022-10-16T00:00:00"/>
    <d v="2023-09-11T00:00:00"/>
    <x v="0"/>
    <n v="775"/>
    <x v="13"/>
    <n v="5"/>
    <n v="20.98"/>
    <n v="10"/>
    <x v="3"/>
    <x v="1"/>
    <n v="2247.5"/>
    <b v="1"/>
    <n v="0.25"/>
    <n v="749.16666666666663"/>
    <n v="3.4966666666666666"/>
    <d v="2022-10-01T00:00:00"/>
    <s v="Adult"/>
    <n v="0"/>
    <s v="No"/>
    <n v="330"/>
    <s v="Medium"/>
    <s v="Low"/>
    <n v="1.25"/>
    <s v="Low"/>
    <n v="1"/>
    <d v="2022-10-01T00:00:00"/>
    <s v="0–6 months"/>
    <s v="4–5 tickets"/>
    <s v="21–30 min"/>
    <s v="701–1000"/>
    <n v="2325"/>
    <n v="-77.5"/>
  </r>
  <r>
    <n v="10553"/>
    <n v="30"/>
    <s v="Male"/>
    <s v="Hyderabad"/>
    <d v="2022-03-04T00:00:00"/>
    <d v="2022-05-05T00:00:00"/>
    <x v="1"/>
    <n v="1253"/>
    <x v="4"/>
    <n v="3"/>
    <n v="58.91"/>
    <n v="10"/>
    <x v="3"/>
    <x v="1"/>
    <n v="2380.6999999999998"/>
    <b v="1"/>
    <n v="0.16666666666666666"/>
    <n v="1190.3499999999999"/>
    <n v="14.727499999999999"/>
    <d v="2022-03-01T00:00:00"/>
    <s v="Adult"/>
    <n v="0"/>
    <s v="No"/>
    <n v="62"/>
    <s v="Medium"/>
    <s v="Low"/>
    <n v="1"/>
    <s v="Low"/>
    <n v="3"/>
    <d v="2022-03-01T00:00:00"/>
    <s v="0–6 months"/>
    <s v="2–3 tickets"/>
    <s v="46+ min"/>
    <s v="1000+"/>
    <n v="2506"/>
    <n v="-125.30000000000018"/>
  </r>
  <r>
    <n v="10554"/>
    <n v="40"/>
    <s v="Female"/>
    <s v="Delhi"/>
    <d v="2021-06-07T00:00:00"/>
    <d v="2022-08-12T00:00:00"/>
    <x v="2"/>
    <n v="1148"/>
    <x v="24"/>
    <n v="0"/>
    <n v="119.86"/>
    <n v="5"/>
    <x v="0"/>
    <x v="1"/>
    <n v="18310.599999999999"/>
    <b v="1"/>
    <n v="1.3333333333333333"/>
    <n v="1144.4124999999999"/>
    <n v="119.86"/>
    <d v="2021-06-01T00:00:00"/>
    <s v="Middle-aged"/>
    <n v="0"/>
    <s v="Yes"/>
    <n v="431"/>
    <s v="High"/>
    <s v="Low"/>
    <n v="0"/>
    <s v="Medium"/>
    <n v="2"/>
    <d v="2021-06-01T00:00:00"/>
    <s v="13–24 months"/>
    <s v="0–1 tickets"/>
    <s v="46+ min"/>
    <s v="1000+"/>
    <n v="18368"/>
    <n v="-57.400000000001455"/>
  </r>
  <r>
    <n v="10555"/>
    <n v="42"/>
    <s v="Male"/>
    <s v="Delhi"/>
    <d v="2022-02-20T00:00:00"/>
    <d v="2022-08-19T00:00:00"/>
    <x v="2"/>
    <n v="1196"/>
    <x v="17"/>
    <n v="1"/>
    <n v="23.27"/>
    <n v="10"/>
    <x v="2"/>
    <x v="1"/>
    <n v="22604.400000000001"/>
    <b v="1"/>
    <n v="1.5833333333333333"/>
    <n v="1189.7052631578947"/>
    <n v="11.635"/>
    <d v="2022-02-01T00:00:00"/>
    <s v="Middle-aged"/>
    <n v="0"/>
    <s v="Yes"/>
    <n v="180"/>
    <s v="Medium"/>
    <s v="Low"/>
    <n v="0.05"/>
    <s v="High"/>
    <n v="2"/>
    <d v="2022-02-01T00:00:00"/>
    <s v="13–24 months"/>
    <s v="0–1 tickets"/>
    <s v="21–30 min"/>
    <s v="1000+"/>
    <n v="22724"/>
    <n v="-119.59999999999854"/>
  </r>
  <r>
    <n v="10556"/>
    <n v="52"/>
    <s v="Female"/>
    <s v="Hyderabad"/>
    <d v="2021-11-22T00:00:00"/>
    <d v="2021-10-14T00:00:00"/>
    <x v="0"/>
    <n v="331"/>
    <x v="3"/>
    <n v="1"/>
    <n v="113.97"/>
    <n v="20"/>
    <x v="1"/>
    <x v="1"/>
    <n v="9863.7999999999993"/>
    <b v="0"/>
    <n v="2.5"/>
    <n v="328.79333333333329"/>
    <n v="56.984999999999999"/>
    <d v="2021-11-01T00:00:00"/>
    <s v="Older"/>
    <n v="0"/>
    <s v="No"/>
    <m/>
    <s v="High"/>
    <s v="Medium"/>
    <n v="3.2258064516129031E-2"/>
    <s v="Medium"/>
    <n v="1"/>
    <d v="2021-11-01T00:00:00"/>
    <s v="25+ months"/>
    <s v="0–1 tickets"/>
    <s v="46+ min"/>
    <s v="301–500"/>
    <n v="9930"/>
    <n v="-66.200000000000728"/>
  </r>
  <r>
    <n v="10557"/>
    <n v="58"/>
    <s v="Male"/>
    <s v="Hyderabad"/>
    <d v="2022-01-06T00:00:00"/>
    <d v="2022-06-22T00:00:00"/>
    <x v="0"/>
    <n v="417"/>
    <x v="24"/>
    <n v="0"/>
    <n v="99.79"/>
    <n v="0"/>
    <x v="0"/>
    <x v="1"/>
    <n v="6672"/>
    <b v="1"/>
    <n v="1.3333333333333333"/>
    <n v="417"/>
    <n v="99.79"/>
    <d v="2022-01-01T00:00:00"/>
    <s v="Older"/>
    <n v="0"/>
    <s v="No"/>
    <n v="167"/>
    <s v="High"/>
    <s v="Low"/>
    <n v="0"/>
    <s v="Low"/>
    <n v="1"/>
    <d v="2022-01-01T00:00:00"/>
    <s v="13–24 months"/>
    <s v="0–1 tickets"/>
    <s v="46+ min"/>
    <s v="301–500"/>
    <n v="6672"/>
    <n v="0"/>
  </r>
  <r>
    <n v="10558"/>
    <n v="47"/>
    <s v="Female"/>
    <s v="unknown"/>
    <d v="2021-12-10T00:00:00"/>
    <d v="2021-06-25T00:00:00"/>
    <x v="0"/>
    <n v="490"/>
    <x v="27"/>
    <n v="2"/>
    <n v="116.8"/>
    <n v="10"/>
    <x v="0"/>
    <x v="1"/>
    <n v="15141"/>
    <b v="0"/>
    <n v="2.5833333333333335"/>
    <n v="488.41935483870969"/>
    <n v="38.93333333333333"/>
    <d v="2021-12-01T00:00:00"/>
    <s v="Middle-aged"/>
    <n v="0"/>
    <s v="Yes"/>
    <m/>
    <s v="High"/>
    <s v="Low"/>
    <n v="6.25E-2"/>
    <s v="Medium"/>
    <n v="1"/>
    <d v="2021-12-01T00:00:00"/>
    <s v="25+ months"/>
    <s v="2–3 tickets"/>
    <s v="46+ min"/>
    <s v="301–500"/>
    <n v="15190"/>
    <n v="-49"/>
  </r>
  <r>
    <n v="10559"/>
    <n v="34"/>
    <s v="Male"/>
    <s v="Hyderabad"/>
    <d v="2021-09-19T00:00:00"/>
    <d v="2022-10-19T00:00:00"/>
    <x v="2"/>
    <n v="373"/>
    <x v="29"/>
    <n v="4"/>
    <n v="25.65"/>
    <n v="5"/>
    <x v="0"/>
    <x v="1"/>
    <n v="10425.35"/>
    <b v="1"/>
    <n v="2.3333333333333335"/>
    <n v="372.3339285714286"/>
    <n v="5.13"/>
    <d v="2021-09-01T00:00:00"/>
    <s v="Adult"/>
    <n v="0"/>
    <s v="No"/>
    <n v="395"/>
    <s v="Medium"/>
    <s v="Low"/>
    <n v="0.13793103448275862"/>
    <s v="Medium"/>
    <n v="2"/>
    <d v="2021-09-01T00:00:00"/>
    <s v="25+ months"/>
    <s v="4–5 tickets"/>
    <s v="21–30 min"/>
    <s v="301–500"/>
    <n v="10444"/>
    <n v="-18.649999999999636"/>
  </r>
  <r>
    <n v="10560"/>
    <n v="37"/>
    <s v="Male"/>
    <s v="Chennai"/>
    <d v="2021-10-10T00:00:00"/>
    <d v="2022-04-21T00:00:00"/>
    <x v="2"/>
    <n v="922"/>
    <x v="2"/>
    <n v="3"/>
    <n v="29.55"/>
    <n v="0"/>
    <x v="0"/>
    <x v="1"/>
    <n v="3688"/>
    <b v="1"/>
    <n v="0.33333333333333331"/>
    <n v="922"/>
    <n v="7.3875000000000002"/>
    <d v="2021-10-01T00:00:00"/>
    <s v="Middle-aged"/>
    <n v="0"/>
    <s v="No"/>
    <n v="193"/>
    <s v="Medium"/>
    <s v="Low"/>
    <n v="0.6"/>
    <s v="Low"/>
    <n v="2"/>
    <d v="2021-10-01T00:00:00"/>
    <s v="0–6 months"/>
    <s v="2–3 tickets"/>
    <s v="21–30 min"/>
    <s v="701–1000"/>
    <n v="3688"/>
    <n v="0"/>
  </r>
  <r>
    <n v="10561"/>
    <n v="42"/>
    <s v="Male"/>
    <s v="Hyderabad"/>
    <d v="2023-04-30T00:00:00"/>
    <d v="2023-04-26T00:00:00"/>
    <x v="0"/>
    <n v="1426"/>
    <x v="32"/>
    <n v="0"/>
    <n v="6.94"/>
    <n v="0"/>
    <x v="0"/>
    <x v="1"/>
    <n v="14260"/>
    <b v="0"/>
    <n v="0.83333333333333337"/>
    <n v="1426"/>
    <n v="6.94"/>
    <d v="2023-04-01T00:00:00"/>
    <s v="Middle-aged"/>
    <n v="0"/>
    <s v="Yes"/>
    <m/>
    <s v="Low"/>
    <s v="Low"/>
    <n v="0"/>
    <s v="Medium"/>
    <n v="1"/>
    <d v="2023-04-01T00:00:00"/>
    <s v="7–12 months"/>
    <s v="0–1 tickets"/>
    <s v="0–10 min"/>
    <s v="1000+"/>
    <n v="14260"/>
    <n v="0"/>
  </r>
  <r>
    <n v="10562"/>
    <n v="39"/>
    <s v="Male"/>
    <s v="Chennai"/>
    <d v="2023-05-06T00:00:00"/>
    <d v="2023-04-11T00:00:00"/>
    <x v="2"/>
    <n v="1170"/>
    <x v="10"/>
    <n v="1"/>
    <n v="88.34"/>
    <n v="15"/>
    <x v="3"/>
    <x v="1"/>
    <n v="20884.5"/>
    <b v="0"/>
    <n v="1.5"/>
    <n v="1160.25"/>
    <n v="44.17"/>
    <d v="2023-05-01T00:00:00"/>
    <s v="Middle-aged"/>
    <n v="0"/>
    <s v="Yes"/>
    <m/>
    <s v="High"/>
    <s v="Low"/>
    <n v="5.2631578947368418E-2"/>
    <s v="High"/>
    <n v="2"/>
    <d v="2023-05-01T00:00:00"/>
    <s v="13–24 months"/>
    <s v="0–1 tickets"/>
    <s v="46+ min"/>
    <s v="1000+"/>
    <n v="21060"/>
    <n v="-175.5"/>
  </r>
  <r>
    <n v="10563"/>
    <n v="30"/>
    <s v="Male"/>
    <s v="Hyderabad"/>
    <d v="2021-08-17T00:00:00"/>
    <d v="2022-05-04T00:00:00"/>
    <x v="2"/>
    <n v="885"/>
    <x v="23"/>
    <n v="3"/>
    <n v="79.069999999999993"/>
    <n v="10"/>
    <x v="0"/>
    <x v="1"/>
    <n v="28231.5"/>
    <b v="1"/>
    <n v="2.6666666666666665"/>
    <n v="882.234375"/>
    <n v="19.767499999999998"/>
    <d v="2021-08-01T00:00:00"/>
    <s v="Adult"/>
    <n v="0"/>
    <s v="Yes"/>
    <n v="260"/>
    <s v="High"/>
    <s v="Low"/>
    <n v="9.0909090909090912E-2"/>
    <s v="High"/>
    <n v="2"/>
    <d v="2021-08-01T00:00:00"/>
    <s v="25+ months"/>
    <s v="2–3 tickets"/>
    <s v="46+ min"/>
    <s v="701–1000"/>
    <n v="28320"/>
    <n v="-88.5"/>
  </r>
  <r>
    <n v="10564"/>
    <n v="36"/>
    <s v="Female"/>
    <s v="Mumbai"/>
    <d v="2023-06-07T00:00:00"/>
    <d v="2023-04-21T00:00:00"/>
    <x v="2"/>
    <n v="719"/>
    <x v="3"/>
    <n v="3"/>
    <n v="25.48"/>
    <n v="10"/>
    <x v="3"/>
    <x v="1"/>
    <n v="21498.1"/>
    <b v="0"/>
    <n v="2.5"/>
    <n v="716.60333333333324"/>
    <n v="6.37"/>
    <d v="2023-06-01T00:00:00"/>
    <s v="Middle-aged"/>
    <n v="0"/>
    <s v="Yes"/>
    <m/>
    <s v="Medium"/>
    <s v="Low"/>
    <n v="9.6774193548387094E-2"/>
    <s v="High"/>
    <n v="2"/>
    <d v="2023-06-01T00:00:00"/>
    <s v="25+ months"/>
    <s v="2–3 tickets"/>
    <s v="21–30 min"/>
    <s v="701–1000"/>
    <n v="21570"/>
    <n v="-71.900000000001455"/>
  </r>
  <r>
    <n v="10565"/>
    <n v="53"/>
    <s v="Male"/>
    <s v="Chennai"/>
    <d v="2021-10-07T00:00:00"/>
    <d v="2023-11-02T00:00:00"/>
    <x v="2"/>
    <n v="772"/>
    <x v="9"/>
    <n v="2"/>
    <n v="95.98"/>
    <n v="5"/>
    <x v="2"/>
    <x v="1"/>
    <n v="6909.4"/>
    <b v="1"/>
    <n v="0.75"/>
    <n v="767.71111111111111"/>
    <n v="31.993333333333336"/>
    <d v="2021-10-01T00:00:00"/>
    <s v="Older"/>
    <n v="0"/>
    <s v="No"/>
    <n v="756"/>
    <s v="High"/>
    <s v="Low"/>
    <n v="0.2"/>
    <s v="Low"/>
    <n v="2"/>
    <d v="2021-10-01T00:00:00"/>
    <s v="7–12 months"/>
    <s v="2–3 tickets"/>
    <s v="46+ min"/>
    <s v="701–1000"/>
    <n v="6948"/>
    <n v="-38.600000000000364"/>
  </r>
  <r>
    <n v="10566"/>
    <n v="29"/>
    <s v="Female"/>
    <s v="unknown"/>
    <d v="2023-05-20T00:00:00"/>
    <d v="2021-09-03T00:00:00"/>
    <x v="1"/>
    <n v="413"/>
    <x v="5"/>
    <n v="1"/>
    <n v="39.409999999999997"/>
    <n v="20"/>
    <x v="1"/>
    <x v="1"/>
    <n v="11894.4"/>
    <b v="0"/>
    <n v="2.4166666666666665"/>
    <n v="410.15172413793101"/>
    <n v="19.704999999999998"/>
    <d v="2023-05-01T00:00:00"/>
    <s v="Adult"/>
    <n v="0"/>
    <s v="No"/>
    <m/>
    <s v="Medium"/>
    <s v="Medium"/>
    <n v="3.3333333333333333E-2"/>
    <s v="Medium"/>
    <n v="3"/>
    <d v="2023-05-01T00:00:00"/>
    <s v="25+ months"/>
    <s v="0–1 tickets"/>
    <s v="31–45 min"/>
    <s v="301–500"/>
    <n v="11977"/>
    <n v="-82.600000000000364"/>
  </r>
  <r>
    <n v="10567"/>
    <n v="58"/>
    <s v="Female"/>
    <s v="Chennai"/>
    <d v="2021-10-17T00:00:00"/>
    <d v="2022-11-27T00:00:00"/>
    <x v="2"/>
    <n v="629"/>
    <x v="24"/>
    <n v="1"/>
    <n v="20.52"/>
    <n v="20"/>
    <x v="3"/>
    <x v="1"/>
    <n v="9938.2000000000007"/>
    <b v="1"/>
    <n v="1.3333333333333333"/>
    <n v="621.13750000000005"/>
    <n v="10.26"/>
    <d v="2021-10-01T00:00:00"/>
    <s v="Older"/>
    <n v="0"/>
    <s v="No"/>
    <n v="406"/>
    <s v="Medium"/>
    <s v="Medium"/>
    <n v="5.8823529411764705E-2"/>
    <s v="Medium"/>
    <n v="2"/>
    <d v="2021-10-01T00:00:00"/>
    <s v="13–24 months"/>
    <s v="0–1 tickets"/>
    <s v="21–30 min"/>
    <s v="501–700"/>
    <n v="10064"/>
    <n v="-125.79999999999927"/>
  </r>
  <r>
    <n v="10568"/>
    <n v="36"/>
    <s v="Female"/>
    <s v="Mumbai"/>
    <d v="2022-11-11T00:00:00"/>
    <d v="2023-02-13T00:00:00"/>
    <x v="2"/>
    <n v="638"/>
    <x v="29"/>
    <n v="0"/>
    <n v="53.59"/>
    <n v="15"/>
    <x v="1"/>
    <x v="1"/>
    <n v="17768.3"/>
    <b v="1"/>
    <n v="2.3333333333333335"/>
    <n v="634.5821428571428"/>
    <n v="53.59"/>
    <d v="2022-11-01T00:00:00"/>
    <s v="Middle-aged"/>
    <n v="0"/>
    <s v="Yes"/>
    <n v="94"/>
    <s v="Medium"/>
    <s v="Low"/>
    <n v="0"/>
    <s v="Medium"/>
    <n v="2"/>
    <d v="2022-11-01T00:00:00"/>
    <s v="25+ months"/>
    <s v="0–1 tickets"/>
    <s v="46+ min"/>
    <s v="501–700"/>
    <n v="17864"/>
    <n v="-95.700000000000728"/>
  </r>
  <r>
    <n v="10569"/>
    <n v="29"/>
    <s v="Male"/>
    <s v="Pune"/>
    <d v="2021-02-16T00:00:00"/>
    <d v="2021-10-24T00:00:00"/>
    <x v="0"/>
    <n v="537"/>
    <x v="6"/>
    <n v="3"/>
    <n v="15.46"/>
    <n v="20"/>
    <x v="1"/>
    <x v="1"/>
    <n v="11169.6"/>
    <b v="1"/>
    <n v="1.75"/>
    <n v="531.88571428571436"/>
    <n v="3.8650000000000002"/>
    <d v="2021-02-01T00:00:00"/>
    <s v="Adult"/>
    <n v="0"/>
    <s v="No"/>
    <n v="250"/>
    <s v="Low"/>
    <s v="Medium"/>
    <n v="0.13636363636363635"/>
    <s v="Medium"/>
    <n v="1"/>
    <d v="2021-02-01T00:00:00"/>
    <s v="13–24 months"/>
    <s v="2–3 tickets"/>
    <s v="11–20 min"/>
    <s v="501–700"/>
    <n v="11277"/>
    <n v="-107.39999999999964"/>
  </r>
  <r>
    <n v="10570"/>
    <n v="26"/>
    <s v="Male"/>
    <s v="Chennai"/>
    <d v="2022-12-16T00:00:00"/>
    <d v="2023-11-10T00:00:00"/>
    <x v="0"/>
    <n v="1496"/>
    <x v="4"/>
    <n v="2"/>
    <n v="35.270000000000003"/>
    <n v="5"/>
    <x v="1"/>
    <x v="1"/>
    <n v="2917.2"/>
    <b v="1"/>
    <n v="0.16666666666666666"/>
    <n v="1458.6"/>
    <n v="11.756666666666668"/>
    <d v="2022-12-01T00:00:00"/>
    <s v="Adult"/>
    <n v="0"/>
    <s v="No"/>
    <n v="329"/>
    <s v="Medium"/>
    <s v="Low"/>
    <n v="0.66666666666666663"/>
    <s v="Low"/>
    <n v="1"/>
    <d v="2022-12-01T00:00:00"/>
    <s v="0–6 months"/>
    <s v="2–3 tickets"/>
    <s v="31–45 min"/>
    <s v="1000+"/>
    <n v="2992"/>
    <n v="-74.800000000000182"/>
  </r>
  <r>
    <n v="10571"/>
    <n v="24"/>
    <s v="Female"/>
    <s v="unknown"/>
    <d v="2021-08-02T00:00:00"/>
    <d v="2022-01-17T00:00:00"/>
    <x v="0"/>
    <n v="378"/>
    <x v="12"/>
    <n v="2"/>
    <n v="47.7"/>
    <n v="15"/>
    <x v="3"/>
    <x v="0"/>
    <n v="13173.3"/>
    <b v="1"/>
    <n v="2.9166666666666665"/>
    <n v="376.38"/>
    <n v="15.9"/>
    <d v="2021-08-01T00:00:00"/>
    <s v="Young"/>
    <n v="1"/>
    <s v="No"/>
    <n v="168"/>
    <s v="Medium"/>
    <s v="Low"/>
    <n v="5.5555555555555552E-2"/>
    <s v="Medium"/>
    <n v="1"/>
    <d v="2021-08-01T00:00:00"/>
    <s v="25+ months"/>
    <s v="2–3 tickets"/>
    <s v="46+ min"/>
    <s v="301–500"/>
    <n v="13230"/>
    <n v="-56.700000000000728"/>
  </r>
  <r>
    <n v="10572"/>
    <n v="45"/>
    <s v="Other"/>
    <s v="unknown"/>
    <d v="2023-01-28T00:00:00"/>
    <d v="2023-07-24T00:00:00"/>
    <x v="2"/>
    <n v="763"/>
    <x v="29"/>
    <n v="3"/>
    <n v="102.96"/>
    <n v="10"/>
    <x v="3"/>
    <x v="1"/>
    <n v="21287.7"/>
    <b v="1"/>
    <n v="2.3333333333333335"/>
    <n v="760.27499999999998"/>
    <n v="25.74"/>
    <d v="2023-01-01T00:00:00"/>
    <s v="Middle-aged"/>
    <n v="0"/>
    <s v="Yes"/>
    <n v="177"/>
    <s v="High"/>
    <s v="Low"/>
    <n v="0.10344827586206896"/>
    <s v="High"/>
    <n v="2"/>
    <d v="2023-01-01T00:00:00"/>
    <s v="25+ months"/>
    <s v="2–3 tickets"/>
    <s v="46+ min"/>
    <s v="701–1000"/>
    <n v="21364"/>
    <n v="-76.299999999999272"/>
  </r>
  <r>
    <n v="10573"/>
    <n v="31"/>
    <s v="Male"/>
    <s v="Pune"/>
    <d v="2021-01-24T00:00:00"/>
    <d v="2023-09-26T00:00:00"/>
    <x v="0"/>
    <n v="904"/>
    <x v="27"/>
    <n v="1"/>
    <n v="96.14"/>
    <n v="20"/>
    <x v="3"/>
    <x v="1"/>
    <n v="27843.200000000001"/>
    <b v="1"/>
    <n v="2.5833333333333335"/>
    <n v="898.16774193548395"/>
    <n v="48.07"/>
    <d v="2021-01-01T00:00:00"/>
    <s v="Adult"/>
    <n v="0"/>
    <s v="Yes"/>
    <n v="975"/>
    <s v="High"/>
    <s v="Medium"/>
    <n v="3.125E-2"/>
    <s v="High"/>
    <n v="1"/>
    <d v="2021-01-01T00:00:00"/>
    <s v="25+ months"/>
    <s v="0–1 tickets"/>
    <s v="46+ min"/>
    <s v="701–1000"/>
    <n v="28024"/>
    <n v="-180.79999999999927"/>
  </r>
  <r>
    <n v="10574"/>
    <n v="48"/>
    <s v="Male"/>
    <s v="Mumbai"/>
    <d v="2021-11-17T00:00:00"/>
    <d v="2022-10-08T00:00:00"/>
    <x v="0"/>
    <n v="861"/>
    <x v="33"/>
    <n v="1"/>
    <n v="55.92"/>
    <n v="5"/>
    <x v="2"/>
    <x v="1"/>
    <n v="28369.95"/>
    <b v="1"/>
    <n v="2.75"/>
    <n v="859.6954545454546"/>
    <n v="27.96"/>
    <d v="2021-11-01T00:00:00"/>
    <s v="Middle-aged"/>
    <n v="0"/>
    <s v="Yes"/>
    <n v="325"/>
    <s v="Medium"/>
    <s v="Low"/>
    <n v="2.9411764705882353E-2"/>
    <s v="High"/>
    <n v="1"/>
    <d v="2021-11-01T00:00:00"/>
    <s v="25+ months"/>
    <s v="0–1 tickets"/>
    <s v="46+ min"/>
    <s v="701–1000"/>
    <n v="28413"/>
    <n v="-43.049999999999272"/>
  </r>
  <r>
    <n v="10575"/>
    <n v="36"/>
    <s v="Male"/>
    <s v="Delhi"/>
    <d v="2021-10-01T00:00:00"/>
    <d v="2021-07-08T00:00:00"/>
    <x v="2"/>
    <n v="584"/>
    <x v="31"/>
    <n v="3"/>
    <n v="88.33"/>
    <n v="5"/>
    <x v="3"/>
    <x v="1"/>
    <n v="13402.8"/>
    <b v="0"/>
    <n v="1.9166666666666667"/>
    <n v="582.73043478260865"/>
    <n v="22.0825"/>
    <d v="2021-10-01T00:00:00"/>
    <s v="Middle-aged"/>
    <n v="0"/>
    <s v="No"/>
    <m/>
    <s v="High"/>
    <s v="Low"/>
    <n v="0.125"/>
    <s v="Medium"/>
    <n v="2"/>
    <d v="2021-10-01T00:00:00"/>
    <s v="13–24 months"/>
    <s v="2–3 tickets"/>
    <s v="46+ min"/>
    <s v="501–700"/>
    <n v="13432"/>
    <n v="-29.200000000000728"/>
  </r>
  <r>
    <n v="10576"/>
    <n v="64"/>
    <s v="Other"/>
    <s v="Hyderabad"/>
    <d v="2022-07-10T00:00:00"/>
    <d v="2022-07-30T00:00:00"/>
    <x v="0"/>
    <n v="522"/>
    <x v="18"/>
    <n v="3"/>
    <n v="70.39"/>
    <n v="10"/>
    <x v="2"/>
    <x v="1"/>
    <n v="8821.7999999999993"/>
    <b v="1"/>
    <n v="1.4166666666666667"/>
    <n v="518.92941176470583"/>
    <n v="17.5975"/>
    <d v="2022-07-01T00:00:00"/>
    <s v="Older"/>
    <n v="0"/>
    <s v="No"/>
    <n v="20"/>
    <s v="High"/>
    <s v="Low"/>
    <n v="0.16666666666666666"/>
    <s v="Medium"/>
    <n v="1"/>
    <d v="2022-07-01T00:00:00"/>
    <s v="13–24 months"/>
    <s v="2–3 tickets"/>
    <s v="46+ min"/>
    <s v="501–700"/>
    <n v="8874"/>
    <n v="-52.200000000000728"/>
  </r>
  <r>
    <n v="10577"/>
    <n v="33"/>
    <s v="Male"/>
    <s v="Bangalore"/>
    <d v="2023-04-24T00:00:00"/>
    <d v="2023-03-09T00:00:00"/>
    <x v="0"/>
    <n v="892"/>
    <x v="7"/>
    <n v="3"/>
    <n v="44.2"/>
    <n v="5"/>
    <x v="3"/>
    <x v="1"/>
    <n v="847.4"/>
    <b v="0"/>
    <n v="8.3333333333333329E-2"/>
    <n v="847.4"/>
    <n v="11.05"/>
    <d v="2023-04-01T00:00:00"/>
    <s v="Adult"/>
    <n v="0"/>
    <s v="No"/>
    <m/>
    <s v="Medium"/>
    <s v="Low"/>
    <n v="1.5"/>
    <s v="Low"/>
    <n v="1"/>
    <d v="2023-04-01T00:00:00"/>
    <s v="0–6 months"/>
    <s v="2–3 tickets"/>
    <s v="31–45 min"/>
    <s v="701–1000"/>
    <n v="892"/>
    <n v="-44.600000000000023"/>
  </r>
  <r>
    <n v="10578"/>
    <n v="22"/>
    <s v="Male"/>
    <s v="Mumbai"/>
    <d v="2021-11-09T00:00:00"/>
    <d v="2023-09-24T00:00:00"/>
    <x v="0"/>
    <n v="672"/>
    <x v="31"/>
    <n v="1"/>
    <n v="88.48"/>
    <n v="15"/>
    <x v="3"/>
    <x v="1"/>
    <n v="15355.2"/>
    <b v="1"/>
    <n v="1.9166666666666667"/>
    <n v="667.61739130434785"/>
    <n v="44.24"/>
    <d v="2021-11-01T00:00:00"/>
    <s v="Young"/>
    <n v="0"/>
    <s v="Yes"/>
    <n v="684"/>
    <s v="High"/>
    <s v="Low"/>
    <n v="4.1666666666666664E-2"/>
    <s v="Medium"/>
    <n v="1"/>
    <d v="2021-11-01T00:00:00"/>
    <s v="13–24 months"/>
    <s v="0–1 tickets"/>
    <s v="46+ min"/>
    <s v="501–700"/>
    <n v="15456"/>
    <n v="-100.79999999999927"/>
  </r>
  <r>
    <n v="10579"/>
    <n v="52"/>
    <s v="Female"/>
    <s v="Chennai"/>
    <d v="2021-12-29T00:00:00"/>
    <d v="2023-06-17T00:00:00"/>
    <x v="2"/>
    <n v="1210"/>
    <x v="26"/>
    <n v="0"/>
    <n v="83.6"/>
    <n v="15"/>
    <x v="1"/>
    <x v="1"/>
    <n v="32488.5"/>
    <b v="1"/>
    <n v="2.25"/>
    <n v="1203.2777777777778"/>
    <n v="83.6"/>
    <d v="2021-12-01T00:00:00"/>
    <s v="Older"/>
    <n v="0"/>
    <s v="Yes"/>
    <n v="535"/>
    <s v="High"/>
    <s v="Low"/>
    <n v="0"/>
    <s v="High"/>
    <n v="2"/>
    <d v="2021-12-01T00:00:00"/>
    <s v="25+ months"/>
    <s v="0–1 tickets"/>
    <s v="46+ min"/>
    <s v="1000+"/>
    <n v="32670"/>
    <n v="-181.5"/>
  </r>
  <r>
    <n v="10580"/>
    <n v="29"/>
    <s v="Male"/>
    <s v="Chennai"/>
    <d v="2022-10-30T00:00:00"/>
    <d v="2022-08-11T00:00:00"/>
    <x v="0"/>
    <n v="1127"/>
    <x v="0"/>
    <n v="3"/>
    <n v="76.2"/>
    <n v="0"/>
    <x v="0"/>
    <x v="1"/>
    <n v="28175"/>
    <b v="0"/>
    <n v="2.0833333333333335"/>
    <n v="1127"/>
    <n v="19.05"/>
    <d v="2022-10-01T00:00:00"/>
    <s v="Adult"/>
    <n v="0"/>
    <s v="Yes"/>
    <m/>
    <s v="High"/>
    <s v="Low"/>
    <n v="0.11538461538461539"/>
    <s v="High"/>
    <n v="1"/>
    <d v="2022-10-01T00:00:00"/>
    <s v="25+ months"/>
    <s v="2–3 tickets"/>
    <s v="46+ min"/>
    <s v="1000+"/>
    <n v="28175"/>
    <n v="0"/>
  </r>
  <r>
    <n v="10581"/>
    <n v="42"/>
    <s v="Male"/>
    <s v="Bangalore"/>
    <d v="2022-01-15T00:00:00"/>
    <d v="2023-09-09T00:00:00"/>
    <x v="2"/>
    <n v="535"/>
    <x v="23"/>
    <n v="2"/>
    <n v="76.06"/>
    <n v="10"/>
    <x v="1"/>
    <x v="0"/>
    <n v="17066.5"/>
    <b v="1"/>
    <n v="2.6666666666666665"/>
    <n v="533.328125"/>
    <n v="25.353333333333335"/>
    <d v="2022-01-01T00:00:00"/>
    <s v="Middle-aged"/>
    <n v="1"/>
    <s v="Yes"/>
    <n v="602"/>
    <s v="High"/>
    <s v="Low"/>
    <n v="6.0606060606060608E-2"/>
    <s v="Medium"/>
    <n v="2"/>
    <d v="2022-01-01T00:00:00"/>
    <s v="25+ months"/>
    <s v="2–3 tickets"/>
    <s v="46+ min"/>
    <s v="501–700"/>
    <n v="17120"/>
    <n v="-53.5"/>
  </r>
  <r>
    <n v="10582"/>
    <n v="38"/>
    <s v="Female"/>
    <s v="Hyderabad"/>
    <d v="2022-12-12T00:00:00"/>
    <d v="2022-06-03T00:00:00"/>
    <x v="2"/>
    <n v="970"/>
    <x v="17"/>
    <n v="2"/>
    <n v="83.54"/>
    <n v="5"/>
    <x v="3"/>
    <x v="1"/>
    <n v="18381.5"/>
    <b v="0"/>
    <n v="1.5833333333333333"/>
    <n v="967.4473684210526"/>
    <n v="27.846666666666668"/>
    <d v="2022-12-01T00:00:00"/>
    <s v="Middle-aged"/>
    <n v="0"/>
    <s v="Yes"/>
    <m/>
    <s v="High"/>
    <s v="Low"/>
    <n v="0.1"/>
    <s v="Medium"/>
    <n v="2"/>
    <d v="2022-12-01T00:00:00"/>
    <s v="13–24 months"/>
    <s v="2–3 tickets"/>
    <s v="46+ min"/>
    <s v="701–1000"/>
    <n v="18430"/>
    <n v="-48.5"/>
  </r>
  <r>
    <n v="10583"/>
    <n v="53"/>
    <s v="Female"/>
    <s v="Mumbai"/>
    <d v="2022-11-05T00:00:00"/>
    <d v="2022-05-11T00:00:00"/>
    <x v="2"/>
    <n v="1127"/>
    <x v="30"/>
    <n v="3"/>
    <n v="49.22"/>
    <n v="10"/>
    <x v="0"/>
    <x v="1"/>
    <n v="26822.6"/>
    <b v="0"/>
    <n v="2"/>
    <n v="1117.6083333333333"/>
    <n v="12.305"/>
    <d v="2022-11-01T00:00:00"/>
    <s v="Older"/>
    <n v="0"/>
    <s v="Yes"/>
    <m/>
    <s v="Medium"/>
    <s v="Low"/>
    <n v="0.12"/>
    <s v="High"/>
    <n v="2"/>
    <d v="2022-11-01T00:00:00"/>
    <s v="13–24 months"/>
    <s v="2–3 tickets"/>
    <s v="46+ min"/>
    <s v="1000+"/>
    <n v="27048"/>
    <n v="-225.40000000000146"/>
  </r>
  <r>
    <n v="10584"/>
    <n v="40"/>
    <s v="Male"/>
    <s v="Bangalore"/>
    <d v="2022-04-15T00:00:00"/>
    <d v="2021-11-07T00:00:00"/>
    <x v="2"/>
    <n v="1062"/>
    <x v="13"/>
    <n v="2"/>
    <n v="104.94"/>
    <n v="15"/>
    <x v="0"/>
    <x v="1"/>
    <n v="3026.7"/>
    <b v="0"/>
    <n v="0.25"/>
    <n v="1008.9"/>
    <n v="34.979999999999997"/>
    <d v="2022-04-01T00:00:00"/>
    <s v="Middle-aged"/>
    <n v="0"/>
    <s v="No"/>
    <m/>
    <s v="High"/>
    <s v="Low"/>
    <n v="0.5"/>
    <s v="Low"/>
    <n v="2"/>
    <d v="2022-04-01T00:00:00"/>
    <s v="0–6 months"/>
    <s v="2–3 tickets"/>
    <s v="46+ min"/>
    <s v="1000+"/>
    <n v="3186"/>
    <n v="-159.30000000000018"/>
  </r>
  <r>
    <n v="10585"/>
    <n v="33"/>
    <s v="Male"/>
    <s v="Hyderabad"/>
    <d v="2023-01-16T00:00:00"/>
    <d v="2022-12-02T00:00:00"/>
    <x v="1"/>
    <n v="679"/>
    <x v="34"/>
    <n v="6"/>
    <n v="23.67"/>
    <n v="10"/>
    <x v="2"/>
    <x v="1"/>
    <n v="8080.1"/>
    <b v="0"/>
    <n v="1"/>
    <n v="673.3416666666667"/>
    <n v="3.3814285714285717"/>
    <d v="2023-01-01T00:00:00"/>
    <s v="Adult"/>
    <n v="0"/>
    <s v="No"/>
    <m/>
    <s v="Medium"/>
    <s v="Low"/>
    <n v="0.46153846153846156"/>
    <s v="Low"/>
    <n v="3"/>
    <d v="2023-01-01T00:00:00"/>
    <s v="7–12 months"/>
    <s v="6+ tickets"/>
    <s v="21–30 min"/>
    <s v="501–700"/>
    <n v="8148"/>
    <n v="-67.899999999999636"/>
  </r>
  <r>
    <n v="10586"/>
    <n v="56"/>
    <s v="Male"/>
    <s v="Mumbai"/>
    <d v="2022-11-06T00:00:00"/>
    <d v="2023-03-24T00:00:00"/>
    <x v="0"/>
    <n v="1093"/>
    <x v="12"/>
    <n v="1"/>
    <n v="106.65"/>
    <n v="10"/>
    <x v="0"/>
    <x v="1"/>
    <n v="38145.699999999997"/>
    <b v="1"/>
    <n v="2.9166666666666665"/>
    <n v="1089.8771428571429"/>
    <n v="53.325000000000003"/>
    <d v="2022-11-01T00:00:00"/>
    <s v="Older"/>
    <n v="0"/>
    <s v="Yes"/>
    <n v="138"/>
    <s v="High"/>
    <s v="Low"/>
    <n v="2.7777777777777776E-2"/>
    <s v="High"/>
    <n v="1"/>
    <d v="2022-11-01T00:00:00"/>
    <s v="25+ months"/>
    <s v="0–1 tickets"/>
    <s v="46+ min"/>
    <s v="1000+"/>
    <n v="38255"/>
    <n v="-109.30000000000291"/>
  </r>
  <r>
    <n v="10587"/>
    <n v="62"/>
    <s v="Male"/>
    <s v="Chennai"/>
    <d v="2021-04-26T00:00:00"/>
    <d v="2023-08-29T00:00:00"/>
    <x v="0"/>
    <n v="913"/>
    <x v="15"/>
    <n v="3"/>
    <n v="44.36"/>
    <n v="15"/>
    <x v="2"/>
    <x v="1"/>
    <n v="13558.05"/>
    <b v="1"/>
    <n v="1.25"/>
    <n v="903.87"/>
    <n v="11.09"/>
    <d v="2021-04-01T00:00:00"/>
    <s v="Older"/>
    <n v="0"/>
    <s v="Yes"/>
    <n v="855"/>
    <s v="Medium"/>
    <s v="Low"/>
    <n v="0.1875"/>
    <s v="Medium"/>
    <n v="1"/>
    <d v="2021-04-01T00:00:00"/>
    <s v="13–24 months"/>
    <s v="2–3 tickets"/>
    <s v="31–45 min"/>
    <s v="701–1000"/>
    <n v="13695"/>
    <n v="-136.95000000000073"/>
  </r>
  <r>
    <n v="10588"/>
    <n v="59"/>
    <s v="Female"/>
    <s v="Mumbai"/>
    <d v="2022-08-28T00:00:00"/>
    <d v="2022-11-23T00:00:00"/>
    <x v="0"/>
    <n v="862"/>
    <x v="18"/>
    <n v="3"/>
    <n v="19.38"/>
    <n v="0"/>
    <x v="1"/>
    <x v="0"/>
    <n v="14654"/>
    <b v="1"/>
    <n v="1.4166666666666667"/>
    <n v="862"/>
    <n v="4.8449999999999998"/>
    <d v="2022-08-01T00:00:00"/>
    <s v="Older"/>
    <n v="1"/>
    <s v="Yes"/>
    <n v="87"/>
    <s v="Low"/>
    <s v="Low"/>
    <n v="0.16666666666666666"/>
    <s v="Medium"/>
    <n v="1"/>
    <d v="2022-08-01T00:00:00"/>
    <s v="13–24 months"/>
    <s v="2–3 tickets"/>
    <s v="11–20 min"/>
    <s v="701–1000"/>
    <n v="14654"/>
    <n v="0"/>
  </r>
  <r>
    <n v="10589"/>
    <n v="56"/>
    <s v="Male"/>
    <s v="Pune"/>
    <d v="2021-02-11T00:00:00"/>
    <d v="2021-10-22T00:00:00"/>
    <x v="0"/>
    <n v="719"/>
    <x v="23"/>
    <n v="1"/>
    <n v="74"/>
    <n v="10"/>
    <x v="2"/>
    <x v="1"/>
    <n v="22936.1"/>
    <b v="1"/>
    <n v="2.6666666666666665"/>
    <n v="716.75312499999995"/>
    <n v="37"/>
    <d v="2021-02-01T00:00:00"/>
    <s v="Older"/>
    <n v="0"/>
    <s v="Yes"/>
    <n v="253"/>
    <s v="High"/>
    <s v="Low"/>
    <n v="3.0303030303030304E-2"/>
    <s v="High"/>
    <n v="1"/>
    <d v="2021-02-01T00:00:00"/>
    <s v="25+ months"/>
    <s v="0–1 tickets"/>
    <s v="46+ min"/>
    <s v="701–1000"/>
    <n v="23008"/>
    <n v="-71.900000000001455"/>
  </r>
  <r>
    <n v="10590"/>
    <n v="31"/>
    <s v="Male"/>
    <s v="Delhi"/>
    <d v="2023-03-07T00:00:00"/>
    <d v="2023-01-09T00:00:00"/>
    <x v="0"/>
    <n v="351"/>
    <x v="16"/>
    <n v="1"/>
    <n v="48.24"/>
    <n v="5"/>
    <x v="3"/>
    <x v="1"/>
    <n v="2439.4499999999998"/>
    <b v="0"/>
    <n v="0.58333333333333337"/>
    <n v="348.49285714285713"/>
    <n v="24.12"/>
    <d v="2023-03-01T00:00:00"/>
    <s v="Adult"/>
    <n v="0"/>
    <s v="No"/>
    <m/>
    <s v="Medium"/>
    <s v="Low"/>
    <n v="0.125"/>
    <s v="Low"/>
    <n v="1"/>
    <d v="2023-03-01T00:00:00"/>
    <s v="7–12 months"/>
    <s v="0–1 tickets"/>
    <s v="46+ min"/>
    <s v="301–500"/>
    <n v="2457"/>
    <n v="-17.550000000000182"/>
  </r>
  <r>
    <n v="10591"/>
    <n v="41"/>
    <s v="Male"/>
    <s v="Mumbai"/>
    <d v="2022-01-14T00:00:00"/>
    <d v="2023-03-19T00:00:00"/>
    <x v="0"/>
    <n v="1118"/>
    <x v="17"/>
    <n v="1"/>
    <n v="98.78"/>
    <n v="20"/>
    <x v="0"/>
    <x v="1"/>
    <n v="21018.400000000001"/>
    <b v="1"/>
    <n v="1.5833333333333333"/>
    <n v="1106.2315789473685"/>
    <n v="49.39"/>
    <d v="2022-01-01T00:00:00"/>
    <s v="Middle-aged"/>
    <n v="0"/>
    <s v="Yes"/>
    <n v="429"/>
    <s v="High"/>
    <s v="Medium"/>
    <n v="0.05"/>
    <s v="High"/>
    <n v="1"/>
    <d v="2022-01-01T00:00:00"/>
    <s v="13–24 months"/>
    <s v="0–1 tickets"/>
    <s v="46+ min"/>
    <s v="1000+"/>
    <n v="21242"/>
    <n v="-223.59999999999854"/>
  </r>
  <r>
    <n v="10592"/>
    <n v="22"/>
    <s v="Female"/>
    <s v="Delhi"/>
    <d v="2022-12-23T00:00:00"/>
    <d v="2023-06-11T00:00:00"/>
    <x v="2"/>
    <n v="504"/>
    <x v="16"/>
    <n v="1"/>
    <n v="54.54"/>
    <n v="20"/>
    <x v="3"/>
    <x v="1"/>
    <n v="3427.2"/>
    <b v="1"/>
    <n v="0.58333333333333337"/>
    <n v="489.59999999999997"/>
    <n v="27.27"/>
    <d v="2022-12-01T00:00:00"/>
    <s v="Young"/>
    <n v="0"/>
    <s v="No"/>
    <n v="170"/>
    <s v="Medium"/>
    <s v="Medium"/>
    <n v="0.125"/>
    <s v="Low"/>
    <n v="2"/>
    <d v="2022-12-01T00:00:00"/>
    <s v="7–12 months"/>
    <s v="0–1 tickets"/>
    <s v="46+ min"/>
    <s v="501–700"/>
    <n v="3528"/>
    <n v="-100.80000000000018"/>
  </r>
  <r>
    <n v="10593"/>
    <n v="52"/>
    <s v="Female"/>
    <s v="Mumbai"/>
    <d v="2021-07-25T00:00:00"/>
    <d v="2022-12-28T00:00:00"/>
    <x v="2"/>
    <n v="1300"/>
    <x v="21"/>
    <n v="3"/>
    <n v="81.88"/>
    <n v="15"/>
    <x v="0"/>
    <x v="0"/>
    <n v="6305"/>
    <b v="1"/>
    <n v="0.41666666666666669"/>
    <n v="1261"/>
    <n v="20.47"/>
    <d v="2021-07-01T00:00:00"/>
    <s v="Older"/>
    <n v="1"/>
    <s v="No"/>
    <n v="521"/>
    <s v="High"/>
    <s v="Low"/>
    <n v="0.5"/>
    <s v="Low"/>
    <n v="2"/>
    <d v="2021-07-01T00:00:00"/>
    <s v="0–6 months"/>
    <s v="2–3 tickets"/>
    <s v="46+ min"/>
    <s v="1000+"/>
    <n v="6500"/>
    <n v="-195"/>
  </r>
  <r>
    <n v="10594"/>
    <n v="40"/>
    <s v="Female"/>
    <s v="Delhi"/>
    <d v="2022-04-11T00:00:00"/>
    <d v="2023-10-07T00:00:00"/>
    <x v="0"/>
    <n v="1030"/>
    <x v="6"/>
    <n v="2"/>
    <n v="40.450000000000003"/>
    <n v="10"/>
    <x v="0"/>
    <x v="0"/>
    <n v="21527"/>
    <b v="1"/>
    <n v="1.75"/>
    <n v="1025.0952380952381"/>
    <n v="13.483333333333334"/>
    <d v="2022-04-01T00:00:00"/>
    <s v="Middle-aged"/>
    <n v="1"/>
    <s v="Yes"/>
    <n v="544"/>
    <s v="Medium"/>
    <s v="Low"/>
    <n v="9.0909090909090912E-2"/>
    <s v="High"/>
    <n v="1"/>
    <d v="2022-04-01T00:00:00"/>
    <s v="13–24 months"/>
    <s v="2–3 tickets"/>
    <s v="31–45 min"/>
    <s v="1000+"/>
    <n v="21630"/>
    <n v="-103"/>
  </r>
  <r>
    <n v="10595"/>
    <n v="46"/>
    <s v="Male"/>
    <s v="Pune"/>
    <d v="2023-01-02T00:00:00"/>
    <d v="2022-05-11T00:00:00"/>
    <x v="2"/>
    <n v="556"/>
    <x v="16"/>
    <n v="2"/>
    <n v="29.09"/>
    <n v="20"/>
    <x v="1"/>
    <x v="1"/>
    <n v="3780.8"/>
    <b v="0"/>
    <n v="0.58333333333333337"/>
    <n v="540.11428571428576"/>
    <n v="9.6966666666666672"/>
    <d v="2023-01-01T00:00:00"/>
    <s v="Middle-aged"/>
    <n v="0"/>
    <s v="No"/>
    <m/>
    <s v="Medium"/>
    <s v="Medium"/>
    <n v="0.25"/>
    <s v="Low"/>
    <n v="2"/>
    <d v="2023-01-01T00:00:00"/>
    <s v="7–12 months"/>
    <s v="2–3 tickets"/>
    <s v="21–30 min"/>
    <s v="501–700"/>
    <n v="3892"/>
    <n v="-111.19999999999982"/>
  </r>
  <r>
    <n v="10596"/>
    <n v="60"/>
    <s v="Female"/>
    <s v="Chennai"/>
    <d v="2021-10-07T00:00:00"/>
    <d v="2022-02-24T00:00:00"/>
    <x v="0"/>
    <n v="484"/>
    <x v="31"/>
    <n v="0"/>
    <n v="49.63"/>
    <n v="10"/>
    <x v="2"/>
    <x v="1"/>
    <n v="11083.6"/>
    <b v="1"/>
    <n v="1.9166666666666667"/>
    <n v="481.89565217391305"/>
    <n v="49.63"/>
    <d v="2021-10-01T00:00:00"/>
    <s v="Older"/>
    <n v="0"/>
    <s v="No"/>
    <n v="140"/>
    <s v="Medium"/>
    <s v="Low"/>
    <n v="0"/>
    <s v="Medium"/>
    <n v="1"/>
    <d v="2021-10-01T00:00:00"/>
    <s v="13–24 months"/>
    <s v="0–1 tickets"/>
    <s v="46+ min"/>
    <s v="301–500"/>
    <n v="11132"/>
    <n v="-48.399999999999636"/>
  </r>
  <r>
    <n v="10597"/>
    <n v="28"/>
    <s v="Female"/>
    <s v="Hyderabad"/>
    <d v="2022-10-10T00:00:00"/>
    <d v="2023-09-18T00:00:00"/>
    <x v="0"/>
    <n v="444"/>
    <x v="11"/>
    <n v="1"/>
    <n v="74.78"/>
    <n v="15"/>
    <x v="1"/>
    <x v="0"/>
    <n v="4817.3999999999996"/>
    <b v="1"/>
    <n v="0.91666666666666663"/>
    <n v="437.94545454545454"/>
    <n v="37.39"/>
    <d v="2022-10-01T00:00:00"/>
    <s v="Adult"/>
    <n v="1"/>
    <s v="No"/>
    <n v="343"/>
    <s v="High"/>
    <s v="Low"/>
    <n v="8.3333333333333329E-2"/>
    <s v="Low"/>
    <n v="1"/>
    <d v="2022-10-01T00:00:00"/>
    <s v="7–12 months"/>
    <s v="0–1 tickets"/>
    <s v="46+ min"/>
    <s v="301–500"/>
    <n v="4884"/>
    <n v="-66.600000000000364"/>
  </r>
  <r>
    <n v="10598"/>
    <n v="35"/>
    <s v="Male"/>
    <s v="Delhi"/>
    <d v="2022-09-10T00:00:00"/>
    <d v="2023-04-27T00:00:00"/>
    <x v="2"/>
    <n v="1337"/>
    <x v="32"/>
    <n v="5"/>
    <n v="80.55"/>
    <n v="0"/>
    <x v="2"/>
    <x v="1"/>
    <n v="13370"/>
    <b v="1"/>
    <n v="0.83333333333333337"/>
    <n v="1337"/>
    <n v="13.424999999999999"/>
    <d v="2022-09-01T00:00:00"/>
    <s v="Adult"/>
    <n v="0"/>
    <s v="No"/>
    <n v="229"/>
    <s v="High"/>
    <s v="Low"/>
    <n v="0.45454545454545453"/>
    <s v="Medium"/>
    <n v="2"/>
    <d v="2022-09-01T00:00:00"/>
    <s v="7–12 months"/>
    <s v="4–5 tickets"/>
    <s v="46+ min"/>
    <s v="1000+"/>
    <n v="13370"/>
    <n v="0"/>
  </r>
  <r>
    <n v="10599"/>
    <n v="64"/>
    <s v="Male"/>
    <s v="Pune"/>
    <d v="2021-04-28T00:00:00"/>
    <d v="2023-07-13T00:00:00"/>
    <x v="0"/>
    <n v="545"/>
    <x v="6"/>
    <n v="0"/>
    <n v="71.489999999999995"/>
    <n v="20"/>
    <x v="1"/>
    <x v="1"/>
    <n v="11336"/>
    <b v="1"/>
    <n v="1.75"/>
    <n v="539.80952380952385"/>
    <n v="71.489999999999995"/>
    <d v="2021-04-01T00:00:00"/>
    <s v="Older"/>
    <n v="0"/>
    <s v="No"/>
    <n v="806"/>
    <s v="High"/>
    <s v="Medium"/>
    <n v="0"/>
    <s v="Medium"/>
    <n v="1"/>
    <d v="2021-04-01T00:00:00"/>
    <s v="13–24 months"/>
    <s v="0–1 tickets"/>
    <s v="46+ min"/>
    <s v="501–700"/>
    <n v="11445"/>
    <n v="-109"/>
  </r>
  <r>
    <n v="10600"/>
    <n v="29"/>
    <s v="Male"/>
    <s v="Delhi"/>
    <d v="2021-08-25T00:00:00"/>
    <d v="2022-02-23T00:00:00"/>
    <x v="0"/>
    <n v="486"/>
    <x v="33"/>
    <n v="2"/>
    <n v="118.63"/>
    <n v="5"/>
    <x v="1"/>
    <x v="1"/>
    <n v="16013.7"/>
    <b v="1"/>
    <n v="2.75"/>
    <n v="485.26363636363641"/>
    <n v="39.543333333333329"/>
    <d v="2021-08-01T00:00:00"/>
    <s v="Adult"/>
    <n v="0"/>
    <s v="Yes"/>
    <n v="182"/>
    <s v="High"/>
    <s v="Low"/>
    <n v="5.8823529411764705E-2"/>
    <s v="Medium"/>
    <n v="1"/>
    <d v="2021-08-01T00:00:00"/>
    <s v="25+ months"/>
    <s v="2–3 tickets"/>
    <s v="46+ min"/>
    <s v="301–500"/>
    <n v="16038"/>
    <n v="-24.299999999999272"/>
  </r>
  <r>
    <n v="10601"/>
    <n v="26"/>
    <s v="Male"/>
    <s v="Chennai"/>
    <d v="2021-11-05T00:00:00"/>
    <d v="2021-11-16T00:00:00"/>
    <x v="0"/>
    <n v="1165"/>
    <x v="28"/>
    <n v="5"/>
    <n v="84.48"/>
    <n v="15"/>
    <x v="0"/>
    <x v="1"/>
    <n v="23125.25"/>
    <b v="1"/>
    <n v="1.6666666666666667"/>
    <n v="1156.2625"/>
    <n v="14.08"/>
    <d v="2021-11-01T00:00:00"/>
    <s v="Adult"/>
    <n v="0"/>
    <s v="Yes"/>
    <n v="11"/>
    <s v="High"/>
    <s v="Low"/>
    <n v="0.23809523809523808"/>
    <s v="High"/>
    <n v="1"/>
    <d v="2021-11-01T00:00:00"/>
    <s v="13–24 months"/>
    <s v="4–5 tickets"/>
    <s v="46+ min"/>
    <s v="1000+"/>
    <n v="23300"/>
    <n v="-174.75"/>
  </r>
  <r>
    <n v="10602"/>
    <n v="27"/>
    <s v="Male"/>
    <s v="Delhi"/>
    <d v="2022-04-01T00:00:00"/>
    <d v="2023-07-11T00:00:00"/>
    <x v="1"/>
    <n v="339"/>
    <x v="33"/>
    <n v="1"/>
    <n v="112.12"/>
    <n v="0"/>
    <x v="1"/>
    <x v="1"/>
    <n v="11187"/>
    <b v="1"/>
    <n v="2.75"/>
    <n v="339"/>
    <n v="56.06"/>
    <d v="2022-04-01T00:00:00"/>
    <s v="Adult"/>
    <n v="0"/>
    <s v="No"/>
    <n v="466"/>
    <s v="High"/>
    <s v="Low"/>
    <n v="2.9411764705882353E-2"/>
    <s v="Medium"/>
    <n v="3"/>
    <d v="2022-04-01T00:00:00"/>
    <s v="25+ months"/>
    <s v="0–1 tickets"/>
    <s v="46+ min"/>
    <s v="301–500"/>
    <n v="11187"/>
    <n v="0"/>
  </r>
  <r>
    <n v="10603"/>
    <n v="61"/>
    <s v="Male"/>
    <s v="Pune"/>
    <d v="2023-06-19T00:00:00"/>
    <d v="2023-06-09T00:00:00"/>
    <x v="2"/>
    <n v="900"/>
    <x v="12"/>
    <n v="1"/>
    <n v="18.559999999999999"/>
    <n v="5"/>
    <x v="1"/>
    <x v="0"/>
    <n v="31455"/>
    <b v="0"/>
    <n v="2.9166666666666665"/>
    <n v="898.71428571428567"/>
    <n v="9.2799999999999994"/>
    <d v="2023-06-01T00:00:00"/>
    <s v="Older"/>
    <n v="1"/>
    <s v="Yes"/>
    <m/>
    <s v="Low"/>
    <s v="Low"/>
    <n v="2.7777777777777776E-2"/>
    <s v="High"/>
    <n v="2"/>
    <d v="2023-06-01T00:00:00"/>
    <s v="25+ months"/>
    <s v="0–1 tickets"/>
    <s v="11–20 min"/>
    <s v="701–1000"/>
    <n v="31500"/>
    <n v="-45"/>
  </r>
  <r>
    <n v="10604"/>
    <n v="34"/>
    <s v="Male"/>
    <s v="Pune"/>
    <d v="2022-04-20T00:00:00"/>
    <d v="2021-07-03T00:00:00"/>
    <x v="0"/>
    <n v="1261"/>
    <x v="22"/>
    <n v="2"/>
    <n v="12.06"/>
    <n v="5"/>
    <x v="2"/>
    <x v="0"/>
    <n v="42810.95"/>
    <b v="0"/>
    <n v="2.8333333333333335"/>
    <n v="1259.1455882352941"/>
    <n v="4.0200000000000005"/>
    <d v="2022-04-01T00:00:00"/>
    <s v="Adult"/>
    <n v="1"/>
    <s v="Yes"/>
    <m/>
    <s v="Low"/>
    <s v="Low"/>
    <n v="5.7142857142857141E-2"/>
    <s v="High"/>
    <n v="1"/>
    <d v="2022-04-01T00:00:00"/>
    <s v="25+ months"/>
    <s v="2–3 tickets"/>
    <s v="11–20 min"/>
    <s v="1000+"/>
    <n v="42874"/>
    <n v="-63.05000000000291"/>
  </r>
  <r>
    <n v="10605"/>
    <n v="55"/>
    <s v="Female"/>
    <s v="Bangalore"/>
    <d v="2021-04-10T00:00:00"/>
    <d v="2022-06-12T00:00:00"/>
    <x v="1"/>
    <n v="1285"/>
    <x v="26"/>
    <n v="1"/>
    <n v="40.76"/>
    <n v="20"/>
    <x v="1"/>
    <x v="1"/>
    <n v="34438"/>
    <b v="1"/>
    <n v="2.25"/>
    <n v="1275.4814814814815"/>
    <n v="20.38"/>
    <d v="2021-04-01T00:00:00"/>
    <s v="Older"/>
    <n v="0"/>
    <s v="Yes"/>
    <n v="428"/>
    <s v="Medium"/>
    <s v="Medium"/>
    <n v="3.5714285714285712E-2"/>
    <s v="High"/>
    <n v="3"/>
    <d v="2021-04-01T00:00:00"/>
    <s v="25+ months"/>
    <s v="0–1 tickets"/>
    <s v="31–45 min"/>
    <s v="1000+"/>
    <n v="34695"/>
    <n v="-257"/>
  </r>
  <r>
    <n v="10606"/>
    <n v="24"/>
    <s v="Male"/>
    <s v="Chennai"/>
    <d v="2021-09-18T00:00:00"/>
    <d v="2021-12-31T00:00:00"/>
    <x v="2"/>
    <n v="308"/>
    <x v="17"/>
    <n v="0"/>
    <n v="20.71"/>
    <n v="10"/>
    <x v="0"/>
    <x v="0"/>
    <n v="5821.2"/>
    <b v="1"/>
    <n v="1.5833333333333333"/>
    <n v="306.37894736842105"/>
    <n v="20.71"/>
    <d v="2021-09-01T00:00:00"/>
    <s v="Young"/>
    <n v="1"/>
    <s v="No"/>
    <n v="104"/>
    <s v="Medium"/>
    <s v="Low"/>
    <n v="0"/>
    <s v="Low"/>
    <n v="2"/>
    <d v="2021-09-01T00:00:00"/>
    <s v="13–24 months"/>
    <s v="0–1 tickets"/>
    <s v="21–30 min"/>
    <s v="301–500"/>
    <n v="5852"/>
    <n v="-30.800000000000182"/>
  </r>
  <r>
    <n v="10607"/>
    <n v="63"/>
    <s v="Female"/>
    <s v="Bangalore"/>
    <d v="2021-11-01T00:00:00"/>
    <d v="2022-12-14T00:00:00"/>
    <x v="2"/>
    <n v="649"/>
    <x v="21"/>
    <n v="3"/>
    <n v="65.47"/>
    <n v="15"/>
    <x v="1"/>
    <x v="1"/>
    <n v="3147.65"/>
    <b v="1"/>
    <n v="0.41666666666666669"/>
    <n v="629.53"/>
    <n v="16.3675"/>
    <d v="2021-11-01T00:00:00"/>
    <s v="Older"/>
    <n v="0"/>
    <s v="No"/>
    <n v="408"/>
    <s v="High"/>
    <s v="Low"/>
    <n v="0.5"/>
    <s v="Low"/>
    <n v="2"/>
    <d v="2021-11-01T00:00:00"/>
    <s v="0–6 months"/>
    <s v="2–3 tickets"/>
    <s v="46+ min"/>
    <s v="501–700"/>
    <n v="3245"/>
    <n v="-97.349999999999909"/>
  </r>
  <r>
    <n v="10608"/>
    <n v="30"/>
    <s v="Female"/>
    <s v="Chennai"/>
    <d v="2021-12-20T00:00:00"/>
    <d v="2022-08-14T00:00:00"/>
    <x v="1"/>
    <n v="383"/>
    <x v="5"/>
    <n v="0"/>
    <n v="64.680000000000007"/>
    <n v="5"/>
    <x v="3"/>
    <x v="0"/>
    <n v="11087.85"/>
    <b v="1"/>
    <n v="2.4166666666666665"/>
    <n v="382.33965517241381"/>
    <n v="64.680000000000007"/>
    <d v="2021-12-01T00:00:00"/>
    <s v="Adult"/>
    <n v="1"/>
    <s v="No"/>
    <n v="237"/>
    <s v="High"/>
    <s v="Low"/>
    <n v="0"/>
    <s v="Medium"/>
    <n v="3"/>
    <d v="2021-12-01T00:00:00"/>
    <s v="25+ months"/>
    <s v="0–1 tickets"/>
    <s v="46+ min"/>
    <s v="301–500"/>
    <n v="11107"/>
    <n v="-19.149999999999636"/>
  </r>
  <r>
    <n v="10609"/>
    <n v="57"/>
    <s v="Female"/>
    <s v="unknown"/>
    <d v="2021-10-13T00:00:00"/>
    <d v="2022-10-05T00:00:00"/>
    <x v="0"/>
    <n v="832"/>
    <x v="32"/>
    <n v="1"/>
    <n v="71.13"/>
    <n v="20"/>
    <x v="3"/>
    <x v="0"/>
    <n v="8153.6"/>
    <b v="1"/>
    <n v="0.83333333333333337"/>
    <n v="815.36"/>
    <n v="35.564999999999998"/>
    <d v="2021-10-01T00:00:00"/>
    <s v="Older"/>
    <n v="1"/>
    <s v="No"/>
    <n v="357"/>
    <s v="High"/>
    <s v="Medium"/>
    <n v="9.0909090909090912E-2"/>
    <s v="Low"/>
    <n v="1"/>
    <d v="2021-10-01T00:00:00"/>
    <s v="7–12 months"/>
    <s v="0–1 tickets"/>
    <s v="46+ min"/>
    <s v="701–1000"/>
    <n v="8320"/>
    <n v="-166.39999999999964"/>
  </r>
  <r>
    <n v="10610"/>
    <n v="59"/>
    <s v="Female"/>
    <s v="Pune"/>
    <d v="2021-11-24T00:00:00"/>
    <d v="2022-06-28T00:00:00"/>
    <x v="0"/>
    <n v="1288"/>
    <x v="19"/>
    <n v="2"/>
    <n v="90.7"/>
    <n v="0"/>
    <x v="2"/>
    <x v="0"/>
    <n v="16744"/>
    <b v="1"/>
    <n v="1.0833333333333333"/>
    <n v="1288"/>
    <n v="30.233333333333334"/>
    <d v="2021-11-01T00:00:00"/>
    <s v="Older"/>
    <n v="1"/>
    <s v="Yes"/>
    <n v="216"/>
    <s v="High"/>
    <s v="Low"/>
    <n v="0.14285714285714285"/>
    <s v="Medium"/>
    <n v="1"/>
    <d v="2021-11-01T00:00:00"/>
    <s v="13–24 months"/>
    <s v="2–3 tickets"/>
    <s v="46+ min"/>
    <s v="1000+"/>
    <n v="16744"/>
    <n v="0"/>
  </r>
  <r>
    <n v="10611"/>
    <n v="26"/>
    <s v="Male"/>
    <s v="Bangalore"/>
    <d v="2021-04-13T00:00:00"/>
    <d v="2022-10-02T00:00:00"/>
    <x v="2"/>
    <n v="657"/>
    <x v="5"/>
    <n v="2"/>
    <n v="62.59"/>
    <n v="5"/>
    <x v="2"/>
    <x v="1"/>
    <n v="19020.150000000001"/>
    <b v="1"/>
    <n v="2.4166666666666665"/>
    <n v="655.86724137931037"/>
    <n v="20.863333333333333"/>
    <d v="2021-04-01T00:00:00"/>
    <s v="Adult"/>
    <n v="0"/>
    <s v="Yes"/>
    <n v="537"/>
    <s v="High"/>
    <s v="Low"/>
    <n v="6.6666666666666666E-2"/>
    <s v="Medium"/>
    <n v="2"/>
    <d v="2021-04-01T00:00:00"/>
    <s v="25+ months"/>
    <s v="2–3 tickets"/>
    <s v="46+ min"/>
    <s v="501–700"/>
    <n v="19053"/>
    <n v="-32.849999999998545"/>
  </r>
  <r>
    <n v="10612"/>
    <n v="44"/>
    <s v="Female"/>
    <s v="Delhi"/>
    <d v="2021-03-04T00:00:00"/>
    <d v="2023-05-23T00:00:00"/>
    <x v="2"/>
    <n v="677"/>
    <x v="21"/>
    <n v="0"/>
    <n v="106"/>
    <n v="0"/>
    <x v="3"/>
    <x v="1"/>
    <n v="3385"/>
    <b v="1"/>
    <n v="0.41666666666666669"/>
    <n v="677"/>
    <n v="106"/>
    <d v="2021-03-01T00:00:00"/>
    <s v="Middle-aged"/>
    <n v="0"/>
    <s v="No"/>
    <n v="810"/>
    <s v="High"/>
    <s v="Low"/>
    <n v="0"/>
    <s v="Low"/>
    <n v="2"/>
    <d v="2021-03-01T00:00:00"/>
    <s v="0–6 months"/>
    <s v="0–1 tickets"/>
    <s v="46+ min"/>
    <s v="501–700"/>
    <n v="3385"/>
    <n v="0"/>
  </r>
  <r>
    <n v="10613"/>
    <n v="19"/>
    <s v="Male"/>
    <s v="Pune"/>
    <d v="2022-11-18T00:00:00"/>
    <d v="2021-06-29T00:00:00"/>
    <x v="2"/>
    <n v="471"/>
    <x v="34"/>
    <n v="3"/>
    <n v="18.61"/>
    <n v="15"/>
    <x v="1"/>
    <x v="0"/>
    <n v="5581.35"/>
    <b v="0"/>
    <n v="1"/>
    <n v="465.11250000000001"/>
    <n v="4.6524999999999999"/>
    <d v="2022-11-01T00:00:00"/>
    <s v="Young"/>
    <n v="1"/>
    <s v="No"/>
    <m/>
    <s v="Low"/>
    <s v="Low"/>
    <n v="0.23076923076923078"/>
    <s v="Low"/>
    <n v="2"/>
    <d v="2022-11-01T00:00:00"/>
    <s v="7–12 months"/>
    <s v="2–3 tickets"/>
    <s v="11–20 min"/>
    <s v="301–500"/>
    <n v="5652"/>
    <n v="-70.649999999999636"/>
  </r>
  <r>
    <n v="10614"/>
    <n v="22"/>
    <s v="Male"/>
    <s v="Chennai"/>
    <d v="2021-10-09T00:00:00"/>
    <d v="2021-07-09T00:00:00"/>
    <x v="2"/>
    <n v="1348"/>
    <x v="19"/>
    <n v="2"/>
    <n v="43.93"/>
    <n v="20"/>
    <x v="1"/>
    <x v="1"/>
    <n v="17254.400000000001"/>
    <b v="0"/>
    <n v="1.0833333333333333"/>
    <n v="1327.2615384615385"/>
    <n v="14.643333333333333"/>
    <d v="2021-10-01T00:00:00"/>
    <s v="Young"/>
    <n v="0"/>
    <s v="Yes"/>
    <m/>
    <s v="Medium"/>
    <s v="Medium"/>
    <n v="0.14285714285714285"/>
    <s v="Medium"/>
    <n v="2"/>
    <d v="2021-10-01T00:00:00"/>
    <s v="13–24 months"/>
    <s v="2–3 tickets"/>
    <s v="31–45 min"/>
    <s v="1000+"/>
    <n v="17524"/>
    <n v="-269.59999999999854"/>
  </r>
  <r>
    <n v="10615"/>
    <n v="41"/>
    <s v="Female"/>
    <s v="Pune"/>
    <d v="2022-03-17T00:00:00"/>
    <d v="2023-10-07T00:00:00"/>
    <x v="1"/>
    <n v="692"/>
    <x v="1"/>
    <n v="0"/>
    <n v="34.42"/>
    <n v="0"/>
    <x v="2"/>
    <x v="1"/>
    <n v="15224"/>
    <b v="1"/>
    <n v="1.8333333333333333"/>
    <n v="692"/>
    <n v="34.42"/>
    <d v="2022-03-01T00:00:00"/>
    <s v="Middle-aged"/>
    <n v="0"/>
    <s v="Yes"/>
    <n v="569"/>
    <s v="Medium"/>
    <s v="Low"/>
    <n v="0"/>
    <s v="Medium"/>
    <n v="3"/>
    <d v="2022-03-01T00:00:00"/>
    <s v="13–24 months"/>
    <s v="0–1 tickets"/>
    <s v="31–45 min"/>
    <s v="501–700"/>
    <n v="15224"/>
    <n v="0"/>
  </r>
  <r>
    <n v="10616"/>
    <n v="54"/>
    <s v="Male"/>
    <s v="Delhi"/>
    <d v="2021-10-20T00:00:00"/>
    <d v="2023-02-02T00:00:00"/>
    <x v="1"/>
    <n v="1426"/>
    <x v="15"/>
    <n v="3"/>
    <n v="25.33"/>
    <n v="10"/>
    <x v="0"/>
    <x v="1"/>
    <n v="21247.4"/>
    <b v="1"/>
    <n v="1.25"/>
    <n v="1416.4933333333333"/>
    <n v="6.3324999999999996"/>
    <d v="2021-10-01T00:00:00"/>
    <s v="Older"/>
    <n v="0"/>
    <s v="Yes"/>
    <n v="470"/>
    <s v="Medium"/>
    <s v="Low"/>
    <n v="0.1875"/>
    <s v="High"/>
    <n v="3"/>
    <d v="2021-10-01T00:00:00"/>
    <s v="13–24 months"/>
    <s v="2–3 tickets"/>
    <s v="21–30 min"/>
    <s v="1000+"/>
    <n v="21390"/>
    <n v="-142.59999999999854"/>
  </r>
  <r>
    <n v="10617"/>
    <n v="55"/>
    <s v="Male"/>
    <s v="Bangalore"/>
    <d v="2023-01-08T00:00:00"/>
    <d v="2021-11-20T00:00:00"/>
    <x v="1"/>
    <n v="1001"/>
    <x v="19"/>
    <n v="3"/>
    <n v="67.64"/>
    <n v="0"/>
    <x v="1"/>
    <x v="0"/>
    <n v="13013"/>
    <b v="0"/>
    <n v="1.0833333333333333"/>
    <n v="1001"/>
    <n v="16.91"/>
    <d v="2023-01-01T00:00:00"/>
    <s v="Older"/>
    <n v="1"/>
    <s v="No"/>
    <m/>
    <s v="High"/>
    <s v="Low"/>
    <n v="0.21428571428571427"/>
    <s v="Medium"/>
    <n v="3"/>
    <d v="2023-01-01T00:00:00"/>
    <s v="13–24 months"/>
    <s v="2–3 tickets"/>
    <s v="46+ min"/>
    <s v="1000+"/>
    <n v="13013"/>
    <n v="0"/>
  </r>
  <r>
    <n v="10618"/>
    <n v="36"/>
    <s v="Female"/>
    <s v="Bangalore"/>
    <d v="2021-01-07T00:00:00"/>
    <d v="2021-06-17T00:00:00"/>
    <x v="1"/>
    <n v="848"/>
    <x v="7"/>
    <n v="2"/>
    <n v="68.63"/>
    <n v="0"/>
    <x v="3"/>
    <x v="0"/>
    <n v="848"/>
    <b v="1"/>
    <n v="8.3333333333333329E-2"/>
    <n v="848"/>
    <n v="22.876666666666665"/>
    <d v="2021-01-01T00:00:00"/>
    <s v="Middle-aged"/>
    <n v="1"/>
    <s v="No"/>
    <n v="161"/>
    <s v="High"/>
    <s v="Low"/>
    <n v="1"/>
    <s v="Low"/>
    <n v="3"/>
    <d v="2021-01-01T00:00:00"/>
    <s v="0–6 months"/>
    <s v="2–3 tickets"/>
    <s v="46+ min"/>
    <s v="701–1000"/>
    <n v="848"/>
    <n v="0"/>
  </r>
  <r>
    <n v="10619"/>
    <n v="25"/>
    <s v="Female"/>
    <s v="Pune"/>
    <d v="2022-10-01T00:00:00"/>
    <d v="2021-07-26T00:00:00"/>
    <x v="1"/>
    <n v="1083"/>
    <x v="7"/>
    <n v="4"/>
    <n v="31.13"/>
    <n v="20"/>
    <x v="0"/>
    <x v="1"/>
    <n v="866.4"/>
    <b v="0"/>
    <n v="8.3333333333333329E-2"/>
    <n v="866.4"/>
    <n v="6.226"/>
    <d v="2022-10-01T00:00:00"/>
    <s v="Young"/>
    <n v="0"/>
    <s v="No"/>
    <m/>
    <s v="Medium"/>
    <s v="Medium"/>
    <n v="2"/>
    <s v="Low"/>
    <n v="3"/>
    <d v="2022-10-01T00:00:00"/>
    <s v="0–6 months"/>
    <s v="4–5 tickets"/>
    <s v="31–45 min"/>
    <s v="1000+"/>
    <n v="1083"/>
    <n v="-216.60000000000002"/>
  </r>
  <r>
    <n v="10620"/>
    <n v="62"/>
    <s v="Female"/>
    <s v="Delhi"/>
    <d v="2021-04-02T00:00:00"/>
    <d v="2022-01-12T00:00:00"/>
    <x v="0"/>
    <n v="631"/>
    <x v="11"/>
    <n v="1"/>
    <n v="86.87"/>
    <n v="20"/>
    <x v="0"/>
    <x v="1"/>
    <n v="6814.8"/>
    <b v="1"/>
    <n v="0.91666666666666663"/>
    <n v="619.5272727272727"/>
    <n v="43.435000000000002"/>
    <d v="2021-04-01T00:00:00"/>
    <s v="Older"/>
    <n v="0"/>
    <s v="No"/>
    <n v="285"/>
    <s v="High"/>
    <s v="Medium"/>
    <n v="8.3333333333333329E-2"/>
    <s v="Low"/>
    <n v="1"/>
    <d v="2021-04-01T00:00:00"/>
    <s v="7–12 months"/>
    <s v="0–1 tickets"/>
    <s v="46+ min"/>
    <s v="501–700"/>
    <n v="6941"/>
    <n v="-126.19999999999982"/>
  </r>
  <r>
    <n v="10621"/>
    <n v="18"/>
    <s v="Male"/>
    <s v="Mumbai"/>
    <d v="2021-07-09T00:00:00"/>
    <d v="2022-12-10T00:00:00"/>
    <x v="0"/>
    <n v="1093"/>
    <x v="1"/>
    <n v="2"/>
    <n v="89.29"/>
    <n v="5"/>
    <x v="1"/>
    <x v="1"/>
    <n v="23991.35"/>
    <b v="1"/>
    <n v="1.8333333333333333"/>
    <n v="1090.515909090909"/>
    <n v="29.763333333333335"/>
    <d v="2021-07-01T00:00:00"/>
    <s v="Young"/>
    <n v="0"/>
    <s v="Yes"/>
    <n v="519"/>
    <s v="High"/>
    <s v="Low"/>
    <n v="8.6956521739130432E-2"/>
    <s v="High"/>
    <n v="1"/>
    <d v="2021-07-01T00:00:00"/>
    <s v="13–24 months"/>
    <s v="2–3 tickets"/>
    <s v="46+ min"/>
    <s v="1000+"/>
    <n v="24046"/>
    <n v="-54.650000000001455"/>
  </r>
  <r>
    <n v="10622"/>
    <n v="39"/>
    <s v="Female"/>
    <s v="unknown"/>
    <d v="2023-05-21T00:00:00"/>
    <d v="2021-08-06T00:00:00"/>
    <x v="2"/>
    <n v="948"/>
    <x v="12"/>
    <n v="3"/>
    <n v="7.41"/>
    <n v="0"/>
    <x v="0"/>
    <x v="1"/>
    <n v="33180"/>
    <b v="0"/>
    <n v="2.9166666666666665"/>
    <n v="948"/>
    <n v="1.8525"/>
    <d v="2023-05-01T00:00:00"/>
    <s v="Middle-aged"/>
    <n v="0"/>
    <s v="Yes"/>
    <m/>
    <s v="Low"/>
    <s v="Low"/>
    <n v="8.3333333333333329E-2"/>
    <s v="High"/>
    <n v="2"/>
    <d v="2023-05-01T00:00:00"/>
    <s v="25+ months"/>
    <s v="2–3 tickets"/>
    <s v="0–10 min"/>
    <s v="701–1000"/>
    <n v="33180"/>
    <n v="0"/>
  </r>
  <r>
    <n v="10623"/>
    <n v="34"/>
    <s v="Male"/>
    <s v="Chennai"/>
    <d v="2022-04-21T00:00:00"/>
    <d v="2021-12-14T00:00:00"/>
    <x v="1"/>
    <n v="1282"/>
    <x v="20"/>
    <n v="2"/>
    <n v="50.51"/>
    <n v="0"/>
    <x v="2"/>
    <x v="0"/>
    <n v="7692"/>
    <b v="0"/>
    <n v="0.5"/>
    <n v="1282"/>
    <n v="16.836666666666666"/>
    <d v="2022-04-01T00:00:00"/>
    <s v="Adult"/>
    <n v="1"/>
    <s v="No"/>
    <m/>
    <s v="Medium"/>
    <s v="Low"/>
    <n v="0.2857142857142857"/>
    <s v="Low"/>
    <n v="3"/>
    <d v="2022-04-01T00:00:00"/>
    <s v="0–6 months"/>
    <s v="2–3 tickets"/>
    <s v="46+ min"/>
    <s v="1000+"/>
    <n v="7692"/>
    <n v="0"/>
  </r>
  <r>
    <n v="10624"/>
    <n v="24"/>
    <s v="Female"/>
    <s v="Delhi"/>
    <d v="2022-05-26T00:00:00"/>
    <d v="2023-03-16T00:00:00"/>
    <x v="2"/>
    <n v="1352"/>
    <x v="29"/>
    <n v="4"/>
    <n v="107.37"/>
    <n v="20"/>
    <x v="0"/>
    <x v="1"/>
    <n v="37585.599999999999"/>
    <b v="1"/>
    <n v="2.3333333333333335"/>
    <n v="1342.3428571428572"/>
    <n v="21.474"/>
    <d v="2022-05-01T00:00:00"/>
    <s v="Young"/>
    <n v="0"/>
    <s v="Yes"/>
    <n v="294"/>
    <s v="High"/>
    <s v="Medium"/>
    <n v="0.13793103448275862"/>
    <s v="High"/>
    <n v="2"/>
    <d v="2022-05-01T00:00:00"/>
    <s v="25+ months"/>
    <s v="4–5 tickets"/>
    <s v="46+ min"/>
    <s v="1000+"/>
    <n v="37856"/>
    <n v="-270.40000000000146"/>
  </r>
  <r>
    <n v="10625"/>
    <n v="42"/>
    <s v="Female"/>
    <s v="Mumbai"/>
    <d v="2022-04-07T00:00:00"/>
    <d v="2023-09-13T00:00:00"/>
    <x v="2"/>
    <n v="842"/>
    <x v="27"/>
    <n v="1"/>
    <n v="64.84"/>
    <n v="10"/>
    <x v="2"/>
    <x v="1"/>
    <n v="26017.8"/>
    <b v="1"/>
    <n v="2.5833333333333335"/>
    <n v="839.2838709677419"/>
    <n v="32.42"/>
    <d v="2022-04-01T00:00:00"/>
    <s v="Middle-aged"/>
    <n v="0"/>
    <s v="Yes"/>
    <n v="524"/>
    <s v="High"/>
    <s v="Low"/>
    <n v="3.125E-2"/>
    <s v="High"/>
    <n v="2"/>
    <d v="2022-04-01T00:00:00"/>
    <s v="25+ months"/>
    <s v="0–1 tickets"/>
    <s v="46+ min"/>
    <s v="701–1000"/>
    <n v="26102"/>
    <n v="-84.200000000000728"/>
  </r>
  <r>
    <n v="10626"/>
    <n v="62"/>
    <s v="Female"/>
    <s v="Bangalore"/>
    <d v="2021-02-22T00:00:00"/>
    <d v="2021-06-23T00:00:00"/>
    <x v="0"/>
    <n v="1342"/>
    <x v="14"/>
    <n v="1"/>
    <n v="44.98"/>
    <n v="20"/>
    <x v="1"/>
    <x v="1"/>
    <n v="10467.6"/>
    <b v="1"/>
    <n v="0.66666666666666663"/>
    <n v="1308.45"/>
    <n v="22.49"/>
    <d v="2021-02-01T00:00:00"/>
    <s v="Older"/>
    <n v="0"/>
    <s v="No"/>
    <n v="121"/>
    <s v="Medium"/>
    <s v="Medium"/>
    <n v="0.1111111111111111"/>
    <s v="Medium"/>
    <n v="1"/>
    <d v="2021-02-01T00:00:00"/>
    <s v="7–12 months"/>
    <s v="0–1 tickets"/>
    <s v="31–45 min"/>
    <s v="1000+"/>
    <n v="10736"/>
    <n v="-268.39999999999964"/>
  </r>
  <r>
    <n v="10627"/>
    <n v="21"/>
    <s v="Female"/>
    <s v="Hyderabad"/>
    <d v="2023-01-24T00:00:00"/>
    <d v="2023-01-27T00:00:00"/>
    <x v="0"/>
    <n v="1471"/>
    <x v="21"/>
    <n v="5"/>
    <n v="34.17"/>
    <n v="10"/>
    <x v="0"/>
    <x v="1"/>
    <n v="7207.9"/>
    <b v="1"/>
    <n v="0.41666666666666669"/>
    <n v="1441.58"/>
    <n v="5.6950000000000003"/>
    <d v="2023-01-01T00:00:00"/>
    <s v="Young"/>
    <n v="0"/>
    <s v="No"/>
    <n v="3"/>
    <s v="Medium"/>
    <s v="Low"/>
    <n v="0.83333333333333337"/>
    <s v="Low"/>
    <n v="1"/>
    <d v="2023-01-01T00:00:00"/>
    <s v="0–6 months"/>
    <s v="4–5 tickets"/>
    <s v="31–45 min"/>
    <s v="1000+"/>
    <n v="7355"/>
    <n v="-147.10000000000036"/>
  </r>
  <r>
    <n v="10628"/>
    <n v="53"/>
    <s v="Male"/>
    <s v="Hyderabad"/>
    <d v="2022-05-01T00:00:00"/>
    <d v="2023-06-24T00:00:00"/>
    <x v="2"/>
    <n v="790"/>
    <x v="18"/>
    <n v="3"/>
    <n v="32.99"/>
    <n v="20"/>
    <x v="3"/>
    <x v="1"/>
    <n v="13272"/>
    <b v="1"/>
    <n v="1.4166666666666667"/>
    <n v="780.70588235294122"/>
    <n v="8.2475000000000005"/>
    <d v="2022-05-01T00:00:00"/>
    <s v="Older"/>
    <n v="0"/>
    <s v="No"/>
    <n v="419"/>
    <s v="Medium"/>
    <s v="Medium"/>
    <n v="0.16666666666666666"/>
    <s v="Medium"/>
    <n v="2"/>
    <d v="2022-05-01T00:00:00"/>
    <s v="13–24 months"/>
    <s v="2–3 tickets"/>
    <s v="31–45 min"/>
    <s v="701–1000"/>
    <n v="13430"/>
    <n v="-158"/>
  </r>
  <r>
    <n v="10629"/>
    <n v="23"/>
    <s v="Female"/>
    <s v="Delhi"/>
    <d v="2022-10-06T00:00:00"/>
    <d v="2022-01-23T00:00:00"/>
    <x v="0"/>
    <n v="582"/>
    <x v="9"/>
    <n v="2"/>
    <n v="16.47"/>
    <n v="15"/>
    <x v="3"/>
    <x v="1"/>
    <n v="5150.7"/>
    <b v="0"/>
    <n v="0.75"/>
    <n v="572.29999999999995"/>
    <n v="5.4899999999999993"/>
    <d v="2022-10-01T00:00:00"/>
    <s v="Young"/>
    <n v="0"/>
    <s v="No"/>
    <m/>
    <s v="Low"/>
    <s v="Low"/>
    <n v="0.2"/>
    <s v="Low"/>
    <n v="1"/>
    <d v="2022-10-01T00:00:00"/>
    <s v="7–12 months"/>
    <s v="2–3 tickets"/>
    <s v="11–20 min"/>
    <s v="501–700"/>
    <n v="5238"/>
    <n v="-87.300000000000182"/>
  </r>
  <r>
    <n v="10630"/>
    <n v="48"/>
    <s v="Female"/>
    <s v="Mumbai"/>
    <d v="2022-05-05T00:00:00"/>
    <d v="2022-12-18T00:00:00"/>
    <x v="0"/>
    <n v="1161"/>
    <x v="32"/>
    <n v="5"/>
    <n v="98.98"/>
    <n v="0"/>
    <x v="2"/>
    <x v="0"/>
    <n v="11610"/>
    <b v="1"/>
    <n v="0.83333333333333337"/>
    <n v="1161"/>
    <n v="16.496666666666666"/>
    <d v="2022-05-01T00:00:00"/>
    <s v="Middle-aged"/>
    <n v="1"/>
    <s v="No"/>
    <n v="227"/>
    <s v="High"/>
    <s v="Low"/>
    <n v="0.45454545454545453"/>
    <s v="Medium"/>
    <n v="1"/>
    <d v="2022-05-01T00:00:00"/>
    <s v="7–12 months"/>
    <s v="4–5 tickets"/>
    <s v="46+ min"/>
    <s v="1000+"/>
    <n v="11610"/>
    <n v="0"/>
  </r>
  <r>
    <n v="10631"/>
    <n v="36"/>
    <s v="Male"/>
    <s v="Mumbai"/>
    <d v="2021-12-30T00:00:00"/>
    <d v="2021-10-16T00:00:00"/>
    <x v="0"/>
    <n v="412"/>
    <x v="28"/>
    <n v="4"/>
    <n v="14.97"/>
    <n v="10"/>
    <x v="2"/>
    <x v="0"/>
    <n v="8198.7999999999993"/>
    <b v="0"/>
    <n v="1.6666666666666667"/>
    <n v="409.93999999999994"/>
    <n v="2.9940000000000002"/>
    <d v="2021-12-01T00:00:00"/>
    <s v="Middle-aged"/>
    <n v="1"/>
    <s v="No"/>
    <m/>
    <s v="Low"/>
    <s v="Low"/>
    <n v="0.19047619047619047"/>
    <s v="Low"/>
    <n v="1"/>
    <d v="2021-12-01T00:00:00"/>
    <s v="13–24 months"/>
    <s v="4–5 tickets"/>
    <s v="11–20 min"/>
    <s v="301–500"/>
    <n v="8240"/>
    <n v="-41.200000000000728"/>
  </r>
  <r>
    <n v="10632"/>
    <n v="61"/>
    <s v="Female"/>
    <s v="Chennai"/>
    <d v="2021-04-22T00:00:00"/>
    <d v="2022-09-16T00:00:00"/>
    <x v="0"/>
    <n v="1161"/>
    <x v="25"/>
    <n v="4"/>
    <n v="62.59"/>
    <n v="15"/>
    <x v="1"/>
    <x v="1"/>
    <n v="16079.85"/>
    <b v="1"/>
    <n v="1.1666666666666667"/>
    <n v="1148.5607142857143"/>
    <n v="12.518000000000001"/>
    <d v="2021-04-01T00:00:00"/>
    <s v="Older"/>
    <n v="0"/>
    <s v="Yes"/>
    <n v="512"/>
    <s v="High"/>
    <s v="Low"/>
    <n v="0.26666666666666666"/>
    <s v="Medium"/>
    <n v="1"/>
    <d v="2021-04-01T00:00:00"/>
    <s v="13–24 months"/>
    <s v="4–5 tickets"/>
    <s v="46+ min"/>
    <s v="1000+"/>
    <n v="16254"/>
    <n v="-174.14999999999964"/>
  </r>
  <r>
    <n v="10633"/>
    <n v="56"/>
    <s v="Male"/>
    <s v="Bangalore"/>
    <d v="2022-02-13T00:00:00"/>
    <d v="2023-09-23T00:00:00"/>
    <x v="2"/>
    <n v="909"/>
    <x v="25"/>
    <n v="5"/>
    <n v="10.25"/>
    <n v="10"/>
    <x v="0"/>
    <x v="1"/>
    <n v="12635.1"/>
    <b v="1"/>
    <n v="1.1666666666666667"/>
    <n v="902.50714285714287"/>
    <n v="1.7083333333333333"/>
    <d v="2022-02-01T00:00:00"/>
    <s v="Older"/>
    <n v="0"/>
    <s v="No"/>
    <n v="587"/>
    <s v="Low"/>
    <s v="Low"/>
    <n v="0.33333333333333331"/>
    <s v="Medium"/>
    <n v="2"/>
    <d v="2022-02-01T00:00:00"/>
    <s v="13–24 months"/>
    <s v="4–5 tickets"/>
    <s v="11–20 min"/>
    <s v="701–1000"/>
    <n v="12726"/>
    <n v="-90.899999999999636"/>
  </r>
  <r>
    <n v="10634"/>
    <n v="44"/>
    <s v="Female"/>
    <s v="Pune"/>
    <d v="2021-01-07T00:00:00"/>
    <d v="2023-07-24T00:00:00"/>
    <x v="0"/>
    <n v="807"/>
    <x v="8"/>
    <n v="3"/>
    <n v="94.86"/>
    <n v="5"/>
    <x v="2"/>
    <x v="0"/>
    <n v="20941.650000000001"/>
    <b v="1"/>
    <n v="2.1666666666666665"/>
    <n v="805.448076923077"/>
    <n v="23.715"/>
    <d v="2021-01-01T00:00:00"/>
    <s v="Middle-aged"/>
    <n v="1"/>
    <s v="Yes"/>
    <n v="928"/>
    <s v="High"/>
    <s v="Low"/>
    <n v="0.1111111111111111"/>
    <s v="High"/>
    <n v="1"/>
    <d v="2021-01-01T00:00:00"/>
    <s v="25+ months"/>
    <s v="2–3 tickets"/>
    <s v="46+ min"/>
    <s v="701–1000"/>
    <n v="20982"/>
    <n v="-40.349999999998545"/>
  </r>
  <r>
    <n v="10635"/>
    <n v="27"/>
    <s v="Female"/>
    <s v="Mumbai"/>
    <d v="2023-01-12T00:00:00"/>
    <d v="2022-12-05T00:00:00"/>
    <x v="2"/>
    <n v="765"/>
    <x v="5"/>
    <n v="3"/>
    <n v="9.52"/>
    <n v="5"/>
    <x v="2"/>
    <x v="1"/>
    <n v="22146.75"/>
    <b v="0"/>
    <n v="2.4166666666666665"/>
    <n v="763.68103448275861"/>
    <n v="2.38"/>
    <d v="2023-01-01T00:00:00"/>
    <s v="Adult"/>
    <n v="0"/>
    <s v="Yes"/>
    <m/>
    <s v="Low"/>
    <s v="Low"/>
    <n v="0.1"/>
    <s v="High"/>
    <n v="2"/>
    <d v="2023-01-01T00:00:00"/>
    <s v="25+ months"/>
    <s v="2–3 tickets"/>
    <s v="0–10 min"/>
    <s v="701–1000"/>
    <n v="22185"/>
    <n v="-38.25"/>
  </r>
  <r>
    <n v="10636"/>
    <n v="41"/>
    <s v="Female"/>
    <s v="Pune"/>
    <d v="2022-10-30T00:00:00"/>
    <d v="2023-01-31T00:00:00"/>
    <x v="0"/>
    <n v="1123"/>
    <x v="26"/>
    <n v="1"/>
    <n v="40.450000000000003"/>
    <n v="0"/>
    <x v="1"/>
    <x v="1"/>
    <n v="30321"/>
    <b v="1"/>
    <n v="2.25"/>
    <n v="1123"/>
    <n v="20.225000000000001"/>
    <d v="2022-10-01T00:00:00"/>
    <s v="Middle-aged"/>
    <n v="0"/>
    <s v="Yes"/>
    <n v="93"/>
    <s v="Medium"/>
    <s v="Low"/>
    <n v="3.5714285714285712E-2"/>
    <s v="High"/>
    <n v="1"/>
    <d v="2022-10-01T00:00:00"/>
    <s v="25+ months"/>
    <s v="0–1 tickets"/>
    <s v="31–45 min"/>
    <s v="1000+"/>
    <n v="30321"/>
    <n v="0"/>
  </r>
  <r>
    <n v="10637"/>
    <n v="36"/>
    <s v="Male"/>
    <s v="Hyderabad"/>
    <d v="2021-07-16T00:00:00"/>
    <d v="2023-04-26T00:00:00"/>
    <x v="1"/>
    <n v="908"/>
    <x v="0"/>
    <n v="5"/>
    <n v="70.930000000000007"/>
    <n v="15"/>
    <x v="0"/>
    <x v="1"/>
    <n v="22563.8"/>
    <b v="1"/>
    <n v="2.0833333333333335"/>
    <n v="902.55200000000002"/>
    <n v="11.821666666666667"/>
    <d v="2021-07-01T00:00:00"/>
    <s v="Middle-aged"/>
    <n v="0"/>
    <s v="Yes"/>
    <n v="649"/>
    <s v="High"/>
    <s v="Low"/>
    <n v="0.19230769230769232"/>
    <s v="High"/>
    <n v="3"/>
    <d v="2021-07-01T00:00:00"/>
    <s v="25+ months"/>
    <s v="4–5 tickets"/>
    <s v="46+ min"/>
    <s v="701–1000"/>
    <n v="22700"/>
    <n v="-136.20000000000073"/>
  </r>
  <r>
    <n v="10638"/>
    <n v="56"/>
    <s v="Female"/>
    <s v="Pune"/>
    <d v="2023-04-15T00:00:00"/>
    <d v="2023-03-02T00:00:00"/>
    <x v="0"/>
    <n v="1421"/>
    <x v="24"/>
    <n v="8"/>
    <n v="52.1"/>
    <n v="15"/>
    <x v="0"/>
    <x v="1"/>
    <n v="22522.85"/>
    <b v="0"/>
    <n v="1.3333333333333333"/>
    <n v="1407.6781249999999"/>
    <n v="5.7888888888888888"/>
    <d v="2023-04-01T00:00:00"/>
    <s v="Older"/>
    <n v="0"/>
    <s v="Yes"/>
    <m/>
    <s v="Medium"/>
    <s v="Low"/>
    <n v="0.47058823529411764"/>
    <s v="High"/>
    <n v="1"/>
    <d v="2023-04-01T00:00:00"/>
    <s v="13–24 months"/>
    <s v="6+ tickets"/>
    <s v="46+ min"/>
    <s v="1000+"/>
    <n v="22736"/>
    <n v="-213.15000000000146"/>
  </r>
  <r>
    <n v="10639"/>
    <n v="20"/>
    <s v="Female"/>
    <s v="Bangalore"/>
    <d v="2023-05-26T00:00:00"/>
    <d v="2022-01-15T00:00:00"/>
    <x v="2"/>
    <n v="589"/>
    <x v="22"/>
    <n v="0"/>
    <n v="37.46"/>
    <n v="5"/>
    <x v="2"/>
    <x v="1"/>
    <n v="19996.55"/>
    <b v="0"/>
    <n v="2.8333333333333335"/>
    <n v="588.13382352941176"/>
    <n v="37.46"/>
    <d v="2023-05-01T00:00:00"/>
    <s v="Young"/>
    <n v="0"/>
    <s v="Yes"/>
    <m/>
    <s v="Medium"/>
    <s v="Low"/>
    <n v="0"/>
    <s v="High"/>
    <n v="2"/>
    <d v="2023-05-01T00:00:00"/>
    <s v="25+ months"/>
    <s v="0–1 tickets"/>
    <s v="31–45 min"/>
    <s v="501–700"/>
    <n v="20026"/>
    <n v="-29.450000000000728"/>
  </r>
  <r>
    <n v="10640"/>
    <n v="62"/>
    <s v="Female"/>
    <s v="Bangalore"/>
    <d v="2023-01-05T00:00:00"/>
    <d v="2022-04-13T00:00:00"/>
    <x v="2"/>
    <n v="1167"/>
    <x v="24"/>
    <n v="2"/>
    <n v="36.65"/>
    <n v="0"/>
    <x v="0"/>
    <x v="1"/>
    <n v="18672"/>
    <b v="0"/>
    <n v="1.3333333333333333"/>
    <n v="1167"/>
    <n v="12.216666666666667"/>
    <d v="2023-01-01T00:00:00"/>
    <s v="Older"/>
    <n v="0"/>
    <s v="Yes"/>
    <m/>
    <s v="Medium"/>
    <s v="Low"/>
    <n v="0.11764705882352941"/>
    <s v="Medium"/>
    <n v="2"/>
    <d v="2023-01-01T00:00:00"/>
    <s v="13–24 months"/>
    <s v="2–3 tickets"/>
    <s v="31–45 min"/>
    <s v="1000+"/>
    <n v="18672"/>
    <n v="0"/>
  </r>
  <r>
    <n v="10641"/>
    <n v="30"/>
    <s v="Male"/>
    <s v="Pune"/>
    <d v="2022-01-02T00:00:00"/>
    <d v="2023-01-19T00:00:00"/>
    <x v="0"/>
    <n v="1479"/>
    <x v="33"/>
    <n v="0"/>
    <n v="96.75"/>
    <n v="5"/>
    <x v="0"/>
    <x v="1"/>
    <n v="48733.05"/>
    <b v="1"/>
    <n v="2.75"/>
    <n v="1476.7590909090909"/>
    <n v="96.75"/>
    <d v="2022-01-01T00:00:00"/>
    <s v="Adult"/>
    <n v="0"/>
    <s v="Yes"/>
    <n v="382"/>
    <s v="High"/>
    <s v="Low"/>
    <n v="0"/>
    <s v="High"/>
    <n v="1"/>
    <d v="2022-01-01T00:00:00"/>
    <s v="25+ months"/>
    <s v="0–1 tickets"/>
    <s v="46+ min"/>
    <s v="1000+"/>
    <n v="48807"/>
    <n v="-73.94999999999709"/>
  </r>
  <r>
    <n v="10642"/>
    <n v="45"/>
    <s v="Male"/>
    <s v="Delhi"/>
    <d v="2021-09-07T00:00:00"/>
    <d v="2023-07-08T00:00:00"/>
    <x v="1"/>
    <n v="1081"/>
    <x v="13"/>
    <n v="0"/>
    <n v="117.01"/>
    <n v="15"/>
    <x v="0"/>
    <x v="1"/>
    <n v="3080.85"/>
    <b v="1"/>
    <n v="0.25"/>
    <n v="1026.95"/>
    <n v="117.01"/>
    <d v="2021-09-01T00:00:00"/>
    <s v="Middle-aged"/>
    <n v="0"/>
    <s v="No"/>
    <n v="669"/>
    <s v="High"/>
    <s v="Low"/>
    <n v="0"/>
    <s v="Low"/>
    <n v="3"/>
    <d v="2021-09-01T00:00:00"/>
    <s v="0–6 months"/>
    <s v="0–1 tickets"/>
    <s v="46+ min"/>
    <s v="1000+"/>
    <n v="3243"/>
    <n v="-162.15000000000009"/>
  </r>
  <r>
    <n v="10643"/>
    <n v="37"/>
    <s v="Female"/>
    <s v="Mumbai"/>
    <d v="2022-08-18T00:00:00"/>
    <d v="2023-05-22T00:00:00"/>
    <x v="2"/>
    <n v="461"/>
    <x v="31"/>
    <n v="2"/>
    <n v="45.02"/>
    <n v="10"/>
    <x v="3"/>
    <x v="0"/>
    <n v="10556.9"/>
    <b v="1"/>
    <n v="1.9166666666666667"/>
    <n v="458.99565217391302"/>
    <n v="15.006666666666668"/>
    <d v="2022-08-01T00:00:00"/>
    <s v="Middle-aged"/>
    <n v="1"/>
    <s v="No"/>
    <n v="277"/>
    <s v="Medium"/>
    <s v="Low"/>
    <n v="8.3333333333333329E-2"/>
    <s v="Medium"/>
    <n v="2"/>
    <d v="2022-08-01T00:00:00"/>
    <s v="13–24 months"/>
    <s v="2–3 tickets"/>
    <s v="46+ min"/>
    <s v="301–500"/>
    <n v="10603"/>
    <n v="-46.100000000000364"/>
  </r>
  <r>
    <n v="10644"/>
    <n v="45"/>
    <s v="Male"/>
    <s v="Delhi"/>
    <d v="2021-08-28T00:00:00"/>
    <d v="2023-05-28T00:00:00"/>
    <x v="0"/>
    <n v="923"/>
    <x v="11"/>
    <n v="0"/>
    <n v="9.5"/>
    <n v="15"/>
    <x v="0"/>
    <x v="1"/>
    <n v="10014.549999999999"/>
    <b v="1"/>
    <n v="0.91666666666666663"/>
    <n v="910.41363636363633"/>
    <n v="9.5"/>
    <d v="2021-08-01T00:00:00"/>
    <s v="Middle-aged"/>
    <n v="0"/>
    <s v="No"/>
    <n v="638"/>
    <s v="Low"/>
    <s v="Low"/>
    <n v="0"/>
    <s v="Medium"/>
    <n v="1"/>
    <d v="2021-08-01T00:00:00"/>
    <s v="7–12 months"/>
    <s v="0–1 tickets"/>
    <s v="0–10 min"/>
    <s v="701–1000"/>
    <n v="10153"/>
    <n v="-138.45000000000073"/>
  </r>
  <r>
    <n v="10645"/>
    <n v="25"/>
    <s v="Female"/>
    <s v="Pune"/>
    <d v="2022-01-15T00:00:00"/>
    <d v="2023-11-03T00:00:00"/>
    <x v="0"/>
    <n v="1016"/>
    <x v="10"/>
    <n v="2"/>
    <n v="9.2100000000000009"/>
    <n v="10"/>
    <x v="3"/>
    <x v="1"/>
    <n v="18288"/>
    <b v="1"/>
    <n v="1.5"/>
    <n v="1016"/>
    <n v="3.0700000000000003"/>
    <d v="2022-01-01T00:00:00"/>
    <s v="Young"/>
    <n v="0"/>
    <s v="Yes"/>
    <n v="657"/>
    <s v="Low"/>
    <s v="Low"/>
    <n v="0.10526315789473684"/>
    <s v="Medium"/>
    <n v="1"/>
    <d v="2022-01-01T00:00:00"/>
    <s v="13–24 months"/>
    <s v="2–3 tickets"/>
    <s v="0–10 min"/>
    <s v="1000+"/>
    <n v="18288"/>
    <n v="0"/>
  </r>
  <r>
    <n v="10646"/>
    <n v="58"/>
    <s v="Female"/>
    <s v="Mumbai"/>
    <d v="2023-05-22T00:00:00"/>
    <d v="2023-02-02T00:00:00"/>
    <x v="1"/>
    <n v="1420"/>
    <x v="5"/>
    <n v="2"/>
    <n v="92.31"/>
    <n v="15"/>
    <x v="0"/>
    <x v="0"/>
    <n v="40967"/>
    <b v="0"/>
    <n v="2.4166666666666665"/>
    <n v="1412.655172413793"/>
    <n v="30.77"/>
    <d v="2023-05-01T00:00:00"/>
    <s v="Older"/>
    <n v="1"/>
    <s v="Yes"/>
    <m/>
    <s v="High"/>
    <s v="Low"/>
    <n v="6.6666666666666666E-2"/>
    <s v="High"/>
    <n v="3"/>
    <d v="2023-05-01T00:00:00"/>
    <s v="25+ months"/>
    <s v="2–3 tickets"/>
    <s v="46+ min"/>
    <s v="1000+"/>
    <n v="41180"/>
    <n v="-213"/>
  </r>
  <r>
    <n v="10647"/>
    <n v="56"/>
    <s v="Female"/>
    <s v="Chennai"/>
    <d v="2023-04-15T00:00:00"/>
    <d v="2022-12-13T00:00:00"/>
    <x v="2"/>
    <n v="866"/>
    <x v="21"/>
    <n v="3"/>
    <n v="68.52"/>
    <n v="20"/>
    <x v="0"/>
    <x v="1"/>
    <n v="4156.8"/>
    <b v="0"/>
    <n v="0.41666666666666669"/>
    <n v="831.36"/>
    <n v="17.13"/>
    <d v="2023-04-01T00:00:00"/>
    <s v="Older"/>
    <n v="0"/>
    <s v="No"/>
    <m/>
    <s v="High"/>
    <s v="Medium"/>
    <n v="0.5"/>
    <s v="Low"/>
    <n v="2"/>
    <d v="2023-04-01T00:00:00"/>
    <s v="0–6 months"/>
    <s v="2–3 tickets"/>
    <s v="46+ min"/>
    <s v="701–1000"/>
    <n v="4330"/>
    <n v="-173.19999999999982"/>
  </r>
  <r>
    <n v="10648"/>
    <n v="18"/>
    <s v="Female"/>
    <s v="Delhi"/>
    <d v="2022-04-16T00:00:00"/>
    <d v="2021-12-18T00:00:00"/>
    <x v="0"/>
    <n v="1293"/>
    <x v="30"/>
    <n v="1"/>
    <n v="95.11"/>
    <n v="15"/>
    <x v="0"/>
    <x v="1"/>
    <n v="30838.05"/>
    <b v="0"/>
    <n v="2"/>
    <n v="1284.91875"/>
    <n v="47.555"/>
    <d v="2022-04-01T00:00:00"/>
    <s v="Young"/>
    <n v="0"/>
    <s v="Yes"/>
    <m/>
    <s v="High"/>
    <s v="Low"/>
    <n v="0.04"/>
    <s v="High"/>
    <n v="1"/>
    <d v="2022-04-01T00:00:00"/>
    <s v="13–24 months"/>
    <s v="0–1 tickets"/>
    <s v="46+ min"/>
    <s v="1000+"/>
    <n v="31032"/>
    <n v="-193.95000000000073"/>
  </r>
  <r>
    <n v="10649"/>
    <n v="20"/>
    <s v="Female"/>
    <s v="Delhi"/>
    <d v="2023-02-14T00:00:00"/>
    <d v="2022-02-13T00:00:00"/>
    <x v="0"/>
    <n v="1440"/>
    <x v="5"/>
    <n v="1"/>
    <n v="85.21"/>
    <n v="20"/>
    <x v="2"/>
    <x v="1"/>
    <n v="41472"/>
    <b v="0"/>
    <n v="2.4166666666666665"/>
    <n v="1430.0689655172414"/>
    <n v="42.604999999999997"/>
    <d v="2023-02-01T00:00:00"/>
    <s v="Young"/>
    <n v="0"/>
    <s v="Yes"/>
    <m/>
    <s v="High"/>
    <s v="Medium"/>
    <n v="3.3333333333333333E-2"/>
    <s v="High"/>
    <n v="1"/>
    <d v="2023-02-01T00:00:00"/>
    <s v="25+ months"/>
    <s v="0–1 tickets"/>
    <s v="46+ min"/>
    <s v="1000+"/>
    <n v="41760"/>
    <n v="-288"/>
  </r>
  <r>
    <n v="10650"/>
    <n v="30"/>
    <s v="Male"/>
    <s v="Pune"/>
    <d v="2022-12-02T00:00:00"/>
    <d v="2022-09-23T00:00:00"/>
    <x v="1"/>
    <n v="895"/>
    <x v="5"/>
    <n v="0"/>
    <n v="109.36"/>
    <n v="5"/>
    <x v="2"/>
    <x v="0"/>
    <n v="25910.25"/>
    <b v="0"/>
    <n v="2.4166666666666665"/>
    <n v="893.45689655172418"/>
    <n v="109.36"/>
    <d v="2022-12-01T00:00:00"/>
    <s v="Adult"/>
    <n v="1"/>
    <s v="Yes"/>
    <m/>
    <s v="High"/>
    <s v="Low"/>
    <n v="0"/>
    <s v="High"/>
    <n v="3"/>
    <d v="2022-12-01T00:00:00"/>
    <s v="25+ months"/>
    <s v="0–1 tickets"/>
    <s v="46+ min"/>
    <s v="701–1000"/>
    <n v="25955"/>
    <n v="-44.75"/>
  </r>
  <r>
    <n v="10651"/>
    <n v="45"/>
    <s v="Male"/>
    <s v="Hyderabad"/>
    <d v="2022-03-31T00:00:00"/>
    <d v="2023-11-05T00:00:00"/>
    <x v="2"/>
    <n v="1258"/>
    <x v="8"/>
    <n v="4"/>
    <n v="106.87"/>
    <n v="20"/>
    <x v="3"/>
    <x v="1"/>
    <n v="32456.400000000001"/>
    <b v="1"/>
    <n v="2.1666666666666665"/>
    <n v="1248.323076923077"/>
    <n v="21.374000000000002"/>
    <d v="2022-03-01T00:00:00"/>
    <s v="Middle-aged"/>
    <n v="0"/>
    <s v="Yes"/>
    <n v="584"/>
    <s v="High"/>
    <s v="Medium"/>
    <n v="0.14814814814814814"/>
    <s v="High"/>
    <n v="2"/>
    <d v="2022-03-01T00:00:00"/>
    <s v="25+ months"/>
    <s v="4–5 tickets"/>
    <s v="46+ min"/>
    <s v="1000+"/>
    <n v="32708"/>
    <n v="-251.59999999999854"/>
  </r>
  <r>
    <n v="10652"/>
    <n v="42"/>
    <s v="Male"/>
    <s v="Pune"/>
    <d v="2022-01-01T00:00:00"/>
    <d v="2021-11-25T00:00:00"/>
    <x v="2"/>
    <n v="1312"/>
    <x v="13"/>
    <n v="1"/>
    <n v="95.66"/>
    <n v="15"/>
    <x v="0"/>
    <x v="0"/>
    <n v="3739.2"/>
    <b v="0"/>
    <n v="0.25"/>
    <n v="1246.3999999999999"/>
    <n v="47.83"/>
    <d v="2022-01-01T00:00:00"/>
    <s v="Middle-aged"/>
    <n v="1"/>
    <s v="No"/>
    <m/>
    <s v="High"/>
    <s v="Low"/>
    <n v="0.25"/>
    <s v="Low"/>
    <n v="2"/>
    <d v="2022-01-01T00:00:00"/>
    <s v="0–6 months"/>
    <s v="0–1 tickets"/>
    <s v="46+ min"/>
    <s v="1000+"/>
    <n v="3936"/>
    <n v="-196.80000000000018"/>
  </r>
  <r>
    <n v="10653"/>
    <n v="50"/>
    <s v="Male"/>
    <s v="Delhi"/>
    <d v="2021-10-17T00:00:00"/>
    <d v="2023-06-27T00:00:00"/>
    <x v="0"/>
    <n v="774"/>
    <x v="4"/>
    <n v="1"/>
    <n v="59.65"/>
    <n v="15"/>
    <x v="3"/>
    <x v="0"/>
    <n v="1431.9"/>
    <b v="1"/>
    <n v="0.16666666666666666"/>
    <n v="715.95"/>
    <n v="29.824999999999999"/>
    <d v="2021-10-01T00:00:00"/>
    <s v="Middle-aged"/>
    <n v="1"/>
    <s v="No"/>
    <n v="618"/>
    <s v="Medium"/>
    <s v="Low"/>
    <n v="0.33333333333333331"/>
    <s v="Low"/>
    <n v="1"/>
    <d v="2021-10-01T00:00:00"/>
    <s v="0–6 months"/>
    <s v="0–1 tickets"/>
    <s v="46+ min"/>
    <s v="701–1000"/>
    <n v="1548"/>
    <n v="-116.09999999999991"/>
  </r>
  <r>
    <n v="10654"/>
    <n v="55"/>
    <s v="Female"/>
    <s v="Mumbai"/>
    <d v="2023-05-24T00:00:00"/>
    <d v="2021-10-01T00:00:00"/>
    <x v="2"/>
    <n v="917"/>
    <x v="0"/>
    <n v="2"/>
    <n v="40.43"/>
    <n v="15"/>
    <x v="0"/>
    <x v="1"/>
    <n v="22787.45"/>
    <b v="0"/>
    <n v="2.0833333333333335"/>
    <n v="911.49800000000005"/>
    <n v="13.476666666666667"/>
    <d v="2023-05-01T00:00:00"/>
    <s v="Older"/>
    <n v="0"/>
    <s v="Yes"/>
    <m/>
    <s v="Medium"/>
    <s v="Low"/>
    <n v="7.6923076923076927E-2"/>
    <s v="High"/>
    <n v="2"/>
    <d v="2023-05-01T00:00:00"/>
    <s v="25+ months"/>
    <s v="2–3 tickets"/>
    <s v="31–45 min"/>
    <s v="701–1000"/>
    <n v="22925"/>
    <n v="-137.54999999999927"/>
  </r>
  <r>
    <n v="10655"/>
    <n v="23"/>
    <s v="Female"/>
    <s v="Hyderabad"/>
    <d v="2022-02-07T00:00:00"/>
    <d v="2022-05-08T00:00:00"/>
    <x v="0"/>
    <n v="940"/>
    <x v="17"/>
    <n v="0"/>
    <n v="63.31"/>
    <n v="0"/>
    <x v="1"/>
    <x v="1"/>
    <n v="17860"/>
    <b v="1"/>
    <n v="1.5833333333333333"/>
    <n v="940"/>
    <n v="63.31"/>
    <d v="2022-02-01T00:00:00"/>
    <s v="Young"/>
    <n v="0"/>
    <s v="Yes"/>
    <n v="90"/>
    <s v="High"/>
    <s v="Low"/>
    <n v="0"/>
    <s v="Medium"/>
    <n v="1"/>
    <d v="2022-02-01T00:00:00"/>
    <s v="13–24 months"/>
    <s v="0–1 tickets"/>
    <s v="46+ min"/>
    <s v="701–1000"/>
    <n v="17860"/>
    <n v="0"/>
  </r>
  <r>
    <n v="10656"/>
    <n v="61"/>
    <s v="Female"/>
    <s v="Pune"/>
    <d v="2021-02-27T00:00:00"/>
    <d v="2021-11-18T00:00:00"/>
    <x v="0"/>
    <n v="561"/>
    <x v="4"/>
    <n v="2"/>
    <n v="62.74"/>
    <n v="5"/>
    <x v="3"/>
    <x v="1"/>
    <n v="1093.95"/>
    <b v="1"/>
    <n v="0.16666666666666666"/>
    <n v="546.97500000000002"/>
    <n v="20.913333333333334"/>
    <d v="2021-02-01T00:00:00"/>
    <s v="Older"/>
    <n v="0"/>
    <s v="No"/>
    <n v="264"/>
    <s v="High"/>
    <s v="Low"/>
    <n v="0.66666666666666663"/>
    <s v="Low"/>
    <n v="1"/>
    <d v="2021-02-01T00:00:00"/>
    <s v="0–6 months"/>
    <s v="2–3 tickets"/>
    <s v="46+ min"/>
    <s v="501–700"/>
    <n v="1122"/>
    <n v="-28.049999999999955"/>
  </r>
  <r>
    <n v="10657"/>
    <n v="62"/>
    <s v="Female"/>
    <s v="Pune"/>
    <d v="2022-06-05T00:00:00"/>
    <d v="2023-09-23T00:00:00"/>
    <x v="2"/>
    <n v="461"/>
    <x v="17"/>
    <n v="2"/>
    <n v="75.180000000000007"/>
    <n v="20"/>
    <x v="2"/>
    <x v="1"/>
    <n v="8666.7999999999993"/>
    <b v="1"/>
    <n v="1.5833333333333333"/>
    <n v="456.14736842105259"/>
    <n v="25.060000000000002"/>
    <d v="2022-06-01T00:00:00"/>
    <s v="Older"/>
    <n v="0"/>
    <s v="No"/>
    <n v="475"/>
    <s v="High"/>
    <s v="Medium"/>
    <n v="0.1"/>
    <s v="Low"/>
    <n v="2"/>
    <d v="2022-06-01T00:00:00"/>
    <s v="13–24 months"/>
    <s v="2–3 tickets"/>
    <s v="46+ min"/>
    <s v="301–500"/>
    <n v="8759"/>
    <n v="-92.200000000000728"/>
  </r>
  <r>
    <n v="10658"/>
    <n v="49"/>
    <s v="Other"/>
    <s v="Delhi"/>
    <d v="2021-10-31T00:00:00"/>
    <d v="2023-03-10T00:00:00"/>
    <x v="1"/>
    <n v="480"/>
    <x v="7"/>
    <n v="2"/>
    <n v="26.4"/>
    <n v="10"/>
    <x v="1"/>
    <x v="1"/>
    <n v="432"/>
    <b v="1"/>
    <n v="8.3333333333333329E-2"/>
    <n v="432"/>
    <n v="8.7999999999999989"/>
    <d v="2021-10-01T00:00:00"/>
    <s v="Middle-aged"/>
    <n v="0"/>
    <s v="No"/>
    <n v="495"/>
    <s v="Medium"/>
    <s v="Low"/>
    <n v="1"/>
    <s v="Low"/>
    <n v="3"/>
    <d v="2021-10-01T00:00:00"/>
    <s v="0–6 months"/>
    <s v="2–3 tickets"/>
    <s v="21–30 min"/>
    <s v="301–500"/>
    <n v="480"/>
    <n v="-48"/>
  </r>
  <r>
    <n v="10659"/>
    <n v="62"/>
    <s v="Female"/>
    <s v="Delhi"/>
    <d v="2021-04-25T00:00:00"/>
    <d v="2021-07-29T00:00:00"/>
    <x v="0"/>
    <n v="1024"/>
    <x v="26"/>
    <n v="0"/>
    <n v="80.400000000000006"/>
    <n v="20"/>
    <x v="2"/>
    <x v="1"/>
    <n v="27443.200000000001"/>
    <b v="1"/>
    <n v="2.25"/>
    <n v="1016.4148148148148"/>
    <n v="80.400000000000006"/>
    <d v="2021-04-01T00:00:00"/>
    <s v="Older"/>
    <n v="0"/>
    <s v="Yes"/>
    <n v="95"/>
    <s v="High"/>
    <s v="Medium"/>
    <n v="0"/>
    <s v="High"/>
    <n v="1"/>
    <d v="2021-04-01T00:00:00"/>
    <s v="25+ months"/>
    <s v="0–1 tickets"/>
    <s v="46+ min"/>
    <s v="1000+"/>
    <n v="27648"/>
    <n v="-204.79999999999927"/>
  </r>
  <r>
    <n v="10660"/>
    <n v="64"/>
    <s v="Female"/>
    <s v="Chennai"/>
    <d v="2021-07-29T00:00:00"/>
    <d v="2023-05-06T00:00:00"/>
    <x v="2"/>
    <n v="768"/>
    <x v="12"/>
    <n v="4"/>
    <n v="57.51"/>
    <n v="15"/>
    <x v="1"/>
    <x v="1"/>
    <n v="26764.799999999999"/>
    <b v="1"/>
    <n v="2.9166666666666665"/>
    <n v="764.70857142857142"/>
    <n v="11.501999999999999"/>
    <d v="2021-07-01T00:00:00"/>
    <s v="Older"/>
    <n v="0"/>
    <s v="Yes"/>
    <n v="646"/>
    <s v="Medium"/>
    <s v="Low"/>
    <n v="0.1111111111111111"/>
    <s v="High"/>
    <n v="2"/>
    <d v="2021-07-01T00:00:00"/>
    <s v="25+ months"/>
    <s v="4–5 tickets"/>
    <s v="46+ min"/>
    <s v="701–1000"/>
    <n v="26880"/>
    <n v="-115.20000000000073"/>
  </r>
  <r>
    <n v="10661"/>
    <n v="38"/>
    <s v="Female"/>
    <s v="Pune"/>
    <d v="2021-02-10T00:00:00"/>
    <d v="2022-09-08T00:00:00"/>
    <x v="2"/>
    <n v="320"/>
    <x v="21"/>
    <n v="5"/>
    <n v="76.319999999999993"/>
    <n v="10"/>
    <x v="1"/>
    <x v="1"/>
    <n v="1568"/>
    <b v="1"/>
    <n v="0.41666666666666669"/>
    <n v="313.60000000000002"/>
    <n v="12.719999999999999"/>
    <d v="2021-02-01T00:00:00"/>
    <s v="Middle-aged"/>
    <n v="0"/>
    <s v="No"/>
    <n v="575"/>
    <s v="High"/>
    <s v="Low"/>
    <n v="0.83333333333333337"/>
    <s v="Low"/>
    <n v="2"/>
    <d v="2021-02-01T00:00:00"/>
    <s v="0–6 months"/>
    <s v="4–5 tickets"/>
    <s v="46+ min"/>
    <s v="301–500"/>
    <n v="1600"/>
    <n v="-32"/>
  </r>
  <r>
    <n v="10662"/>
    <n v="33"/>
    <s v="Male"/>
    <s v="Delhi"/>
    <d v="2023-03-27T00:00:00"/>
    <d v="2023-07-20T00:00:00"/>
    <x v="2"/>
    <n v="559"/>
    <x v="2"/>
    <n v="2"/>
    <n v="32.549999999999997"/>
    <n v="10"/>
    <x v="1"/>
    <x v="1"/>
    <n v="2180.1"/>
    <b v="1"/>
    <n v="0.33333333333333331"/>
    <n v="545.02499999999998"/>
    <n v="10.85"/>
    <d v="2023-03-01T00:00:00"/>
    <s v="Adult"/>
    <n v="0"/>
    <s v="No"/>
    <n v="115"/>
    <s v="Medium"/>
    <s v="Low"/>
    <n v="0.4"/>
    <s v="Low"/>
    <n v="2"/>
    <d v="2023-03-01T00:00:00"/>
    <s v="0–6 months"/>
    <s v="2–3 tickets"/>
    <s v="31–45 min"/>
    <s v="501–700"/>
    <n v="2236"/>
    <n v="-55.900000000000091"/>
  </r>
  <r>
    <n v="10663"/>
    <n v="38"/>
    <s v="Male"/>
    <s v="Bangalore"/>
    <d v="2021-06-22T00:00:00"/>
    <d v="2022-02-15T00:00:00"/>
    <x v="1"/>
    <n v="765"/>
    <x v="18"/>
    <n v="1"/>
    <n v="54.96"/>
    <n v="20"/>
    <x v="3"/>
    <x v="1"/>
    <n v="12852"/>
    <b v="1"/>
    <n v="1.4166666666666667"/>
    <n v="756"/>
    <n v="27.48"/>
    <d v="2021-06-01T00:00:00"/>
    <s v="Middle-aged"/>
    <n v="0"/>
    <s v="No"/>
    <n v="238"/>
    <s v="Medium"/>
    <s v="Medium"/>
    <n v="5.5555555555555552E-2"/>
    <s v="Medium"/>
    <n v="3"/>
    <d v="2021-06-01T00:00:00"/>
    <s v="13–24 months"/>
    <s v="0–1 tickets"/>
    <s v="46+ min"/>
    <s v="701–1000"/>
    <n v="13005"/>
    <n v="-153"/>
  </r>
  <r>
    <n v="10664"/>
    <n v="28"/>
    <s v="Male"/>
    <s v="Hyderabad"/>
    <d v="2021-08-22T00:00:00"/>
    <d v="2022-06-08T00:00:00"/>
    <x v="2"/>
    <n v="1439"/>
    <x v="6"/>
    <n v="1"/>
    <n v="29.17"/>
    <n v="20"/>
    <x v="3"/>
    <x v="1"/>
    <n v="29931.200000000001"/>
    <b v="1"/>
    <n v="1.75"/>
    <n v="1425.2952380952381"/>
    <n v="14.585000000000001"/>
    <d v="2021-08-01T00:00:00"/>
    <s v="Adult"/>
    <n v="0"/>
    <s v="Yes"/>
    <n v="290"/>
    <s v="Medium"/>
    <s v="Medium"/>
    <n v="4.5454545454545456E-2"/>
    <s v="High"/>
    <n v="2"/>
    <d v="2021-08-01T00:00:00"/>
    <s v="13–24 months"/>
    <s v="0–1 tickets"/>
    <s v="21–30 min"/>
    <s v="1000+"/>
    <n v="30219"/>
    <n v="-287.79999999999927"/>
  </r>
  <r>
    <n v="10665"/>
    <n v="54"/>
    <s v="Female"/>
    <s v="Bangalore"/>
    <d v="2023-03-04T00:00:00"/>
    <d v="2021-09-03T00:00:00"/>
    <x v="0"/>
    <n v="836"/>
    <x v="27"/>
    <n v="2"/>
    <n v="105.66"/>
    <n v="20"/>
    <x v="2"/>
    <x v="1"/>
    <n v="25748.799999999999"/>
    <b v="0"/>
    <n v="2.5833333333333335"/>
    <n v="830.60645161290324"/>
    <n v="35.22"/>
    <d v="2023-03-01T00:00:00"/>
    <s v="Older"/>
    <n v="0"/>
    <s v="Yes"/>
    <m/>
    <s v="High"/>
    <s v="Medium"/>
    <n v="6.25E-2"/>
    <s v="High"/>
    <n v="1"/>
    <d v="2023-03-01T00:00:00"/>
    <s v="25+ months"/>
    <s v="2–3 tickets"/>
    <s v="46+ min"/>
    <s v="701–1000"/>
    <n v="25916"/>
    <n v="-167.20000000000073"/>
  </r>
  <r>
    <n v="10666"/>
    <n v="53"/>
    <s v="Female"/>
    <s v="Hyderabad"/>
    <d v="2023-06-03T00:00:00"/>
    <d v="2021-10-03T00:00:00"/>
    <x v="1"/>
    <n v="1251"/>
    <x v="1"/>
    <n v="1"/>
    <n v="61.12"/>
    <n v="20"/>
    <x v="3"/>
    <x v="1"/>
    <n v="27271.8"/>
    <b v="0"/>
    <n v="1.8333333333333333"/>
    <n v="1239.6272727272726"/>
    <n v="30.56"/>
    <d v="2023-06-01T00:00:00"/>
    <s v="Older"/>
    <n v="0"/>
    <s v="Yes"/>
    <m/>
    <s v="High"/>
    <s v="Medium"/>
    <n v="4.3478260869565216E-2"/>
    <s v="High"/>
    <n v="3"/>
    <d v="2023-06-01T00:00:00"/>
    <s v="13–24 months"/>
    <s v="0–1 tickets"/>
    <s v="46+ min"/>
    <s v="1000+"/>
    <n v="27522"/>
    <n v="-250.20000000000073"/>
  </r>
  <r>
    <n v="10667"/>
    <n v="41"/>
    <s v="Male"/>
    <s v="Pune"/>
    <d v="2022-08-13T00:00:00"/>
    <d v="2021-07-11T00:00:00"/>
    <x v="2"/>
    <n v="1065"/>
    <x v="11"/>
    <n v="2"/>
    <n v="30.87"/>
    <n v="5"/>
    <x v="2"/>
    <x v="1"/>
    <n v="11661.75"/>
    <b v="0"/>
    <n v="0.91666666666666663"/>
    <n v="1060.159090909091"/>
    <n v="10.290000000000001"/>
    <d v="2022-08-01T00:00:00"/>
    <s v="Middle-aged"/>
    <n v="0"/>
    <s v="No"/>
    <m/>
    <s v="Medium"/>
    <s v="Low"/>
    <n v="0.16666666666666666"/>
    <s v="Medium"/>
    <n v="2"/>
    <d v="2022-08-01T00:00:00"/>
    <s v="7–12 months"/>
    <s v="2–3 tickets"/>
    <s v="31–45 min"/>
    <s v="1000+"/>
    <n v="11715"/>
    <n v="-53.25"/>
  </r>
  <r>
    <n v="10668"/>
    <n v="36"/>
    <s v="Male"/>
    <s v="Chennai"/>
    <d v="2022-09-12T00:00:00"/>
    <d v="2023-11-08T00:00:00"/>
    <x v="1"/>
    <n v="1258"/>
    <x v="22"/>
    <n v="3"/>
    <n v="9.74"/>
    <n v="0"/>
    <x v="0"/>
    <x v="1"/>
    <n v="42772"/>
    <b v="1"/>
    <n v="2.8333333333333335"/>
    <n v="1258"/>
    <n v="2.4350000000000001"/>
    <d v="2022-09-01T00:00:00"/>
    <s v="Middle-aged"/>
    <n v="0"/>
    <s v="Yes"/>
    <n v="422"/>
    <s v="Low"/>
    <s v="Low"/>
    <n v="8.5714285714285715E-2"/>
    <s v="High"/>
    <n v="3"/>
    <d v="2022-09-01T00:00:00"/>
    <s v="25+ months"/>
    <s v="2–3 tickets"/>
    <s v="0–10 min"/>
    <s v="1000+"/>
    <n v="42772"/>
    <n v="0"/>
  </r>
  <r>
    <n v="10669"/>
    <n v="37"/>
    <s v="Female"/>
    <s v="Delhi"/>
    <d v="2023-03-04T00:00:00"/>
    <d v="2022-02-09T00:00:00"/>
    <x v="2"/>
    <n v="1233"/>
    <x v="15"/>
    <n v="2"/>
    <n v="82.71"/>
    <n v="0"/>
    <x v="2"/>
    <x v="0"/>
    <n v="18495"/>
    <b v="0"/>
    <n v="1.25"/>
    <n v="1233"/>
    <n v="27.569999999999997"/>
    <d v="2023-03-01T00:00:00"/>
    <s v="Middle-aged"/>
    <n v="1"/>
    <s v="Yes"/>
    <m/>
    <s v="High"/>
    <s v="Low"/>
    <n v="0.125"/>
    <s v="Medium"/>
    <n v="2"/>
    <d v="2023-03-01T00:00:00"/>
    <s v="13–24 months"/>
    <s v="2–3 tickets"/>
    <s v="46+ min"/>
    <s v="1000+"/>
    <n v="18495"/>
    <n v="0"/>
  </r>
  <r>
    <n v="10670"/>
    <n v="35"/>
    <s v="Male"/>
    <s v="Delhi"/>
    <d v="2022-02-07T00:00:00"/>
    <d v="2021-06-07T00:00:00"/>
    <x v="1"/>
    <n v="1150"/>
    <x v="32"/>
    <n v="2"/>
    <n v="29.68"/>
    <n v="20"/>
    <x v="2"/>
    <x v="0"/>
    <n v="11270"/>
    <b v="0"/>
    <n v="0.83333333333333337"/>
    <n v="1127"/>
    <n v="9.8933333333333326"/>
    <d v="2022-02-01T00:00:00"/>
    <s v="Adult"/>
    <n v="1"/>
    <s v="No"/>
    <m/>
    <s v="Medium"/>
    <s v="Medium"/>
    <n v="0.18181818181818182"/>
    <s v="Medium"/>
    <n v="3"/>
    <d v="2022-02-01T00:00:00"/>
    <s v="7–12 months"/>
    <s v="2–3 tickets"/>
    <s v="21–30 min"/>
    <s v="1000+"/>
    <n v="11500"/>
    <n v="-230"/>
  </r>
  <r>
    <n v="10671"/>
    <n v="64"/>
    <s v="Male"/>
    <s v="Delhi"/>
    <d v="2021-02-08T00:00:00"/>
    <d v="2022-09-14T00:00:00"/>
    <x v="0"/>
    <n v="1491"/>
    <x v="23"/>
    <n v="1"/>
    <n v="118.8"/>
    <n v="0"/>
    <x v="3"/>
    <x v="1"/>
    <n v="47712"/>
    <b v="1"/>
    <n v="2.6666666666666665"/>
    <n v="1491"/>
    <n v="59.4"/>
    <d v="2021-02-01T00:00:00"/>
    <s v="Older"/>
    <n v="0"/>
    <s v="Yes"/>
    <n v="583"/>
    <s v="High"/>
    <s v="Low"/>
    <n v="3.0303030303030304E-2"/>
    <s v="High"/>
    <n v="1"/>
    <d v="2021-02-01T00:00:00"/>
    <s v="25+ months"/>
    <s v="0–1 tickets"/>
    <s v="46+ min"/>
    <s v="1000+"/>
    <n v="47712"/>
    <n v="0"/>
  </r>
  <r>
    <n v="10672"/>
    <n v="58"/>
    <s v="Female"/>
    <s v="Pune"/>
    <d v="2021-04-29T00:00:00"/>
    <d v="2023-05-29T00:00:00"/>
    <x v="0"/>
    <n v="832"/>
    <x v="27"/>
    <n v="5"/>
    <n v="66.38"/>
    <n v="20"/>
    <x v="2"/>
    <x v="1"/>
    <n v="25625.599999999999"/>
    <b v="1"/>
    <n v="2.5833333333333335"/>
    <n v="826.63225806451612"/>
    <n v="11.063333333333333"/>
    <d v="2021-04-01T00:00:00"/>
    <s v="Older"/>
    <n v="0"/>
    <s v="Yes"/>
    <n v="760"/>
    <s v="High"/>
    <s v="Medium"/>
    <n v="0.15625"/>
    <s v="High"/>
    <n v="1"/>
    <d v="2021-04-01T00:00:00"/>
    <s v="25+ months"/>
    <s v="4–5 tickets"/>
    <s v="46+ min"/>
    <s v="701–1000"/>
    <n v="25792"/>
    <n v="-166.40000000000146"/>
  </r>
  <r>
    <n v="10673"/>
    <n v="31"/>
    <s v="Male"/>
    <s v="Hyderabad"/>
    <d v="2021-12-01T00:00:00"/>
    <d v="2022-10-24T00:00:00"/>
    <x v="1"/>
    <n v="314"/>
    <x v="29"/>
    <n v="0"/>
    <n v="62.59"/>
    <n v="20"/>
    <x v="3"/>
    <x v="1"/>
    <n v="8729.2000000000007"/>
    <b v="1"/>
    <n v="2.3333333333333335"/>
    <n v="311.75714285714287"/>
    <n v="62.59"/>
    <d v="2021-12-01T00:00:00"/>
    <s v="Adult"/>
    <n v="0"/>
    <s v="No"/>
    <n v="327"/>
    <s v="High"/>
    <s v="Medium"/>
    <n v="0"/>
    <s v="Low"/>
    <n v="3"/>
    <d v="2021-12-01T00:00:00"/>
    <s v="25+ months"/>
    <s v="0–1 tickets"/>
    <s v="46+ min"/>
    <s v="301–500"/>
    <n v="8792"/>
    <n v="-62.799999999999272"/>
  </r>
  <r>
    <n v="10674"/>
    <n v="32"/>
    <s v="Male"/>
    <s v="Delhi"/>
    <d v="2021-12-02T00:00:00"/>
    <d v="2023-01-02T00:00:00"/>
    <x v="0"/>
    <n v="349"/>
    <x v="27"/>
    <n v="3"/>
    <n v="80.63"/>
    <n v="20"/>
    <x v="2"/>
    <x v="1"/>
    <n v="10749.2"/>
    <b v="1"/>
    <n v="2.5833333333333335"/>
    <n v="346.7483870967742"/>
    <n v="20.157499999999999"/>
    <d v="2021-12-01T00:00:00"/>
    <s v="Adult"/>
    <n v="0"/>
    <s v="No"/>
    <n v="396"/>
    <s v="High"/>
    <s v="Medium"/>
    <n v="9.375E-2"/>
    <s v="Medium"/>
    <n v="1"/>
    <d v="2021-12-01T00:00:00"/>
    <s v="25+ months"/>
    <s v="2–3 tickets"/>
    <s v="46+ min"/>
    <s v="301–500"/>
    <n v="10819"/>
    <n v="-69.799999999999272"/>
  </r>
  <r>
    <n v="10675"/>
    <n v="48"/>
    <s v="Female"/>
    <s v="Bangalore"/>
    <d v="2022-06-23T00:00:00"/>
    <d v="2021-08-08T00:00:00"/>
    <x v="0"/>
    <n v="1298"/>
    <x v="20"/>
    <n v="0"/>
    <n v="36.65"/>
    <n v="5"/>
    <x v="0"/>
    <x v="0"/>
    <n v="7723.1"/>
    <b v="0"/>
    <n v="0.5"/>
    <n v="1287.1833333333334"/>
    <n v="36.65"/>
    <d v="2022-06-01T00:00:00"/>
    <s v="Middle-aged"/>
    <n v="1"/>
    <s v="No"/>
    <m/>
    <s v="Medium"/>
    <s v="Low"/>
    <n v="0"/>
    <s v="Low"/>
    <n v="1"/>
    <d v="2022-06-01T00:00:00"/>
    <s v="0–6 months"/>
    <s v="0–1 tickets"/>
    <s v="31–45 min"/>
    <s v="1000+"/>
    <n v="7788"/>
    <n v="-64.899999999999636"/>
  </r>
  <r>
    <n v="10676"/>
    <n v="18"/>
    <s v="Female"/>
    <s v="Delhi"/>
    <d v="2022-09-08T00:00:00"/>
    <d v="2021-08-20T00:00:00"/>
    <x v="2"/>
    <n v="603"/>
    <x v="25"/>
    <n v="2"/>
    <n v="99.33"/>
    <n v="15"/>
    <x v="3"/>
    <x v="0"/>
    <n v="8351.5499999999993"/>
    <b v="0"/>
    <n v="1.1666666666666667"/>
    <n v="596.53928571428571"/>
    <n v="33.11"/>
    <d v="2022-09-01T00:00:00"/>
    <s v="Young"/>
    <n v="1"/>
    <s v="No"/>
    <m/>
    <s v="High"/>
    <s v="Low"/>
    <n v="0.13333333333333333"/>
    <s v="Low"/>
    <n v="2"/>
    <d v="2022-09-01T00:00:00"/>
    <s v="13–24 months"/>
    <s v="2–3 tickets"/>
    <s v="46+ min"/>
    <s v="501–700"/>
    <n v="8442"/>
    <n v="-90.450000000000728"/>
  </r>
  <r>
    <n v="10677"/>
    <n v="20"/>
    <s v="Female"/>
    <s v="Pune"/>
    <d v="2021-03-15T00:00:00"/>
    <d v="2022-11-24T00:00:00"/>
    <x v="1"/>
    <n v="715"/>
    <x v="31"/>
    <n v="3"/>
    <n v="40.450000000000003"/>
    <n v="0"/>
    <x v="3"/>
    <x v="1"/>
    <n v="16445"/>
    <b v="1"/>
    <n v="1.9166666666666667"/>
    <n v="715"/>
    <n v="10.112500000000001"/>
    <d v="2021-03-01T00:00:00"/>
    <s v="Young"/>
    <n v="0"/>
    <s v="Yes"/>
    <n v="619"/>
    <s v="Medium"/>
    <s v="Low"/>
    <n v="0.125"/>
    <s v="Medium"/>
    <n v="3"/>
    <d v="2021-03-01T00:00:00"/>
    <s v="13–24 months"/>
    <s v="2–3 tickets"/>
    <s v="31–45 min"/>
    <s v="701–1000"/>
    <n v="16445"/>
    <n v="0"/>
  </r>
  <r>
    <n v="10678"/>
    <n v="33"/>
    <s v="Male"/>
    <s v="Chennai"/>
    <d v="2021-07-10T00:00:00"/>
    <d v="2023-01-06T00:00:00"/>
    <x v="0"/>
    <n v="604"/>
    <x v="24"/>
    <n v="2"/>
    <n v="118.65"/>
    <n v="0"/>
    <x v="0"/>
    <x v="0"/>
    <n v="9664"/>
    <b v="1"/>
    <n v="1.3333333333333333"/>
    <n v="604"/>
    <n v="39.550000000000004"/>
    <d v="2021-07-01T00:00:00"/>
    <s v="Adult"/>
    <n v="1"/>
    <s v="No"/>
    <n v="545"/>
    <s v="High"/>
    <s v="Low"/>
    <n v="0.11764705882352941"/>
    <s v="Medium"/>
    <n v="1"/>
    <d v="2021-07-01T00:00:00"/>
    <s v="13–24 months"/>
    <s v="2–3 tickets"/>
    <s v="46+ min"/>
    <s v="501–700"/>
    <n v="9664"/>
    <n v="0"/>
  </r>
  <r>
    <n v="10679"/>
    <n v="40"/>
    <s v="Male"/>
    <s v="Bangalore"/>
    <d v="2021-11-20T00:00:00"/>
    <d v="2022-02-17T00:00:00"/>
    <x v="1"/>
    <n v="495"/>
    <x v="0"/>
    <n v="2"/>
    <n v="74.59"/>
    <n v="5"/>
    <x v="3"/>
    <x v="1"/>
    <n v="12350.25"/>
    <b v="1"/>
    <n v="2.0833333333333335"/>
    <n v="494.01"/>
    <n v="24.863333333333333"/>
    <d v="2021-11-01T00:00:00"/>
    <s v="Middle-aged"/>
    <n v="0"/>
    <s v="No"/>
    <n v="89"/>
    <s v="High"/>
    <s v="Low"/>
    <n v="7.6923076923076927E-2"/>
    <s v="Medium"/>
    <n v="3"/>
    <d v="2021-11-01T00:00:00"/>
    <s v="25+ months"/>
    <s v="2–3 tickets"/>
    <s v="46+ min"/>
    <s v="301–500"/>
    <n v="12375"/>
    <n v="-24.75"/>
  </r>
  <r>
    <n v="10680"/>
    <n v="28"/>
    <s v="Male"/>
    <s v="Delhi"/>
    <d v="2021-05-27T00:00:00"/>
    <d v="2021-08-28T00:00:00"/>
    <x v="2"/>
    <n v="1112"/>
    <x v="4"/>
    <n v="2"/>
    <n v="102.11"/>
    <n v="5"/>
    <x v="2"/>
    <x v="0"/>
    <n v="2168.4"/>
    <b v="1"/>
    <n v="0.16666666666666666"/>
    <n v="1084.2"/>
    <n v="34.036666666666669"/>
    <d v="2021-05-01T00:00:00"/>
    <s v="Adult"/>
    <n v="1"/>
    <s v="No"/>
    <n v="93"/>
    <s v="High"/>
    <s v="Low"/>
    <n v="0.66666666666666663"/>
    <s v="Low"/>
    <n v="2"/>
    <d v="2021-05-01T00:00:00"/>
    <s v="0–6 months"/>
    <s v="2–3 tickets"/>
    <s v="46+ min"/>
    <s v="1000+"/>
    <n v="2224"/>
    <n v="-55.599999999999909"/>
  </r>
  <r>
    <n v="10681"/>
    <n v="29"/>
    <s v="Female"/>
    <s v="Delhi"/>
    <d v="2023-02-06T00:00:00"/>
    <d v="2021-12-25T00:00:00"/>
    <x v="2"/>
    <n v="1099"/>
    <x v="22"/>
    <n v="3"/>
    <n v="13.37"/>
    <n v="20"/>
    <x v="1"/>
    <x v="1"/>
    <n v="37146.199999999997"/>
    <b v="0"/>
    <n v="2.8333333333333335"/>
    <n v="1092.535294117647"/>
    <n v="3.3424999999999998"/>
    <d v="2023-02-01T00:00:00"/>
    <s v="Adult"/>
    <n v="0"/>
    <s v="Yes"/>
    <m/>
    <s v="Low"/>
    <s v="Medium"/>
    <n v="8.5714285714285715E-2"/>
    <s v="High"/>
    <n v="2"/>
    <d v="2023-02-01T00:00:00"/>
    <s v="25+ months"/>
    <s v="2–3 tickets"/>
    <s v="11–20 min"/>
    <s v="1000+"/>
    <n v="37366"/>
    <n v="-219.80000000000291"/>
  </r>
  <r>
    <n v="10682"/>
    <n v="27"/>
    <s v="Female"/>
    <s v="Mumbai"/>
    <d v="2021-10-11T00:00:00"/>
    <d v="2021-12-30T00:00:00"/>
    <x v="1"/>
    <n v="687"/>
    <x v="0"/>
    <n v="2"/>
    <n v="45.05"/>
    <n v="20"/>
    <x v="3"/>
    <x v="1"/>
    <n v="17037.599999999999"/>
    <b v="1"/>
    <n v="2.0833333333333335"/>
    <n v="681.50399999999991"/>
    <n v="15.016666666666666"/>
    <d v="2021-10-01T00:00:00"/>
    <s v="Adult"/>
    <n v="0"/>
    <s v="Yes"/>
    <n v="80"/>
    <s v="Medium"/>
    <s v="Medium"/>
    <n v="7.6923076923076927E-2"/>
    <s v="Medium"/>
    <n v="3"/>
    <d v="2021-10-01T00:00:00"/>
    <s v="25+ months"/>
    <s v="2–3 tickets"/>
    <s v="46+ min"/>
    <s v="501–700"/>
    <n v="17175"/>
    <n v="-137.40000000000146"/>
  </r>
  <r>
    <n v="10683"/>
    <n v="49"/>
    <s v="Male"/>
    <s v="unknown"/>
    <d v="2021-08-01T00:00:00"/>
    <d v="2023-09-12T00:00:00"/>
    <x v="0"/>
    <n v="1056"/>
    <x v="24"/>
    <n v="0"/>
    <n v="89.81"/>
    <n v="15"/>
    <x v="1"/>
    <x v="1"/>
    <n v="16737.599999999999"/>
    <b v="1"/>
    <n v="1.3333333333333333"/>
    <n v="1046.0999999999999"/>
    <n v="89.81"/>
    <d v="2021-08-01T00:00:00"/>
    <s v="Middle-aged"/>
    <n v="0"/>
    <s v="Yes"/>
    <n v="772"/>
    <s v="High"/>
    <s v="Low"/>
    <n v="0"/>
    <s v="Medium"/>
    <n v="1"/>
    <d v="2021-08-01T00:00:00"/>
    <s v="13–24 months"/>
    <s v="0–1 tickets"/>
    <s v="46+ min"/>
    <s v="1000+"/>
    <n v="16896"/>
    <n v="-158.40000000000146"/>
  </r>
  <r>
    <n v="10684"/>
    <n v="33"/>
    <s v="Female"/>
    <s v="Bangalore"/>
    <d v="2022-09-27T00:00:00"/>
    <d v="2022-02-21T00:00:00"/>
    <x v="0"/>
    <n v="754"/>
    <x v="10"/>
    <n v="1"/>
    <n v="80.33"/>
    <n v="0"/>
    <x v="2"/>
    <x v="1"/>
    <n v="13572"/>
    <b v="0"/>
    <n v="1.5"/>
    <n v="754"/>
    <n v="40.164999999999999"/>
    <d v="2022-09-01T00:00:00"/>
    <s v="Adult"/>
    <n v="0"/>
    <s v="Yes"/>
    <m/>
    <s v="High"/>
    <s v="Low"/>
    <n v="5.2631578947368418E-2"/>
    <s v="Medium"/>
    <n v="1"/>
    <d v="2022-09-01T00:00:00"/>
    <s v="13–24 months"/>
    <s v="0–1 tickets"/>
    <s v="46+ min"/>
    <s v="701–1000"/>
    <n v="13572"/>
    <n v="0"/>
  </r>
  <r>
    <n v="10685"/>
    <n v="25"/>
    <s v="Male"/>
    <s v="Mumbai"/>
    <d v="2022-12-19T00:00:00"/>
    <d v="2022-03-20T00:00:00"/>
    <x v="0"/>
    <n v="1012"/>
    <x v="19"/>
    <n v="4"/>
    <n v="27.34"/>
    <n v="5"/>
    <x v="0"/>
    <x v="1"/>
    <n v="13105.4"/>
    <b v="0"/>
    <n v="1.0833333333333333"/>
    <n v="1008.1076923076923"/>
    <n v="5.468"/>
    <d v="2022-12-01T00:00:00"/>
    <s v="Young"/>
    <n v="0"/>
    <s v="No"/>
    <m/>
    <s v="Medium"/>
    <s v="Low"/>
    <n v="0.2857142857142857"/>
    <s v="Medium"/>
    <n v="1"/>
    <d v="2022-12-01T00:00:00"/>
    <s v="13–24 months"/>
    <s v="4–5 tickets"/>
    <s v="21–30 min"/>
    <s v="1000+"/>
    <n v="13156"/>
    <n v="-50.600000000000364"/>
  </r>
  <r>
    <n v="10686"/>
    <n v="55"/>
    <s v="Male"/>
    <s v="Chennai"/>
    <d v="2023-01-22T00:00:00"/>
    <d v="2021-12-24T00:00:00"/>
    <x v="2"/>
    <n v="1004"/>
    <x v="26"/>
    <n v="2"/>
    <n v="45.96"/>
    <n v="15"/>
    <x v="3"/>
    <x v="1"/>
    <n v="26957.4"/>
    <b v="0"/>
    <n v="2.25"/>
    <n v="998.42222222222233"/>
    <n v="15.32"/>
    <d v="2023-01-01T00:00:00"/>
    <s v="Older"/>
    <n v="0"/>
    <s v="Yes"/>
    <m/>
    <s v="Medium"/>
    <s v="Low"/>
    <n v="7.1428571428571425E-2"/>
    <s v="High"/>
    <n v="2"/>
    <d v="2023-01-01T00:00:00"/>
    <s v="25+ months"/>
    <s v="2–3 tickets"/>
    <s v="46+ min"/>
    <s v="1000+"/>
    <n v="27108"/>
    <n v="-150.59999999999854"/>
  </r>
  <r>
    <n v="10687"/>
    <n v="29"/>
    <s v="Male"/>
    <s v="Hyderabad"/>
    <d v="2022-01-29T00:00:00"/>
    <d v="2022-04-29T00:00:00"/>
    <x v="2"/>
    <n v="1147"/>
    <x v="22"/>
    <n v="2"/>
    <n v="35.299999999999997"/>
    <n v="0"/>
    <x v="1"/>
    <x v="1"/>
    <n v="38998"/>
    <b v="1"/>
    <n v="2.8333333333333335"/>
    <n v="1147"/>
    <n v="11.766666666666666"/>
    <d v="2022-01-01T00:00:00"/>
    <s v="Adult"/>
    <n v="0"/>
    <s v="Yes"/>
    <n v="90"/>
    <s v="Medium"/>
    <s v="Low"/>
    <n v="5.7142857142857141E-2"/>
    <s v="High"/>
    <n v="2"/>
    <d v="2022-01-01T00:00:00"/>
    <s v="25+ months"/>
    <s v="2–3 tickets"/>
    <s v="31–45 min"/>
    <s v="1000+"/>
    <n v="38998"/>
    <n v="0"/>
  </r>
  <r>
    <n v="10688"/>
    <n v="41"/>
    <s v="Male"/>
    <s v="Bangalore"/>
    <d v="2021-12-05T00:00:00"/>
    <d v="2021-08-16T00:00:00"/>
    <x v="1"/>
    <n v="1450"/>
    <x v="11"/>
    <n v="1"/>
    <n v="75.540000000000006"/>
    <n v="15"/>
    <x v="0"/>
    <x v="1"/>
    <n v="15732.5"/>
    <b v="0"/>
    <n v="0.91666666666666663"/>
    <n v="1430.2272727272727"/>
    <n v="37.770000000000003"/>
    <d v="2021-12-01T00:00:00"/>
    <s v="Middle-aged"/>
    <n v="0"/>
    <s v="Yes"/>
    <m/>
    <s v="High"/>
    <s v="Low"/>
    <n v="8.3333333333333329E-2"/>
    <s v="Medium"/>
    <n v="3"/>
    <d v="2021-12-01T00:00:00"/>
    <s v="7–12 months"/>
    <s v="0–1 tickets"/>
    <s v="46+ min"/>
    <s v="1000+"/>
    <n v="15950"/>
    <n v="-217.5"/>
  </r>
  <r>
    <n v="10689"/>
    <n v="45"/>
    <s v="Female"/>
    <s v="Delhi"/>
    <d v="2023-03-09T00:00:00"/>
    <d v="2022-03-15T00:00:00"/>
    <x v="2"/>
    <n v="474"/>
    <x v="7"/>
    <n v="1"/>
    <n v="44.63"/>
    <n v="15"/>
    <x v="0"/>
    <x v="0"/>
    <n v="402.9"/>
    <b v="0"/>
    <n v="8.3333333333333329E-2"/>
    <n v="402.9"/>
    <n v="22.315000000000001"/>
    <d v="2023-03-01T00:00:00"/>
    <s v="Middle-aged"/>
    <n v="1"/>
    <s v="No"/>
    <m/>
    <s v="Medium"/>
    <s v="Low"/>
    <n v="0.5"/>
    <s v="Low"/>
    <n v="2"/>
    <d v="2023-03-01T00:00:00"/>
    <s v="0–6 months"/>
    <s v="0–1 tickets"/>
    <s v="31–45 min"/>
    <s v="301–500"/>
    <n v="474"/>
    <n v="-71.100000000000023"/>
  </r>
  <r>
    <n v="10690"/>
    <n v="25"/>
    <s v="Female"/>
    <s v="Bangalore"/>
    <d v="2021-01-22T00:00:00"/>
    <d v="2021-07-17T00:00:00"/>
    <x v="2"/>
    <n v="1457"/>
    <x v="19"/>
    <n v="2"/>
    <n v="40.54"/>
    <n v="20"/>
    <x v="3"/>
    <x v="1"/>
    <n v="18649.599999999999"/>
    <b v="1"/>
    <n v="1.0833333333333333"/>
    <n v="1434.5846153846153"/>
    <n v="13.513333333333334"/>
    <d v="2021-01-01T00:00:00"/>
    <s v="Young"/>
    <n v="0"/>
    <s v="Yes"/>
    <n v="176"/>
    <s v="Medium"/>
    <s v="Medium"/>
    <n v="0.14285714285714285"/>
    <s v="Medium"/>
    <n v="2"/>
    <d v="2021-01-01T00:00:00"/>
    <s v="13–24 months"/>
    <s v="2–3 tickets"/>
    <s v="31–45 min"/>
    <s v="1000+"/>
    <n v="18941"/>
    <n v="-291.40000000000146"/>
  </r>
  <r>
    <n v="10691"/>
    <n v="41"/>
    <s v="Male"/>
    <s v="Delhi"/>
    <d v="2023-02-10T00:00:00"/>
    <d v="2023-02-12T00:00:00"/>
    <x v="2"/>
    <n v="1389"/>
    <x v="3"/>
    <n v="1"/>
    <n v="28.85"/>
    <n v="15"/>
    <x v="1"/>
    <x v="1"/>
    <n v="41461.65"/>
    <b v="1"/>
    <n v="2.5"/>
    <n v="1382.0550000000001"/>
    <n v="14.425000000000001"/>
    <d v="2023-02-01T00:00:00"/>
    <s v="Middle-aged"/>
    <n v="0"/>
    <s v="Yes"/>
    <n v="2"/>
    <s v="Medium"/>
    <s v="Low"/>
    <n v="3.2258064516129031E-2"/>
    <s v="High"/>
    <n v="2"/>
    <d v="2023-02-01T00:00:00"/>
    <s v="25+ months"/>
    <s v="0–1 tickets"/>
    <s v="21–30 min"/>
    <s v="1000+"/>
    <n v="41670"/>
    <n v="-208.34999999999854"/>
  </r>
  <r>
    <n v="10692"/>
    <n v="53"/>
    <s v="Female"/>
    <s v="Hyderabad"/>
    <d v="2023-05-19T00:00:00"/>
    <d v="2021-12-17T00:00:00"/>
    <x v="0"/>
    <n v="578"/>
    <x v="21"/>
    <n v="1"/>
    <n v="52.04"/>
    <n v="20"/>
    <x v="3"/>
    <x v="1"/>
    <n v="2774.4"/>
    <b v="0"/>
    <n v="0.41666666666666669"/>
    <n v="554.88"/>
    <n v="26.02"/>
    <d v="2023-05-01T00:00:00"/>
    <s v="Older"/>
    <n v="0"/>
    <s v="No"/>
    <m/>
    <s v="Medium"/>
    <s v="Medium"/>
    <n v="0.16666666666666666"/>
    <s v="Low"/>
    <n v="1"/>
    <d v="2023-05-01T00:00:00"/>
    <s v="0–6 months"/>
    <s v="0–1 tickets"/>
    <s v="46+ min"/>
    <s v="501–700"/>
    <n v="2890"/>
    <n v="-115.59999999999991"/>
  </r>
  <r>
    <n v="10693"/>
    <n v="43"/>
    <s v="Male"/>
    <s v="Delhi"/>
    <d v="2021-04-15T00:00:00"/>
    <d v="2022-08-01T00:00:00"/>
    <x v="0"/>
    <n v="1057"/>
    <x v="10"/>
    <n v="3"/>
    <n v="27.48"/>
    <n v="0"/>
    <x v="2"/>
    <x v="0"/>
    <n v="19026"/>
    <b v="1"/>
    <n v="1.5"/>
    <n v="1057"/>
    <n v="6.87"/>
    <d v="2021-04-01T00:00:00"/>
    <s v="Middle-aged"/>
    <n v="1"/>
    <s v="Yes"/>
    <n v="473"/>
    <s v="Medium"/>
    <s v="Low"/>
    <n v="0.15789473684210525"/>
    <s v="Medium"/>
    <n v="1"/>
    <d v="2021-04-01T00:00:00"/>
    <s v="13–24 months"/>
    <s v="2–3 tickets"/>
    <s v="21–30 min"/>
    <s v="1000+"/>
    <n v="19026"/>
    <n v="0"/>
  </r>
  <r>
    <n v="10694"/>
    <n v="25"/>
    <s v="Female"/>
    <s v="Chennai"/>
    <d v="2022-04-11T00:00:00"/>
    <d v="2021-12-27T00:00:00"/>
    <x v="1"/>
    <n v="662"/>
    <x v="25"/>
    <n v="3"/>
    <n v="115.7"/>
    <n v="0"/>
    <x v="0"/>
    <x v="1"/>
    <n v="9268"/>
    <b v="0"/>
    <n v="1.1666666666666667"/>
    <n v="662"/>
    <n v="28.925000000000001"/>
    <d v="2022-04-01T00:00:00"/>
    <s v="Young"/>
    <n v="0"/>
    <s v="No"/>
    <m/>
    <s v="High"/>
    <s v="Low"/>
    <n v="0.2"/>
    <s v="Medium"/>
    <n v="3"/>
    <d v="2022-04-01T00:00:00"/>
    <s v="13–24 months"/>
    <s v="2–3 tickets"/>
    <s v="46+ min"/>
    <s v="501–700"/>
    <n v="9268"/>
    <n v="0"/>
  </r>
  <r>
    <n v="10695"/>
    <n v="45"/>
    <s v="Female"/>
    <s v="Pune"/>
    <d v="2022-04-04T00:00:00"/>
    <d v="2023-11-05T00:00:00"/>
    <x v="0"/>
    <n v="470"/>
    <x v="19"/>
    <n v="1"/>
    <n v="22.77"/>
    <n v="20"/>
    <x v="1"/>
    <x v="1"/>
    <n v="6016"/>
    <b v="1"/>
    <n v="1.0833333333333333"/>
    <n v="462.76923076923077"/>
    <n v="11.385"/>
    <d v="2022-04-01T00:00:00"/>
    <s v="Middle-aged"/>
    <n v="0"/>
    <s v="No"/>
    <n v="580"/>
    <s v="Medium"/>
    <s v="Medium"/>
    <n v="7.1428571428571425E-2"/>
    <s v="Low"/>
    <n v="1"/>
    <d v="2022-04-01T00:00:00"/>
    <s v="13–24 months"/>
    <s v="0–1 tickets"/>
    <s v="21–30 min"/>
    <s v="301–500"/>
    <n v="6110"/>
    <n v="-94"/>
  </r>
  <r>
    <n v="10696"/>
    <n v="45"/>
    <s v="Male"/>
    <s v="Delhi"/>
    <d v="2022-03-08T00:00:00"/>
    <d v="2022-07-25T00:00:00"/>
    <x v="0"/>
    <n v="1374"/>
    <x v="23"/>
    <n v="3"/>
    <n v="110.03"/>
    <n v="10"/>
    <x v="3"/>
    <x v="1"/>
    <n v="43830.6"/>
    <b v="1"/>
    <n v="2.6666666666666665"/>
    <n v="1369.70625"/>
    <n v="27.5075"/>
    <d v="2022-03-01T00:00:00"/>
    <s v="Middle-aged"/>
    <n v="0"/>
    <s v="Yes"/>
    <n v="139"/>
    <s v="High"/>
    <s v="Low"/>
    <n v="9.0909090909090912E-2"/>
    <s v="High"/>
    <n v="1"/>
    <d v="2022-03-01T00:00:00"/>
    <s v="25+ months"/>
    <s v="2–3 tickets"/>
    <s v="46+ min"/>
    <s v="1000+"/>
    <n v="43968"/>
    <n v="-137.40000000000146"/>
  </r>
  <r>
    <n v="10697"/>
    <n v="54"/>
    <s v="Female"/>
    <s v="Chennai"/>
    <d v="2023-02-09T00:00:00"/>
    <d v="2021-11-01T00:00:00"/>
    <x v="2"/>
    <n v="964"/>
    <x v="16"/>
    <n v="3"/>
    <n v="54.27"/>
    <n v="15"/>
    <x v="0"/>
    <x v="1"/>
    <n v="6603.4"/>
    <b v="0"/>
    <n v="0.58333333333333337"/>
    <n v="943.34285714285704"/>
    <n v="13.567500000000001"/>
    <d v="2023-02-01T00:00:00"/>
    <s v="Older"/>
    <n v="0"/>
    <s v="No"/>
    <m/>
    <s v="Medium"/>
    <s v="Low"/>
    <n v="0.375"/>
    <s v="Low"/>
    <n v="2"/>
    <d v="2023-02-01T00:00:00"/>
    <s v="7–12 months"/>
    <s v="2–3 tickets"/>
    <s v="46+ min"/>
    <s v="701–1000"/>
    <n v="6748"/>
    <n v="-144.60000000000036"/>
  </r>
  <r>
    <n v="10698"/>
    <n v="41"/>
    <s v="Male"/>
    <s v="Pune"/>
    <d v="2022-12-17T00:00:00"/>
    <d v="2022-11-04T00:00:00"/>
    <x v="0"/>
    <n v="891"/>
    <x v="14"/>
    <n v="2"/>
    <n v="48.45"/>
    <n v="10"/>
    <x v="3"/>
    <x v="0"/>
    <n v="7128"/>
    <b v="0"/>
    <n v="0.66666666666666663"/>
    <n v="891"/>
    <n v="16.150000000000002"/>
    <d v="2022-12-01T00:00:00"/>
    <s v="Middle-aged"/>
    <n v="1"/>
    <s v="No"/>
    <m/>
    <s v="Medium"/>
    <s v="Low"/>
    <n v="0.22222222222222221"/>
    <s v="Low"/>
    <n v="1"/>
    <d v="2022-12-01T00:00:00"/>
    <s v="7–12 months"/>
    <s v="2–3 tickets"/>
    <s v="46+ min"/>
    <s v="701–1000"/>
    <n v="7128"/>
    <n v="0"/>
  </r>
  <r>
    <n v="10699"/>
    <n v="53"/>
    <s v="Male"/>
    <s v="Hyderabad"/>
    <d v="2023-04-02T00:00:00"/>
    <d v="2022-07-20T00:00:00"/>
    <x v="1"/>
    <n v="1230"/>
    <x v="16"/>
    <n v="1"/>
    <n v="31.6"/>
    <n v="15"/>
    <x v="1"/>
    <x v="1"/>
    <n v="8425.5"/>
    <b v="0"/>
    <n v="0.58333333333333337"/>
    <n v="1203.6428571428571"/>
    <n v="15.8"/>
    <d v="2023-04-01T00:00:00"/>
    <s v="Older"/>
    <n v="0"/>
    <s v="No"/>
    <m/>
    <s v="Medium"/>
    <s v="Low"/>
    <n v="0.125"/>
    <s v="Low"/>
    <n v="3"/>
    <d v="2023-04-01T00:00:00"/>
    <s v="7–12 months"/>
    <s v="0–1 tickets"/>
    <s v="31–45 min"/>
    <s v="1000+"/>
    <n v="8610"/>
    <n v="-184.5"/>
  </r>
  <r>
    <n v="10700"/>
    <n v="44"/>
    <s v="Male"/>
    <s v="Hyderabad"/>
    <d v="2023-02-13T00:00:00"/>
    <d v="2022-05-19T00:00:00"/>
    <x v="0"/>
    <n v="1468"/>
    <x v="24"/>
    <n v="3"/>
    <n v="78.11"/>
    <n v="10"/>
    <x v="2"/>
    <x v="0"/>
    <n v="23341.200000000001"/>
    <b v="0"/>
    <n v="1.3333333333333333"/>
    <n v="1458.825"/>
    <n v="19.5275"/>
    <d v="2023-02-01T00:00:00"/>
    <s v="Middle-aged"/>
    <n v="1"/>
    <s v="Yes"/>
    <m/>
    <s v="High"/>
    <s v="Low"/>
    <n v="0.17647058823529413"/>
    <s v="High"/>
    <n v="1"/>
    <d v="2023-02-01T00:00:00"/>
    <s v="13–24 months"/>
    <s v="2–3 tickets"/>
    <s v="46+ min"/>
    <s v="1000+"/>
    <n v="23488"/>
    <n v="-146.79999999999927"/>
  </r>
  <r>
    <n v="10701"/>
    <n v="34"/>
    <s v="Female"/>
    <s v="Bangalore"/>
    <d v="2022-09-11T00:00:00"/>
    <d v="2021-11-04T00:00:00"/>
    <x v="0"/>
    <n v="573"/>
    <x v="27"/>
    <n v="2"/>
    <n v="83.84"/>
    <n v="15"/>
    <x v="2"/>
    <x v="1"/>
    <n v="17677.05"/>
    <b v="0"/>
    <n v="2.5833333333333335"/>
    <n v="570.22741935483873"/>
    <n v="27.946666666666669"/>
    <d v="2022-09-01T00:00:00"/>
    <s v="Adult"/>
    <n v="0"/>
    <s v="Yes"/>
    <m/>
    <s v="High"/>
    <s v="Low"/>
    <n v="6.25E-2"/>
    <s v="Medium"/>
    <n v="1"/>
    <d v="2022-09-01T00:00:00"/>
    <s v="25+ months"/>
    <s v="2–3 tickets"/>
    <s v="46+ min"/>
    <s v="501–700"/>
    <n v="17763"/>
    <n v="-85.950000000000728"/>
  </r>
  <r>
    <n v="10702"/>
    <n v="26"/>
    <s v="Female"/>
    <s v="Chennai"/>
    <d v="2023-02-02T00:00:00"/>
    <d v="2022-02-16T00:00:00"/>
    <x v="0"/>
    <n v="1478"/>
    <x v="26"/>
    <n v="2"/>
    <n v="58.77"/>
    <n v="10"/>
    <x v="2"/>
    <x v="1"/>
    <n v="39758.199999999997"/>
    <b v="0"/>
    <n v="2.25"/>
    <n v="1472.5259259259258"/>
    <n v="19.59"/>
    <d v="2023-02-01T00:00:00"/>
    <s v="Adult"/>
    <n v="0"/>
    <s v="Yes"/>
    <m/>
    <s v="Medium"/>
    <s v="Low"/>
    <n v="7.1428571428571425E-2"/>
    <s v="High"/>
    <n v="1"/>
    <d v="2023-02-01T00:00:00"/>
    <s v="25+ months"/>
    <s v="2–3 tickets"/>
    <s v="46+ min"/>
    <s v="1000+"/>
    <n v="39906"/>
    <n v="-147.80000000000291"/>
  </r>
  <r>
    <n v="10703"/>
    <n v="50"/>
    <s v="Male"/>
    <s v="Chennai"/>
    <d v="2021-08-09T00:00:00"/>
    <d v="2021-08-16T00:00:00"/>
    <x v="2"/>
    <n v="807"/>
    <x v="33"/>
    <n v="2"/>
    <n v="11.41"/>
    <n v="5"/>
    <x v="3"/>
    <x v="1"/>
    <n v="26590.65"/>
    <b v="1"/>
    <n v="2.75"/>
    <n v="805.77727272727282"/>
    <n v="3.8033333333333332"/>
    <d v="2021-08-01T00:00:00"/>
    <s v="Middle-aged"/>
    <n v="0"/>
    <s v="Yes"/>
    <n v="7"/>
    <s v="Low"/>
    <s v="Low"/>
    <n v="5.8823529411764705E-2"/>
    <s v="High"/>
    <n v="2"/>
    <d v="2021-08-01T00:00:00"/>
    <s v="25+ months"/>
    <s v="2–3 tickets"/>
    <s v="11–20 min"/>
    <s v="701–1000"/>
    <n v="26631"/>
    <n v="-40.349999999998545"/>
  </r>
  <r>
    <n v="10704"/>
    <n v="37"/>
    <s v="Female"/>
    <s v="Mumbai"/>
    <d v="2022-01-14T00:00:00"/>
    <d v="2023-07-09T00:00:00"/>
    <x v="0"/>
    <n v="662"/>
    <x v="5"/>
    <n v="3"/>
    <n v="110.63"/>
    <n v="10"/>
    <x v="0"/>
    <x v="0"/>
    <n v="19131.8"/>
    <b v="1"/>
    <n v="2.4166666666666665"/>
    <n v="659.71724137931028"/>
    <n v="27.657499999999999"/>
    <d v="2022-01-01T00:00:00"/>
    <s v="Middle-aged"/>
    <n v="1"/>
    <s v="Yes"/>
    <n v="541"/>
    <s v="High"/>
    <s v="Low"/>
    <n v="0.1"/>
    <s v="Medium"/>
    <n v="1"/>
    <d v="2022-01-01T00:00:00"/>
    <s v="25+ months"/>
    <s v="2–3 tickets"/>
    <s v="46+ min"/>
    <s v="501–700"/>
    <n v="19198"/>
    <n v="-66.200000000000728"/>
  </r>
  <r>
    <n v="10705"/>
    <n v="30"/>
    <s v="Female"/>
    <s v="Mumbai"/>
    <d v="2021-08-10T00:00:00"/>
    <d v="2022-10-01T00:00:00"/>
    <x v="2"/>
    <n v="1147"/>
    <x v="14"/>
    <n v="1"/>
    <n v="117.74"/>
    <n v="0"/>
    <x v="2"/>
    <x v="1"/>
    <n v="9176"/>
    <b v="1"/>
    <n v="0.66666666666666663"/>
    <n v="1147"/>
    <n v="58.87"/>
    <d v="2021-08-01T00:00:00"/>
    <s v="Adult"/>
    <n v="0"/>
    <s v="No"/>
    <n v="417"/>
    <s v="High"/>
    <s v="Low"/>
    <n v="0.1111111111111111"/>
    <s v="Medium"/>
    <n v="2"/>
    <d v="2021-08-01T00:00:00"/>
    <s v="7–12 months"/>
    <s v="0–1 tickets"/>
    <s v="46+ min"/>
    <s v="1000+"/>
    <n v="9176"/>
    <n v="0"/>
  </r>
  <r>
    <n v="10706"/>
    <n v="45"/>
    <s v="Female"/>
    <s v="Pune"/>
    <d v="2021-09-15T00:00:00"/>
    <d v="2021-10-09T00:00:00"/>
    <x v="1"/>
    <n v="954"/>
    <x v="33"/>
    <n v="3"/>
    <n v="62.59"/>
    <n v="20"/>
    <x v="2"/>
    <x v="1"/>
    <n v="31291.200000000001"/>
    <b v="1"/>
    <n v="2.75"/>
    <n v="948.21818181818185"/>
    <n v="15.647500000000001"/>
    <d v="2021-09-01T00:00:00"/>
    <s v="Middle-aged"/>
    <n v="0"/>
    <s v="Yes"/>
    <n v="24"/>
    <s v="High"/>
    <s v="Medium"/>
    <n v="8.8235294117647065E-2"/>
    <s v="High"/>
    <n v="3"/>
    <d v="2021-09-01T00:00:00"/>
    <s v="25+ months"/>
    <s v="2–3 tickets"/>
    <s v="46+ min"/>
    <s v="701–1000"/>
    <n v="31482"/>
    <n v="-190.79999999999927"/>
  </r>
  <r>
    <n v="10707"/>
    <n v="41"/>
    <s v="Female"/>
    <s v="Pune"/>
    <d v="2022-12-14T00:00:00"/>
    <d v="2022-12-31T00:00:00"/>
    <x v="1"/>
    <n v="597"/>
    <x v="17"/>
    <n v="1"/>
    <n v="75.569999999999993"/>
    <n v="20"/>
    <x v="2"/>
    <x v="1"/>
    <n v="11223.6"/>
    <b v="1"/>
    <n v="1.5833333333333333"/>
    <n v="590.71578947368425"/>
    <n v="37.784999999999997"/>
    <d v="2022-12-01T00:00:00"/>
    <s v="Middle-aged"/>
    <n v="0"/>
    <s v="No"/>
    <n v="17"/>
    <s v="High"/>
    <s v="Medium"/>
    <n v="0.05"/>
    <s v="Medium"/>
    <n v="3"/>
    <d v="2022-12-01T00:00:00"/>
    <s v="13–24 months"/>
    <s v="0–1 tickets"/>
    <s v="46+ min"/>
    <s v="501–700"/>
    <n v="11343"/>
    <n v="-119.39999999999964"/>
  </r>
  <r>
    <n v="10708"/>
    <n v="30"/>
    <s v="Female"/>
    <s v="Mumbai"/>
    <d v="2022-01-02T00:00:00"/>
    <d v="2022-08-29T00:00:00"/>
    <x v="0"/>
    <n v="793"/>
    <x v="6"/>
    <n v="5"/>
    <n v="56.78"/>
    <n v="15"/>
    <x v="2"/>
    <x v="1"/>
    <n v="16534.05"/>
    <b v="1"/>
    <n v="1.75"/>
    <n v="787.33571428571429"/>
    <n v="9.4633333333333329"/>
    <d v="2022-01-01T00:00:00"/>
    <s v="Adult"/>
    <n v="0"/>
    <s v="Yes"/>
    <n v="239"/>
    <s v="Medium"/>
    <s v="Low"/>
    <n v="0.22727272727272727"/>
    <s v="Medium"/>
    <n v="1"/>
    <d v="2022-01-01T00:00:00"/>
    <s v="13–24 months"/>
    <s v="4–5 tickets"/>
    <s v="46+ min"/>
    <s v="701–1000"/>
    <n v="16653"/>
    <n v="-118.95000000000073"/>
  </r>
  <r>
    <n v="10709"/>
    <n v="63"/>
    <s v="Male"/>
    <s v="Pune"/>
    <d v="2023-02-09T00:00:00"/>
    <d v="2023-06-10T00:00:00"/>
    <x v="2"/>
    <n v="845"/>
    <x v="6"/>
    <n v="2"/>
    <n v="42.02"/>
    <n v="5"/>
    <x v="1"/>
    <x v="1"/>
    <n v="17702.75"/>
    <b v="1"/>
    <n v="1.75"/>
    <n v="842.98809523809518"/>
    <n v="14.006666666666668"/>
    <d v="2023-02-01T00:00:00"/>
    <s v="Older"/>
    <n v="0"/>
    <s v="Yes"/>
    <n v="121"/>
    <s v="Medium"/>
    <s v="Low"/>
    <n v="9.0909090909090912E-2"/>
    <s v="Medium"/>
    <n v="2"/>
    <d v="2023-02-01T00:00:00"/>
    <s v="13–24 months"/>
    <s v="2–3 tickets"/>
    <s v="31–45 min"/>
    <s v="701–1000"/>
    <n v="17745"/>
    <n v="-42.25"/>
  </r>
  <r>
    <n v="10710"/>
    <n v="52"/>
    <s v="Male"/>
    <s v="Delhi"/>
    <d v="2021-12-15T00:00:00"/>
    <d v="2021-11-10T00:00:00"/>
    <x v="2"/>
    <n v="603"/>
    <x v="0"/>
    <n v="1"/>
    <n v="13.89"/>
    <n v="15"/>
    <x v="1"/>
    <x v="1"/>
    <n v="14984.55"/>
    <b v="0"/>
    <n v="2.0833333333333335"/>
    <n v="599.38199999999995"/>
    <n v="6.9450000000000003"/>
    <d v="2021-12-01T00:00:00"/>
    <s v="Older"/>
    <n v="0"/>
    <s v="Yes"/>
    <m/>
    <s v="Low"/>
    <s v="Low"/>
    <n v="3.8461538461538464E-2"/>
    <s v="Medium"/>
    <n v="2"/>
    <d v="2021-12-01T00:00:00"/>
    <s v="25+ months"/>
    <s v="0–1 tickets"/>
    <s v="11–20 min"/>
    <s v="501–700"/>
    <n v="15075"/>
    <n v="-90.450000000000728"/>
  </r>
  <r>
    <n v="10711"/>
    <n v="23"/>
    <s v="Other"/>
    <s v="Mumbai"/>
    <d v="2021-08-13T00:00:00"/>
    <d v="2021-06-15T00:00:00"/>
    <x v="1"/>
    <n v="1203"/>
    <x v="31"/>
    <n v="2"/>
    <n v="57.45"/>
    <n v="10"/>
    <x v="0"/>
    <x v="1"/>
    <n v="27548.7"/>
    <b v="0"/>
    <n v="1.9166666666666667"/>
    <n v="1197.7695652173913"/>
    <n v="19.150000000000002"/>
    <d v="2021-08-01T00:00:00"/>
    <s v="Young"/>
    <n v="0"/>
    <s v="Yes"/>
    <m/>
    <s v="Medium"/>
    <s v="Low"/>
    <n v="8.3333333333333329E-2"/>
    <s v="High"/>
    <n v="3"/>
    <d v="2021-08-01T00:00:00"/>
    <s v="13–24 months"/>
    <s v="2–3 tickets"/>
    <s v="46+ min"/>
    <s v="1000+"/>
    <n v="27669"/>
    <n v="-120.29999999999927"/>
  </r>
  <r>
    <n v="10712"/>
    <n v="35"/>
    <s v="Male"/>
    <s v="Chennai"/>
    <d v="2022-12-15T00:00:00"/>
    <d v="2022-01-18T00:00:00"/>
    <x v="1"/>
    <n v="538"/>
    <x v="11"/>
    <n v="2"/>
    <n v="99.11"/>
    <n v="20"/>
    <x v="1"/>
    <x v="0"/>
    <n v="5810.4"/>
    <b v="0"/>
    <n v="0.91666666666666663"/>
    <n v="528.21818181818173"/>
    <n v="33.036666666666669"/>
    <d v="2022-12-01T00:00:00"/>
    <s v="Adult"/>
    <n v="1"/>
    <s v="No"/>
    <m/>
    <s v="High"/>
    <s v="Medium"/>
    <n v="0.16666666666666666"/>
    <s v="Low"/>
    <n v="3"/>
    <d v="2022-12-01T00:00:00"/>
    <s v="7–12 months"/>
    <s v="2–3 tickets"/>
    <s v="46+ min"/>
    <s v="501–700"/>
    <n v="5918"/>
    <n v="-107.60000000000036"/>
  </r>
  <r>
    <n v="10713"/>
    <n v="22"/>
    <s v="Other"/>
    <s v="Delhi"/>
    <d v="2023-01-08T00:00:00"/>
    <d v="2021-12-12T00:00:00"/>
    <x v="0"/>
    <n v="949"/>
    <x v="33"/>
    <n v="1"/>
    <n v="6.96"/>
    <n v="10"/>
    <x v="1"/>
    <x v="0"/>
    <n v="31222.1"/>
    <b v="0"/>
    <n v="2.75"/>
    <n v="946.12424242424242"/>
    <n v="3.48"/>
    <d v="2023-01-01T00:00:00"/>
    <s v="Young"/>
    <n v="1"/>
    <s v="Yes"/>
    <m/>
    <s v="Low"/>
    <s v="Low"/>
    <n v="2.9411764705882353E-2"/>
    <s v="High"/>
    <n v="1"/>
    <d v="2023-01-01T00:00:00"/>
    <s v="25+ months"/>
    <s v="0–1 tickets"/>
    <s v="0–10 min"/>
    <s v="701–1000"/>
    <n v="31317"/>
    <n v="-94.900000000001455"/>
  </r>
  <r>
    <n v="10714"/>
    <n v="64"/>
    <s v="Female"/>
    <s v="Pune"/>
    <d v="2021-08-24T00:00:00"/>
    <d v="2023-10-09T00:00:00"/>
    <x v="2"/>
    <n v="1183"/>
    <x v="28"/>
    <n v="0"/>
    <n v="71.94"/>
    <n v="20"/>
    <x v="1"/>
    <x v="1"/>
    <n v="23423.4"/>
    <b v="1"/>
    <n v="1.6666666666666667"/>
    <n v="1171.17"/>
    <n v="71.94"/>
    <d v="2021-08-01T00:00:00"/>
    <s v="Older"/>
    <n v="0"/>
    <s v="Yes"/>
    <n v="776"/>
    <s v="High"/>
    <s v="Medium"/>
    <n v="0"/>
    <s v="High"/>
    <n v="2"/>
    <d v="2021-08-01T00:00:00"/>
    <s v="13–24 months"/>
    <s v="0–1 tickets"/>
    <s v="46+ min"/>
    <s v="1000+"/>
    <n v="23660"/>
    <n v="-236.59999999999854"/>
  </r>
  <r>
    <n v="10715"/>
    <n v="42"/>
    <s v="Male"/>
    <s v="Hyderabad"/>
    <d v="2021-07-02T00:00:00"/>
    <d v="2022-11-24T00:00:00"/>
    <x v="0"/>
    <n v="1499"/>
    <x v="0"/>
    <n v="2"/>
    <n v="106.29"/>
    <n v="20"/>
    <x v="3"/>
    <x v="1"/>
    <n v="37175.199999999997"/>
    <b v="1"/>
    <n v="2.0833333333333335"/>
    <n v="1487.0079999999998"/>
    <n v="35.43"/>
    <d v="2021-07-01T00:00:00"/>
    <s v="Middle-aged"/>
    <n v="0"/>
    <s v="Yes"/>
    <n v="510"/>
    <s v="High"/>
    <s v="Medium"/>
    <n v="7.6923076923076927E-2"/>
    <s v="High"/>
    <n v="1"/>
    <d v="2021-07-01T00:00:00"/>
    <s v="25+ months"/>
    <s v="2–3 tickets"/>
    <s v="46+ min"/>
    <s v="1000+"/>
    <n v="37475"/>
    <n v="-299.80000000000291"/>
  </r>
  <r>
    <n v="10716"/>
    <n v="19"/>
    <s v="Male"/>
    <s v="Bangalore"/>
    <d v="2022-12-13T00:00:00"/>
    <d v="2022-05-25T00:00:00"/>
    <x v="0"/>
    <n v="709"/>
    <x v="8"/>
    <n v="3"/>
    <n v="30.02"/>
    <n v="20"/>
    <x v="1"/>
    <x v="1"/>
    <n v="18292.2"/>
    <b v="0"/>
    <n v="2.1666666666666665"/>
    <n v="703.54615384615386"/>
    <n v="7.5049999999999999"/>
    <d v="2022-12-01T00:00:00"/>
    <s v="Young"/>
    <n v="0"/>
    <s v="Yes"/>
    <m/>
    <s v="Medium"/>
    <s v="Medium"/>
    <n v="0.1111111111111111"/>
    <s v="Medium"/>
    <n v="1"/>
    <d v="2022-12-01T00:00:00"/>
    <s v="25+ months"/>
    <s v="2–3 tickets"/>
    <s v="31–45 min"/>
    <s v="701–1000"/>
    <n v="18434"/>
    <n v="-141.79999999999927"/>
  </r>
  <r>
    <n v="10717"/>
    <n v="27"/>
    <s v="Male"/>
    <s v="Mumbai"/>
    <d v="2023-05-19T00:00:00"/>
    <d v="2023-09-28T00:00:00"/>
    <x v="0"/>
    <n v="1025"/>
    <x v="34"/>
    <n v="1"/>
    <n v="26.07"/>
    <n v="0"/>
    <x v="3"/>
    <x v="1"/>
    <n v="12300"/>
    <b v="1"/>
    <n v="1"/>
    <n v="1025"/>
    <n v="13.035"/>
    <d v="2023-05-01T00:00:00"/>
    <s v="Adult"/>
    <n v="0"/>
    <s v="No"/>
    <n v="132"/>
    <s v="Medium"/>
    <s v="Low"/>
    <n v="7.6923076923076927E-2"/>
    <s v="Medium"/>
    <n v="1"/>
    <d v="2023-05-01T00:00:00"/>
    <s v="7–12 months"/>
    <s v="0–1 tickets"/>
    <s v="21–30 min"/>
    <s v="1000+"/>
    <n v="12300"/>
    <n v="0"/>
  </r>
  <r>
    <n v="10718"/>
    <n v="41"/>
    <s v="Female"/>
    <s v="Hyderabad"/>
    <d v="2023-01-28T00:00:00"/>
    <d v="2022-04-27T00:00:00"/>
    <x v="2"/>
    <n v="1346"/>
    <x v="23"/>
    <n v="2"/>
    <n v="93.81"/>
    <n v="10"/>
    <x v="3"/>
    <x v="0"/>
    <n v="42937.4"/>
    <b v="0"/>
    <n v="2.6666666666666665"/>
    <n v="1341.79375"/>
    <n v="31.27"/>
    <d v="2023-01-01T00:00:00"/>
    <s v="Middle-aged"/>
    <n v="1"/>
    <s v="Yes"/>
    <m/>
    <s v="High"/>
    <s v="Low"/>
    <n v="6.0606060606060608E-2"/>
    <s v="High"/>
    <n v="2"/>
    <d v="2023-01-01T00:00:00"/>
    <s v="25+ months"/>
    <s v="2–3 tickets"/>
    <s v="46+ min"/>
    <s v="1000+"/>
    <n v="43072"/>
    <n v="-134.59999999999854"/>
  </r>
  <r>
    <n v="10719"/>
    <n v="62"/>
    <s v="Male"/>
    <s v="Pune"/>
    <d v="2022-03-20T00:00:00"/>
    <d v="2022-08-01T00:00:00"/>
    <x v="2"/>
    <n v="617"/>
    <x v="33"/>
    <n v="4"/>
    <n v="34.33"/>
    <n v="15"/>
    <x v="1"/>
    <x v="1"/>
    <n v="20268.45"/>
    <b v="1"/>
    <n v="2.75"/>
    <n v="614.1954545454546"/>
    <n v="6.8659999999999997"/>
    <d v="2022-03-01T00:00:00"/>
    <s v="Older"/>
    <n v="0"/>
    <s v="Yes"/>
    <n v="134"/>
    <s v="Medium"/>
    <s v="Low"/>
    <n v="0.11764705882352941"/>
    <s v="High"/>
    <n v="2"/>
    <d v="2022-03-01T00:00:00"/>
    <s v="25+ months"/>
    <s v="4–5 tickets"/>
    <s v="31–45 min"/>
    <s v="501–700"/>
    <n v="20361"/>
    <n v="-92.549999999999272"/>
  </r>
  <r>
    <n v="10720"/>
    <n v="22"/>
    <s v="Male"/>
    <s v="Chennai"/>
    <d v="2023-05-15T00:00:00"/>
    <d v="2022-10-10T00:00:00"/>
    <x v="0"/>
    <n v="824"/>
    <x v="32"/>
    <n v="2"/>
    <n v="27.08"/>
    <n v="5"/>
    <x v="3"/>
    <x v="1"/>
    <n v="8198.7999999999993"/>
    <b v="0"/>
    <n v="0.83333333333333337"/>
    <n v="819.87999999999988"/>
    <n v="9.0266666666666655"/>
    <d v="2023-05-01T00:00:00"/>
    <s v="Young"/>
    <n v="0"/>
    <s v="No"/>
    <m/>
    <s v="Medium"/>
    <s v="Low"/>
    <n v="0.18181818181818182"/>
    <s v="Low"/>
    <n v="1"/>
    <d v="2023-05-01T00:00:00"/>
    <s v="7–12 months"/>
    <s v="2–3 tickets"/>
    <s v="21–30 min"/>
    <s v="701–1000"/>
    <n v="8240"/>
    <n v="-41.200000000000728"/>
  </r>
  <r>
    <n v="10721"/>
    <n v="50"/>
    <s v="Male"/>
    <s v="Bangalore"/>
    <d v="2022-09-15T00:00:00"/>
    <d v="2023-09-06T00:00:00"/>
    <x v="2"/>
    <n v="1204"/>
    <x v="2"/>
    <n v="2"/>
    <n v="48.47"/>
    <n v="15"/>
    <x v="2"/>
    <x v="1"/>
    <n v="4635.3999999999996"/>
    <b v="1"/>
    <n v="0.33333333333333331"/>
    <n v="1158.8499999999999"/>
    <n v="16.156666666666666"/>
    <d v="2022-09-01T00:00:00"/>
    <s v="Middle-aged"/>
    <n v="0"/>
    <s v="No"/>
    <n v="356"/>
    <s v="Medium"/>
    <s v="Low"/>
    <n v="0.4"/>
    <s v="Low"/>
    <n v="2"/>
    <d v="2022-09-01T00:00:00"/>
    <s v="0–6 months"/>
    <s v="2–3 tickets"/>
    <s v="46+ min"/>
    <s v="1000+"/>
    <n v="4816"/>
    <n v="-180.60000000000036"/>
  </r>
  <r>
    <n v="10722"/>
    <n v="18"/>
    <s v="Male"/>
    <s v="Hyderabad"/>
    <d v="2021-01-06T00:00:00"/>
    <d v="2022-09-29T00:00:00"/>
    <x v="0"/>
    <n v="1323"/>
    <x v="15"/>
    <n v="2"/>
    <n v="50.14"/>
    <n v="10"/>
    <x v="0"/>
    <x v="1"/>
    <n v="19712.7"/>
    <b v="1"/>
    <n v="1.25"/>
    <n v="1314.18"/>
    <n v="16.713333333333335"/>
    <d v="2021-01-01T00:00:00"/>
    <s v="Young"/>
    <n v="0"/>
    <s v="Yes"/>
    <n v="631"/>
    <s v="Medium"/>
    <s v="Low"/>
    <n v="0.125"/>
    <s v="High"/>
    <n v="1"/>
    <d v="2021-01-01T00:00:00"/>
    <s v="13–24 months"/>
    <s v="2–3 tickets"/>
    <s v="46+ min"/>
    <s v="1000+"/>
    <n v="19845"/>
    <n v="-132.29999999999927"/>
  </r>
  <r>
    <n v="10723"/>
    <n v="35"/>
    <s v="Female"/>
    <s v="Bangalore"/>
    <d v="2021-08-24T00:00:00"/>
    <d v="2023-08-17T00:00:00"/>
    <x v="2"/>
    <n v="919"/>
    <x v="20"/>
    <n v="2"/>
    <n v="105.52"/>
    <n v="5"/>
    <x v="1"/>
    <x v="1"/>
    <n v="5468.05"/>
    <b v="1"/>
    <n v="0.5"/>
    <n v="911.3416666666667"/>
    <n v="35.173333333333332"/>
    <d v="2021-08-01T00:00:00"/>
    <s v="Adult"/>
    <n v="0"/>
    <s v="No"/>
    <n v="723"/>
    <s v="High"/>
    <s v="Low"/>
    <n v="0.2857142857142857"/>
    <s v="Low"/>
    <n v="2"/>
    <d v="2021-08-01T00:00:00"/>
    <s v="0–6 months"/>
    <s v="2–3 tickets"/>
    <s v="46+ min"/>
    <s v="701–1000"/>
    <n v="5514"/>
    <n v="-45.949999999999818"/>
  </r>
  <r>
    <n v="10724"/>
    <n v="49"/>
    <s v="Male"/>
    <s v="Mumbai"/>
    <d v="2021-05-07T00:00:00"/>
    <d v="2022-08-23T00:00:00"/>
    <x v="0"/>
    <n v="1252"/>
    <x v="26"/>
    <n v="3"/>
    <n v="76.12"/>
    <n v="15"/>
    <x v="1"/>
    <x v="0"/>
    <n v="33616.199999999997"/>
    <b v="1"/>
    <n v="2.25"/>
    <n v="1245.0444444444443"/>
    <n v="19.03"/>
    <d v="2021-05-01T00:00:00"/>
    <s v="Middle-aged"/>
    <n v="1"/>
    <s v="Yes"/>
    <n v="473"/>
    <s v="High"/>
    <s v="Low"/>
    <n v="0.10714285714285714"/>
    <s v="High"/>
    <n v="1"/>
    <d v="2021-05-01T00:00:00"/>
    <s v="25+ months"/>
    <s v="2–3 tickets"/>
    <s v="46+ min"/>
    <s v="1000+"/>
    <n v="33804"/>
    <n v="-187.80000000000291"/>
  </r>
  <r>
    <n v="10725"/>
    <n v="64"/>
    <s v="Female"/>
    <s v="Pune"/>
    <d v="2021-04-14T00:00:00"/>
    <d v="2022-07-18T00:00:00"/>
    <x v="0"/>
    <n v="1431"/>
    <x v="21"/>
    <n v="2"/>
    <n v="51.69"/>
    <n v="5"/>
    <x v="0"/>
    <x v="1"/>
    <n v="7083.45"/>
    <b v="1"/>
    <n v="0.41666666666666669"/>
    <n v="1416.69"/>
    <n v="17.23"/>
    <d v="2021-04-01T00:00:00"/>
    <s v="Older"/>
    <n v="0"/>
    <s v="No"/>
    <n v="460"/>
    <s v="Medium"/>
    <s v="Low"/>
    <n v="0.33333333333333331"/>
    <s v="Low"/>
    <n v="1"/>
    <d v="2021-04-01T00:00:00"/>
    <s v="0–6 months"/>
    <s v="2–3 tickets"/>
    <s v="46+ min"/>
    <s v="1000+"/>
    <n v="7155"/>
    <n v="-71.550000000000182"/>
  </r>
  <r>
    <n v="10726"/>
    <n v="28"/>
    <s v="Male"/>
    <s v="Chennai"/>
    <d v="2023-01-19T00:00:00"/>
    <d v="2022-04-26T00:00:00"/>
    <x v="0"/>
    <n v="1100"/>
    <x v="21"/>
    <n v="1"/>
    <n v="66.45"/>
    <n v="10"/>
    <x v="1"/>
    <x v="1"/>
    <n v="5390"/>
    <b v="0"/>
    <n v="0.41666666666666669"/>
    <n v="1078"/>
    <n v="33.225000000000001"/>
    <d v="2023-01-01T00:00:00"/>
    <s v="Adult"/>
    <n v="0"/>
    <s v="No"/>
    <m/>
    <s v="High"/>
    <s v="Low"/>
    <n v="0.16666666666666666"/>
    <s v="Low"/>
    <n v="1"/>
    <d v="2023-01-01T00:00:00"/>
    <s v="0–6 months"/>
    <s v="0–1 tickets"/>
    <s v="46+ min"/>
    <s v="1000+"/>
    <n v="5500"/>
    <n v="-110"/>
  </r>
  <r>
    <n v="10727"/>
    <n v="38"/>
    <s v="Male"/>
    <s v="Pune"/>
    <d v="2022-04-25T00:00:00"/>
    <d v="2023-06-02T00:00:00"/>
    <x v="0"/>
    <n v="1215"/>
    <x v="10"/>
    <n v="2"/>
    <n v="114.71"/>
    <n v="20"/>
    <x v="1"/>
    <x v="1"/>
    <n v="21627"/>
    <b v="1"/>
    <n v="1.5"/>
    <n v="1201.5"/>
    <n v="38.236666666666665"/>
    <d v="2022-04-01T00:00:00"/>
    <s v="Middle-aged"/>
    <n v="0"/>
    <s v="Yes"/>
    <n v="403"/>
    <s v="High"/>
    <s v="Medium"/>
    <n v="0.10526315789473684"/>
    <s v="High"/>
    <n v="1"/>
    <d v="2022-04-01T00:00:00"/>
    <s v="13–24 months"/>
    <s v="2–3 tickets"/>
    <s v="46+ min"/>
    <s v="1000+"/>
    <n v="21870"/>
    <n v="-243"/>
  </r>
  <r>
    <n v="10728"/>
    <n v="43"/>
    <s v="Male"/>
    <s v="Bangalore"/>
    <d v="2021-06-04T00:00:00"/>
    <d v="2023-11-06T00:00:00"/>
    <x v="2"/>
    <n v="1499"/>
    <x v="29"/>
    <n v="2"/>
    <n v="18.02"/>
    <n v="10"/>
    <x v="0"/>
    <x v="1"/>
    <n v="41822.1"/>
    <b v="1"/>
    <n v="2.3333333333333335"/>
    <n v="1493.6464285714285"/>
    <n v="6.0066666666666668"/>
    <d v="2021-06-01T00:00:00"/>
    <s v="Middle-aged"/>
    <n v="0"/>
    <s v="Yes"/>
    <n v="885"/>
    <s v="Low"/>
    <s v="Low"/>
    <n v="6.8965517241379309E-2"/>
    <s v="High"/>
    <n v="2"/>
    <d v="2021-06-01T00:00:00"/>
    <s v="25+ months"/>
    <s v="2–3 tickets"/>
    <s v="11–20 min"/>
    <s v="1000+"/>
    <n v="41972"/>
    <n v="-149.90000000000146"/>
  </r>
  <r>
    <n v="10729"/>
    <n v="42"/>
    <s v="Male"/>
    <s v="Hyderabad"/>
    <d v="2021-09-14T00:00:00"/>
    <d v="2021-10-25T00:00:00"/>
    <x v="0"/>
    <n v="619"/>
    <x v="12"/>
    <n v="1"/>
    <n v="28.89"/>
    <n v="0"/>
    <x v="3"/>
    <x v="1"/>
    <n v="21665"/>
    <b v="1"/>
    <n v="2.9166666666666665"/>
    <n v="619"/>
    <n v="14.445"/>
    <d v="2021-09-01T00:00:00"/>
    <s v="Middle-aged"/>
    <n v="0"/>
    <s v="Yes"/>
    <n v="41"/>
    <s v="Medium"/>
    <s v="Low"/>
    <n v="2.7777777777777776E-2"/>
    <s v="High"/>
    <n v="1"/>
    <d v="2021-09-01T00:00:00"/>
    <s v="25+ months"/>
    <s v="0–1 tickets"/>
    <s v="21–30 min"/>
    <s v="501–700"/>
    <n v="21665"/>
    <n v="0"/>
  </r>
  <r>
    <n v="10730"/>
    <n v="39"/>
    <s v="Other"/>
    <s v="Mumbai"/>
    <d v="2021-08-23T00:00:00"/>
    <d v="2022-02-14T00:00:00"/>
    <x v="2"/>
    <n v="1175"/>
    <x v="1"/>
    <n v="2"/>
    <n v="115.69"/>
    <n v="5"/>
    <x v="2"/>
    <x v="1"/>
    <n v="25791.25"/>
    <b v="1"/>
    <n v="1.8333333333333333"/>
    <n v="1172.3295454545455"/>
    <n v="38.563333333333333"/>
    <d v="2021-08-01T00:00:00"/>
    <s v="Middle-aged"/>
    <n v="0"/>
    <s v="Yes"/>
    <n v="175"/>
    <s v="High"/>
    <s v="Low"/>
    <n v="8.6956521739130432E-2"/>
    <s v="High"/>
    <n v="2"/>
    <d v="2021-08-01T00:00:00"/>
    <s v="13–24 months"/>
    <s v="2–3 tickets"/>
    <s v="46+ min"/>
    <s v="1000+"/>
    <n v="25850"/>
    <n v="-58.75"/>
  </r>
  <r>
    <n v="10731"/>
    <n v="44"/>
    <s v="Female"/>
    <s v="Mumbai"/>
    <d v="2022-05-15T00:00:00"/>
    <d v="2022-03-19T00:00:00"/>
    <x v="0"/>
    <n v="628"/>
    <x v="22"/>
    <n v="0"/>
    <n v="115.09"/>
    <n v="10"/>
    <x v="3"/>
    <x v="1"/>
    <n v="21289.200000000001"/>
    <b v="0"/>
    <n v="2.8333333333333335"/>
    <n v="626.15294117647056"/>
    <n v="115.09"/>
    <d v="2022-05-01T00:00:00"/>
    <s v="Middle-aged"/>
    <n v="0"/>
    <s v="Yes"/>
    <m/>
    <s v="High"/>
    <s v="Low"/>
    <n v="0"/>
    <s v="High"/>
    <n v="1"/>
    <d v="2022-05-01T00:00:00"/>
    <s v="25+ months"/>
    <s v="0–1 tickets"/>
    <s v="46+ min"/>
    <s v="501–700"/>
    <n v="21352"/>
    <n v="-62.799999999999272"/>
  </r>
  <r>
    <n v="10732"/>
    <n v="30"/>
    <s v="Male"/>
    <s v="Pune"/>
    <d v="2021-10-16T00:00:00"/>
    <d v="2023-08-20T00:00:00"/>
    <x v="2"/>
    <n v="1052"/>
    <x v="2"/>
    <n v="4"/>
    <n v="25.37"/>
    <n v="20"/>
    <x v="2"/>
    <x v="1"/>
    <n v="3997.6"/>
    <b v="1"/>
    <n v="0.33333333333333331"/>
    <n v="999.4"/>
    <n v="5.0739999999999998"/>
    <d v="2021-10-01T00:00:00"/>
    <s v="Adult"/>
    <n v="0"/>
    <s v="No"/>
    <n v="673"/>
    <s v="Medium"/>
    <s v="Medium"/>
    <n v="0.8"/>
    <s v="Low"/>
    <n v="2"/>
    <d v="2021-10-01T00:00:00"/>
    <s v="0–6 months"/>
    <s v="4–5 tickets"/>
    <s v="21–30 min"/>
    <s v="1000+"/>
    <n v="4208"/>
    <n v="-210.40000000000009"/>
  </r>
  <r>
    <n v="10733"/>
    <n v="50"/>
    <s v="Female"/>
    <s v="Hyderabad"/>
    <d v="2022-05-25T00:00:00"/>
    <d v="2021-10-21T00:00:00"/>
    <x v="2"/>
    <n v="956"/>
    <x v="10"/>
    <n v="3"/>
    <n v="21.69"/>
    <n v="20"/>
    <x v="0"/>
    <x v="0"/>
    <n v="17016.8"/>
    <b v="0"/>
    <n v="1.5"/>
    <n v="945.37777777777774"/>
    <n v="5.4225000000000003"/>
    <d v="2022-05-01T00:00:00"/>
    <s v="Middle-aged"/>
    <n v="1"/>
    <s v="Yes"/>
    <m/>
    <s v="Medium"/>
    <s v="Medium"/>
    <n v="0.15789473684210525"/>
    <s v="Medium"/>
    <n v="2"/>
    <d v="2022-05-01T00:00:00"/>
    <s v="13–24 months"/>
    <s v="2–3 tickets"/>
    <s v="21–30 min"/>
    <s v="701–1000"/>
    <n v="17208"/>
    <n v="-191.20000000000073"/>
  </r>
  <r>
    <n v="10734"/>
    <n v="51"/>
    <s v="Male"/>
    <s v="Hyderabad"/>
    <d v="2022-07-06T00:00:00"/>
    <d v="2023-06-17T00:00:00"/>
    <x v="0"/>
    <n v="1337"/>
    <x v="8"/>
    <n v="2"/>
    <n v="62.59"/>
    <n v="10"/>
    <x v="3"/>
    <x v="1"/>
    <n v="34628.300000000003"/>
    <b v="1"/>
    <n v="2.1666666666666665"/>
    <n v="1331.8576923076923"/>
    <n v="20.863333333333333"/>
    <d v="2022-07-01T00:00:00"/>
    <s v="Older"/>
    <n v="0"/>
    <s v="Yes"/>
    <n v="346"/>
    <s v="High"/>
    <s v="Low"/>
    <n v="7.407407407407407E-2"/>
    <s v="High"/>
    <n v="1"/>
    <d v="2022-07-01T00:00:00"/>
    <s v="25+ months"/>
    <s v="2–3 tickets"/>
    <s v="46+ min"/>
    <s v="1000+"/>
    <n v="34762"/>
    <n v="-133.69999999999709"/>
  </r>
  <r>
    <n v="10735"/>
    <n v="58"/>
    <s v="Male"/>
    <s v="Bangalore"/>
    <d v="2023-03-11T00:00:00"/>
    <d v="2023-02-17T00:00:00"/>
    <x v="2"/>
    <n v="370"/>
    <x v="1"/>
    <n v="5"/>
    <n v="62.59"/>
    <n v="15"/>
    <x v="3"/>
    <x v="1"/>
    <n v="8084.5"/>
    <b v="0"/>
    <n v="1.8333333333333333"/>
    <n v="367.47727272727275"/>
    <n v="10.431666666666667"/>
    <d v="2023-03-01T00:00:00"/>
    <s v="Older"/>
    <n v="0"/>
    <s v="No"/>
    <m/>
    <s v="High"/>
    <s v="Low"/>
    <n v="0.21739130434782608"/>
    <s v="Low"/>
    <n v="2"/>
    <d v="2023-03-01T00:00:00"/>
    <s v="13–24 months"/>
    <s v="4–5 tickets"/>
    <s v="46+ min"/>
    <s v="301–500"/>
    <n v="8140"/>
    <n v="-55.5"/>
  </r>
  <r>
    <n v="10736"/>
    <n v="52"/>
    <s v="Other"/>
    <s v="Pune"/>
    <d v="2022-12-10T00:00:00"/>
    <d v="2022-05-31T00:00:00"/>
    <x v="0"/>
    <n v="1126"/>
    <x v="33"/>
    <n v="4"/>
    <n v="80.31"/>
    <n v="10"/>
    <x v="2"/>
    <x v="0"/>
    <n v="37045.4"/>
    <b v="0"/>
    <n v="2.75"/>
    <n v="1122.5878787878789"/>
    <n v="16.062000000000001"/>
    <d v="2022-12-01T00:00:00"/>
    <s v="Older"/>
    <n v="1"/>
    <s v="Yes"/>
    <m/>
    <s v="High"/>
    <s v="Low"/>
    <n v="0.11764705882352941"/>
    <s v="High"/>
    <n v="1"/>
    <d v="2022-12-01T00:00:00"/>
    <s v="25+ months"/>
    <s v="4–5 tickets"/>
    <s v="46+ min"/>
    <s v="1000+"/>
    <n v="37158"/>
    <n v="-112.59999999999854"/>
  </r>
  <r>
    <n v="10737"/>
    <n v="18"/>
    <s v="Female"/>
    <s v="Pune"/>
    <d v="2023-02-24T00:00:00"/>
    <d v="2021-08-29T00:00:00"/>
    <x v="2"/>
    <n v="1164"/>
    <x v="25"/>
    <n v="2"/>
    <n v="13.91"/>
    <n v="20"/>
    <x v="2"/>
    <x v="1"/>
    <n v="16063.2"/>
    <b v="0"/>
    <n v="1.1666666666666667"/>
    <n v="1147.3714285714286"/>
    <n v="4.6366666666666667"/>
    <d v="2023-02-01T00:00:00"/>
    <s v="Young"/>
    <n v="0"/>
    <s v="Yes"/>
    <m/>
    <s v="Low"/>
    <s v="Medium"/>
    <n v="0.13333333333333333"/>
    <s v="Medium"/>
    <n v="2"/>
    <d v="2023-02-01T00:00:00"/>
    <s v="13–24 months"/>
    <s v="2–3 tickets"/>
    <s v="11–20 min"/>
    <s v="1000+"/>
    <n v="16296"/>
    <n v="-232.79999999999927"/>
  </r>
  <r>
    <n v="10738"/>
    <n v="38"/>
    <s v="Other"/>
    <s v="Delhi"/>
    <d v="2023-06-13T00:00:00"/>
    <d v="2023-05-21T00:00:00"/>
    <x v="0"/>
    <n v="1227"/>
    <x v="27"/>
    <n v="1"/>
    <n v="11.67"/>
    <n v="10"/>
    <x v="2"/>
    <x v="1"/>
    <n v="37914.300000000003"/>
    <b v="0"/>
    <n v="2.5833333333333335"/>
    <n v="1223.0419354838712"/>
    <n v="5.835"/>
    <d v="2023-06-01T00:00:00"/>
    <s v="Middle-aged"/>
    <n v="0"/>
    <s v="Yes"/>
    <m/>
    <s v="Low"/>
    <s v="Low"/>
    <n v="3.125E-2"/>
    <s v="High"/>
    <n v="1"/>
    <d v="2023-06-01T00:00:00"/>
    <s v="25+ months"/>
    <s v="0–1 tickets"/>
    <s v="11–20 min"/>
    <s v="1000+"/>
    <n v="38037"/>
    <n v="-122.69999999999709"/>
  </r>
  <r>
    <n v="10739"/>
    <n v="23"/>
    <s v="Male"/>
    <s v="Pune"/>
    <d v="2023-02-15T00:00:00"/>
    <d v="2021-11-11T00:00:00"/>
    <x v="2"/>
    <n v="405"/>
    <x v="32"/>
    <n v="0"/>
    <n v="60.8"/>
    <n v="0"/>
    <x v="2"/>
    <x v="0"/>
    <n v="4050"/>
    <b v="0"/>
    <n v="0.83333333333333337"/>
    <n v="405"/>
    <n v="60.8"/>
    <d v="2023-02-01T00:00:00"/>
    <s v="Young"/>
    <n v="1"/>
    <s v="No"/>
    <m/>
    <s v="High"/>
    <s v="Low"/>
    <n v="0"/>
    <s v="Low"/>
    <n v="2"/>
    <d v="2023-02-01T00:00:00"/>
    <s v="7–12 months"/>
    <s v="0–1 tickets"/>
    <s v="46+ min"/>
    <s v="301–500"/>
    <n v="4050"/>
    <n v="0"/>
  </r>
  <r>
    <n v="10740"/>
    <n v="45"/>
    <s v="Female"/>
    <s v="Mumbai"/>
    <d v="2022-07-23T00:00:00"/>
    <d v="2022-09-24T00:00:00"/>
    <x v="2"/>
    <n v="1069"/>
    <x v="30"/>
    <n v="0"/>
    <n v="115.15"/>
    <n v="15"/>
    <x v="1"/>
    <x v="1"/>
    <n v="25495.65"/>
    <b v="1"/>
    <n v="2"/>
    <n v="1062.3187500000001"/>
    <n v="115.15"/>
    <d v="2022-07-01T00:00:00"/>
    <s v="Middle-aged"/>
    <n v="0"/>
    <s v="Yes"/>
    <n v="63"/>
    <s v="High"/>
    <s v="Low"/>
    <n v="0"/>
    <s v="High"/>
    <n v="2"/>
    <d v="2022-07-01T00:00:00"/>
    <s v="13–24 months"/>
    <s v="0–1 tickets"/>
    <s v="46+ min"/>
    <s v="1000+"/>
    <n v="25656"/>
    <n v="-160.34999999999854"/>
  </r>
  <r>
    <n v="10741"/>
    <n v="34"/>
    <s v="Male"/>
    <s v="Bangalore"/>
    <d v="2021-10-25T00:00:00"/>
    <d v="2021-08-23T00:00:00"/>
    <x v="1"/>
    <n v="1192"/>
    <x v="6"/>
    <n v="2"/>
    <n v="54.08"/>
    <n v="10"/>
    <x v="0"/>
    <x v="0"/>
    <n v="24912.799999999999"/>
    <b v="0"/>
    <n v="1.75"/>
    <n v="1186.3238095238096"/>
    <n v="18.026666666666667"/>
    <d v="2021-10-01T00:00:00"/>
    <s v="Adult"/>
    <n v="1"/>
    <s v="Yes"/>
    <m/>
    <s v="Medium"/>
    <s v="Low"/>
    <n v="9.0909090909090912E-2"/>
    <s v="High"/>
    <n v="3"/>
    <d v="2021-10-01T00:00:00"/>
    <s v="13–24 months"/>
    <s v="2–3 tickets"/>
    <s v="46+ min"/>
    <s v="1000+"/>
    <n v="25032"/>
    <n v="-119.20000000000073"/>
  </r>
  <r>
    <n v="10742"/>
    <n v="22"/>
    <s v="Male"/>
    <s v="Hyderabad"/>
    <d v="2022-09-02T00:00:00"/>
    <d v="2021-08-16T00:00:00"/>
    <x v="2"/>
    <n v="495"/>
    <x v="14"/>
    <n v="0"/>
    <n v="46"/>
    <n v="20"/>
    <x v="2"/>
    <x v="1"/>
    <n v="3861"/>
    <b v="0"/>
    <n v="0.66666666666666663"/>
    <n v="482.625"/>
    <n v="46"/>
    <d v="2022-09-01T00:00:00"/>
    <s v="Young"/>
    <n v="0"/>
    <s v="No"/>
    <m/>
    <s v="Medium"/>
    <s v="Medium"/>
    <n v="0"/>
    <s v="Low"/>
    <n v="2"/>
    <d v="2022-09-01T00:00:00"/>
    <s v="7–12 months"/>
    <s v="0–1 tickets"/>
    <s v="46+ min"/>
    <s v="301–500"/>
    <n v="3960"/>
    <n v="-99"/>
  </r>
  <r>
    <n v="10743"/>
    <n v="48"/>
    <s v="Female"/>
    <s v="Pune"/>
    <d v="2021-05-17T00:00:00"/>
    <d v="2023-04-04T00:00:00"/>
    <x v="2"/>
    <n v="444"/>
    <x v="23"/>
    <n v="4"/>
    <n v="119.77"/>
    <n v="10"/>
    <x v="3"/>
    <x v="1"/>
    <n v="14163.6"/>
    <b v="1"/>
    <n v="2.6666666666666665"/>
    <n v="442.61250000000001"/>
    <n v="23.954000000000001"/>
    <d v="2021-05-01T00:00:00"/>
    <s v="Middle-aged"/>
    <n v="0"/>
    <s v="Yes"/>
    <n v="687"/>
    <s v="High"/>
    <s v="Low"/>
    <n v="0.12121212121212122"/>
    <s v="Medium"/>
    <n v="2"/>
    <d v="2021-05-01T00:00:00"/>
    <s v="25+ months"/>
    <s v="4–5 tickets"/>
    <s v="46+ min"/>
    <s v="301–500"/>
    <n v="14208"/>
    <n v="-44.399999999999636"/>
  </r>
  <r>
    <n v="10744"/>
    <n v="22"/>
    <s v="Male"/>
    <s v="Bangalore"/>
    <d v="2022-01-11T00:00:00"/>
    <d v="2022-10-30T00:00:00"/>
    <x v="0"/>
    <n v="770"/>
    <x v="27"/>
    <n v="1"/>
    <n v="66.180000000000007"/>
    <n v="10"/>
    <x v="3"/>
    <x v="1"/>
    <n v="23793"/>
    <b v="1"/>
    <n v="2.5833333333333335"/>
    <n v="767.51612903225805"/>
    <n v="33.090000000000003"/>
    <d v="2022-01-01T00:00:00"/>
    <s v="Young"/>
    <n v="0"/>
    <s v="Yes"/>
    <n v="292"/>
    <s v="High"/>
    <s v="Low"/>
    <n v="3.125E-2"/>
    <s v="High"/>
    <n v="1"/>
    <d v="2022-01-01T00:00:00"/>
    <s v="25+ months"/>
    <s v="0–1 tickets"/>
    <s v="46+ min"/>
    <s v="701–1000"/>
    <n v="23870"/>
    <n v="-77"/>
  </r>
  <r>
    <n v="10745"/>
    <n v="55"/>
    <s v="Female"/>
    <s v="Pune"/>
    <d v="2021-03-28T00:00:00"/>
    <d v="2022-09-28T00:00:00"/>
    <x v="1"/>
    <n v="515"/>
    <x v="22"/>
    <n v="2"/>
    <n v="48.15"/>
    <n v="5"/>
    <x v="3"/>
    <x v="1"/>
    <n v="17484.25"/>
    <b v="1"/>
    <n v="2.8333333333333335"/>
    <n v="514.24264705882354"/>
    <n v="16.05"/>
    <d v="2021-03-01T00:00:00"/>
    <s v="Older"/>
    <n v="0"/>
    <s v="Yes"/>
    <n v="549"/>
    <s v="Medium"/>
    <s v="Low"/>
    <n v="5.7142857142857141E-2"/>
    <s v="Medium"/>
    <n v="3"/>
    <d v="2021-03-01T00:00:00"/>
    <s v="25+ months"/>
    <s v="2–3 tickets"/>
    <s v="46+ min"/>
    <s v="501–700"/>
    <n v="17510"/>
    <n v="-25.75"/>
  </r>
  <r>
    <n v="10746"/>
    <n v="20"/>
    <s v="Female"/>
    <s v="Hyderabad"/>
    <d v="2022-02-23T00:00:00"/>
    <d v="2023-01-11T00:00:00"/>
    <x v="2"/>
    <n v="1416"/>
    <x v="31"/>
    <n v="3"/>
    <n v="49.37"/>
    <n v="10"/>
    <x v="2"/>
    <x v="1"/>
    <n v="32426.400000000001"/>
    <b v="1"/>
    <n v="1.9166666666666667"/>
    <n v="1409.8434782608697"/>
    <n v="12.342499999999999"/>
    <d v="2022-02-01T00:00:00"/>
    <s v="Young"/>
    <n v="0"/>
    <s v="Yes"/>
    <n v="322"/>
    <s v="Medium"/>
    <s v="Low"/>
    <n v="0.125"/>
    <s v="High"/>
    <n v="2"/>
    <d v="2022-02-01T00:00:00"/>
    <s v="13–24 months"/>
    <s v="2–3 tickets"/>
    <s v="46+ min"/>
    <s v="1000+"/>
    <n v="32568"/>
    <n v="-141.59999999999854"/>
  </r>
  <r>
    <n v="10747"/>
    <n v="40"/>
    <s v="Male"/>
    <s v="Chennai"/>
    <d v="2023-01-24T00:00:00"/>
    <d v="2023-01-24T00:00:00"/>
    <x v="0"/>
    <n v="559"/>
    <x v="0"/>
    <n v="2"/>
    <n v="27.42"/>
    <n v="0"/>
    <x v="0"/>
    <x v="1"/>
    <n v="13975"/>
    <b v="1"/>
    <n v="2.0833333333333335"/>
    <n v="559"/>
    <n v="9.14"/>
    <d v="2023-01-01T00:00:00"/>
    <s v="Middle-aged"/>
    <n v="0"/>
    <s v="Yes"/>
    <n v="0"/>
    <s v="Medium"/>
    <s v="Low"/>
    <n v="7.6923076923076927E-2"/>
    <s v="Medium"/>
    <n v="1"/>
    <d v="2023-01-01T00:00:00"/>
    <s v="25+ months"/>
    <s v="2–3 tickets"/>
    <s v="21–30 min"/>
    <s v="501–700"/>
    <n v="13975"/>
    <n v="0"/>
  </r>
  <r>
    <n v="10748"/>
    <n v="54"/>
    <s v="Female"/>
    <s v="Hyderabad"/>
    <d v="2021-07-18T00:00:00"/>
    <d v="2023-01-20T00:00:00"/>
    <x v="1"/>
    <n v="1233"/>
    <x v="16"/>
    <n v="5"/>
    <n v="63.91"/>
    <n v="10"/>
    <x v="1"/>
    <x v="1"/>
    <n v="8384.4"/>
    <b v="1"/>
    <n v="0.58333333333333337"/>
    <n v="1197.7714285714285"/>
    <n v="10.651666666666666"/>
    <d v="2021-07-01T00:00:00"/>
    <s v="Older"/>
    <n v="0"/>
    <s v="No"/>
    <n v="551"/>
    <s v="High"/>
    <s v="Low"/>
    <n v="0.625"/>
    <s v="Low"/>
    <n v="3"/>
    <d v="2021-07-01T00:00:00"/>
    <s v="7–12 months"/>
    <s v="4–5 tickets"/>
    <s v="46+ min"/>
    <s v="1000+"/>
    <n v="8631"/>
    <n v="-246.60000000000036"/>
  </r>
  <r>
    <n v="10749"/>
    <n v="54"/>
    <s v="Female"/>
    <s v="Hyderabad"/>
    <d v="2022-04-08T00:00:00"/>
    <d v="2023-07-22T00:00:00"/>
    <x v="0"/>
    <n v="874"/>
    <x v="17"/>
    <n v="1"/>
    <n v="55.47"/>
    <n v="5"/>
    <x v="2"/>
    <x v="1"/>
    <n v="16562.3"/>
    <b v="1"/>
    <n v="1.5833333333333333"/>
    <n v="871.69999999999993"/>
    <n v="27.734999999999999"/>
    <d v="2022-04-01T00:00:00"/>
    <s v="Older"/>
    <n v="0"/>
    <s v="Yes"/>
    <n v="470"/>
    <s v="Medium"/>
    <s v="Low"/>
    <n v="0.05"/>
    <s v="Medium"/>
    <n v="1"/>
    <d v="2022-04-01T00:00:00"/>
    <s v="13–24 months"/>
    <s v="0–1 tickets"/>
    <s v="46+ min"/>
    <s v="701–1000"/>
    <n v="16606"/>
    <n v="-43.700000000000728"/>
  </r>
  <r>
    <n v="10750"/>
    <n v="27"/>
    <s v="Male"/>
    <s v="Hyderabad"/>
    <d v="2022-03-13T00:00:00"/>
    <d v="2021-09-12T00:00:00"/>
    <x v="1"/>
    <n v="584"/>
    <x v="16"/>
    <n v="0"/>
    <n v="36.14"/>
    <n v="10"/>
    <x v="2"/>
    <x v="1"/>
    <n v="4029.6"/>
    <b v="0"/>
    <n v="0.58333333333333337"/>
    <n v="575.65714285714284"/>
    <n v="36.14"/>
    <d v="2022-03-01T00:00:00"/>
    <s v="Adult"/>
    <n v="0"/>
    <s v="No"/>
    <m/>
    <s v="Medium"/>
    <s v="Low"/>
    <n v="0"/>
    <s v="Low"/>
    <n v="3"/>
    <d v="2022-03-01T00:00:00"/>
    <s v="7–12 months"/>
    <s v="0–1 tickets"/>
    <s v="31–45 min"/>
    <s v="501–700"/>
    <n v="4088"/>
    <n v="-58.400000000000091"/>
  </r>
  <r>
    <n v="10751"/>
    <n v="27"/>
    <s v="Female"/>
    <s v="Pune"/>
    <d v="2021-11-06T00:00:00"/>
    <d v="2022-08-26T00:00:00"/>
    <x v="1"/>
    <n v="783"/>
    <x v="14"/>
    <n v="3"/>
    <n v="23.46"/>
    <n v="15"/>
    <x v="1"/>
    <x v="1"/>
    <n v="6146.55"/>
    <b v="1"/>
    <n v="0.66666666666666663"/>
    <n v="768.31875000000002"/>
    <n v="5.8650000000000002"/>
    <d v="2021-11-01T00:00:00"/>
    <s v="Adult"/>
    <n v="0"/>
    <s v="No"/>
    <n v="293"/>
    <s v="Medium"/>
    <s v="Low"/>
    <n v="0.33333333333333331"/>
    <s v="Low"/>
    <n v="3"/>
    <d v="2021-11-01T00:00:00"/>
    <s v="7–12 months"/>
    <s v="2–3 tickets"/>
    <s v="21–30 min"/>
    <s v="701–1000"/>
    <n v="6264"/>
    <n v="-117.44999999999982"/>
  </r>
  <r>
    <n v="10752"/>
    <n v="36"/>
    <s v="Female"/>
    <s v="Delhi"/>
    <d v="2022-08-19T00:00:00"/>
    <d v="2022-09-30T00:00:00"/>
    <x v="0"/>
    <n v="671"/>
    <x v="25"/>
    <n v="2"/>
    <n v="40.79"/>
    <n v="0"/>
    <x v="0"/>
    <x v="1"/>
    <n v="9394"/>
    <b v="1"/>
    <n v="1.1666666666666667"/>
    <n v="671"/>
    <n v="13.596666666666666"/>
    <d v="2022-08-01T00:00:00"/>
    <s v="Middle-aged"/>
    <n v="0"/>
    <s v="No"/>
    <n v="42"/>
    <s v="Medium"/>
    <s v="Low"/>
    <n v="0.13333333333333333"/>
    <s v="Medium"/>
    <n v="1"/>
    <d v="2022-08-01T00:00:00"/>
    <s v="13–24 months"/>
    <s v="2–3 tickets"/>
    <s v="31–45 min"/>
    <s v="501–700"/>
    <n v="9394"/>
    <n v="0"/>
  </r>
  <r>
    <n v="10753"/>
    <n v="34"/>
    <s v="Male"/>
    <s v="Hyderabad"/>
    <d v="2023-01-24T00:00:00"/>
    <d v="2022-05-05T00:00:00"/>
    <x v="2"/>
    <n v="369"/>
    <x v="7"/>
    <n v="3"/>
    <n v="63.5"/>
    <n v="0"/>
    <x v="2"/>
    <x v="1"/>
    <n v="369"/>
    <b v="0"/>
    <n v="8.3333333333333329E-2"/>
    <n v="369"/>
    <n v="15.875"/>
    <d v="2023-01-01T00:00:00"/>
    <s v="Adult"/>
    <n v="0"/>
    <s v="No"/>
    <m/>
    <s v="High"/>
    <s v="Low"/>
    <n v="1.5"/>
    <s v="Low"/>
    <n v="2"/>
    <d v="2023-01-01T00:00:00"/>
    <s v="0–6 months"/>
    <s v="2–3 tickets"/>
    <s v="46+ min"/>
    <s v="301–500"/>
    <n v="369"/>
    <n v="0"/>
  </r>
  <r>
    <n v="10754"/>
    <n v="38"/>
    <s v="Female"/>
    <s v="Mumbai"/>
    <d v="2021-10-08T00:00:00"/>
    <d v="2023-04-18T00:00:00"/>
    <x v="0"/>
    <n v="678"/>
    <x v="19"/>
    <n v="2"/>
    <n v="11.71"/>
    <n v="0"/>
    <x v="3"/>
    <x v="1"/>
    <n v="8814"/>
    <b v="1"/>
    <n v="1.0833333333333333"/>
    <n v="678"/>
    <n v="3.9033333333333338"/>
    <d v="2021-10-01T00:00:00"/>
    <s v="Middle-aged"/>
    <n v="0"/>
    <s v="No"/>
    <n v="557"/>
    <s v="Low"/>
    <s v="Low"/>
    <n v="0.14285714285714285"/>
    <s v="Low"/>
    <n v="1"/>
    <d v="2021-10-01T00:00:00"/>
    <s v="13–24 months"/>
    <s v="2–3 tickets"/>
    <s v="11–20 min"/>
    <s v="501–700"/>
    <n v="8814"/>
    <n v="0"/>
  </r>
  <r>
    <n v="10755"/>
    <n v="31"/>
    <s v="Other"/>
    <s v="Mumbai"/>
    <d v="2021-11-19T00:00:00"/>
    <d v="2022-12-18T00:00:00"/>
    <x v="0"/>
    <n v="601"/>
    <x v="13"/>
    <n v="0"/>
    <n v="22.68"/>
    <n v="5"/>
    <x v="3"/>
    <x v="1"/>
    <n v="1772.95"/>
    <b v="1"/>
    <n v="0.25"/>
    <n v="590.98333333333335"/>
    <n v="22.68"/>
    <d v="2021-11-01T00:00:00"/>
    <s v="Adult"/>
    <n v="0"/>
    <s v="No"/>
    <n v="394"/>
    <s v="Medium"/>
    <s v="Low"/>
    <n v="0"/>
    <s v="Low"/>
    <n v="1"/>
    <d v="2021-11-01T00:00:00"/>
    <s v="0–6 months"/>
    <s v="0–1 tickets"/>
    <s v="21–30 min"/>
    <s v="501–700"/>
    <n v="1803"/>
    <n v="-30.049999999999955"/>
  </r>
  <r>
    <n v="10756"/>
    <n v="26"/>
    <s v="Male"/>
    <s v="Bangalore"/>
    <d v="2023-02-03T00:00:00"/>
    <d v="2023-11-17T00:00:00"/>
    <x v="0"/>
    <n v="554"/>
    <x v="29"/>
    <n v="2"/>
    <n v="113.98"/>
    <n v="10"/>
    <x v="2"/>
    <x v="1"/>
    <n v="15456.6"/>
    <b v="1"/>
    <n v="2.3333333333333335"/>
    <n v="552.0214285714286"/>
    <n v="37.993333333333332"/>
    <d v="2023-02-01T00:00:00"/>
    <s v="Adult"/>
    <n v="0"/>
    <s v="Yes"/>
    <n v="287"/>
    <s v="High"/>
    <s v="Low"/>
    <n v="6.8965517241379309E-2"/>
    <s v="Medium"/>
    <n v="1"/>
    <d v="2023-02-01T00:00:00"/>
    <s v="25+ months"/>
    <s v="2–3 tickets"/>
    <s v="46+ min"/>
    <s v="501–700"/>
    <n v="15512"/>
    <n v="-55.399999999999636"/>
  </r>
  <r>
    <n v="10757"/>
    <n v="63"/>
    <s v="Female"/>
    <s v="Delhi"/>
    <d v="2022-12-03T00:00:00"/>
    <d v="2022-09-21T00:00:00"/>
    <x v="2"/>
    <n v="1243"/>
    <x v="15"/>
    <n v="1"/>
    <n v="67.430000000000007"/>
    <n v="0"/>
    <x v="0"/>
    <x v="1"/>
    <n v="18645"/>
    <b v="0"/>
    <n v="1.25"/>
    <n v="1243"/>
    <n v="33.715000000000003"/>
    <d v="2022-12-01T00:00:00"/>
    <s v="Older"/>
    <n v="0"/>
    <s v="Yes"/>
    <m/>
    <s v="High"/>
    <s v="Low"/>
    <n v="6.25E-2"/>
    <s v="Medium"/>
    <n v="2"/>
    <d v="2022-12-01T00:00:00"/>
    <s v="13–24 months"/>
    <s v="0–1 tickets"/>
    <s v="46+ min"/>
    <s v="1000+"/>
    <n v="18645"/>
    <n v="0"/>
  </r>
  <r>
    <n v="10758"/>
    <n v="18"/>
    <s v="Male"/>
    <s v="Bangalore"/>
    <d v="2021-06-01T00:00:00"/>
    <d v="2023-05-24T00:00:00"/>
    <x v="0"/>
    <n v="991"/>
    <x v="13"/>
    <n v="3"/>
    <n v="12.3"/>
    <n v="10"/>
    <x v="3"/>
    <x v="1"/>
    <n v="2873.9"/>
    <b v="1"/>
    <n v="0.25"/>
    <n v="957.9666666666667"/>
    <n v="3.0750000000000002"/>
    <d v="2021-06-01T00:00:00"/>
    <s v="Young"/>
    <n v="0"/>
    <s v="No"/>
    <n v="722"/>
    <s v="Low"/>
    <s v="Low"/>
    <n v="0.75"/>
    <s v="Low"/>
    <n v="1"/>
    <d v="2021-06-01T00:00:00"/>
    <s v="0–6 months"/>
    <s v="2–3 tickets"/>
    <s v="11–20 min"/>
    <s v="701–1000"/>
    <n v="2973"/>
    <n v="-99.099999999999909"/>
  </r>
  <r>
    <n v="10759"/>
    <n v="62"/>
    <s v="Female"/>
    <s v="Mumbai"/>
    <d v="2021-10-29T00:00:00"/>
    <d v="2023-01-28T00:00:00"/>
    <x v="0"/>
    <n v="1133"/>
    <x v="2"/>
    <n v="3"/>
    <n v="84.71"/>
    <n v="15"/>
    <x v="3"/>
    <x v="1"/>
    <n v="4362.05"/>
    <b v="1"/>
    <n v="0.33333333333333331"/>
    <n v="1090.5125"/>
    <n v="21.177499999999998"/>
    <d v="2021-10-01T00:00:00"/>
    <s v="Older"/>
    <n v="0"/>
    <s v="No"/>
    <n v="456"/>
    <s v="High"/>
    <s v="Low"/>
    <n v="0.6"/>
    <s v="Low"/>
    <n v="1"/>
    <d v="2021-10-01T00:00:00"/>
    <s v="0–6 months"/>
    <s v="2–3 tickets"/>
    <s v="46+ min"/>
    <s v="1000+"/>
    <n v="4532"/>
    <n v="-169.94999999999982"/>
  </r>
  <r>
    <n v="10760"/>
    <n v="30"/>
    <s v="Female"/>
    <s v="Mumbai"/>
    <d v="2021-10-05T00:00:00"/>
    <d v="2022-01-09T00:00:00"/>
    <x v="2"/>
    <n v="1016"/>
    <x v="21"/>
    <n v="1"/>
    <n v="12.11"/>
    <n v="10"/>
    <x v="1"/>
    <x v="0"/>
    <n v="4978.3999999999996"/>
    <b v="1"/>
    <n v="0.41666666666666669"/>
    <n v="995.68"/>
    <n v="6.0549999999999997"/>
    <d v="2021-10-01T00:00:00"/>
    <s v="Adult"/>
    <n v="1"/>
    <s v="No"/>
    <n v="96"/>
    <s v="Low"/>
    <s v="Low"/>
    <n v="0.16666666666666666"/>
    <s v="Low"/>
    <n v="2"/>
    <d v="2021-10-01T00:00:00"/>
    <s v="0–6 months"/>
    <s v="0–1 tickets"/>
    <s v="11–20 min"/>
    <s v="1000+"/>
    <n v="5080"/>
    <n v="-101.60000000000036"/>
  </r>
  <r>
    <n v="10761"/>
    <n v="21"/>
    <s v="Male"/>
    <s v="Chennai"/>
    <d v="2022-10-13T00:00:00"/>
    <d v="2021-06-09T00:00:00"/>
    <x v="0"/>
    <n v="723"/>
    <x v="8"/>
    <n v="0"/>
    <n v="89.97"/>
    <n v="10"/>
    <x v="0"/>
    <x v="1"/>
    <n v="18725.7"/>
    <b v="0"/>
    <n v="2.1666666666666665"/>
    <n v="720.21923076923076"/>
    <n v="89.97"/>
    <d v="2022-10-01T00:00:00"/>
    <s v="Young"/>
    <n v="0"/>
    <s v="Yes"/>
    <m/>
    <s v="High"/>
    <s v="Low"/>
    <n v="0"/>
    <s v="Medium"/>
    <n v="1"/>
    <d v="2022-10-01T00:00:00"/>
    <s v="25+ months"/>
    <s v="0–1 tickets"/>
    <s v="46+ min"/>
    <s v="701–1000"/>
    <n v="18798"/>
    <n v="-72.299999999999272"/>
  </r>
  <r>
    <n v="10762"/>
    <n v="18"/>
    <s v="Male"/>
    <s v="Hyderabad"/>
    <d v="2022-11-19T00:00:00"/>
    <d v="2021-07-23T00:00:00"/>
    <x v="0"/>
    <n v="512"/>
    <x v="0"/>
    <n v="3"/>
    <n v="91.25"/>
    <n v="10"/>
    <x v="2"/>
    <x v="0"/>
    <n v="12748.8"/>
    <b v="0"/>
    <n v="2.0833333333333335"/>
    <n v="509.952"/>
    <n v="22.8125"/>
    <d v="2022-11-01T00:00:00"/>
    <s v="Young"/>
    <n v="1"/>
    <s v="No"/>
    <m/>
    <s v="High"/>
    <s v="Low"/>
    <n v="0.11538461538461539"/>
    <s v="Medium"/>
    <n v="1"/>
    <d v="2022-11-01T00:00:00"/>
    <s v="25+ months"/>
    <s v="2–3 tickets"/>
    <s v="46+ min"/>
    <s v="501–700"/>
    <n v="12800"/>
    <n v="-51.200000000000728"/>
  </r>
  <r>
    <n v="10763"/>
    <n v="57"/>
    <s v="Female"/>
    <s v="Mumbai"/>
    <d v="2021-01-08T00:00:00"/>
    <d v="2021-08-16T00:00:00"/>
    <x v="0"/>
    <n v="399"/>
    <x v="32"/>
    <n v="1"/>
    <n v="79.87"/>
    <n v="20"/>
    <x v="1"/>
    <x v="0"/>
    <n v="3910.2"/>
    <b v="1"/>
    <n v="0.83333333333333337"/>
    <n v="391.02"/>
    <n v="39.935000000000002"/>
    <d v="2021-01-01T00:00:00"/>
    <s v="Older"/>
    <n v="1"/>
    <s v="No"/>
    <n v="220"/>
    <s v="High"/>
    <s v="Medium"/>
    <n v="9.0909090909090912E-2"/>
    <s v="Low"/>
    <n v="1"/>
    <d v="2021-01-01T00:00:00"/>
    <s v="7–12 months"/>
    <s v="0–1 tickets"/>
    <s v="46+ min"/>
    <s v="301–500"/>
    <n v="3990"/>
    <n v="-79.800000000000182"/>
  </r>
  <r>
    <n v="10764"/>
    <n v="49"/>
    <s v="Male"/>
    <s v="Pune"/>
    <d v="2023-03-18T00:00:00"/>
    <d v="2023-05-19T00:00:00"/>
    <x v="0"/>
    <n v="1435"/>
    <x v="14"/>
    <n v="6"/>
    <n v="89.2"/>
    <n v="5"/>
    <x v="1"/>
    <x v="1"/>
    <n v="11408.25"/>
    <b v="1"/>
    <n v="0.66666666666666663"/>
    <n v="1426.03125"/>
    <n v="12.742857142857144"/>
    <d v="2023-03-01T00:00:00"/>
    <s v="Middle-aged"/>
    <n v="0"/>
    <s v="No"/>
    <n v="62"/>
    <s v="High"/>
    <s v="Low"/>
    <n v="0.66666666666666663"/>
    <s v="Medium"/>
    <n v="1"/>
    <d v="2023-03-01T00:00:00"/>
    <s v="7–12 months"/>
    <s v="6+ tickets"/>
    <s v="46+ min"/>
    <s v="1000+"/>
    <n v="11480"/>
    <n v="-71.75"/>
  </r>
  <r>
    <n v="10765"/>
    <n v="51"/>
    <s v="Female"/>
    <s v="Pune"/>
    <d v="2021-08-23T00:00:00"/>
    <d v="2022-10-16T00:00:00"/>
    <x v="2"/>
    <n v="607"/>
    <x v="34"/>
    <n v="2"/>
    <n v="15.12"/>
    <n v="10"/>
    <x v="1"/>
    <x v="0"/>
    <n v="7223.3"/>
    <b v="1"/>
    <n v="1"/>
    <n v="601.94166666666672"/>
    <n v="5.04"/>
    <d v="2021-08-01T00:00:00"/>
    <s v="Older"/>
    <n v="1"/>
    <s v="No"/>
    <n v="419"/>
    <s v="Low"/>
    <s v="Low"/>
    <n v="0.15384615384615385"/>
    <s v="Low"/>
    <n v="2"/>
    <d v="2021-08-01T00:00:00"/>
    <s v="7–12 months"/>
    <s v="2–3 tickets"/>
    <s v="11–20 min"/>
    <s v="501–700"/>
    <n v="7284"/>
    <n v="-60.699999999999818"/>
  </r>
  <r>
    <n v="10766"/>
    <n v="45"/>
    <s v="Male"/>
    <s v="Bangalore"/>
    <d v="2022-11-06T00:00:00"/>
    <d v="2022-04-12T00:00:00"/>
    <x v="0"/>
    <n v="977"/>
    <x v="13"/>
    <n v="1"/>
    <n v="88.58"/>
    <n v="0"/>
    <x v="0"/>
    <x v="0"/>
    <n v="2931"/>
    <b v="0"/>
    <n v="0.25"/>
    <n v="977"/>
    <n v="44.29"/>
    <d v="2022-11-01T00:00:00"/>
    <s v="Middle-aged"/>
    <n v="1"/>
    <s v="No"/>
    <m/>
    <s v="High"/>
    <s v="Low"/>
    <n v="0.25"/>
    <s v="Low"/>
    <n v="1"/>
    <d v="2022-11-01T00:00:00"/>
    <s v="0–6 months"/>
    <s v="0–1 tickets"/>
    <s v="46+ min"/>
    <s v="701–1000"/>
    <n v="2931"/>
    <n v="0"/>
  </r>
  <r>
    <n v="10767"/>
    <n v="48"/>
    <s v="Female"/>
    <s v="Bangalore"/>
    <d v="2022-07-15T00:00:00"/>
    <d v="2023-08-23T00:00:00"/>
    <x v="1"/>
    <n v="774"/>
    <x v="26"/>
    <n v="2"/>
    <n v="20.72"/>
    <n v="10"/>
    <x v="0"/>
    <x v="1"/>
    <n v="20743.2"/>
    <b v="1"/>
    <n v="2.25"/>
    <n v="768.26666666666665"/>
    <n v="6.9066666666666663"/>
    <d v="2022-07-01T00:00:00"/>
    <s v="Middle-aged"/>
    <n v="0"/>
    <s v="Yes"/>
    <n v="404"/>
    <s v="Medium"/>
    <s v="Low"/>
    <n v="7.1428571428571425E-2"/>
    <s v="High"/>
    <n v="3"/>
    <d v="2022-07-01T00:00:00"/>
    <s v="25+ months"/>
    <s v="2–3 tickets"/>
    <s v="21–30 min"/>
    <s v="701–1000"/>
    <n v="20898"/>
    <n v="-154.79999999999927"/>
  </r>
  <r>
    <n v="10768"/>
    <n v="25"/>
    <s v="Female"/>
    <s v="Hyderabad"/>
    <d v="2021-10-29T00:00:00"/>
    <d v="2023-08-31T00:00:00"/>
    <x v="2"/>
    <n v="411"/>
    <x v="31"/>
    <n v="2"/>
    <n v="44.04"/>
    <n v="10"/>
    <x v="0"/>
    <x v="1"/>
    <n v="9411.9"/>
    <b v="1"/>
    <n v="1.9166666666666667"/>
    <n v="409.21304347826083"/>
    <n v="14.68"/>
    <d v="2021-10-01T00:00:00"/>
    <s v="Young"/>
    <n v="0"/>
    <s v="No"/>
    <n v="671"/>
    <s v="Medium"/>
    <s v="Low"/>
    <n v="8.3333333333333329E-2"/>
    <s v="Medium"/>
    <n v="2"/>
    <d v="2021-10-01T00:00:00"/>
    <s v="13–24 months"/>
    <s v="2–3 tickets"/>
    <s v="31–45 min"/>
    <s v="301–500"/>
    <n v="9453"/>
    <n v="-41.100000000000364"/>
  </r>
  <r>
    <n v="10769"/>
    <n v="56"/>
    <s v="Female"/>
    <s v="Hyderabad"/>
    <d v="2021-02-07T00:00:00"/>
    <d v="2023-09-20T00:00:00"/>
    <x v="0"/>
    <n v="1410"/>
    <x v="33"/>
    <n v="0"/>
    <n v="113.42"/>
    <n v="20"/>
    <x v="2"/>
    <x v="0"/>
    <n v="46248"/>
    <b v="1"/>
    <n v="2.75"/>
    <n v="1401.4545454545455"/>
    <n v="113.42"/>
    <d v="2021-02-01T00:00:00"/>
    <s v="Older"/>
    <n v="1"/>
    <s v="Yes"/>
    <n v="955"/>
    <s v="High"/>
    <s v="Medium"/>
    <n v="0"/>
    <s v="High"/>
    <n v="1"/>
    <d v="2021-02-01T00:00:00"/>
    <s v="25+ months"/>
    <s v="0–1 tickets"/>
    <s v="46+ min"/>
    <s v="1000+"/>
    <n v="46530"/>
    <n v="-282"/>
  </r>
  <r>
    <n v="10770"/>
    <n v="43"/>
    <s v="Male"/>
    <s v="Chennai"/>
    <d v="2021-05-16T00:00:00"/>
    <d v="2023-02-14T00:00:00"/>
    <x v="0"/>
    <n v="482"/>
    <x v="25"/>
    <n v="3"/>
    <n v="62.83"/>
    <n v="5"/>
    <x v="0"/>
    <x v="1"/>
    <n v="6723.9"/>
    <b v="1"/>
    <n v="1.1666666666666667"/>
    <n v="480.27857142857141"/>
    <n v="15.7075"/>
    <d v="2021-05-01T00:00:00"/>
    <s v="Middle-aged"/>
    <n v="0"/>
    <s v="No"/>
    <n v="639"/>
    <s v="High"/>
    <s v="Low"/>
    <n v="0.2"/>
    <s v="Low"/>
    <n v="1"/>
    <d v="2021-05-01T00:00:00"/>
    <s v="13–24 months"/>
    <s v="2–3 tickets"/>
    <s v="46+ min"/>
    <s v="301–500"/>
    <n v="6748"/>
    <n v="-24.100000000000364"/>
  </r>
  <r>
    <n v="10771"/>
    <n v="51"/>
    <s v="Female"/>
    <s v="Delhi"/>
    <d v="2023-04-02T00:00:00"/>
    <d v="2023-10-11T00:00:00"/>
    <x v="0"/>
    <n v="896"/>
    <x v="31"/>
    <n v="1"/>
    <n v="116.25"/>
    <n v="20"/>
    <x v="1"/>
    <x v="1"/>
    <n v="20428.8"/>
    <b v="1"/>
    <n v="1.9166666666666667"/>
    <n v="888.2086956521739"/>
    <n v="58.125"/>
    <d v="2023-04-01T00:00:00"/>
    <s v="Older"/>
    <n v="0"/>
    <s v="Yes"/>
    <n v="192"/>
    <s v="High"/>
    <s v="Medium"/>
    <n v="4.1666666666666664E-2"/>
    <s v="High"/>
    <n v="1"/>
    <d v="2023-04-01T00:00:00"/>
    <s v="13–24 months"/>
    <s v="0–1 tickets"/>
    <s v="46+ min"/>
    <s v="701–1000"/>
    <n v="20608"/>
    <n v="-179.20000000000073"/>
  </r>
  <r>
    <n v="10772"/>
    <n v="20"/>
    <s v="Female"/>
    <s v="Bangalore"/>
    <d v="2022-02-25T00:00:00"/>
    <d v="2021-11-12T00:00:00"/>
    <x v="2"/>
    <n v="464"/>
    <x v="27"/>
    <n v="2"/>
    <n v="15.23"/>
    <n v="0"/>
    <x v="3"/>
    <x v="1"/>
    <n v="14384"/>
    <b v="0"/>
    <n v="2.5833333333333335"/>
    <n v="464"/>
    <n v="5.0766666666666671"/>
    <d v="2022-02-01T00:00:00"/>
    <s v="Young"/>
    <n v="0"/>
    <s v="Yes"/>
    <m/>
    <s v="Low"/>
    <s v="Low"/>
    <n v="6.25E-2"/>
    <s v="Medium"/>
    <n v="2"/>
    <d v="2022-02-01T00:00:00"/>
    <s v="25+ months"/>
    <s v="2–3 tickets"/>
    <s v="11–20 min"/>
    <s v="301–500"/>
    <n v="14384"/>
    <n v="0"/>
  </r>
  <r>
    <n v="10773"/>
    <n v="29"/>
    <s v="Male"/>
    <s v="Hyderabad"/>
    <d v="2021-08-07T00:00:00"/>
    <d v="2022-03-06T00:00:00"/>
    <x v="0"/>
    <n v="1114"/>
    <x v="19"/>
    <n v="2"/>
    <n v="59.92"/>
    <n v="10"/>
    <x v="2"/>
    <x v="1"/>
    <n v="14370.6"/>
    <b v="1"/>
    <n v="1.0833333333333333"/>
    <n v="1105.4307692307693"/>
    <n v="19.973333333333333"/>
    <d v="2021-08-01T00:00:00"/>
    <s v="Adult"/>
    <n v="0"/>
    <s v="Yes"/>
    <n v="211"/>
    <s v="Medium"/>
    <s v="Low"/>
    <n v="0.14285714285714285"/>
    <s v="Medium"/>
    <n v="1"/>
    <d v="2021-08-01T00:00:00"/>
    <s v="13–24 months"/>
    <s v="2–3 tickets"/>
    <s v="46+ min"/>
    <s v="1000+"/>
    <n v="14482"/>
    <n v="-111.39999999999964"/>
  </r>
  <r>
    <n v="10774"/>
    <n v="18"/>
    <s v="Male"/>
    <s v="Bangalore"/>
    <d v="2021-12-14T00:00:00"/>
    <d v="2021-06-27T00:00:00"/>
    <x v="0"/>
    <n v="389"/>
    <x v="34"/>
    <n v="3"/>
    <n v="62.59"/>
    <n v="0"/>
    <x v="2"/>
    <x v="0"/>
    <n v="4668"/>
    <b v="0"/>
    <n v="1"/>
    <n v="389"/>
    <n v="15.647500000000001"/>
    <d v="2021-12-01T00:00:00"/>
    <s v="Young"/>
    <n v="1"/>
    <s v="No"/>
    <m/>
    <s v="High"/>
    <s v="Low"/>
    <n v="0.23076923076923078"/>
    <s v="Low"/>
    <n v="1"/>
    <d v="2021-12-01T00:00:00"/>
    <s v="7–12 months"/>
    <s v="2–3 tickets"/>
    <s v="46+ min"/>
    <s v="301–500"/>
    <n v="4668"/>
    <n v="0"/>
  </r>
  <r>
    <n v="10775"/>
    <n v="61"/>
    <s v="Male"/>
    <s v="Hyderabad"/>
    <d v="2023-03-19T00:00:00"/>
    <d v="2021-08-09T00:00:00"/>
    <x v="1"/>
    <n v="754"/>
    <x v="12"/>
    <n v="1"/>
    <n v="77.47"/>
    <n v="15"/>
    <x v="2"/>
    <x v="1"/>
    <n v="26276.9"/>
    <b v="0"/>
    <n v="2.9166666666666665"/>
    <n v="750.76857142857148"/>
    <n v="38.734999999999999"/>
    <d v="2023-03-01T00:00:00"/>
    <s v="Older"/>
    <n v="0"/>
    <s v="Yes"/>
    <m/>
    <s v="High"/>
    <s v="Low"/>
    <n v="2.7777777777777776E-2"/>
    <s v="High"/>
    <n v="3"/>
    <d v="2023-03-01T00:00:00"/>
    <s v="25+ months"/>
    <s v="0–1 tickets"/>
    <s v="46+ min"/>
    <s v="701–1000"/>
    <n v="26390"/>
    <n v="-113.09999999999854"/>
  </r>
  <r>
    <n v="10776"/>
    <n v="22"/>
    <s v="Female"/>
    <s v="Mumbai"/>
    <d v="2022-06-30T00:00:00"/>
    <d v="2022-01-04T00:00:00"/>
    <x v="0"/>
    <n v="537"/>
    <x v="10"/>
    <n v="1"/>
    <n v="14.05"/>
    <n v="20"/>
    <x v="1"/>
    <x v="0"/>
    <n v="9558.6"/>
    <b v="0"/>
    <n v="1.5"/>
    <n v="531.0333333333333"/>
    <n v="7.0250000000000004"/>
    <d v="2022-06-01T00:00:00"/>
    <s v="Young"/>
    <n v="1"/>
    <s v="No"/>
    <m/>
    <s v="Low"/>
    <s v="Medium"/>
    <n v="5.2631578947368418E-2"/>
    <s v="Medium"/>
    <n v="1"/>
    <d v="2022-06-01T00:00:00"/>
    <s v="13–24 months"/>
    <s v="0–1 tickets"/>
    <s v="11–20 min"/>
    <s v="501–700"/>
    <n v="9666"/>
    <n v="-107.39999999999964"/>
  </r>
  <r>
    <n v="10777"/>
    <n v="47"/>
    <s v="Female"/>
    <s v="Bangalore"/>
    <d v="2023-05-14T00:00:00"/>
    <d v="2022-05-31T00:00:00"/>
    <x v="0"/>
    <n v="833"/>
    <x v="6"/>
    <n v="2"/>
    <n v="25.17"/>
    <n v="20"/>
    <x v="0"/>
    <x v="1"/>
    <n v="17326.400000000001"/>
    <b v="0"/>
    <n v="1.75"/>
    <n v="825.06666666666672"/>
    <n v="8.39"/>
    <d v="2023-05-01T00:00:00"/>
    <s v="Middle-aged"/>
    <n v="0"/>
    <s v="Yes"/>
    <m/>
    <s v="Medium"/>
    <s v="Medium"/>
    <n v="9.0909090909090912E-2"/>
    <s v="Medium"/>
    <n v="1"/>
    <d v="2023-05-01T00:00:00"/>
    <s v="13–24 months"/>
    <s v="2–3 tickets"/>
    <s v="21–30 min"/>
    <s v="701–1000"/>
    <n v="17493"/>
    <n v="-166.59999999999854"/>
  </r>
  <r>
    <n v="10778"/>
    <n v="47"/>
    <s v="Male"/>
    <s v="Mumbai"/>
    <d v="2021-03-20T00:00:00"/>
    <d v="2023-05-02T00:00:00"/>
    <x v="1"/>
    <n v="1026"/>
    <x v="7"/>
    <n v="1"/>
    <n v="34.770000000000003"/>
    <n v="20"/>
    <x v="1"/>
    <x v="1"/>
    <n v="820.8"/>
    <b v="1"/>
    <n v="8.3333333333333329E-2"/>
    <n v="820.8"/>
    <n v="17.385000000000002"/>
    <d v="2021-03-01T00:00:00"/>
    <s v="Middle-aged"/>
    <n v="0"/>
    <s v="No"/>
    <n v="773"/>
    <s v="Medium"/>
    <s v="Medium"/>
    <n v="0.5"/>
    <s v="Low"/>
    <n v="3"/>
    <d v="2021-03-01T00:00:00"/>
    <s v="0–6 months"/>
    <s v="0–1 tickets"/>
    <s v="31–45 min"/>
    <s v="1000+"/>
    <n v="1026"/>
    <n v="-205.20000000000005"/>
  </r>
  <r>
    <n v="10779"/>
    <n v="34"/>
    <s v="Female"/>
    <s v="Bangalore"/>
    <d v="2023-01-18T00:00:00"/>
    <d v="2023-09-23T00:00:00"/>
    <x v="2"/>
    <n v="357"/>
    <x v="9"/>
    <n v="3"/>
    <n v="91.11"/>
    <n v="5"/>
    <x v="3"/>
    <x v="1"/>
    <n v="3195.15"/>
    <b v="1"/>
    <n v="0.75"/>
    <n v="355.01666666666665"/>
    <n v="22.7775"/>
    <d v="2023-01-01T00:00:00"/>
    <s v="Adult"/>
    <n v="0"/>
    <s v="No"/>
    <n v="248"/>
    <s v="High"/>
    <s v="Low"/>
    <n v="0.3"/>
    <s v="Low"/>
    <n v="2"/>
    <d v="2023-01-01T00:00:00"/>
    <s v="7–12 months"/>
    <s v="2–3 tickets"/>
    <s v="46+ min"/>
    <s v="301–500"/>
    <n v="3213"/>
    <n v="-17.849999999999909"/>
  </r>
  <r>
    <n v="10780"/>
    <n v="64"/>
    <s v="Male"/>
    <s v="Delhi"/>
    <d v="2023-06-14T00:00:00"/>
    <d v="2022-04-02T00:00:00"/>
    <x v="0"/>
    <n v="841"/>
    <x v="31"/>
    <n v="1"/>
    <n v="62.59"/>
    <n v="0"/>
    <x v="0"/>
    <x v="1"/>
    <n v="19343"/>
    <b v="0"/>
    <n v="1.9166666666666667"/>
    <n v="841"/>
    <n v="31.295000000000002"/>
    <d v="2023-06-01T00:00:00"/>
    <s v="Older"/>
    <n v="0"/>
    <s v="Yes"/>
    <m/>
    <s v="High"/>
    <s v="Low"/>
    <n v="4.1666666666666664E-2"/>
    <s v="Medium"/>
    <n v="1"/>
    <d v="2023-06-01T00:00:00"/>
    <s v="13–24 months"/>
    <s v="0–1 tickets"/>
    <s v="46+ min"/>
    <s v="701–1000"/>
    <n v="19343"/>
    <n v="0"/>
  </r>
  <r>
    <n v="10781"/>
    <n v="40"/>
    <s v="Male"/>
    <s v="Chennai"/>
    <d v="2021-09-30T00:00:00"/>
    <d v="2021-10-02T00:00:00"/>
    <x v="2"/>
    <n v="1321"/>
    <x v="25"/>
    <n v="4"/>
    <n v="102.36"/>
    <n v="15"/>
    <x v="3"/>
    <x v="1"/>
    <n v="18295.849999999999"/>
    <b v="1"/>
    <n v="1.1666666666666667"/>
    <n v="1306.8464285714285"/>
    <n v="20.472000000000001"/>
    <d v="2021-09-01T00:00:00"/>
    <s v="Middle-aged"/>
    <n v="0"/>
    <s v="Yes"/>
    <n v="2"/>
    <s v="High"/>
    <s v="Low"/>
    <n v="0.26666666666666666"/>
    <s v="Medium"/>
    <n v="2"/>
    <d v="2021-09-01T00:00:00"/>
    <s v="13–24 months"/>
    <s v="4–5 tickets"/>
    <s v="46+ min"/>
    <s v="1000+"/>
    <n v="18494"/>
    <n v="-198.15000000000146"/>
  </r>
  <r>
    <n v="10782"/>
    <n v="32"/>
    <s v="Other"/>
    <s v="Pune"/>
    <d v="2021-06-10T00:00:00"/>
    <d v="2021-06-19T00:00:00"/>
    <x v="0"/>
    <n v="917"/>
    <x v="11"/>
    <n v="0"/>
    <n v="20.170000000000002"/>
    <n v="5"/>
    <x v="2"/>
    <x v="1"/>
    <n v="10041.15"/>
    <b v="1"/>
    <n v="0.91666666666666663"/>
    <n v="912.83181818181811"/>
    <n v="20.170000000000002"/>
    <d v="2021-06-01T00:00:00"/>
    <s v="Adult"/>
    <n v="0"/>
    <s v="No"/>
    <n v="9"/>
    <s v="Medium"/>
    <s v="Low"/>
    <n v="0"/>
    <s v="Medium"/>
    <n v="1"/>
    <d v="2021-06-01T00:00:00"/>
    <s v="7–12 months"/>
    <s v="0–1 tickets"/>
    <s v="21–30 min"/>
    <s v="701–1000"/>
    <n v="10087"/>
    <n v="-45.850000000000364"/>
  </r>
  <r>
    <n v="10783"/>
    <n v="54"/>
    <s v="Female"/>
    <s v="Pune"/>
    <d v="2022-11-18T00:00:00"/>
    <d v="2022-02-12T00:00:00"/>
    <x v="2"/>
    <n v="701"/>
    <x v="16"/>
    <n v="2"/>
    <n v="9.0500000000000007"/>
    <n v="5"/>
    <x v="2"/>
    <x v="1"/>
    <n v="4871.95"/>
    <b v="0"/>
    <n v="0.58333333333333337"/>
    <n v="695.99285714285713"/>
    <n v="3.0166666666666671"/>
    <d v="2022-11-01T00:00:00"/>
    <s v="Older"/>
    <n v="0"/>
    <s v="No"/>
    <m/>
    <s v="Low"/>
    <s v="Low"/>
    <n v="0.25"/>
    <s v="Low"/>
    <n v="2"/>
    <d v="2022-11-01T00:00:00"/>
    <s v="7–12 months"/>
    <s v="2–3 tickets"/>
    <s v="0–10 min"/>
    <s v="701–1000"/>
    <n v="4907"/>
    <n v="-35.050000000000182"/>
  </r>
  <r>
    <n v="10784"/>
    <n v="38"/>
    <s v="Female"/>
    <s v="Pune"/>
    <d v="2023-05-28T00:00:00"/>
    <d v="2022-03-23T00:00:00"/>
    <x v="2"/>
    <n v="1305"/>
    <x v="27"/>
    <n v="5"/>
    <n v="50.43"/>
    <n v="10"/>
    <x v="1"/>
    <x v="1"/>
    <n v="40324.5"/>
    <b v="0"/>
    <n v="2.5833333333333335"/>
    <n v="1300.7903225806451"/>
    <n v="8.4049999999999994"/>
    <d v="2023-05-01T00:00:00"/>
    <s v="Middle-aged"/>
    <n v="0"/>
    <s v="Yes"/>
    <m/>
    <s v="Medium"/>
    <s v="Low"/>
    <n v="0.15625"/>
    <s v="High"/>
    <n v="2"/>
    <d v="2023-05-01T00:00:00"/>
    <s v="25+ months"/>
    <s v="4–5 tickets"/>
    <s v="46+ min"/>
    <s v="1000+"/>
    <n v="40455"/>
    <n v="-130.5"/>
  </r>
  <r>
    <n v="10785"/>
    <n v="31"/>
    <s v="Male"/>
    <s v="Mumbai"/>
    <d v="2021-11-04T00:00:00"/>
    <d v="2021-06-22T00:00:00"/>
    <x v="1"/>
    <n v="1141"/>
    <x v="30"/>
    <n v="3"/>
    <n v="117.64"/>
    <n v="15"/>
    <x v="0"/>
    <x v="1"/>
    <n v="27212.85"/>
    <b v="0"/>
    <n v="2"/>
    <n v="1133.8687499999999"/>
    <n v="29.41"/>
    <d v="2021-11-01T00:00:00"/>
    <s v="Adult"/>
    <n v="0"/>
    <s v="Yes"/>
    <m/>
    <s v="High"/>
    <s v="Low"/>
    <n v="0.12"/>
    <s v="High"/>
    <n v="3"/>
    <d v="2021-11-01T00:00:00"/>
    <s v="13–24 months"/>
    <s v="2–3 tickets"/>
    <s v="46+ min"/>
    <s v="1000+"/>
    <n v="27384"/>
    <n v="-171.15000000000146"/>
  </r>
  <r>
    <n v="10786"/>
    <n v="19"/>
    <s v="Female"/>
    <s v="unknown"/>
    <d v="2022-01-09T00:00:00"/>
    <d v="2023-10-28T00:00:00"/>
    <x v="1"/>
    <n v="1138"/>
    <x v="8"/>
    <n v="3"/>
    <n v="17.690000000000001"/>
    <n v="20"/>
    <x v="2"/>
    <x v="0"/>
    <n v="29360.400000000001"/>
    <b v="1"/>
    <n v="2.1666666666666665"/>
    <n v="1129.2461538461539"/>
    <n v="4.4225000000000003"/>
    <d v="2022-01-01T00:00:00"/>
    <s v="Young"/>
    <n v="1"/>
    <s v="Yes"/>
    <n v="657"/>
    <s v="Low"/>
    <s v="Medium"/>
    <n v="0.1111111111111111"/>
    <s v="High"/>
    <n v="3"/>
    <d v="2022-01-01T00:00:00"/>
    <s v="25+ months"/>
    <s v="2–3 tickets"/>
    <s v="11–20 min"/>
    <s v="1000+"/>
    <n v="29588"/>
    <n v="-227.59999999999854"/>
  </r>
  <r>
    <n v="10787"/>
    <n v="28"/>
    <s v="Female"/>
    <s v="Pune"/>
    <d v="2023-01-03T00:00:00"/>
    <d v="2022-08-24T00:00:00"/>
    <x v="1"/>
    <n v="818"/>
    <x v="3"/>
    <n v="2"/>
    <n v="16.7"/>
    <n v="20"/>
    <x v="1"/>
    <x v="1"/>
    <n v="24376.400000000001"/>
    <b v="0"/>
    <n v="2.5"/>
    <n v="812.54666666666674"/>
    <n v="5.5666666666666664"/>
    <d v="2023-01-01T00:00:00"/>
    <s v="Adult"/>
    <n v="0"/>
    <s v="Yes"/>
    <m/>
    <s v="Low"/>
    <s v="Medium"/>
    <n v="6.4516129032258063E-2"/>
    <s v="High"/>
    <n v="3"/>
    <d v="2023-01-01T00:00:00"/>
    <s v="25+ months"/>
    <s v="2–3 tickets"/>
    <s v="11–20 min"/>
    <s v="701–1000"/>
    <n v="24540"/>
    <n v="-163.59999999999854"/>
  </r>
  <r>
    <n v="10788"/>
    <n v="56"/>
    <s v="Male"/>
    <s v="Delhi"/>
    <d v="2021-01-09T00:00:00"/>
    <d v="2022-12-04T00:00:00"/>
    <x v="1"/>
    <n v="496"/>
    <x v="22"/>
    <n v="4"/>
    <n v="91.38"/>
    <n v="10"/>
    <x v="3"/>
    <x v="1"/>
    <n v="16814.400000000001"/>
    <b v="1"/>
    <n v="2.8333333333333335"/>
    <n v="494.54117647058825"/>
    <n v="18.276"/>
    <d v="2021-01-01T00:00:00"/>
    <s v="Older"/>
    <n v="0"/>
    <s v="Yes"/>
    <n v="694"/>
    <s v="High"/>
    <s v="Low"/>
    <n v="0.11428571428571428"/>
    <s v="Medium"/>
    <n v="3"/>
    <d v="2021-01-01T00:00:00"/>
    <s v="25+ months"/>
    <s v="4–5 tickets"/>
    <s v="46+ min"/>
    <s v="301–500"/>
    <n v="16864"/>
    <n v="-49.599999999998545"/>
  </r>
  <r>
    <n v="10789"/>
    <n v="55"/>
    <s v="Female"/>
    <s v="Pune"/>
    <d v="2023-03-12T00:00:00"/>
    <d v="2022-12-02T00:00:00"/>
    <x v="2"/>
    <n v="345"/>
    <x v="21"/>
    <n v="3"/>
    <n v="40.9"/>
    <n v="20"/>
    <x v="1"/>
    <x v="0"/>
    <n v="1656"/>
    <b v="0"/>
    <n v="0.41666666666666669"/>
    <n v="331.2"/>
    <n v="10.225"/>
    <d v="2023-03-01T00:00:00"/>
    <s v="Older"/>
    <n v="1"/>
    <s v="No"/>
    <m/>
    <s v="Medium"/>
    <s v="Medium"/>
    <n v="0.5"/>
    <s v="Low"/>
    <n v="2"/>
    <d v="2023-03-01T00:00:00"/>
    <s v="0–6 months"/>
    <s v="2–3 tickets"/>
    <s v="31–45 min"/>
    <s v="301–500"/>
    <n v="1725"/>
    <n v="-69"/>
  </r>
  <r>
    <n v="10790"/>
    <n v="51"/>
    <s v="Female"/>
    <s v="Bangalore"/>
    <d v="2022-03-20T00:00:00"/>
    <d v="2021-07-18T00:00:00"/>
    <x v="0"/>
    <n v="829"/>
    <x v="21"/>
    <n v="0"/>
    <n v="87.49"/>
    <n v="0"/>
    <x v="0"/>
    <x v="0"/>
    <n v="4145"/>
    <b v="0"/>
    <n v="0.41666666666666669"/>
    <n v="829"/>
    <n v="87.49"/>
    <d v="2022-03-01T00:00:00"/>
    <s v="Older"/>
    <n v="1"/>
    <s v="No"/>
    <m/>
    <s v="High"/>
    <s v="Low"/>
    <n v="0"/>
    <s v="Low"/>
    <n v="1"/>
    <d v="2022-03-01T00:00:00"/>
    <s v="0–6 months"/>
    <s v="0–1 tickets"/>
    <s v="46+ min"/>
    <s v="701–1000"/>
    <n v="4145"/>
    <n v="0"/>
  </r>
  <r>
    <n v="10791"/>
    <n v="55"/>
    <s v="Female"/>
    <s v="Mumbai"/>
    <d v="2021-04-23T00:00:00"/>
    <d v="2023-04-26T00:00:00"/>
    <x v="2"/>
    <n v="1299"/>
    <x v="17"/>
    <n v="1"/>
    <n v="28"/>
    <n v="20"/>
    <x v="0"/>
    <x v="1"/>
    <n v="24421.200000000001"/>
    <b v="1"/>
    <n v="1.5833333333333333"/>
    <n v="1285.3263157894737"/>
    <n v="14"/>
    <d v="2021-04-01T00:00:00"/>
    <s v="Older"/>
    <n v="0"/>
    <s v="Yes"/>
    <n v="733"/>
    <s v="Medium"/>
    <s v="Medium"/>
    <n v="0.05"/>
    <s v="High"/>
    <n v="2"/>
    <d v="2021-04-01T00:00:00"/>
    <s v="13–24 months"/>
    <s v="0–1 tickets"/>
    <s v="21–30 min"/>
    <s v="1000+"/>
    <n v="24681"/>
    <n v="-259.79999999999927"/>
  </r>
  <r>
    <n v="10792"/>
    <n v="51"/>
    <s v="Male"/>
    <s v="Bangalore"/>
    <d v="2021-07-24T00:00:00"/>
    <d v="2023-01-08T00:00:00"/>
    <x v="2"/>
    <n v="1075"/>
    <x v="29"/>
    <n v="6"/>
    <n v="57.91"/>
    <n v="0"/>
    <x v="0"/>
    <x v="1"/>
    <n v="30100"/>
    <b v="1"/>
    <n v="2.3333333333333335"/>
    <n v="1075"/>
    <n v="8.2728571428571431"/>
    <d v="2021-07-01T00:00:00"/>
    <s v="Older"/>
    <n v="0"/>
    <s v="Yes"/>
    <n v="533"/>
    <s v="Medium"/>
    <s v="Low"/>
    <n v="0.20689655172413793"/>
    <s v="High"/>
    <n v="2"/>
    <d v="2021-07-01T00:00:00"/>
    <s v="25+ months"/>
    <s v="6+ tickets"/>
    <s v="46+ min"/>
    <s v="1000+"/>
    <n v="30100"/>
    <n v="0"/>
  </r>
  <r>
    <n v="10793"/>
    <n v="35"/>
    <s v="Female"/>
    <s v="Bangalore"/>
    <d v="2022-02-09T00:00:00"/>
    <d v="2023-05-22T00:00:00"/>
    <x v="1"/>
    <n v="373"/>
    <x v="8"/>
    <n v="4"/>
    <n v="35.51"/>
    <n v="10"/>
    <x v="2"/>
    <x v="0"/>
    <n v="9660.7000000000007"/>
    <b v="1"/>
    <n v="2.1666666666666665"/>
    <n v="371.56538461538463"/>
    <n v="7.1019999999999994"/>
    <d v="2022-02-01T00:00:00"/>
    <s v="Adult"/>
    <n v="1"/>
    <s v="No"/>
    <n v="467"/>
    <s v="Medium"/>
    <s v="Low"/>
    <n v="0.14814814814814814"/>
    <s v="Medium"/>
    <n v="3"/>
    <d v="2022-02-01T00:00:00"/>
    <s v="25+ months"/>
    <s v="4–5 tickets"/>
    <s v="31–45 min"/>
    <s v="301–500"/>
    <n v="9698"/>
    <n v="-37.299999999999272"/>
  </r>
  <r>
    <n v="10794"/>
    <n v="47"/>
    <s v="Female"/>
    <s v="Bangalore"/>
    <d v="2022-11-29T00:00:00"/>
    <d v="2021-11-30T00:00:00"/>
    <x v="0"/>
    <n v="634"/>
    <x v="31"/>
    <n v="5"/>
    <n v="56.93"/>
    <n v="10"/>
    <x v="1"/>
    <x v="0"/>
    <n v="14518.6"/>
    <b v="0"/>
    <n v="1.9166666666666667"/>
    <n v="631.24347826086955"/>
    <n v="9.4883333333333333"/>
    <d v="2022-11-01T00:00:00"/>
    <s v="Middle-aged"/>
    <n v="1"/>
    <s v="Yes"/>
    <m/>
    <s v="Medium"/>
    <s v="Low"/>
    <n v="0.20833333333333334"/>
    <s v="Medium"/>
    <n v="1"/>
    <d v="2022-11-01T00:00:00"/>
    <s v="13–24 months"/>
    <s v="4–5 tickets"/>
    <s v="46+ min"/>
    <s v="501–700"/>
    <n v="14582"/>
    <n v="-63.399999999999636"/>
  </r>
  <r>
    <n v="10795"/>
    <n v="32"/>
    <s v="Male"/>
    <s v="Chennai"/>
    <d v="2023-05-03T00:00:00"/>
    <d v="2022-08-09T00:00:00"/>
    <x v="1"/>
    <n v="932"/>
    <x v="3"/>
    <n v="3"/>
    <n v="93.45"/>
    <n v="0"/>
    <x v="3"/>
    <x v="1"/>
    <n v="27960"/>
    <b v="0"/>
    <n v="2.5"/>
    <n v="932"/>
    <n v="23.362500000000001"/>
    <d v="2023-05-01T00:00:00"/>
    <s v="Adult"/>
    <n v="0"/>
    <s v="Yes"/>
    <m/>
    <s v="High"/>
    <s v="Low"/>
    <n v="9.6774193548387094E-2"/>
    <s v="High"/>
    <n v="3"/>
    <d v="2023-05-01T00:00:00"/>
    <s v="25+ months"/>
    <s v="2–3 tickets"/>
    <s v="46+ min"/>
    <s v="701–1000"/>
    <n v="27960"/>
    <n v="0"/>
  </r>
  <r>
    <n v="10796"/>
    <n v="44"/>
    <s v="Female"/>
    <s v="Chennai"/>
    <d v="2021-07-16T00:00:00"/>
    <d v="2021-09-15T00:00:00"/>
    <x v="1"/>
    <n v="987"/>
    <x v="13"/>
    <n v="3"/>
    <n v="92.63"/>
    <n v="20"/>
    <x v="0"/>
    <x v="0"/>
    <n v="2763.6"/>
    <b v="1"/>
    <n v="0.25"/>
    <n v="921.19999999999993"/>
    <n v="23.157499999999999"/>
    <d v="2021-07-01T00:00:00"/>
    <s v="Middle-aged"/>
    <n v="1"/>
    <s v="No"/>
    <n v="61"/>
    <s v="High"/>
    <s v="Medium"/>
    <n v="0.75"/>
    <s v="Low"/>
    <n v="3"/>
    <d v="2021-07-01T00:00:00"/>
    <s v="0–6 months"/>
    <s v="2–3 tickets"/>
    <s v="46+ min"/>
    <s v="701–1000"/>
    <n v="2961"/>
    <n v="-197.40000000000009"/>
  </r>
  <r>
    <n v="10797"/>
    <n v="51"/>
    <s v="Female"/>
    <s v="Hyderabad"/>
    <d v="2023-02-17T00:00:00"/>
    <d v="2021-12-05T00:00:00"/>
    <x v="1"/>
    <n v="874"/>
    <x v="29"/>
    <n v="0"/>
    <n v="64.31"/>
    <n v="10"/>
    <x v="1"/>
    <x v="1"/>
    <n v="24384.6"/>
    <b v="0"/>
    <n v="2.3333333333333335"/>
    <n v="870.87857142857138"/>
    <n v="64.31"/>
    <d v="2023-02-01T00:00:00"/>
    <s v="Older"/>
    <n v="0"/>
    <s v="Yes"/>
    <m/>
    <s v="High"/>
    <s v="Low"/>
    <n v="0"/>
    <s v="High"/>
    <n v="3"/>
    <d v="2023-02-01T00:00:00"/>
    <s v="25+ months"/>
    <s v="0–1 tickets"/>
    <s v="46+ min"/>
    <s v="701–1000"/>
    <n v="24472"/>
    <n v="-87.400000000001455"/>
  </r>
  <r>
    <n v="10798"/>
    <n v="55"/>
    <s v="Male"/>
    <s v="Mumbai"/>
    <d v="2023-02-13T00:00:00"/>
    <d v="2023-07-16T00:00:00"/>
    <x v="1"/>
    <n v="595"/>
    <x v="33"/>
    <n v="2"/>
    <n v="111.76"/>
    <n v="10"/>
    <x v="2"/>
    <x v="1"/>
    <n v="19575.5"/>
    <b v="1"/>
    <n v="2.75"/>
    <n v="593.19696969696975"/>
    <n v="37.253333333333337"/>
    <d v="2023-02-01T00:00:00"/>
    <s v="Older"/>
    <n v="0"/>
    <s v="Yes"/>
    <n v="153"/>
    <s v="High"/>
    <s v="Low"/>
    <n v="5.8823529411764705E-2"/>
    <s v="High"/>
    <n v="3"/>
    <d v="2023-02-01T00:00:00"/>
    <s v="25+ months"/>
    <s v="2–3 tickets"/>
    <s v="46+ min"/>
    <s v="501–700"/>
    <n v="19635"/>
    <n v="-59.5"/>
  </r>
  <r>
    <n v="10799"/>
    <n v="50"/>
    <s v="Male"/>
    <s v="Delhi"/>
    <d v="2023-01-30T00:00:00"/>
    <d v="2021-08-25T00:00:00"/>
    <x v="0"/>
    <n v="1407"/>
    <x v="13"/>
    <n v="2"/>
    <n v="35.340000000000003"/>
    <n v="0"/>
    <x v="3"/>
    <x v="1"/>
    <n v="4221"/>
    <b v="0"/>
    <n v="0.25"/>
    <n v="1407"/>
    <n v="11.780000000000001"/>
    <d v="2023-01-01T00:00:00"/>
    <s v="Middle-aged"/>
    <n v="0"/>
    <s v="No"/>
    <m/>
    <s v="Medium"/>
    <s v="Low"/>
    <n v="0.5"/>
    <s v="Low"/>
    <n v="1"/>
    <d v="2023-01-01T00:00:00"/>
    <s v="0–6 months"/>
    <s v="2–3 tickets"/>
    <s v="31–45 min"/>
    <s v="1000+"/>
    <n v="4221"/>
    <n v="0"/>
  </r>
  <r>
    <n v="10800"/>
    <n v="41"/>
    <s v="Female"/>
    <s v="unknown"/>
    <d v="2021-04-25T00:00:00"/>
    <d v="2023-09-14T00:00:00"/>
    <x v="0"/>
    <n v="1338"/>
    <x v="21"/>
    <n v="3"/>
    <n v="32.64"/>
    <n v="10"/>
    <x v="3"/>
    <x v="1"/>
    <n v="6556.2"/>
    <b v="1"/>
    <n v="0.41666666666666669"/>
    <n v="1311.24"/>
    <n v="8.16"/>
    <d v="2021-04-01T00:00:00"/>
    <s v="Middle-aged"/>
    <n v="0"/>
    <s v="No"/>
    <n v="872"/>
    <s v="Medium"/>
    <s v="Low"/>
    <n v="0.5"/>
    <s v="Low"/>
    <n v="1"/>
    <d v="2021-04-01T00:00:00"/>
    <s v="0–6 months"/>
    <s v="2–3 tickets"/>
    <s v="31–45 min"/>
    <s v="1000+"/>
    <n v="6690"/>
    <n v="-133.80000000000018"/>
  </r>
  <r>
    <n v="10801"/>
    <n v="32"/>
    <s v="Female"/>
    <s v="Delhi"/>
    <d v="2021-05-01T00:00:00"/>
    <d v="2023-09-21T00:00:00"/>
    <x v="0"/>
    <n v="1457"/>
    <x v="17"/>
    <n v="1"/>
    <n v="75.59"/>
    <n v="20"/>
    <x v="3"/>
    <x v="0"/>
    <n v="27391.599999999999"/>
    <b v="1"/>
    <n v="1.5833333333333333"/>
    <n v="1441.6631578947367"/>
    <n v="37.795000000000002"/>
    <d v="2021-05-01T00:00:00"/>
    <s v="Adult"/>
    <n v="1"/>
    <s v="Yes"/>
    <n v="873"/>
    <s v="High"/>
    <s v="Medium"/>
    <n v="0.05"/>
    <s v="High"/>
    <n v="1"/>
    <d v="2021-05-01T00:00:00"/>
    <s v="13–24 months"/>
    <s v="0–1 tickets"/>
    <s v="46+ min"/>
    <s v="1000+"/>
    <n v="27683"/>
    <n v="-291.40000000000146"/>
  </r>
  <r>
    <n v="10802"/>
    <n v="47"/>
    <s v="Female"/>
    <s v="Bangalore"/>
    <d v="2022-10-15T00:00:00"/>
    <d v="2022-08-30T00:00:00"/>
    <x v="0"/>
    <n v="777"/>
    <x v="7"/>
    <n v="5"/>
    <n v="76.45"/>
    <n v="10"/>
    <x v="2"/>
    <x v="1"/>
    <n v="699.3"/>
    <b v="0"/>
    <n v="8.3333333333333329E-2"/>
    <n v="699.3"/>
    <n v="12.741666666666667"/>
    <d v="2022-10-01T00:00:00"/>
    <s v="Middle-aged"/>
    <n v="0"/>
    <s v="No"/>
    <m/>
    <s v="High"/>
    <s v="Low"/>
    <n v="2.5"/>
    <s v="Low"/>
    <n v="1"/>
    <d v="2022-10-01T00:00:00"/>
    <s v="0–6 months"/>
    <s v="4–5 tickets"/>
    <s v="46+ min"/>
    <s v="701–1000"/>
    <n v="777"/>
    <n v="-77.700000000000045"/>
  </r>
  <r>
    <n v="10803"/>
    <n v="59"/>
    <s v="Male"/>
    <s v="Chennai"/>
    <d v="2021-03-06T00:00:00"/>
    <d v="2021-10-15T00:00:00"/>
    <x v="2"/>
    <n v="932"/>
    <x v="9"/>
    <n v="7"/>
    <n v="10.35"/>
    <n v="0"/>
    <x v="0"/>
    <x v="1"/>
    <n v="8388"/>
    <b v="1"/>
    <n v="0.75"/>
    <n v="932"/>
    <n v="1.29375"/>
    <d v="2021-03-01T00:00:00"/>
    <s v="Older"/>
    <n v="0"/>
    <s v="No"/>
    <n v="223"/>
    <s v="Low"/>
    <s v="Low"/>
    <n v="0.7"/>
    <s v="Low"/>
    <n v="2"/>
    <d v="2021-03-01T00:00:00"/>
    <s v="7–12 months"/>
    <s v="6+ tickets"/>
    <s v="11–20 min"/>
    <s v="701–1000"/>
    <n v="8388"/>
    <n v="0"/>
  </r>
  <r>
    <n v="10804"/>
    <n v="34"/>
    <s v="Other"/>
    <s v="Mumbai"/>
    <d v="2021-10-03T00:00:00"/>
    <d v="2023-10-06T00:00:00"/>
    <x v="1"/>
    <n v="618"/>
    <x v="21"/>
    <n v="3"/>
    <n v="74.89"/>
    <n v="20"/>
    <x v="2"/>
    <x v="1"/>
    <n v="2966.4"/>
    <b v="1"/>
    <n v="0.41666666666666669"/>
    <n v="593.28"/>
    <n v="18.7225"/>
    <d v="2021-10-01T00:00:00"/>
    <s v="Adult"/>
    <n v="0"/>
    <s v="No"/>
    <n v="733"/>
    <s v="High"/>
    <s v="Medium"/>
    <n v="0.5"/>
    <s v="Low"/>
    <n v="3"/>
    <d v="2021-10-01T00:00:00"/>
    <s v="0–6 months"/>
    <s v="2–3 tickets"/>
    <s v="46+ min"/>
    <s v="501–700"/>
    <n v="3090"/>
    <n v="-123.59999999999991"/>
  </r>
  <r>
    <n v="10805"/>
    <n v="22"/>
    <s v="Male"/>
    <s v="Bangalore"/>
    <d v="2023-04-05T00:00:00"/>
    <d v="2023-11-15T00:00:00"/>
    <x v="1"/>
    <n v="778"/>
    <x v="22"/>
    <n v="2"/>
    <n v="48.06"/>
    <n v="15"/>
    <x v="3"/>
    <x v="0"/>
    <n v="26335.3"/>
    <b v="1"/>
    <n v="2.8333333333333335"/>
    <n v="774.56764705882347"/>
    <n v="16.02"/>
    <d v="2023-04-01T00:00:00"/>
    <s v="Young"/>
    <n v="1"/>
    <s v="Yes"/>
    <n v="224"/>
    <s v="Medium"/>
    <s v="Low"/>
    <n v="5.7142857142857141E-2"/>
    <s v="High"/>
    <n v="3"/>
    <d v="2023-04-01T00:00:00"/>
    <s v="25+ months"/>
    <s v="2–3 tickets"/>
    <s v="46+ min"/>
    <s v="701–1000"/>
    <n v="26452"/>
    <n v="-116.70000000000073"/>
  </r>
  <r>
    <n v="10806"/>
    <n v="46"/>
    <s v="Male"/>
    <s v="Chennai"/>
    <d v="2021-08-27T00:00:00"/>
    <d v="2022-05-02T00:00:00"/>
    <x v="2"/>
    <n v="667"/>
    <x v="33"/>
    <n v="4"/>
    <n v="90.96"/>
    <n v="0"/>
    <x v="1"/>
    <x v="1"/>
    <n v="22011"/>
    <b v="1"/>
    <n v="2.75"/>
    <n v="667"/>
    <n v="18.192"/>
    <d v="2021-08-01T00:00:00"/>
    <s v="Middle-aged"/>
    <n v="0"/>
    <s v="Yes"/>
    <n v="248"/>
    <s v="High"/>
    <s v="Low"/>
    <n v="0.11764705882352941"/>
    <s v="High"/>
    <n v="2"/>
    <d v="2021-08-01T00:00:00"/>
    <s v="25+ months"/>
    <s v="4–5 tickets"/>
    <s v="46+ min"/>
    <s v="501–700"/>
    <n v="22011"/>
    <n v="0"/>
  </r>
  <r>
    <n v="10807"/>
    <n v="41"/>
    <s v="Female"/>
    <s v="Chennai"/>
    <d v="2021-10-29T00:00:00"/>
    <d v="2023-01-28T00:00:00"/>
    <x v="0"/>
    <n v="666"/>
    <x v="0"/>
    <n v="1"/>
    <n v="97.93"/>
    <n v="15"/>
    <x v="3"/>
    <x v="1"/>
    <n v="16550.099999999999"/>
    <b v="1"/>
    <n v="2.0833333333333335"/>
    <n v="662.00399999999991"/>
    <n v="48.965000000000003"/>
    <d v="2021-10-01T00:00:00"/>
    <s v="Middle-aged"/>
    <n v="0"/>
    <s v="Yes"/>
    <n v="456"/>
    <s v="High"/>
    <s v="Low"/>
    <n v="3.8461538461538464E-2"/>
    <s v="Medium"/>
    <n v="1"/>
    <d v="2021-10-01T00:00:00"/>
    <s v="25+ months"/>
    <s v="0–1 tickets"/>
    <s v="46+ min"/>
    <s v="501–700"/>
    <n v="16650"/>
    <n v="-99.900000000001455"/>
  </r>
  <r>
    <n v="10808"/>
    <n v="27"/>
    <s v="Male"/>
    <s v="unknown"/>
    <d v="2022-01-27T00:00:00"/>
    <d v="2023-09-16T00:00:00"/>
    <x v="0"/>
    <n v="677"/>
    <x v="5"/>
    <n v="0"/>
    <n v="68.5"/>
    <n v="10"/>
    <x v="1"/>
    <x v="1"/>
    <n v="19565.3"/>
    <b v="1"/>
    <n v="2.4166666666666665"/>
    <n v="674.66551724137923"/>
    <n v="68.5"/>
    <d v="2022-01-01T00:00:00"/>
    <s v="Adult"/>
    <n v="0"/>
    <s v="Yes"/>
    <n v="597"/>
    <s v="High"/>
    <s v="Low"/>
    <n v="0"/>
    <s v="High"/>
    <n v="1"/>
    <d v="2022-01-01T00:00:00"/>
    <s v="25+ months"/>
    <s v="0–1 tickets"/>
    <s v="46+ min"/>
    <s v="501–700"/>
    <n v="19633"/>
    <n v="-67.700000000000728"/>
  </r>
  <r>
    <n v="10809"/>
    <n v="34"/>
    <s v="Male"/>
    <s v="Pune"/>
    <d v="2022-06-06T00:00:00"/>
    <d v="2023-06-27T00:00:00"/>
    <x v="0"/>
    <n v="762"/>
    <x v="0"/>
    <n v="2"/>
    <n v="5.2"/>
    <n v="20"/>
    <x v="2"/>
    <x v="1"/>
    <n v="18897.599999999999"/>
    <b v="1"/>
    <n v="2.0833333333333335"/>
    <n v="755.904"/>
    <n v="1.7333333333333334"/>
    <d v="2022-06-01T00:00:00"/>
    <s v="Adult"/>
    <n v="0"/>
    <s v="Yes"/>
    <n v="386"/>
    <s v="Low"/>
    <s v="Medium"/>
    <n v="7.6923076923076927E-2"/>
    <s v="Medium"/>
    <n v="1"/>
    <d v="2022-06-01T00:00:00"/>
    <s v="25+ months"/>
    <s v="2–3 tickets"/>
    <s v="0–10 min"/>
    <s v="701–1000"/>
    <n v="19050"/>
    <n v="-152.40000000000146"/>
  </r>
  <r>
    <n v="10810"/>
    <n v="27"/>
    <s v="Male"/>
    <s v="Mumbai"/>
    <d v="2022-01-04T00:00:00"/>
    <d v="2022-09-12T00:00:00"/>
    <x v="0"/>
    <n v="312"/>
    <x v="9"/>
    <n v="2"/>
    <n v="78.180000000000007"/>
    <n v="10"/>
    <x v="2"/>
    <x v="1"/>
    <n v="2776.8"/>
    <b v="1"/>
    <n v="0.75"/>
    <n v="308.53333333333336"/>
    <n v="26.060000000000002"/>
    <d v="2022-01-01T00:00:00"/>
    <s v="Adult"/>
    <n v="0"/>
    <s v="No"/>
    <n v="251"/>
    <s v="High"/>
    <s v="Low"/>
    <n v="0.2"/>
    <s v="Low"/>
    <n v="1"/>
    <d v="2022-01-01T00:00:00"/>
    <s v="7–12 months"/>
    <s v="2–3 tickets"/>
    <s v="46+ min"/>
    <s v="301–500"/>
    <n v="2808"/>
    <n v="-31.199999999999818"/>
  </r>
  <r>
    <n v="10811"/>
    <n v="34"/>
    <s v="Male"/>
    <s v="Mumbai"/>
    <d v="2021-08-21T00:00:00"/>
    <d v="2023-01-23T00:00:00"/>
    <x v="2"/>
    <n v="835"/>
    <x v="13"/>
    <n v="0"/>
    <n v="91.12"/>
    <n v="20"/>
    <x v="2"/>
    <x v="0"/>
    <n v="2338"/>
    <b v="1"/>
    <n v="0.25"/>
    <n v="779.33333333333337"/>
    <n v="91.12"/>
    <d v="2021-08-01T00:00:00"/>
    <s v="Adult"/>
    <n v="1"/>
    <s v="No"/>
    <n v="520"/>
    <s v="High"/>
    <s v="Medium"/>
    <n v="0"/>
    <s v="Low"/>
    <n v="2"/>
    <d v="2021-08-01T00:00:00"/>
    <s v="0–6 months"/>
    <s v="0–1 tickets"/>
    <s v="46+ min"/>
    <s v="701–1000"/>
    <n v="2505"/>
    <n v="-167"/>
  </r>
  <r>
    <n v="10812"/>
    <n v="37"/>
    <s v="Male"/>
    <s v="Mumbai"/>
    <d v="2021-07-14T00:00:00"/>
    <d v="2022-12-23T00:00:00"/>
    <x v="0"/>
    <n v="1491"/>
    <x v="15"/>
    <n v="2"/>
    <n v="33.630000000000003"/>
    <n v="5"/>
    <x v="1"/>
    <x v="1"/>
    <n v="22290.45"/>
    <b v="1"/>
    <n v="1.25"/>
    <n v="1486.03"/>
    <n v="11.21"/>
    <d v="2021-07-01T00:00:00"/>
    <s v="Middle-aged"/>
    <n v="0"/>
    <s v="Yes"/>
    <n v="527"/>
    <s v="Medium"/>
    <s v="Low"/>
    <n v="0.125"/>
    <s v="High"/>
    <n v="1"/>
    <d v="2021-07-01T00:00:00"/>
    <s v="13–24 months"/>
    <s v="2–3 tickets"/>
    <s v="31–45 min"/>
    <s v="1000+"/>
    <n v="22365"/>
    <n v="-74.549999999999272"/>
  </r>
  <r>
    <n v="10813"/>
    <n v="41"/>
    <s v="Other"/>
    <s v="Bangalore"/>
    <d v="2021-01-12T00:00:00"/>
    <d v="2022-07-08T00:00:00"/>
    <x v="0"/>
    <n v="569"/>
    <x v="2"/>
    <n v="0"/>
    <n v="58.43"/>
    <n v="10"/>
    <x v="2"/>
    <x v="1"/>
    <n v="2219.1"/>
    <b v="1"/>
    <n v="0.33333333333333331"/>
    <n v="554.77499999999998"/>
    <n v="58.43"/>
    <d v="2021-01-01T00:00:00"/>
    <s v="Middle-aged"/>
    <n v="0"/>
    <s v="No"/>
    <n v="542"/>
    <s v="Medium"/>
    <s v="Low"/>
    <n v="0"/>
    <s v="Low"/>
    <n v="1"/>
    <d v="2021-01-01T00:00:00"/>
    <s v="0–6 months"/>
    <s v="0–1 tickets"/>
    <s v="46+ min"/>
    <s v="501–700"/>
    <n v="2276"/>
    <n v="-56.900000000000091"/>
  </r>
  <r>
    <n v="10814"/>
    <n v="22"/>
    <s v="Male"/>
    <s v="Hyderabad"/>
    <d v="2022-11-20T00:00:00"/>
    <d v="2022-11-22T00:00:00"/>
    <x v="0"/>
    <n v="1393"/>
    <x v="28"/>
    <n v="1"/>
    <n v="62.59"/>
    <n v="10"/>
    <x v="0"/>
    <x v="0"/>
    <n v="27720.7"/>
    <b v="1"/>
    <n v="1.6666666666666667"/>
    <n v="1386.0350000000001"/>
    <n v="31.295000000000002"/>
    <d v="2022-11-01T00:00:00"/>
    <s v="Young"/>
    <n v="1"/>
    <s v="Yes"/>
    <n v="2"/>
    <s v="High"/>
    <s v="Low"/>
    <n v="4.7619047619047616E-2"/>
    <s v="High"/>
    <n v="1"/>
    <d v="2022-11-01T00:00:00"/>
    <s v="13–24 months"/>
    <s v="0–1 tickets"/>
    <s v="46+ min"/>
    <s v="1000+"/>
    <n v="27860"/>
    <n v="-139.29999999999927"/>
  </r>
  <r>
    <n v="10815"/>
    <n v="51"/>
    <s v="Female"/>
    <s v="Mumbai"/>
    <d v="2021-06-26T00:00:00"/>
    <d v="2021-08-11T00:00:00"/>
    <x v="2"/>
    <n v="675"/>
    <x v="31"/>
    <n v="0"/>
    <n v="39.28"/>
    <n v="10"/>
    <x v="3"/>
    <x v="1"/>
    <n v="15457.5"/>
    <b v="1"/>
    <n v="1.9166666666666667"/>
    <n v="672.06521739130437"/>
    <n v="39.28"/>
    <d v="2021-06-01T00:00:00"/>
    <s v="Older"/>
    <n v="0"/>
    <s v="Yes"/>
    <n v="46"/>
    <s v="Medium"/>
    <s v="Low"/>
    <n v="0"/>
    <s v="Medium"/>
    <n v="2"/>
    <d v="2021-06-01T00:00:00"/>
    <s v="13–24 months"/>
    <s v="0–1 tickets"/>
    <s v="31–45 min"/>
    <s v="501–700"/>
    <n v="15525"/>
    <n v="-67.5"/>
  </r>
  <r>
    <n v="10816"/>
    <n v="23"/>
    <s v="Female"/>
    <s v="Pune"/>
    <d v="2021-08-05T00:00:00"/>
    <d v="2023-07-22T00:00:00"/>
    <x v="2"/>
    <n v="1412"/>
    <x v="14"/>
    <n v="2"/>
    <n v="30.66"/>
    <n v="0"/>
    <x v="0"/>
    <x v="1"/>
    <n v="11296"/>
    <b v="1"/>
    <n v="0.66666666666666663"/>
    <n v="1412"/>
    <n v="10.220000000000001"/>
    <d v="2021-08-01T00:00:00"/>
    <s v="Young"/>
    <n v="0"/>
    <s v="No"/>
    <n v="716"/>
    <s v="Medium"/>
    <s v="Low"/>
    <n v="0.22222222222222221"/>
    <s v="Medium"/>
    <n v="2"/>
    <d v="2021-08-01T00:00:00"/>
    <s v="7–12 months"/>
    <s v="2–3 tickets"/>
    <s v="31–45 min"/>
    <s v="1000+"/>
    <n v="11296"/>
    <n v="0"/>
  </r>
  <r>
    <n v="10817"/>
    <n v="19"/>
    <s v="Female"/>
    <s v="Hyderabad"/>
    <d v="2021-01-11T00:00:00"/>
    <d v="2021-06-24T00:00:00"/>
    <x v="2"/>
    <n v="556"/>
    <x v="33"/>
    <n v="1"/>
    <n v="29.25"/>
    <n v="20"/>
    <x v="1"/>
    <x v="1"/>
    <n v="18236.8"/>
    <b v="1"/>
    <n v="2.75"/>
    <n v="552.63030303030303"/>
    <n v="14.625"/>
    <d v="2021-01-01T00:00:00"/>
    <s v="Young"/>
    <n v="0"/>
    <s v="Yes"/>
    <n v="164"/>
    <s v="Medium"/>
    <s v="Medium"/>
    <n v="2.9411764705882353E-2"/>
    <s v="Medium"/>
    <n v="2"/>
    <d v="2021-01-01T00:00:00"/>
    <s v="25+ months"/>
    <s v="0–1 tickets"/>
    <s v="21–30 min"/>
    <s v="501–700"/>
    <n v="18348"/>
    <n v="-111.20000000000073"/>
  </r>
  <r>
    <n v="10818"/>
    <n v="30"/>
    <s v="Male"/>
    <s v="Bangalore"/>
    <d v="2022-03-22T00:00:00"/>
    <d v="2023-02-14T00:00:00"/>
    <x v="0"/>
    <n v="516"/>
    <x v="33"/>
    <n v="1"/>
    <n v="69.260000000000005"/>
    <n v="20"/>
    <x v="2"/>
    <x v="0"/>
    <n v="16924.8"/>
    <b v="1"/>
    <n v="2.75"/>
    <n v="512.87272727272727"/>
    <n v="34.630000000000003"/>
    <d v="2022-03-01T00:00:00"/>
    <s v="Adult"/>
    <n v="1"/>
    <s v="Yes"/>
    <n v="329"/>
    <s v="High"/>
    <s v="Medium"/>
    <n v="2.9411764705882353E-2"/>
    <s v="Medium"/>
    <n v="1"/>
    <d v="2022-03-01T00:00:00"/>
    <s v="25+ months"/>
    <s v="0–1 tickets"/>
    <s v="46+ min"/>
    <s v="501–700"/>
    <n v="17028"/>
    <n v="-103.20000000000073"/>
  </r>
  <r>
    <n v="10819"/>
    <n v="60"/>
    <s v="Female"/>
    <s v="Hyderabad"/>
    <d v="2022-09-22T00:00:00"/>
    <d v="2023-08-21T00:00:00"/>
    <x v="1"/>
    <n v="749"/>
    <x v="16"/>
    <n v="0"/>
    <n v="114.23"/>
    <n v="20"/>
    <x v="3"/>
    <x v="1"/>
    <n v="5093.2"/>
    <b v="1"/>
    <n v="0.58333333333333337"/>
    <n v="727.6"/>
    <n v="114.23"/>
    <d v="2022-09-01T00:00:00"/>
    <s v="Older"/>
    <n v="0"/>
    <s v="No"/>
    <n v="333"/>
    <s v="High"/>
    <s v="Medium"/>
    <n v="0"/>
    <s v="Low"/>
    <n v="3"/>
    <d v="2022-09-01T00:00:00"/>
    <s v="7–12 months"/>
    <s v="0–1 tickets"/>
    <s v="46+ min"/>
    <s v="701–1000"/>
    <n v="5243"/>
    <n v="-149.80000000000018"/>
  </r>
  <r>
    <n v="10820"/>
    <n v="60"/>
    <s v="Female"/>
    <s v="Delhi"/>
    <d v="2021-06-13T00:00:00"/>
    <d v="2022-09-28T00:00:00"/>
    <x v="0"/>
    <n v="1193"/>
    <x v="1"/>
    <n v="0"/>
    <n v="75"/>
    <n v="0"/>
    <x v="2"/>
    <x v="1"/>
    <n v="26246"/>
    <b v="1"/>
    <n v="1.8333333333333333"/>
    <n v="1193"/>
    <n v="75"/>
    <d v="2021-06-01T00:00:00"/>
    <s v="Older"/>
    <n v="0"/>
    <s v="Yes"/>
    <n v="472"/>
    <s v="High"/>
    <s v="Low"/>
    <n v="0"/>
    <s v="High"/>
    <n v="1"/>
    <d v="2021-06-01T00:00:00"/>
    <s v="13–24 months"/>
    <s v="0–1 tickets"/>
    <s v="46+ min"/>
    <s v="1000+"/>
    <n v="26246"/>
    <n v="0"/>
  </r>
  <r>
    <n v="10821"/>
    <n v="28"/>
    <s v="Female"/>
    <s v="Hyderabad"/>
    <d v="2022-07-05T00:00:00"/>
    <d v="2021-07-26T00:00:00"/>
    <x v="2"/>
    <n v="1464"/>
    <x v="21"/>
    <n v="1"/>
    <n v="39.880000000000003"/>
    <n v="20"/>
    <x v="2"/>
    <x v="0"/>
    <n v="7027.2"/>
    <b v="0"/>
    <n v="0.41666666666666669"/>
    <n v="1405.44"/>
    <n v="19.940000000000001"/>
    <d v="2022-07-01T00:00:00"/>
    <s v="Adult"/>
    <n v="1"/>
    <s v="No"/>
    <m/>
    <s v="Medium"/>
    <s v="Medium"/>
    <n v="0.16666666666666666"/>
    <s v="Low"/>
    <n v="2"/>
    <d v="2022-07-01T00:00:00"/>
    <s v="0–6 months"/>
    <s v="0–1 tickets"/>
    <s v="31–45 min"/>
    <s v="1000+"/>
    <n v="7320"/>
    <n v="-292.80000000000018"/>
  </r>
  <r>
    <n v="10822"/>
    <n v="64"/>
    <s v="Female"/>
    <s v="unknown"/>
    <d v="2021-02-22T00:00:00"/>
    <d v="2022-01-09T00:00:00"/>
    <x v="2"/>
    <n v="1484"/>
    <x v="15"/>
    <n v="0"/>
    <n v="78.44"/>
    <n v="10"/>
    <x v="3"/>
    <x v="0"/>
    <n v="22111.599999999999"/>
    <b v="1"/>
    <n v="1.25"/>
    <n v="1474.1066666666666"/>
    <n v="78.44"/>
    <d v="2021-02-01T00:00:00"/>
    <s v="Older"/>
    <n v="1"/>
    <s v="Yes"/>
    <n v="321"/>
    <s v="High"/>
    <s v="Low"/>
    <n v="0"/>
    <s v="High"/>
    <n v="2"/>
    <d v="2021-02-01T00:00:00"/>
    <s v="13–24 months"/>
    <s v="0–1 tickets"/>
    <s v="46+ min"/>
    <s v="1000+"/>
    <n v="22260"/>
    <n v="-148.40000000000146"/>
  </r>
  <r>
    <n v="10823"/>
    <n v="40"/>
    <s v="Female"/>
    <s v="Bangalore"/>
    <d v="2021-08-06T00:00:00"/>
    <d v="2023-02-22T00:00:00"/>
    <x v="2"/>
    <n v="331"/>
    <x v="6"/>
    <n v="7"/>
    <n v="76.86"/>
    <n v="15"/>
    <x v="3"/>
    <x v="1"/>
    <n v="6901.35"/>
    <b v="1"/>
    <n v="1.75"/>
    <n v="328.6357142857143"/>
    <n v="9.6074999999999999"/>
    <d v="2021-08-01T00:00:00"/>
    <s v="Middle-aged"/>
    <n v="0"/>
    <s v="No"/>
    <n v="565"/>
    <s v="High"/>
    <s v="Low"/>
    <n v="0.31818181818181818"/>
    <s v="Low"/>
    <n v="2"/>
    <d v="2021-08-01T00:00:00"/>
    <s v="13–24 months"/>
    <s v="6+ tickets"/>
    <s v="46+ min"/>
    <s v="301–500"/>
    <n v="6951"/>
    <n v="-49.649999999999636"/>
  </r>
  <r>
    <n v="10824"/>
    <n v="33"/>
    <s v="Male"/>
    <s v="Mumbai"/>
    <d v="2022-12-19T00:00:00"/>
    <d v="2021-11-26T00:00:00"/>
    <x v="1"/>
    <n v="1475"/>
    <x v="0"/>
    <n v="1"/>
    <n v="73.650000000000006"/>
    <n v="5"/>
    <x v="0"/>
    <x v="0"/>
    <n v="36801.25"/>
    <b v="0"/>
    <n v="2.0833333333333335"/>
    <n v="1472.05"/>
    <n v="36.825000000000003"/>
    <d v="2022-12-01T00:00:00"/>
    <s v="Adult"/>
    <n v="1"/>
    <s v="Yes"/>
    <m/>
    <s v="High"/>
    <s v="Low"/>
    <n v="3.8461538461538464E-2"/>
    <s v="High"/>
    <n v="3"/>
    <d v="2022-12-01T00:00:00"/>
    <s v="25+ months"/>
    <s v="0–1 tickets"/>
    <s v="46+ min"/>
    <s v="1000+"/>
    <n v="36875"/>
    <n v="-73.75"/>
  </r>
  <r>
    <n v="10825"/>
    <n v="48"/>
    <s v="Female"/>
    <s v="Pune"/>
    <d v="2023-04-04T00:00:00"/>
    <d v="2023-08-09T00:00:00"/>
    <x v="0"/>
    <n v="909"/>
    <x v="18"/>
    <n v="4"/>
    <n v="23.33"/>
    <n v="20"/>
    <x v="0"/>
    <x v="0"/>
    <n v="15271.2"/>
    <b v="1"/>
    <n v="1.4166666666666667"/>
    <n v="898.30588235294124"/>
    <n v="4.6659999999999995"/>
    <d v="2023-04-01T00:00:00"/>
    <s v="Middle-aged"/>
    <n v="1"/>
    <s v="Yes"/>
    <n v="127"/>
    <s v="Medium"/>
    <s v="Medium"/>
    <n v="0.22222222222222221"/>
    <s v="Medium"/>
    <n v="1"/>
    <d v="2023-04-01T00:00:00"/>
    <s v="13–24 months"/>
    <s v="4–5 tickets"/>
    <s v="21–30 min"/>
    <s v="701–1000"/>
    <n v="15453"/>
    <n v="-181.79999999999927"/>
  </r>
  <r>
    <n v="10826"/>
    <n v="28"/>
    <s v="Female"/>
    <s v="Delhi"/>
    <d v="2021-12-26T00:00:00"/>
    <d v="2022-08-08T00:00:00"/>
    <x v="2"/>
    <n v="1216"/>
    <x v="16"/>
    <n v="2"/>
    <n v="77.98"/>
    <n v="0"/>
    <x v="0"/>
    <x v="1"/>
    <n v="8512"/>
    <b v="1"/>
    <n v="0.58333333333333337"/>
    <n v="1216"/>
    <n v="25.993333333333336"/>
    <d v="2021-12-01T00:00:00"/>
    <s v="Adult"/>
    <n v="0"/>
    <s v="No"/>
    <n v="225"/>
    <s v="High"/>
    <s v="Low"/>
    <n v="0.25"/>
    <s v="Low"/>
    <n v="2"/>
    <d v="2021-12-01T00:00:00"/>
    <s v="7–12 months"/>
    <s v="2–3 tickets"/>
    <s v="46+ min"/>
    <s v="1000+"/>
    <n v="8512"/>
    <n v="0"/>
  </r>
  <r>
    <n v="10827"/>
    <n v="33"/>
    <s v="Female"/>
    <s v="Pune"/>
    <d v="2022-01-20T00:00:00"/>
    <d v="2022-08-24T00:00:00"/>
    <x v="0"/>
    <n v="841"/>
    <x v="17"/>
    <n v="4"/>
    <n v="54.47"/>
    <n v="0"/>
    <x v="0"/>
    <x v="1"/>
    <n v="15979"/>
    <b v="1"/>
    <n v="1.5833333333333333"/>
    <n v="841"/>
    <n v="10.894"/>
    <d v="2022-01-01T00:00:00"/>
    <s v="Adult"/>
    <n v="0"/>
    <s v="Yes"/>
    <n v="216"/>
    <s v="Medium"/>
    <s v="Low"/>
    <n v="0.2"/>
    <s v="Medium"/>
    <n v="1"/>
    <d v="2022-01-01T00:00:00"/>
    <s v="13–24 months"/>
    <s v="4–5 tickets"/>
    <s v="46+ min"/>
    <s v="701–1000"/>
    <n v="15979"/>
    <n v="0"/>
  </r>
  <r>
    <n v="10828"/>
    <n v="25"/>
    <s v="Other"/>
    <s v="Mumbai"/>
    <d v="2021-02-25T00:00:00"/>
    <d v="2023-08-02T00:00:00"/>
    <x v="2"/>
    <n v="447"/>
    <x v="16"/>
    <n v="2"/>
    <n v="7.14"/>
    <n v="20"/>
    <x v="0"/>
    <x v="1"/>
    <n v="3039.6"/>
    <b v="1"/>
    <n v="0.58333333333333337"/>
    <n v="434.2285714285714"/>
    <n v="2.38"/>
    <d v="2021-02-01T00:00:00"/>
    <s v="Young"/>
    <n v="0"/>
    <s v="No"/>
    <n v="888"/>
    <s v="Low"/>
    <s v="Medium"/>
    <n v="0.25"/>
    <s v="Low"/>
    <n v="2"/>
    <d v="2021-02-01T00:00:00"/>
    <s v="7–12 months"/>
    <s v="2–3 tickets"/>
    <s v="0–10 min"/>
    <s v="301–500"/>
    <n v="3129"/>
    <n v="-89.400000000000091"/>
  </r>
  <r>
    <n v="10829"/>
    <n v="21"/>
    <s v="Male"/>
    <s v="Mumbai"/>
    <d v="2021-04-28T00:00:00"/>
    <d v="2023-11-01T00:00:00"/>
    <x v="0"/>
    <n v="955"/>
    <x v="30"/>
    <n v="2"/>
    <n v="67.069999999999993"/>
    <n v="15"/>
    <x v="1"/>
    <x v="1"/>
    <n v="22776.75"/>
    <b v="1"/>
    <n v="2"/>
    <n v="949.03125"/>
    <n v="22.356666666666666"/>
    <d v="2021-04-01T00:00:00"/>
    <s v="Young"/>
    <n v="0"/>
    <s v="Yes"/>
    <n v="917"/>
    <s v="High"/>
    <s v="Low"/>
    <n v="0.08"/>
    <s v="High"/>
    <n v="1"/>
    <d v="2021-04-01T00:00:00"/>
    <s v="13–24 months"/>
    <s v="2–3 tickets"/>
    <s v="46+ min"/>
    <s v="701–1000"/>
    <n v="22920"/>
    <n v="-143.25"/>
  </r>
  <r>
    <n v="10830"/>
    <n v="57"/>
    <s v="Other"/>
    <s v="Mumbai"/>
    <d v="2023-06-19T00:00:00"/>
    <d v="2022-10-05T00:00:00"/>
    <x v="0"/>
    <n v="366"/>
    <x v="11"/>
    <n v="2"/>
    <n v="118.77"/>
    <n v="20"/>
    <x v="1"/>
    <x v="1"/>
    <n v="3952.8"/>
    <b v="0"/>
    <n v="0.91666666666666663"/>
    <n v="359.34545454545457"/>
    <n v="39.589999999999996"/>
    <d v="2023-06-01T00:00:00"/>
    <s v="Older"/>
    <n v="0"/>
    <s v="No"/>
    <m/>
    <s v="High"/>
    <s v="Medium"/>
    <n v="0.16666666666666666"/>
    <s v="Low"/>
    <n v="1"/>
    <d v="2023-06-01T00:00:00"/>
    <s v="7–12 months"/>
    <s v="2–3 tickets"/>
    <s v="46+ min"/>
    <s v="301–500"/>
    <n v="4026"/>
    <n v="-73.199999999999818"/>
  </r>
  <r>
    <n v="10831"/>
    <n v="21"/>
    <s v="Male"/>
    <s v="Chennai"/>
    <d v="2021-09-10T00:00:00"/>
    <d v="2021-12-06T00:00:00"/>
    <x v="2"/>
    <n v="869"/>
    <x v="7"/>
    <n v="4"/>
    <n v="45.22"/>
    <n v="0"/>
    <x v="2"/>
    <x v="1"/>
    <n v="869"/>
    <b v="1"/>
    <n v="8.3333333333333329E-2"/>
    <n v="869"/>
    <n v="9.0440000000000005"/>
    <d v="2021-09-01T00:00:00"/>
    <s v="Young"/>
    <n v="0"/>
    <s v="No"/>
    <n v="87"/>
    <s v="Medium"/>
    <s v="Low"/>
    <n v="2"/>
    <s v="Low"/>
    <n v="2"/>
    <d v="2021-09-01T00:00:00"/>
    <s v="0–6 months"/>
    <s v="4–5 tickets"/>
    <s v="46+ min"/>
    <s v="701–1000"/>
    <n v="869"/>
    <n v="0"/>
  </r>
  <r>
    <n v="10832"/>
    <n v="42"/>
    <s v="Male"/>
    <s v="Delhi"/>
    <d v="2023-03-09T00:00:00"/>
    <d v="2022-12-30T00:00:00"/>
    <x v="2"/>
    <n v="1047"/>
    <x v="23"/>
    <n v="1"/>
    <n v="116.04"/>
    <n v="5"/>
    <x v="2"/>
    <x v="1"/>
    <n v="33451.65"/>
    <b v="0"/>
    <n v="2.6666666666666665"/>
    <n v="1045.3640625"/>
    <n v="58.02"/>
    <d v="2023-03-01T00:00:00"/>
    <s v="Middle-aged"/>
    <n v="0"/>
    <s v="Yes"/>
    <m/>
    <s v="High"/>
    <s v="Low"/>
    <n v="3.0303030303030304E-2"/>
    <s v="High"/>
    <n v="2"/>
    <d v="2023-03-01T00:00:00"/>
    <s v="25+ months"/>
    <s v="0–1 tickets"/>
    <s v="46+ min"/>
    <s v="1000+"/>
    <n v="33504"/>
    <n v="-52.349999999998545"/>
  </r>
  <r>
    <n v="10833"/>
    <n v="20"/>
    <s v="Male"/>
    <s v="Mumbai"/>
    <d v="2023-02-19T00:00:00"/>
    <d v="2023-08-19T00:00:00"/>
    <x v="0"/>
    <n v="742"/>
    <x v="4"/>
    <n v="2"/>
    <n v="16.059999999999999"/>
    <n v="15"/>
    <x v="0"/>
    <x v="1"/>
    <n v="1372.7"/>
    <b v="1"/>
    <n v="0.16666666666666666"/>
    <n v="686.35"/>
    <n v="5.3533333333333326"/>
    <d v="2023-02-01T00:00:00"/>
    <s v="Young"/>
    <n v="0"/>
    <s v="No"/>
    <n v="181"/>
    <s v="Low"/>
    <s v="Low"/>
    <n v="0.66666666666666663"/>
    <s v="Low"/>
    <n v="1"/>
    <d v="2023-02-01T00:00:00"/>
    <s v="0–6 months"/>
    <s v="2–3 tickets"/>
    <s v="11–20 min"/>
    <s v="701–1000"/>
    <n v="1484"/>
    <n v="-111.29999999999995"/>
  </r>
  <r>
    <n v="10834"/>
    <n v="49"/>
    <s v="Male"/>
    <s v="Mumbai"/>
    <d v="2023-03-14T00:00:00"/>
    <d v="2022-07-25T00:00:00"/>
    <x v="2"/>
    <n v="1196"/>
    <x v="15"/>
    <n v="3"/>
    <n v="89.23"/>
    <n v="20"/>
    <x v="2"/>
    <x v="1"/>
    <n v="17700.8"/>
    <b v="0"/>
    <n v="1.25"/>
    <n v="1180.0533333333333"/>
    <n v="22.307500000000001"/>
    <d v="2023-03-01T00:00:00"/>
    <s v="Middle-aged"/>
    <n v="0"/>
    <s v="Yes"/>
    <m/>
    <s v="High"/>
    <s v="Medium"/>
    <n v="0.1875"/>
    <s v="Medium"/>
    <n v="2"/>
    <d v="2023-03-01T00:00:00"/>
    <s v="13–24 months"/>
    <s v="2–3 tickets"/>
    <s v="46+ min"/>
    <s v="1000+"/>
    <n v="17940"/>
    <n v="-239.20000000000073"/>
  </r>
  <r>
    <n v="10835"/>
    <n v="20"/>
    <s v="Female"/>
    <s v="Pune"/>
    <d v="2023-04-25T00:00:00"/>
    <d v="2022-02-04T00:00:00"/>
    <x v="2"/>
    <n v="698"/>
    <x v="6"/>
    <n v="5"/>
    <n v="18.149999999999999"/>
    <n v="5"/>
    <x v="1"/>
    <x v="1"/>
    <n v="14623.1"/>
    <b v="0"/>
    <n v="1.75"/>
    <n v="696.33809523809521"/>
    <n v="3.0249999999999999"/>
    <d v="2023-04-01T00:00:00"/>
    <s v="Young"/>
    <n v="0"/>
    <s v="Yes"/>
    <m/>
    <s v="Low"/>
    <s v="Low"/>
    <n v="0.22727272727272727"/>
    <s v="Medium"/>
    <n v="2"/>
    <d v="2023-04-01T00:00:00"/>
    <s v="13–24 months"/>
    <s v="4–5 tickets"/>
    <s v="11–20 min"/>
    <s v="501–700"/>
    <n v="14658"/>
    <n v="-34.899999999999636"/>
  </r>
  <r>
    <n v="10836"/>
    <n v="44"/>
    <s v="Male"/>
    <s v="unknown"/>
    <d v="2021-06-29T00:00:00"/>
    <d v="2023-01-09T00:00:00"/>
    <x v="0"/>
    <n v="1451"/>
    <x v="30"/>
    <n v="1"/>
    <n v="36.46"/>
    <n v="20"/>
    <x v="1"/>
    <x v="1"/>
    <n v="34533.800000000003"/>
    <b v="1"/>
    <n v="2"/>
    <n v="1438.9083333333335"/>
    <n v="18.23"/>
    <d v="2021-06-01T00:00:00"/>
    <s v="Middle-aged"/>
    <n v="0"/>
    <s v="Yes"/>
    <n v="559"/>
    <s v="Medium"/>
    <s v="Medium"/>
    <n v="0.04"/>
    <s v="High"/>
    <n v="1"/>
    <d v="2021-06-01T00:00:00"/>
    <s v="13–24 months"/>
    <s v="0–1 tickets"/>
    <s v="31–45 min"/>
    <s v="1000+"/>
    <n v="34824"/>
    <n v="-290.19999999999709"/>
  </r>
  <r>
    <n v="10837"/>
    <n v="46"/>
    <s v="Male"/>
    <s v="Mumbai"/>
    <d v="2022-02-19T00:00:00"/>
    <d v="2023-03-11T00:00:00"/>
    <x v="2"/>
    <n v="781"/>
    <x v="18"/>
    <n v="2"/>
    <n v="70.650000000000006"/>
    <n v="15"/>
    <x v="2"/>
    <x v="0"/>
    <n v="13159.85"/>
    <b v="1"/>
    <n v="1.4166666666666667"/>
    <n v="774.10882352941178"/>
    <n v="23.55"/>
    <d v="2022-02-01T00:00:00"/>
    <s v="Middle-aged"/>
    <n v="1"/>
    <s v="No"/>
    <n v="385"/>
    <s v="High"/>
    <s v="Low"/>
    <n v="0.1111111111111111"/>
    <s v="Medium"/>
    <n v="2"/>
    <d v="2022-02-01T00:00:00"/>
    <s v="13–24 months"/>
    <s v="2–3 tickets"/>
    <s v="46+ min"/>
    <s v="701–1000"/>
    <n v="13277"/>
    <n v="-117.14999999999964"/>
  </r>
  <r>
    <n v="10838"/>
    <n v="49"/>
    <s v="Female"/>
    <s v="Bangalore"/>
    <d v="2023-05-20T00:00:00"/>
    <d v="2021-11-11T00:00:00"/>
    <x v="2"/>
    <n v="1247"/>
    <x v="9"/>
    <n v="0"/>
    <n v="73.17"/>
    <n v="0"/>
    <x v="0"/>
    <x v="1"/>
    <n v="11223"/>
    <b v="0"/>
    <n v="0.75"/>
    <n v="1247"/>
    <n v="73.17"/>
    <d v="2023-05-01T00:00:00"/>
    <s v="Middle-aged"/>
    <n v="0"/>
    <s v="No"/>
    <m/>
    <s v="High"/>
    <s v="Low"/>
    <n v="0"/>
    <s v="Medium"/>
    <n v="2"/>
    <d v="2023-05-01T00:00:00"/>
    <s v="7–12 months"/>
    <s v="0–1 tickets"/>
    <s v="46+ min"/>
    <s v="1000+"/>
    <n v="11223"/>
    <n v="0"/>
  </r>
  <r>
    <n v="10839"/>
    <n v="36"/>
    <s v="Female"/>
    <s v="Chennai"/>
    <d v="2021-08-23T00:00:00"/>
    <d v="2023-06-15T00:00:00"/>
    <x v="2"/>
    <n v="485"/>
    <x v="12"/>
    <n v="3"/>
    <n v="94.15"/>
    <n v="15"/>
    <x v="1"/>
    <x v="1"/>
    <n v="16902.25"/>
    <b v="1"/>
    <n v="2.9166666666666665"/>
    <n v="482.92142857142858"/>
    <n v="23.537500000000001"/>
    <d v="2021-08-01T00:00:00"/>
    <s v="Middle-aged"/>
    <n v="0"/>
    <s v="Yes"/>
    <n v="661"/>
    <s v="High"/>
    <s v="Low"/>
    <n v="8.3333333333333329E-2"/>
    <s v="Medium"/>
    <n v="2"/>
    <d v="2021-08-01T00:00:00"/>
    <s v="25+ months"/>
    <s v="2–3 tickets"/>
    <s v="46+ min"/>
    <s v="301–500"/>
    <n v="16975"/>
    <n v="-72.75"/>
  </r>
  <r>
    <n v="10840"/>
    <n v="38"/>
    <s v="Female"/>
    <s v="Pune"/>
    <d v="2023-05-05T00:00:00"/>
    <d v="2022-02-10T00:00:00"/>
    <x v="0"/>
    <n v="468"/>
    <x v="28"/>
    <n v="3"/>
    <n v="75.760000000000005"/>
    <n v="10"/>
    <x v="3"/>
    <x v="1"/>
    <n v="9313.2000000000007"/>
    <b v="0"/>
    <n v="1.6666666666666667"/>
    <n v="465.66"/>
    <n v="18.940000000000001"/>
    <d v="2023-05-01T00:00:00"/>
    <s v="Middle-aged"/>
    <n v="0"/>
    <s v="No"/>
    <m/>
    <s v="High"/>
    <s v="Low"/>
    <n v="0.14285714285714285"/>
    <s v="Medium"/>
    <n v="1"/>
    <d v="2023-05-01T00:00:00"/>
    <s v="13–24 months"/>
    <s v="2–3 tickets"/>
    <s v="46+ min"/>
    <s v="301–500"/>
    <n v="9360"/>
    <n v="-46.799999999999272"/>
  </r>
  <r>
    <n v="10841"/>
    <n v="22"/>
    <s v="Female"/>
    <s v="Bangalore"/>
    <d v="2022-12-09T00:00:00"/>
    <d v="2022-09-19T00:00:00"/>
    <x v="0"/>
    <n v="806"/>
    <x v="17"/>
    <n v="0"/>
    <n v="73.27"/>
    <n v="10"/>
    <x v="3"/>
    <x v="1"/>
    <n v="15152.8"/>
    <b v="0"/>
    <n v="1.5833333333333333"/>
    <n v="797.51578947368421"/>
    <n v="73.27"/>
    <d v="2022-12-01T00:00:00"/>
    <s v="Young"/>
    <n v="0"/>
    <s v="Yes"/>
    <m/>
    <s v="High"/>
    <s v="Low"/>
    <n v="0"/>
    <s v="Medium"/>
    <n v="1"/>
    <d v="2022-12-01T00:00:00"/>
    <s v="13–24 months"/>
    <s v="0–1 tickets"/>
    <s v="46+ min"/>
    <s v="701–1000"/>
    <n v="15314"/>
    <n v="-161.20000000000073"/>
  </r>
  <r>
    <n v="10842"/>
    <n v="35"/>
    <s v="Female"/>
    <s v="Chennai"/>
    <d v="2023-03-31T00:00:00"/>
    <d v="2023-08-15T00:00:00"/>
    <x v="2"/>
    <n v="820"/>
    <x v="10"/>
    <n v="1"/>
    <n v="109.92"/>
    <n v="5"/>
    <x v="2"/>
    <x v="1"/>
    <n v="14719"/>
    <b v="1"/>
    <n v="1.5"/>
    <n v="817.72222222222217"/>
    <n v="54.96"/>
    <d v="2023-03-01T00:00:00"/>
    <s v="Adult"/>
    <n v="0"/>
    <s v="Yes"/>
    <n v="137"/>
    <s v="High"/>
    <s v="Low"/>
    <n v="5.2631578947368418E-2"/>
    <s v="Medium"/>
    <n v="2"/>
    <d v="2023-03-01T00:00:00"/>
    <s v="13–24 months"/>
    <s v="0–1 tickets"/>
    <s v="46+ min"/>
    <s v="701–1000"/>
    <n v="14760"/>
    <n v="-41"/>
  </r>
  <r>
    <n v="10843"/>
    <n v="45"/>
    <s v="Male"/>
    <s v="Mumbai"/>
    <d v="2021-03-21T00:00:00"/>
    <d v="2022-07-22T00:00:00"/>
    <x v="1"/>
    <n v="460"/>
    <x v="28"/>
    <n v="0"/>
    <n v="57"/>
    <n v="5"/>
    <x v="0"/>
    <x v="0"/>
    <n v="9177"/>
    <b v="1"/>
    <n v="1.6666666666666667"/>
    <n v="458.85"/>
    <n v="57"/>
    <d v="2021-03-01T00:00:00"/>
    <s v="Middle-aged"/>
    <n v="1"/>
    <s v="No"/>
    <n v="488"/>
    <s v="Medium"/>
    <s v="Low"/>
    <n v="0"/>
    <s v="Medium"/>
    <n v="3"/>
    <d v="2021-03-01T00:00:00"/>
    <s v="13–24 months"/>
    <s v="0–1 tickets"/>
    <s v="46+ min"/>
    <s v="301–500"/>
    <n v="9200"/>
    <n v="-23"/>
  </r>
  <r>
    <n v="10844"/>
    <n v="59"/>
    <s v="Male"/>
    <s v="Delhi"/>
    <d v="2022-10-09T00:00:00"/>
    <d v="2021-11-17T00:00:00"/>
    <x v="2"/>
    <n v="639"/>
    <x v="3"/>
    <n v="0"/>
    <n v="30.91"/>
    <n v="15"/>
    <x v="2"/>
    <x v="1"/>
    <n v="19074.150000000001"/>
    <b v="0"/>
    <n v="2.5"/>
    <n v="635.80500000000006"/>
    <n v="30.91"/>
    <d v="2022-10-01T00:00:00"/>
    <s v="Older"/>
    <n v="0"/>
    <s v="Yes"/>
    <m/>
    <s v="Medium"/>
    <s v="Low"/>
    <n v="0"/>
    <s v="Medium"/>
    <n v="2"/>
    <d v="2022-10-01T00:00:00"/>
    <s v="25+ months"/>
    <s v="0–1 tickets"/>
    <s v="31–45 min"/>
    <s v="501–700"/>
    <n v="19170"/>
    <n v="-95.849999999998545"/>
  </r>
  <r>
    <n v="10845"/>
    <n v="39"/>
    <s v="Female"/>
    <s v="Hyderabad"/>
    <d v="2021-01-22T00:00:00"/>
    <d v="2022-04-13T00:00:00"/>
    <x v="0"/>
    <n v="1429"/>
    <x v="7"/>
    <n v="1"/>
    <n v="23.61"/>
    <n v="15"/>
    <x v="0"/>
    <x v="1"/>
    <n v="1214.6500000000001"/>
    <b v="1"/>
    <n v="8.3333333333333329E-2"/>
    <n v="1214.6500000000001"/>
    <n v="11.805"/>
    <d v="2021-01-01T00:00:00"/>
    <s v="Middle-aged"/>
    <n v="0"/>
    <s v="No"/>
    <n v="446"/>
    <s v="Medium"/>
    <s v="Low"/>
    <n v="0.5"/>
    <s v="Low"/>
    <n v="1"/>
    <d v="2021-01-01T00:00:00"/>
    <s v="0–6 months"/>
    <s v="0–1 tickets"/>
    <s v="21–30 min"/>
    <s v="1000+"/>
    <n v="1429"/>
    <n v="-214.34999999999991"/>
  </r>
  <r>
    <n v="10846"/>
    <n v="38"/>
    <s v="Male"/>
    <s v="Hyderabad"/>
    <d v="2022-04-22T00:00:00"/>
    <d v="2021-11-21T00:00:00"/>
    <x v="2"/>
    <n v="1003"/>
    <x v="30"/>
    <n v="3"/>
    <n v="51"/>
    <n v="15"/>
    <x v="0"/>
    <x v="1"/>
    <n v="23921.55"/>
    <b v="0"/>
    <n v="2"/>
    <n v="996.73124999999993"/>
    <n v="12.75"/>
    <d v="2022-04-01T00:00:00"/>
    <s v="Middle-aged"/>
    <n v="0"/>
    <s v="Yes"/>
    <m/>
    <s v="Medium"/>
    <s v="Low"/>
    <n v="0.12"/>
    <s v="High"/>
    <n v="2"/>
    <d v="2022-04-01T00:00:00"/>
    <s v="13–24 months"/>
    <s v="2–3 tickets"/>
    <s v="46+ min"/>
    <s v="1000+"/>
    <n v="24072"/>
    <n v="-150.45000000000073"/>
  </r>
  <r>
    <n v="10847"/>
    <n v="23"/>
    <s v="Female"/>
    <s v="Mumbai"/>
    <d v="2023-04-23T00:00:00"/>
    <d v="2022-09-13T00:00:00"/>
    <x v="1"/>
    <n v="1476"/>
    <x v="30"/>
    <n v="2"/>
    <n v="86.97"/>
    <n v="5"/>
    <x v="3"/>
    <x v="1"/>
    <n v="35350.199999999997"/>
    <b v="0"/>
    <n v="2"/>
    <n v="1472.925"/>
    <n v="28.99"/>
    <d v="2023-04-01T00:00:00"/>
    <s v="Young"/>
    <n v="0"/>
    <s v="Yes"/>
    <m/>
    <s v="High"/>
    <s v="Low"/>
    <n v="0.08"/>
    <s v="High"/>
    <n v="3"/>
    <d v="2023-04-01T00:00:00"/>
    <s v="13–24 months"/>
    <s v="2–3 tickets"/>
    <s v="46+ min"/>
    <s v="1000+"/>
    <n v="35424"/>
    <n v="-73.80000000000291"/>
  </r>
  <r>
    <n v="10848"/>
    <n v="18"/>
    <s v="Male"/>
    <s v="Pune"/>
    <d v="2022-03-16T00:00:00"/>
    <d v="2022-05-11T00:00:00"/>
    <x v="0"/>
    <n v="1122"/>
    <x v="17"/>
    <n v="5"/>
    <n v="9.89"/>
    <n v="0"/>
    <x v="1"/>
    <x v="1"/>
    <n v="21318"/>
    <b v="1"/>
    <n v="1.5833333333333333"/>
    <n v="1122"/>
    <n v="1.6483333333333334"/>
    <d v="2022-03-01T00:00:00"/>
    <s v="Young"/>
    <n v="0"/>
    <s v="Yes"/>
    <n v="56"/>
    <s v="Low"/>
    <s v="Low"/>
    <n v="0.25"/>
    <s v="High"/>
    <n v="1"/>
    <d v="2022-03-01T00:00:00"/>
    <s v="13–24 months"/>
    <s v="4–5 tickets"/>
    <s v="0–10 min"/>
    <s v="1000+"/>
    <n v="21318"/>
    <n v="0"/>
  </r>
  <r>
    <n v="10849"/>
    <n v="22"/>
    <s v="Male"/>
    <s v="Bangalore"/>
    <d v="2023-01-07T00:00:00"/>
    <d v="2022-08-19T00:00:00"/>
    <x v="1"/>
    <n v="1084"/>
    <x v="3"/>
    <n v="2"/>
    <n v="19.84"/>
    <n v="5"/>
    <x v="1"/>
    <x v="0"/>
    <n v="32465.8"/>
    <b v="0"/>
    <n v="2.5"/>
    <n v="1082.1933333333334"/>
    <n v="6.6133333333333333"/>
    <d v="2023-01-01T00:00:00"/>
    <s v="Young"/>
    <n v="1"/>
    <s v="Yes"/>
    <m/>
    <s v="Low"/>
    <s v="Low"/>
    <n v="6.4516129032258063E-2"/>
    <s v="High"/>
    <n v="3"/>
    <d v="2023-01-01T00:00:00"/>
    <s v="25+ months"/>
    <s v="2–3 tickets"/>
    <s v="11–20 min"/>
    <s v="1000+"/>
    <n v="32520"/>
    <n v="-54.200000000000728"/>
  </r>
  <r>
    <n v="10850"/>
    <n v="58"/>
    <s v="Female"/>
    <s v="Delhi"/>
    <d v="2022-07-24T00:00:00"/>
    <d v="2021-06-18T00:00:00"/>
    <x v="1"/>
    <n v="1472"/>
    <x v="8"/>
    <n v="2"/>
    <n v="17.2"/>
    <n v="0"/>
    <x v="2"/>
    <x v="1"/>
    <n v="38272"/>
    <b v="0"/>
    <n v="2.1666666666666665"/>
    <n v="1472"/>
    <n v="5.7333333333333334"/>
    <d v="2022-07-01T00:00:00"/>
    <s v="Older"/>
    <n v="0"/>
    <s v="Yes"/>
    <m/>
    <s v="Low"/>
    <s v="Low"/>
    <n v="7.407407407407407E-2"/>
    <s v="High"/>
    <n v="3"/>
    <d v="2022-07-01T00:00:00"/>
    <s v="25+ months"/>
    <s v="2–3 tickets"/>
    <s v="11–20 min"/>
    <s v="1000+"/>
    <n v="38272"/>
    <n v="0"/>
  </r>
  <r>
    <n v="10851"/>
    <n v="29"/>
    <s v="Female"/>
    <s v="Chennai"/>
    <d v="2021-04-03T00:00:00"/>
    <d v="2021-08-09T00:00:00"/>
    <x v="0"/>
    <n v="430"/>
    <x v="5"/>
    <n v="2"/>
    <n v="72.3"/>
    <n v="15"/>
    <x v="2"/>
    <x v="1"/>
    <n v="12405.5"/>
    <b v="1"/>
    <n v="2.4166666666666665"/>
    <n v="427.77586206896552"/>
    <n v="24.099999999999998"/>
    <d v="2021-04-01T00:00:00"/>
    <s v="Adult"/>
    <n v="0"/>
    <s v="No"/>
    <n v="128"/>
    <s v="High"/>
    <s v="Low"/>
    <n v="6.6666666666666666E-2"/>
    <s v="Medium"/>
    <n v="1"/>
    <d v="2021-04-01T00:00:00"/>
    <s v="25+ months"/>
    <s v="2–3 tickets"/>
    <s v="46+ min"/>
    <s v="301–500"/>
    <n v="12470"/>
    <n v="-64.5"/>
  </r>
  <r>
    <n v="10852"/>
    <n v="43"/>
    <s v="Female"/>
    <s v="Mumbai"/>
    <d v="2021-07-11T00:00:00"/>
    <d v="2022-05-04T00:00:00"/>
    <x v="1"/>
    <n v="815"/>
    <x v="19"/>
    <n v="1"/>
    <n v="62.59"/>
    <n v="10"/>
    <x v="0"/>
    <x v="1"/>
    <n v="10513.5"/>
    <b v="1"/>
    <n v="1.0833333333333333"/>
    <n v="808.73076923076928"/>
    <n v="31.295000000000002"/>
    <d v="2021-07-01T00:00:00"/>
    <s v="Middle-aged"/>
    <n v="0"/>
    <s v="No"/>
    <n v="297"/>
    <s v="High"/>
    <s v="Low"/>
    <n v="7.1428571428571425E-2"/>
    <s v="Medium"/>
    <n v="3"/>
    <d v="2021-07-01T00:00:00"/>
    <s v="13–24 months"/>
    <s v="0–1 tickets"/>
    <s v="46+ min"/>
    <s v="701–1000"/>
    <n v="10595"/>
    <n v="-81.5"/>
  </r>
  <r>
    <n v="10853"/>
    <n v="63"/>
    <s v="Female"/>
    <s v="Delhi"/>
    <d v="2021-04-13T00:00:00"/>
    <d v="2023-02-18T00:00:00"/>
    <x v="0"/>
    <n v="835"/>
    <x v="2"/>
    <n v="2"/>
    <n v="24.12"/>
    <n v="5"/>
    <x v="1"/>
    <x v="0"/>
    <n v="3298.25"/>
    <b v="1"/>
    <n v="0.33333333333333331"/>
    <n v="824.5625"/>
    <n v="8.0400000000000009"/>
    <d v="2021-04-01T00:00:00"/>
    <s v="Older"/>
    <n v="1"/>
    <s v="No"/>
    <n v="676"/>
    <s v="Medium"/>
    <s v="Low"/>
    <n v="0.4"/>
    <s v="Low"/>
    <n v="1"/>
    <d v="2021-04-01T00:00:00"/>
    <s v="0–6 months"/>
    <s v="2–3 tickets"/>
    <s v="21–30 min"/>
    <s v="701–1000"/>
    <n v="3340"/>
    <n v="-41.75"/>
  </r>
  <r>
    <n v="10854"/>
    <n v="51"/>
    <s v="Male"/>
    <s v="Delhi"/>
    <d v="2022-01-31T00:00:00"/>
    <d v="2023-01-13T00:00:00"/>
    <x v="1"/>
    <n v="1040"/>
    <x v="18"/>
    <n v="1"/>
    <n v="73.17"/>
    <n v="15"/>
    <x v="0"/>
    <x v="1"/>
    <n v="17524"/>
    <b v="1"/>
    <n v="1.4166666666666667"/>
    <n v="1030.8235294117646"/>
    <n v="36.585000000000001"/>
    <d v="2022-01-01T00:00:00"/>
    <s v="Older"/>
    <n v="0"/>
    <s v="Yes"/>
    <n v="347"/>
    <s v="High"/>
    <s v="Low"/>
    <n v="5.5555555555555552E-2"/>
    <s v="Medium"/>
    <n v="3"/>
    <d v="2022-01-01T00:00:00"/>
    <s v="13–24 months"/>
    <s v="0–1 tickets"/>
    <s v="46+ min"/>
    <s v="1000+"/>
    <n v="17680"/>
    <n v="-156"/>
  </r>
  <r>
    <n v="10855"/>
    <n v="31"/>
    <s v="Male"/>
    <s v="Pune"/>
    <d v="2021-01-07T00:00:00"/>
    <d v="2022-11-09T00:00:00"/>
    <x v="0"/>
    <n v="1080"/>
    <x v="33"/>
    <n v="0"/>
    <n v="92.55"/>
    <n v="5"/>
    <x v="3"/>
    <x v="1"/>
    <n v="35586"/>
    <b v="1"/>
    <n v="2.75"/>
    <n v="1078.3636363636363"/>
    <n v="92.55"/>
    <d v="2021-01-01T00:00:00"/>
    <s v="Adult"/>
    <n v="0"/>
    <s v="Yes"/>
    <n v="671"/>
    <s v="High"/>
    <s v="Low"/>
    <n v="0"/>
    <s v="High"/>
    <n v="1"/>
    <d v="2021-01-01T00:00:00"/>
    <s v="25+ months"/>
    <s v="0–1 tickets"/>
    <s v="46+ min"/>
    <s v="1000+"/>
    <n v="35640"/>
    <n v="-54"/>
  </r>
  <r>
    <n v="10856"/>
    <n v="43"/>
    <s v="Female"/>
    <s v="Chennai"/>
    <d v="2022-10-02T00:00:00"/>
    <d v="2023-04-19T00:00:00"/>
    <x v="0"/>
    <n v="887"/>
    <x v="21"/>
    <n v="4"/>
    <n v="43.2"/>
    <n v="15"/>
    <x v="3"/>
    <x v="0"/>
    <n v="4301.95"/>
    <b v="1"/>
    <n v="0.41666666666666669"/>
    <n v="860.39"/>
    <n v="8.64"/>
    <d v="2022-10-01T00:00:00"/>
    <s v="Middle-aged"/>
    <n v="1"/>
    <s v="No"/>
    <n v="199"/>
    <s v="Medium"/>
    <s v="Low"/>
    <n v="0.66666666666666663"/>
    <s v="Low"/>
    <n v="1"/>
    <d v="2022-10-01T00:00:00"/>
    <s v="0–6 months"/>
    <s v="4–5 tickets"/>
    <s v="31–45 min"/>
    <s v="701–1000"/>
    <n v="4435"/>
    <n v="-133.05000000000018"/>
  </r>
  <r>
    <n v="10857"/>
    <n v="62"/>
    <s v="Female"/>
    <s v="Delhi"/>
    <d v="2022-07-21T00:00:00"/>
    <d v="2022-08-30T00:00:00"/>
    <x v="2"/>
    <n v="1025"/>
    <x v="29"/>
    <n v="1"/>
    <n v="71.489999999999995"/>
    <n v="5"/>
    <x v="0"/>
    <x v="1"/>
    <n v="28648.75"/>
    <b v="1"/>
    <n v="2.3333333333333335"/>
    <n v="1023.1696428571429"/>
    <n v="35.744999999999997"/>
    <d v="2022-07-01T00:00:00"/>
    <s v="Older"/>
    <n v="0"/>
    <s v="Yes"/>
    <n v="40"/>
    <s v="High"/>
    <s v="Low"/>
    <n v="3.4482758620689655E-2"/>
    <s v="High"/>
    <n v="2"/>
    <d v="2022-07-01T00:00:00"/>
    <s v="25+ months"/>
    <s v="0–1 tickets"/>
    <s v="46+ min"/>
    <s v="1000+"/>
    <n v="28700"/>
    <n v="-51.25"/>
  </r>
  <r>
    <n v="10858"/>
    <n v="44"/>
    <s v="Male"/>
    <s v="Pune"/>
    <d v="2021-08-19T00:00:00"/>
    <d v="2022-02-24T00:00:00"/>
    <x v="2"/>
    <n v="1242"/>
    <x v="30"/>
    <n v="3"/>
    <n v="16.28"/>
    <n v="20"/>
    <x v="0"/>
    <x v="0"/>
    <n v="29559.599999999999"/>
    <b v="1"/>
    <n v="2"/>
    <n v="1231.6499999999999"/>
    <n v="4.07"/>
    <d v="2021-08-01T00:00:00"/>
    <s v="Middle-aged"/>
    <n v="1"/>
    <s v="Yes"/>
    <n v="189"/>
    <s v="Low"/>
    <s v="Medium"/>
    <n v="0.12"/>
    <s v="High"/>
    <n v="2"/>
    <d v="2021-08-01T00:00:00"/>
    <s v="13–24 months"/>
    <s v="2–3 tickets"/>
    <s v="11–20 min"/>
    <s v="1000+"/>
    <n v="29808"/>
    <n v="-248.40000000000146"/>
  </r>
  <r>
    <n v="10859"/>
    <n v="26"/>
    <s v="Female"/>
    <s v="Bangalore"/>
    <d v="2023-05-24T00:00:00"/>
    <d v="2023-02-21T00:00:00"/>
    <x v="0"/>
    <n v="1296"/>
    <x v="18"/>
    <n v="1"/>
    <n v="112.55"/>
    <n v="5"/>
    <x v="0"/>
    <x v="0"/>
    <n v="21967.200000000001"/>
    <b v="0"/>
    <n v="1.4166666666666667"/>
    <n v="1292.1882352941177"/>
    <n v="56.274999999999999"/>
    <d v="2023-05-01T00:00:00"/>
    <s v="Adult"/>
    <n v="1"/>
    <s v="Yes"/>
    <m/>
    <s v="High"/>
    <s v="Low"/>
    <n v="5.5555555555555552E-2"/>
    <s v="High"/>
    <n v="1"/>
    <d v="2023-05-01T00:00:00"/>
    <s v="13–24 months"/>
    <s v="0–1 tickets"/>
    <s v="46+ min"/>
    <s v="1000+"/>
    <n v="22032"/>
    <n v="-64.799999999999272"/>
  </r>
  <r>
    <n v="10860"/>
    <n v="43"/>
    <s v="Male"/>
    <s v="Pune"/>
    <d v="2022-07-28T00:00:00"/>
    <d v="2023-08-20T00:00:00"/>
    <x v="2"/>
    <n v="675"/>
    <x v="11"/>
    <n v="2"/>
    <n v="62.59"/>
    <n v="20"/>
    <x v="0"/>
    <x v="1"/>
    <n v="7290"/>
    <b v="1"/>
    <n v="0.91666666666666663"/>
    <n v="662.72727272727275"/>
    <n v="20.863333333333333"/>
    <d v="2022-07-01T00:00:00"/>
    <s v="Middle-aged"/>
    <n v="0"/>
    <s v="No"/>
    <n v="388"/>
    <s v="High"/>
    <s v="Medium"/>
    <n v="0.16666666666666666"/>
    <s v="Low"/>
    <n v="2"/>
    <d v="2022-07-01T00:00:00"/>
    <s v="7–12 months"/>
    <s v="2–3 tickets"/>
    <s v="46+ min"/>
    <s v="501–700"/>
    <n v="7425"/>
    <n v="-135"/>
  </r>
  <r>
    <n v="10861"/>
    <n v="64"/>
    <s v="Male"/>
    <s v="Bangalore"/>
    <d v="2021-08-28T00:00:00"/>
    <d v="2021-12-05T00:00:00"/>
    <x v="0"/>
    <n v="1481"/>
    <x v="34"/>
    <n v="2"/>
    <n v="119.71"/>
    <n v="0"/>
    <x v="0"/>
    <x v="1"/>
    <n v="17772"/>
    <b v="1"/>
    <n v="1"/>
    <n v="1481"/>
    <n v="39.903333333333329"/>
    <d v="2021-08-01T00:00:00"/>
    <s v="Older"/>
    <n v="0"/>
    <s v="Yes"/>
    <n v="99"/>
    <s v="High"/>
    <s v="Low"/>
    <n v="0.15384615384615385"/>
    <s v="Medium"/>
    <n v="1"/>
    <d v="2021-08-01T00:00:00"/>
    <s v="7–12 months"/>
    <s v="2–3 tickets"/>
    <s v="46+ min"/>
    <s v="1000+"/>
    <n v="17772"/>
    <n v="0"/>
  </r>
  <r>
    <n v="10862"/>
    <n v="39"/>
    <s v="Male"/>
    <s v="Bangalore"/>
    <d v="2021-03-31T00:00:00"/>
    <d v="2022-12-21T00:00:00"/>
    <x v="0"/>
    <n v="503"/>
    <x v="19"/>
    <n v="1"/>
    <n v="117.54"/>
    <n v="5"/>
    <x v="3"/>
    <x v="1"/>
    <n v="6513.85"/>
    <b v="1"/>
    <n v="1.0833333333333333"/>
    <n v="501.06538461538463"/>
    <n v="58.77"/>
    <d v="2021-03-01T00:00:00"/>
    <s v="Middle-aged"/>
    <n v="0"/>
    <s v="No"/>
    <n v="630"/>
    <s v="High"/>
    <s v="Low"/>
    <n v="7.1428571428571425E-2"/>
    <s v="Low"/>
    <n v="1"/>
    <d v="2021-03-01T00:00:00"/>
    <s v="13–24 months"/>
    <s v="0–1 tickets"/>
    <s v="46+ min"/>
    <s v="501–700"/>
    <n v="6539"/>
    <n v="-25.149999999999636"/>
  </r>
  <r>
    <n v="10863"/>
    <n v="64"/>
    <s v="Female"/>
    <s v="Delhi"/>
    <d v="2021-08-20T00:00:00"/>
    <d v="2023-05-12T00:00:00"/>
    <x v="0"/>
    <n v="1288"/>
    <x v="14"/>
    <n v="2"/>
    <n v="94.56"/>
    <n v="0"/>
    <x v="3"/>
    <x v="1"/>
    <n v="10304"/>
    <b v="1"/>
    <n v="0.66666666666666663"/>
    <n v="1288"/>
    <n v="31.52"/>
    <d v="2021-08-01T00:00:00"/>
    <s v="Older"/>
    <n v="0"/>
    <s v="No"/>
    <n v="630"/>
    <s v="High"/>
    <s v="Low"/>
    <n v="0.22222222222222221"/>
    <s v="Medium"/>
    <n v="1"/>
    <d v="2021-08-01T00:00:00"/>
    <s v="7–12 months"/>
    <s v="2–3 tickets"/>
    <s v="46+ min"/>
    <s v="1000+"/>
    <n v="10304"/>
    <n v="0"/>
  </r>
  <r>
    <n v="10864"/>
    <n v="41"/>
    <s v="Female"/>
    <s v="Pune"/>
    <d v="2022-04-02T00:00:00"/>
    <d v="2022-11-11T00:00:00"/>
    <x v="2"/>
    <n v="960"/>
    <x v="7"/>
    <n v="0"/>
    <n v="7.31"/>
    <n v="10"/>
    <x v="3"/>
    <x v="1"/>
    <n v="864"/>
    <b v="1"/>
    <n v="8.3333333333333329E-2"/>
    <n v="864"/>
    <n v="7.31"/>
    <d v="2022-04-01T00:00:00"/>
    <s v="Middle-aged"/>
    <n v="0"/>
    <s v="No"/>
    <n v="223"/>
    <s v="Low"/>
    <s v="Low"/>
    <n v="0"/>
    <s v="Low"/>
    <n v="2"/>
    <d v="2022-04-01T00:00:00"/>
    <s v="0–6 months"/>
    <s v="0–1 tickets"/>
    <s v="0–10 min"/>
    <s v="701–1000"/>
    <n v="960"/>
    <n v="-96"/>
  </r>
  <r>
    <n v="10865"/>
    <n v="60"/>
    <s v="Male"/>
    <s v="Bangalore"/>
    <d v="2021-08-21T00:00:00"/>
    <d v="2022-08-08T00:00:00"/>
    <x v="0"/>
    <n v="374"/>
    <x v="9"/>
    <n v="2"/>
    <n v="67.5"/>
    <n v="20"/>
    <x v="2"/>
    <x v="1"/>
    <n v="3291.2"/>
    <b v="1"/>
    <n v="0.75"/>
    <n v="365.68888888888887"/>
    <n v="22.5"/>
    <d v="2021-08-01T00:00:00"/>
    <s v="Older"/>
    <n v="0"/>
    <s v="No"/>
    <n v="352"/>
    <s v="High"/>
    <s v="Medium"/>
    <n v="0.2"/>
    <s v="Low"/>
    <n v="1"/>
    <d v="2021-08-01T00:00:00"/>
    <s v="7–12 months"/>
    <s v="2–3 tickets"/>
    <s v="46+ min"/>
    <s v="301–500"/>
    <n v="3366"/>
    <n v="-74.800000000000182"/>
  </r>
  <r>
    <n v="10866"/>
    <n v="34"/>
    <s v="Female"/>
    <s v="Chennai"/>
    <d v="2021-12-20T00:00:00"/>
    <d v="2022-03-15T00:00:00"/>
    <x v="0"/>
    <n v="1040"/>
    <x v="29"/>
    <n v="1"/>
    <n v="14.99"/>
    <n v="5"/>
    <x v="3"/>
    <x v="1"/>
    <n v="29068"/>
    <b v="1"/>
    <n v="2.3333333333333335"/>
    <n v="1038.1428571428571"/>
    <n v="7.4950000000000001"/>
    <d v="2021-12-01T00:00:00"/>
    <s v="Adult"/>
    <n v="0"/>
    <s v="Yes"/>
    <n v="85"/>
    <s v="Low"/>
    <s v="Low"/>
    <n v="3.4482758620689655E-2"/>
    <s v="High"/>
    <n v="1"/>
    <d v="2021-12-01T00:00:00"/>
    <s v="25+ months"/>
    <s v="0–1 tickets"/>
    <s v="11–20 min"/>
    <s v="1000+"/>
    <n v="29120"/>
    <n v="-52"/>
  </r>
  <r>
    <n v="10867"/>
    <n v="43"/>
    <s v="Male"/>
    <s v="Delhi"/>
    <d v="2021-11-29T00:00:00"/>
    <d v="2022-12-19T00:00:00"/>
    <x v="0"/>
    <n v="603"/>
    <x v="4"/>
    <n v="1"/>
    <n v="107.94"/>
    <n v="0"/>
    <x v="1"/>
    <x v="1"/>
    <n v="1206"/>
    <b v="1"/>
    <n v="0.16666666666666666"/>
    <n v="603"/>
    <n v="53.97"/>
    <d v="2021-11-01T00:00:00"/>
    <s v="Middle-aged"/>
    <n v="0"/>
    <s v="No"/>
    <n v="385"/>
    <s v="High"/>
    <s v="Low"/>
    <n v="0.33333333333333331"/>
    <s v="Low"/>
    <n v="1"/>
    <d v="2021-11-01T00:00:00"/>
    <s v="0–6 months"/>
    <s v="0–1 tickets"/>
    <s v="46+ min"/>
    <s v="501–700"/>
    <n v="1206"/>
    <n v="0"/>
  </r>
  <r>
    <n v="10868"/>
    <n v="53"/>
    <s v="Male"/>
    <s v="Pune"/>
    <d v="2022-03-15T00:00:00"/>
    <d v="2022-10-12T00:00:00"/>
    <x v="0"/>
    <n v="1385"/>
    <x v="25"/>
    <n v="0"/>
    <n v="95.81"/>
    <n v="15"/>
    <x v="1"/>
    <x v="1"/>
    <n v="19182.25"/>
    <b v="1"/>
    <n v="1.1666666666666667"/>
    <n v="1370.1607142857142"/>
    <n v="95.81"/>
    <d v="2022-03-01T00:00:00"/>
    <s v="Older"/>
    <n v="0"/>
    <s v="Yes"/>
    <n v="211"/>
    <s v="High"/>
    <s v="Low"/>
    <n v="0"/>
    <s v="Medium"/>
    <n v="1"/>
    <d v="2022-03-01T00:00:00"/>
    <s v="13–24 months"/>
    <s v="0–1 tickets"/>
    <s v="46+ min"/>
    <s v="1000+"/>
    <n v="19390"/>
    <n v="-207.75"/>
  </r>
  <r>
    <n v="10869"/>
    <n v="18"/>
    <s v="Male"/>
    <s v="Pune"/>
    <d v="2022-01-10T00:00:00"/>
    <d v="2022-08-15T00:00:00"/>
    <x v="2"/>
    <n v="869"/>
    <x v="19"/>
    <n v="3"/>
    <n v="116.82"/>
    <n v="0"/>
    <x v="0"/>
    <x v="1"/>
    <n v="11297"/>
    <b v="1"/>
    <n v="1.0833333333333333"/>
    <n v="869"/>
    <n v="29.204999999999998"/>
    <d v="2022-01-01T00:00:00"/>
    <s v="Young"/>
    <n v="0"/>
    <s v="No"/>
    <n v="217"/>
    <s v="High"/>
    <s v="Low"/>
    <n v="0.21428571428571427"/>
    <s v="Medium"/>
    <n v="2"/>
    <d v="2022-01-01T00:00:00"/>
    <s v="13–24 months"/>
    <s v="2–3 tickets"/>
    <s v="46+ min"/>
    <s v="701–1000"/>
    <n v="11297"/>
    <n v="0"/>
  </r>
  <r>
    <n v="10870"/>
    <n v="25"/>
    <s v="Male"/>
    <s v="Hyderabad"/>
    <d v="2021-10-19T00:00:00"/>
    <d v="2023-07-21T00:00:00"/>
    <x v="1"/>
    <n v="1085"/>
    <x v="4"/>
    <n v="1"/>
    <n v="74.959999999999994"/>
    <n v="5"/>
    <x v="3"/>
    <x v="1"/>
    <n v="2115.75"/>
    <b v="1"/>
    <n v="0.16666666666666666"/>
    <n v="1057.875"/>
    <n v="37.479999999999997"/>
    <d v="2021-10-01T00:00:00"/>
    <s v="Young"/>
    <n v="0"/>
    <s v="No"/>
    <n v="640"/>
    <s v="High"/>
    <s v="Low"/>
    <n v="0.33333333333333331"/>
    <s v="Low"/>
    <n v="3"/>
    <d v="2021-10-01T00:00:00"/>
    <s v="0–6 months"/>
    <s v="0–1 tickets"/>
    <s v="46+ min"/>
    <s v="1000+"/>
    <n v="2170"/>
    <n v="-54.25"/>
  </r>
  <r>
    <n v="10871"/>
    <n v="52"/>
    <s v="Male"/>
    <s v="Pune"/>
    <d v="2021-12-11T00:00:00"/>
    <d v="2022-03-30T00:00:00"/>
    <x v="0"/>
    <n v="1431"/>
    <x v="2"/>
    <n v="2"/>
    <n v="65.05"/>
    <n v="10"/>
    <x v="0"/>
    <x v="0"/>
    <n v="5580.9"/>
    <b v="1"/>
    <n v="0.33333333333333331"/>
    <n v="1395.2249999999999"/>
    <n v="21.683333333333334"/>
    <d v="2021-12-01T00:00:00"/>
    <s v="Older"/>
    <n v="1"/>
    <s v="No"/>
    <n v="109"/>
    <s v="High"/>
    <s v="Low"/>
    <n v="0.4"/>
    <s v="Low"/>
    <n v="1"/>
    <d v="2021-12-01T00:00:00"/>
    <s v="0–6 months"/>
    <s v="2–3 tickets"/>
    <s v="46+ min"/>
    <s v="1000+"/>
    <n v="5724"/>
    <n v="-143.10000000000036"/>
  </r>
  <r>
    <n v="10872"/>
    <n v="32"/>
    <s v="Female"/>
    <s v="Delhi"/>
    <d v="2022-10-26T00:00:00"/>
    <d v="2021-08-26T00:00:00"/>
    <x v="1"/>
    <n v="1286"/>
    <x v="34"/>
    <n v="1"/>
    <n v="64.680000000000007"/>
    <n v="20"/>
    <x v="0"/>
    <x v="0"/>
    <n v="15174.8"/>
    <b v="0"/>
    <n v="1"/>
    <n v="1264.5666666666666"/>
    <n v="32.340000000000003"/>
    <d v="2022-10-01T00:00:00"/>
    <s v="Adult"/>
    <n v="1"/>
    <s v="Yes"/>
    <m/>
    <s v="High"/>
    <s v="Medium"/>
    <n v="7.6923076923076927E-2"/>
    <s v="Medium"/>
    <n v="3"/>
    <d v="2022-10-01T00:00:00"/>
    <s v="7–12 months"/>
    <s v="0–1 tickets"/>
    <s v="46+ min"/>
    <s v="1000+"/>
    <n v="15432"/>
    <n v="-257.20000000000073"/>
  </r>
  <r>
    <n v="10873"/>
    <n v="64"/>
    <s v="Female"/>
    <s v="Chennai"/>
    <d v="2022-03-04T00:00:00"/>
    <d v="2023-09-08T00:00:00"/>
    <x v="2"/>
    <n v="528"/>
    <x v="32"/>
    <n v="5"/>
    <n v="49.44"/>
    <n v="15"/>
    <x v="1"/>
    <x v="1"/>
    <n v="5200.8"/>
    <b v="1"/>
    <n v="0.83333333333333337"/>
    <n v="520.08000000000004"/>
    <n v="8.24"/>
    <d v="2022-03-01T00:00:00"/>
    <s v="Older"/>
    <n v="0"/>
    <s v="No"/>
    <n v="553"/>
    <s v="Medium"/>
    <s v="Low"/>
    <n v="0.45454545454545453"/>
    <s v="Low"/>
    <n v="2"/>
    <d v="2022-03-01T00:00:00"/>
    <s v="7–12 months"/>
    <s v="4–5 tickets"/>
    <s v="46+ min"/>
    <s v="501–700"/>
    <n v="5280"/>
    <n v="-79.199999999999818"/>
  </r>
  <r>
    <n v="10874"/>
    <n v="39"/>
    <s v="Female"/>
    <s v="Pune"/>
    <d v="2022-10-19T00:00:00"/>
    <d v="2022-08-12T00:00:00"/>
    <x v="2"/>
    <n v="1371"/>
    <x v="13"/>
    <n v="1"/>
    <n v="58.9"/>
    <n v="0"/>
    <x v="1"/>
    <x v="0"/>
    <n v="4113"/>
    <b v="0"/>
    <n v="0.25"/>
    <n v="1371"/>
    <n v="29.45"/>
    <d v="2022-10-01T00:00:00"/>
    <s v="Middle-aged"/>
    <n v="1"/>
    <s v="No"/>
    <m/>
    <s v="Medium"/>
    <s v="Low"/>
    <n v="0.25"/>
    <s v="Low"/>
    <n v="2"/>
    <d v="2022-10-01T00:00:00"/>
    <s v="0–6 months"/>
    <s v="0–1 tickets"/>
    <s v="46+ min"/>
    <s v="1000+"/>
    <n v="4113"/>
    <n v="0"/>
  </r>
  <r>
    <n v="10875"/>
    <n v="31"/>
    <s v="Male"/>
    <s v="Hyderabad"/>
    <d v="2021-05-10T00:00:00"/>
    <d v="2022-11-23T00:00:00"/>
    <x v="2"/>
    <n v="567"/>
    <x v="2"/>
    <n v="4"/>
    <n v="78.069999999999993"/>
    <n v="5"/>
    <x v="0"/>
    <x v="0"/>
    <n v="2239.65"/>
    <b v="1"/>
    <n v="0.33333333333333331"/>
    <n v="559.91250000000002"/>
    <n v="15.613999999999999"/>
    <d v="2021-05-01T00:00:00"/>
    <s v="Adult"/>
    <n v="1"/>
    <s v="No"/>
    <n v="562"/>
    <s v="High"/>
    <s v="Low"/>
    <n v="0.8"/>
    <s v="Low"/>
    <n v="2"/>
    <d v="2021-05-01T00:00:00"/>
    <s v="0–6 months"/>
    <s v="4–5 tickets"/>
    <s v="46+ min"/>
    <s v="501–700"/>
    <n v="2268"/>
    <n v="-28.349999999999909"/>
  </r>
  <r>
    <n v="10876"/>
    <n v="43"/>
    <s v="Male"/>
    <s v="Delhi"/>
    <d v="2021-05-21T00:00:00"/>
    <d v="2021-06-22T00:00:00"/>
    <x v="1"/>
    <n v="1026"/>
    <x v="20"/>
    <n v="1"/>
    <n v="112.29"/>
    <n v="5"/>
    <x v="1"/>
    <x v="1"/>
    <n v="6104.7"/>
    <b v="1"/>
    <n v="0.5"/>
    <n v="1017.4499999999999"/>
    <n v="56.145000000000003"/>
    <d v="2021-05-01T00:00:00"/>
    <s v="Middle-aged"/>
    <n v="0"/>
    <s v="No"/>
    <n v="32"/>
    <s v="High"/>
    <s v="Low"/>
    <n v="0.14285714285714285"/>
    <s v="Low"/>
    <n v="3"/>
    <d v="2021-05-01T00:00:00"/>
    <s v="0–6 months"/>
    <s v="0–1 tickets"/>
    <s v="46+ min"/>
    <s v="1000+"/>
    <n v="6156"/>
    <n v="-51.300000000000182"/>
  </r>
  <r>
    <n v="10877"/>
    <n v="45"/>
    <s v="Male"/>
    <s v="unknown"/>
    <d v="2022-02-19T00:00:00"/>
    <d v="2023-09-11T00:00:00"/>
    <x v="0"/>
    <n v="1101"/>
    <x v="31"/>
    <n v="0"/>
    <n v="73.53"/>
    <n v="20"/>
    <x v="0"/>
    <x v="0"/>
    <n v="25102.799999999999"/>
    <b v="1"/>
    <n v="1.9166666666666667"/>
    <n v="1091.4260869565217"/>
    <n v="73.53"/>
    <d v="2022-02-01T00:00:00"/>
    <s v="Middle-aged"/>
    <n v="1"/>
    <s v="Yes"/>
    <n v="569"/>
    <s v="High"/>
    <s v="Medium"/>
    <n v="0"/>
    <s v="High"/>
    <n v="1"/>
    <d v="2022-02-01T00:00:00"/>
    <s v="13–24 months"/>
    <s v="0–1 tickets"/>
    <s v="46+ min"/>
    <s v="1000+"/>
    <n v="25323"/>
    <n v="-220.20000000000073"/>
  </r>
  <r>
    <n v="10878"/>
    <n v="40"/>
    <s v="Male"/>
    <s v="Mumbai"/>
    <d v="2021-04-03T00:00:00"/>
    <d v="2023-08-06T00:00:00"/>
    <x v="2"/>
    <n v="553"/>
    <x v="21"/>
    <n v="3"/>
    <n v="103.57"/>
    <n v="15"/>
    <x v="0"/>
    <x v="1"/>
    <n v="2682.05"/>
    <b v="1"/>
    <n v="0.41666666666666669"/>
    <n v="536.41000000000008"/>
    <n v="25.892499999999998"/>
    <d v="2021-04-01T00:00:00"/>
    <s v="Middle-aged"/>
    <n v="0"/>
    <s v="No"/>
    <n v="855"/>
    <s v="High"/>
    <s v="Low"/>
    <n v="0.5"/>
    <s v="Low"/>
    <n v="2"/>
    <d v="2021-04-01T00:00:00"/>
    <s v="0–6 months"/>
    <s v="2–3 tickets"/>
    <s v="46+ min"/>
    <s v="501–700"/>
    <n v="2765"/>
    <n v="-82.949999999999818"/>
  </r>
  <r>
    <n v="10879"/>
    <n v="31"/>
    <s v="Female"/>
    <s v="Mumbai"/>
    <d v="2022-09-18T00:00:00"/>
    <d v="2022-12-12T00:00:00"/>
    <x v="2"/>
    <n v="1256"/>
    <x v="13"/>
    <n v="3"/>
    <n v="104.22"/>
    <n v="0"/>
    <x v="0"/>
    <x v="1"/>
    <n v="3768"/>
    <b v="1"/>
    <n v="0.25"/>
    <n v="1256"/>
    <n v="26.055"/>
    <d v="2022-09-01T00:00:00"/>
    <s v="Adult"/>
    <n v="0"/>
    <s v="No"/>
    <n v="85"/>
    <s v="High"/>
    <s v="Low"/>
    <n v="0.75"/>
    <s v="Low"/>
    <n v="2"/>
    <d v="2022-09-01T00:00:00"/>
    <s v="0–6 months"/>
    <s v="2–3 tickets"/>
    <s v="46+ min"/>
    <s v="1000+"/>
    <n v="3768"/>
    <n v="0"/>
  </r>
  <r>
    <n v="10880"/>
    <n v="41"/>
    <s v="Male"/>
    <s v="Bangalore"/>
    <d v="2021-10-11T00:00:00"/>
    <d v="2022-10-30T00:00:00"/>
    <x v="2"/>
    <n v="1169"/>
    <x v="32"/>
    <n v="2"/>
    <n v="64.67"/>
    <n v="0"/>
    <x v="2"/>
    <x v="0"/>
    <n v="11690"/>
    <b v="1"/>
    <n v="0.83333333333333337"/>
    <n v="1169"/>
    <n v="21.556666666666668"/>
    <d v="2021-10-01T00:00:00"/>
    <s v="Middle-aged"/>
    <n v="1"/>
    <s v="No"/>
    <n v="384"/>
    <s v="High"/>
    <s v="Low"/>
    <n v="0.18181818181818182"/>
    <s v="Medium"/>
    <n v="2"/>
    <d v="2021-10-01T00:00:00"/>
    <s v="7–12 months"/>
    <s v="2–3 tickets"/>
    <s v="46+ min"/>
    <s v="1000+"/>
    <n v="11690"/>
    <n v="0"/>
  </r>
  <r>
    <n v="10881"/>
    <n v="19"/>
    <s v="Female"/>
    <s v="unknown"/>
    <d v="2022-10-17T00:00:00"/>
    <d v="2023-07-02T00:00:00"/>
    <x v="1"/>
    <n v="386"/>
    <x v="17"/>
    <n v="3"/>
    <n v="44.96"/>
    <n v="0"/>
    <x v="1"/>
    <x v="0"/>
    <n v="7334"/>
    <b v="1"/>
    <n v="1.5833333333333333"/>
    <n v="386"/>
    <n v="11.24"/>
    <d v="2022-10-01T00:00:00"/>
    <s v="Young"/>
    <n v="1"/>
    <s v="No"/>
    <n v="258"/>
    <s v="Medium"/>
    <s v="Low"/>
    <n v="0.15"/>
    <s v="Low"/>
    <n v="3"/>
    <d v="2022-10-01T00:00:00"/>
    <s v="13–24 months"/>
    <s v="2–3 tickets"/>
    <s v="31–45 min"/>
    <s v="301–500"/>
    <n v="7334"/>
    <n v="0"/>
  </r>
  <r>
    <n v="10882"/>
    <n v="62"/>
    <s v="Female"/>
    <s v="Mumbai"/>
    <d v="2021-08-11T00:00:00"/>
    <d v="2023-04-06T00:00:00"/>
    <x v="0"/>
    <n v="1348"/>
    <x v="25"/>
    <n v="2"/>
    <n v="78.55"/>
    <n v="20"/>
    <x v="1"/>
    <x v="0"/>
    <n v="18602.400000000001"/>
    <b v="1"/>
    <n v="1.1666666666666667"/>
    <n v="1328.7428571428572"/>
    <n v="26.183333333333334"/>
    <d v="2021-08-01T00:00:00"/>
    <s v="Older"/>
    <n v="1"/>
    <s v="Yes"/>
    <n v="603"/>
    <s v="High"/>
    <s v="Medium"/>
    <n v="0.13333333333333333"/>
    <s v="Medium"/>
    <n v="1"/>
    <d v="2021-08-01T00:00:00"/>
    <s v="13–24 months"/>
    <s v="2–3 tickets"/>
    <s v="46+ min"/>
    <s v="1000+"/>
    <n v="18872"/>
    <n v="-269.59999999999854"/>
  </r>
  <r>
    <n v="10883"/>
    <n v="43"/>
    <s v="Male"/>
    <s v="Mumbai"/>
    <d v="2023-01-14T00:00:00"/>
    <d v="2022-10-16T00:00:00"/>
    <x v="2"/>
    <n v="521"/>
    <x v="6"/>
    <n v="2"/>
    <n v="62.59"/>
    <n v="20"/>
    <x v="3"/>
    <x v="1"/>
    <n v="10836.8"/>
    <b v="0"/>
    <n v="1.75"/>
    <n v="516.03809523809525"/>
    <n v="20.863333333333333"/>
    <d v="2023-01-01T00:00:00"/>
    <s v="Middle-aged"/>
    <n v="0"/>
    <s v="No"/>
    <m/>
    <s v="High"/>
    <s v="Medium"/>
    <n v="9.0909090909090912E-2"/>
    <s v="Medium"/>
    <n v="2"/>
    <d v="2023-01-01T00:00:00"/>
    <s v="13–24 months"/>
    <s v="2–3 tickets"/>
    <s v="46+ min"/>
    <s v="501–700"/>
    <n v="10941"/>
    <n v="-104.20000000000073"/>
  </r>
  <r>
    <n v="10884"/>
    <n v="41"/>
    <s v="Female"/>
    <s v="Bangalore"/>
    <d v="2022-04-08T00:00:00"/>
    <d v="2023-05-15T00:00:00"/>
    <x v="2"/>
    <n v="1289"/>
    <x v="29"/>
    <n v="1"/>
    <n v="14.37"/>
    <n v="15"/>
    <x v="1"/>
    <x v="1"/>
    <n v="35898.65"/>
    <b v="1"/>
    <n v="2.3333333333333335"/>
    <n v="1282.0946428571428"/>
    <n v="7.1849999999999996"/>
    <d v="2022-04-01T00:00:00"/>
    <s v="Middle-aged"/>
    <n v="0"/>
    <s v="Yes"/>
    <n v="402"/>
    <s v="Low"/>
    <s v="Low"/>
    <n v="3.4482758620689655E-2"/>
    <s v="High"/>
    <n v="2"/>
    <d v="2022-04-01T00:00:00"/>
    <s v="25+ months"/>
    <s v="0–1 tickets"/>
    <s v="11–20 min"/>
    <s v="1000+"/>
    <n v="36092"/>
    <n v="-193.34999999999854"/>
  </r>
  <r>
    <n v="10885"/>
    <n v="24"/>
    <s v="Female"/>
    <s v="Pune"/>
    <d v="2022-06-29T00:00:00"/>
    <d v="2022-09-10T00:00:00"/>
    <x v="0"/>
    <n v="696"/>
    <x v="6"/>
    <n v="2"/>
    <n v="48.45"/>
    <n v="0"/>
    <x v="3"/>
    <x v="1"/>
    <n v="14616"/>
    <b v="1"/>
    <n v="1.75"/>
    <n v="696"/>
    <n v="16.150000000000002"/>
    <d v="2022-06-01T00:00:00"/>
    <s v="Young"/>
    <n v="0"/>
    <s v="Yes"/>
    <n v="73"/>
    <s v="Medium"/>
    <s v="Low"/>
    <n v="9.0909090909090912E-2"/>
    <s v="Medium"/>
    <n v="1"/>
    <d v="2022-06-01T00:00:00"/>
    <s v="13–24 months"/>
    <s v="2–3 tickets"/>
    <s v="46+ min"/>
    <s v="501–700"/>
    <n v="14616"/>
    <n v="0"/>
  </r>
  <r>
    <n v="10886"/>
    <n v="20"/>
    <s v="Female"/>
    <s v="Pune"/>
    <d v="2021-10-03T00:00:00"/>
    <d v="2021-09-09T00:00:00"/>
    <x v="0"/>
    <n v="1237"/>
    <x v="30"/>
    <n v="3"/>
    <n v="119.32"/>
    <n v="0"/>
    <x v="0"/>
    <x v="1"/>
    <n v="29688"/>
    <b v="0"/>
    <n v="2"/>
    <n v="1237"/>
    <n v="29.83"/>
    <d v="2021-10-01T00:00:00"/>
    <s v="Young"/>
    <n v="0"/>
    <s v="Yes"/>
    <m/>
    <s v="High"/>
    <s v="Low"/>
    <n v="0.12"/>
    <s v="High"/>
    <n v="1"/>
    <d v="2021-10-01T00:00:00"/>
    <s v="13–24 months"/>
    <s v="2–3 tickets"/>
    <s v="46+ min"/>
    <s v="1000+"/>
    <n v="29688"/>
    <n v="0"/>
  </r>
  <r>
    <n v="10887"/>
    <n v="64"/>
    <s v="Female"/>
    <s v="Bangalore"/>
    <d v="2022-11-13T00:00:00"/>
    <d v="2023-01-04T00:00:00"/>
    <x v="2"/>
    <n v="810"/>
    <x v="18"/>
    <n v="1"/>
    <n v="10.58"/>
    <n v="15"/>
    <x v="2"/>
    <x v="1"/>
    <n v="13648.5"/>
    <b v="1"/>
    <n v="1.4166666666666667"/>
    <n v="802.85294117647061"/>
    <n v="5.29"/>
    <d v="2022-11-01T00:00:00"/>
    <s v="Older"/>
    <n v="0"/>
    <s v="Yes"/>
    <n v="52"/>
    <s v="Low"/>
    <s v="Low"/>
    <n v="5.5555555555555552E-2"/>
    <s v="Medium"/>
    <n v="2"/>
    <d v="2022-11-01T00:00:00"/>
    <s v="13–24 months"/>
    <s v="0–1 tickets"/>
    <s v="11–20 min"/>
    <s v="701–1000"/>
    <n v="13770"/>
    <n v="-121.5"/>
  </r>
  <r>
    <n v="10888"/>
    <n v="40"/>
    <s v="Male"/>
    <s v="Pune"/>
    <d v="2021-05-20T00:00:00"/>
    <d v="2023-04-06T00:00:00"/>
    <x v="1"/>
    <n v="860"/>
    <x v="1"/>
    <n v="2"/>
    <n v="85.12"/>
    <n v="15"/>
    <x v="0"/>
    <x v="1"/>
    <n v="18791"/>
    <b v="1"/>
    <n v="1.8333333333333333"/>
    <n v="854.13636363636363"/>
    <n v="28.373333333333335"/>
    <d v="2021-05-01T00:00:00"/>
    <s v="Middle-aged"/>
    <n v="0"/>
    <s v="Yes"/>
    <n v="686"/>
    <s v="High"/>
    <s v="Low"/>
    <n v="8.6956521739130432E-2"/>
    <s v="Medium"/>
    <n v="3"/>
    <d v="2021-05-01T00:00:00"/>
    <s v="13–24 months"/>
    <s v="2–3 tickets"/>
    <s v="46+ min"/>
    <s v="701–1000"/>
    <n v="18920"/>
    <n v="-129"/>
  </r>
  <r>
    <n v="10889"/>
    <n v="63"/>
    <s v="Male"/>
    <s v="Pune"/>
    <d v="2021-12-23T00:00:00"/>
    <d v="2023-04-16T00:00:00"/>
    <x v="2"/>
    <n v="1145"/>
    <x v="17"/>
    <n v="2"/>
    <n v="62.59"/>
    <n v="10"/>
    <x v="0"/>
    <x v="0"/>
    <n v="21583.25"/>
    <b v="1"/>
    <n v="1.5833333333333333"/>
    <n v="1135.9605263157894"/>
    <n v="20.863333333333333"/>
    <d v="2021-12-01T00:00:00"/>
    <s v="Older"/>
    <n v="1"/>
    <s v="Yes"/>
    <n v="479"/>
    <s v="High"/>
    <s v="Low"/>
    <n v="0.1"/>
    <s v="High"/>
    <n v="2"/>
    <d v="2021-12-01T00:00:00"/>
    <s v="13–24 months"/>
    <s v="2–3 tickets"/>
    <s v="46+ min"/>
    <s v="1000+"/>
    <n v="21755"/>
    <n v="-171.75"/>
  </r>
  <r>
    <n v="10890"/>
    <n v="60"/>
    <s v="Male"/>
    <s v="Delhi"/>
    <d v="2022-12-14T00:00:00"/>
    <d v="2021-10-19T00:00:00"/>
    <x v="1"/>
    <n v="739"/>
    <x v="32"/>
    <n v="2"/>
    <n v="79.599999999999994"/>
    <n v="5"/>
    <x v="0"/>
    <x v="1"/>
    <n v="7353.05"/>
    <b v="0"/>
    <n v="0.83333333333333337"/>
    <n v="735.30500000000006"/>
    <n v="26.533333333333331"/>
    <d v="2022-12-01T00:00:00"/>
    <s v="Older"/>
    <n v="0"/>
    <s v="No"/>
    <m/>
    <s v="High"/>
    <s v="Low"/>
    <n v="0.18181818181818182"/>
    <s v="Low"/>
    <n v="3"/>
    <d v="2022-12-01T00:00:00"/>
    <s v="7–12 months"/>
    <s v="2–3 tickets"/>
    <s v="46+ min"/>
    <s v="701–1000"/>
    <n v="7390"/>
    <n v="-36.949999999999818"/>
  </r>
  <r>
    <n v="10891"/>
    <n v="64"/>
    <s v="Male"/>
    <s v="Delhi"/>
    <d v="2021-01-23T00:00:00"/>
    <d v="2021-10-16T00:00:00"/>
    <x v="0"/>
    <n v="1498"/>
    <x v="11"/>
    <n v="2"/>
    <n v="70.52"/>
    <n v="15"/>
    <x v="3"/>
    <x v="1"/>
    <n v="16253.3"/>
    <b v="1"/>
    <n v="0.91666666666666663"/>
    <n v="1477.5727272727272"/>
    <n v="23.506666666666664"/>
    <d v="2021-01-01T00:00:00"/>
    <s v="Older"/>
    <n v="0"/>
    <s v="Yes"/>
    <n v="266"/>
    <s v="High"/>
    <s v="Low"/>
    <n v="0.16666666666666666"/>
    <s v="Medium"/>
    <n v="1"/>
    <d v="2021-01-01T00:00:00"/>
    <s v="7–12 months"/>
    <s v="2–3 tickets"/>
    <s v="46+ min"/>
    <s v="1000+"/>
    <n v="16478"/>
    <n v="-224.70000000000073"/>
  </r>
  <r>
    <n v="10892"/>
    <n v="62"/>
    <s v="Female"/>
    <s v="Bangalore"/>
    <d v="2023-01-06T00:00:00"/>
    <d v="2022-12-30T00:00:00"/>
    <x v="0"/>
    <n v="610"/>
    <x v="4"/>
    <n v="1"/>
    <n v="86.37"/>
    <n v="10"/>
    <x v="2"/>
    <x v="0"/>
    <n v="1159"/>
    <b v="0"/>
    <n v="0.16666666666666666"/>
    <n v="579.5"/>
    <n v="43.185000000000002"/>
    <d v="2023-01-01T00:00:00"/>
    <s v="Older"/>
    <n v="1"/>
    <s v="No"/>
    <m/>
    <s v="High"/>
    <s v="Low"/>
    <n v="0.33333333333333331"/>
    <s v="Low"/>
    <n v="1"/>
    <d v="2023-01-01T00:00:00"/>
    <s v="0–6 months"/>
    <s v="0–1 tickets"/>
    <s v="46+ min"/>
    <s v="501–700"/>
    <n v="1220"/>
    <n v="-61"/>
  </r>
  <r>
    <n v="10893"/>
    <n v="35"/>
    <s v="Male"/>
    <s v="Chennai"/>
    <d v="2023-05-30T00:00:00"/>
    <d v="2023-05-11T00:00:00"/>
    <x v="0"/>
    <n v="334"/>
    <x v="33"/>
    <n v="2"/>
    <n v="54.37"/>
    <n v="20"/>
    <x v="0"/>
    <x v="1"/>
    <n v="10955.2"/>
    <b v="0"/>
    <n v="2.75"/>
    <n v="331.9757575757576"/>
    <n v="18.123333333333331"/>
    <d v="2023-05-01T00:00:00"/>
    <s v="Adult"/>
    <n v="0"/>
    <s v="No"/>
    <m/>
    <s v="Medium"/>
    <s v="Medium"/>
    <n v="5.8823529411764705E-2"/>
    <s v="Medium"/>
    <n v="1"/>
    <d v="2023-05-01T00:00:00"/>
    <s v="25+ months"/>
    <s v="2–3 tickets"/>
    <s v="46+ min"/>
    <s v="301–500"/>
    <n v="11022"/>
    <n v="-66.799999999999272"/>
  </r>
  <r>
    <n v="10894"/>
    <n v="55"/>
    <s v="Female"/>
    <s v="Mumbai"/>
    <d v="2021-09-27T00:00:00"/>
    <d v="2023-09-18T00:00:00"/>
    <x v="0"/>
    <n v="516"/>
    <x v="27"/>
    <n v="0"/>
    <n v="15.51"/>
    <n v="15"/>
    <x v="3"/>
    <x v="0"/>
    <n v="15918.6"/>
    <b v="1"/>
    <n v="2.5833333333333335"/>
    <n v="513.50322580645161"/>
    <n v="15.51"/>
    <d v="2021-09-01T00:00:00"/>
    <s v="Older"/>
    <n v="1"/>
    <s v="Yes"/>
    <n v="721"/>
    <s v="Low"/>
    <s v="Low"/>
    <n v="0"/>
    <s v="Medium"/>
    <n v="1"/>
    <d v="2021-09-01T00:00:00"/>
    <s v="25+ months"/>
    <s v="0–1 tickets"/>
    <s v="11–20 min"/>
    <s v="501–700"/>
    <n v="15996"/>
    <n v="-77.399999999999636"/>
  </r>
  <r>
    <n v="10895"/>
    <n v="52"/>
    <s v="Female"/>
    <s v="Delhi"/>
    <d v="2023-05-09T00:00:00"/>
    <d v="2022-01-14T00:00:00"/>
    <x v="0"/>
    <n v="1020"/>
    <x v="12"/>
    <n v="3"/>
    <n v="115.67"/>
    <n v="5"/>
    <x v="0"/>
    <x v="1"/>
    <n v="35649"/>
    <b v="0"/>
    <n v="2.9166666666666665"/>
    <n v="1018.5428571428571"/>
    <n v="28.9175"/>
    <d v="2023-05-01T00:00:00"/>
    <s v="Older"/>
    <n v="0"/>
    <s v="Yes"/>
    <m/>
    <s v="High"/>
    <s v="Low"/>
    <n v="8.3333333333333329E-2"/>
    <s v="High"/>
    <n v="1"/>
    <d v="2023-05-01T00:00:00"/>
    <s v="25+ months"/>
    <s v="2–3 tickets"/>
    <s v="46+ min"/>
    <s v="1000+"/>
    <n v="35700"/>
    <n v="-51"/>
  </r>
  <r>
    <n v="10896"/>
    <n v="32"/>
    <s v="Male"/>
    <s v="Mumbai"/>
    <d v="2022-10-27T00:00:00"/>
    <d v="2022-03-08T00:00:00"/>
    <x v="0"/>
    <n v="1315"/>
    <x v="31"/>
    <n v="3"/>
    <n v="54.71"/>
    <n v="10"/>
    <x v="2"/>
    <x v="0"/>
    <n v="30113.5"/>
    <b v="0"/>
    <n v="1.9166666666666667"/>
    <n v="1309.2826086956522"/>
    <n v="13.6775"/>
    <d v="2022-10-01T00:00:00"/>
    <s v="Adult"/>
    <n v="1"/>
    <s v="Yes"/>
    <m/>
    <s v="Medium"/>
    <s v="Low"/>
    <n v="0.125"/>
    <s v="High"/>
    <n v="1"/>
    <d v="2022-10-01T00:00:00"/>
    <s v="13–24 months"/>
    <s v="2–3 tickets"/>
    <s v="46+ min"/>
    <s v="1000+"/>
    <n v="30245"/>
    <n v="-131.5"/>
  </r>
  <r>
    <n v="10897"/>
    <n v="42"/>
    <s v="Male"/>
    <s v="unknown"/>
    <d v="2021-11-29T00:00:00"/>
    <d v="2023-04-15T00:00:00"/>
    <x v="2"/>
    <n v="818"/>
    <x v="8"/>
    <n v="1"/>
    <n v="81.52"/>
    <n v="5"/>
    <x v="0"/>
    <x v="0"/>
    <n v="21227.1"/>
    <b v="1"/>
    <n v="2.1666666666666665"/>
    <n v="816.426923076923"/>
    <n v="40.76"/>
    <d v="2021-11-01T00:00:00"/>
    <s v="Middle-aged"/>
    <n v="1"/>
    <s v="Yes"/>
    <n v="502"/>
    <s v="High"/>
    <s v="Low"/>
    <n v="3.7037037037037035E-2"/>
    <s v="High"/>
    <n v="2"/>
    <d v="2021-11-01T00:00:00"/>
    <s v="25+ months"/>
    <s v="0–1 tickets"/>
    <s v="46+ min"/>
    <s v="701–1000"/>
    <n v="21268"/>
    <n v="-40.900000000001455"/>
  </r>
  <r>
    <n v="10898"/>
    <n v="54"/>
    <s v="Female"/>
    <s v="Bangalore"/>
    <d v="2021-03-26T00:00:00"/>
    <d v="2023-09-06T00:00:00"/>
    <x v="2"/>
    <n v="568"/>
    <x v="0"/>
    <n v="3"/>
    <n v="66.099999999999994"/>
    <n v="5"/>
    <x v="0"/>
    <x v="1"/>
    <n v="14171.6"/>
    <b v="1"/>
    <n v="2.0833333333333335"/>
    <n v="566.86400000000003"/>
    <n v="16.524999999999999"/>
    <d v="2021-03-01T00:00:00"/>
    <s v="Older"/>
    <n v="0"/>
    <s v="Yes"/>
    <n v="894"/>
    <s v="High"/>
    <s v="Low"/>
    <n v="0.11538461538461539"/>
    <s v="Medium"/>
    <n v="2"/>
    <d v="2021-03-01T00:00:00"/>
    <s v="25+ months"/>
    <s v="2–3 tickets"/>
    <s v="46+ min"/>
    <s v="501–700"/>
    <n v="14200"/>
    <n v="-28.399999999999636"/>
  </r>
  <r>
    <n v="10899"/>
    <n v="45"/>
    <s v="Female"/>
    <s v="Chennai"/>
    <d v="2022-09-13T00:00:00"/>
    <d v="2022-08-05T00:00:00"/>
    <x v="0"/>
    <n v="937"/>
    <x v="18"/>
    <n v="6"/>
    <n v="11.29"/>
    <n v="5"/>
    <x v="1"/>
    <x v="1"/>
    <n v="15882.15"/>
    <b v="0"/>
    <n v="1.4166666666666667"/>
    <n v="934.24411764705883"/>
    <n v="1.6128571428571428"/>
    <d v="2022-09-01T00:00:00"/>
    <s v="Middle-aged"/>
    <n v="0"/>
    <s v="Yes"/>
    <m/>
    <s v="Low"/>
    <s v="Low"/>
    <n v="0.33333333333333331"/>
    <s v="Medium"/>
    <n v="1"/>
    <d v="2022-09-01T00:00:00"/>
    <s v="13–24 months"/>
    <s v="6+ tickets"/>
    <s v="11–20 min"/>
    <s v="701–1000"/>
    <n v="15929"/>
    <n v="-46.850000000000364"/>
  </r>
  <r>
    <n v="10900"/>
    <n v="27"/>
    <s v="Female"/>
    <s v="Hyderabad"/>
    <d v="2021-01-31T00:00:00"/>
    <d v="2021-07-10T00:00:00"/>
    <x v="0"/>
    <n v="774"/>
    <x v="15"/>
    <n v="4"/>
    <n v="114.57"/>
    <n v="5"/>
    <x v="3"/>
    <x v="1"/>
    <n v="11571.3"/>
    <b v="1"/>
    <n v="1.25"/>
    <n v="771.42"/>
    <n v="22.913999999999998"/>
    <d v="2021-01-01T00:00:00"/>
    <s v="Adult"/>
    <n v="0"/>
    <s v="No"/>
    <n v="160"/>
    <s v="High"/>
    <s v="Low"/>
    <n v="0.25"/>
    <s v="Medium"/>
    <n v="1"/>
    <d v="2021-01-01T00:00:00"/>
    <s v="13–24 months"/>
    <s v="4–5 tickets"/>
    <s v="46+ min"/>
    <s v="701–1000"/>
    <n v="11610"/>
    <n v="-38.700000000000728"/>
  </r>
  <r>
    <n v="10901"/>
    <n v="56"/>
    <s v="Male"/>
    <s v="Hyderabad"/>
    <d v="2023-01-11T00:00:00"/>
    <d v="2022-11-01T00:00:00"/>
    <x v="0"/>
    <n v="389"/>
    <x v="2"/>
    <n v="1"/>
    <n v="96.14"/>
    <n v="0"/>
    <x v="2"/>
    <x v="1"/>
    <n v="1556"/>
    <b v="0"/>
    <n v="0.33333333333333331"/>
    <n v="389"/>
    <n v="48.07"/>
    <d v="2023-01-01T00:00:00"/>
    <s v="Older"/>
    <n v="0"/>
    <s v="No"/>
    <m/>
    <s v="High"/>
    <s v="Low"/>
    <n v="0.2"/>
    <s v="Low"/>
    <n v="1"/>
    <d v="2023-01-01T00:00:00"/>
    <s v="0–6 months"/>
    <s v="0–1 tickets"/>
    <s v="46+ min"/>
    <s v="301–500"/>
    <n v="1556"/>
    <n v="0"/>
  </r>
  <r>
    <n v="10902"/>
    <n v="34"/>
    <s v="Male"/>
    <s v="Pune"/>
    <d v="2021-08-28T00:00:00"/>
    <d v="2023-04-17T00:00:00"/>
    <x v="2"/>
    <n v="1365"/>
    <x v="1"/>
    <n v="1"/>
    <n v="22.15"/>
    <n v="20"/>
    <x v="3"/>
    <x v="1"/>
    <n v="29757"/>
    <b v="1"/>
    <n v="1.8333333333333333"/>
    <n v="1352.590909090909"/>
    <n v="11.074999999999999"/>
    <d v="2021-08-01T00:00:00"/>
    <s v="Adult"/>
    <n v="0"/>
    <s v="Yes"/>
    <n v="597"/>
    <s v="Medium"/>
    <s v="Medium"/>
    <n v="4.3478260869565216E-2"/>
    <s v="High"/>
    <n v="2"/>
    <d v="2021-08-01T00:00:00"/>
    <s v="13–24 months"/>
    <s v="0–1 tickets"/>
    <s v="21–30 min"/>
    <s v="1000+"/>
    <n v="30030"/>
    <n v="-273"/>
  </r>
  <r>
    <n v="10903"/>
    <n v="56"/>
    <s v="Male"/>
    <s v="Hyderabad"/>
    <d v="2023-06-09T00:00:00"/>
    <d v="2023-03-25T00:00:00"/>
    <x v="0"/>
    <n v="1281"/>
    <x v="18"/>
    <n v="0"/>
    <n v="117.89"/>
    <n v="0"/>
    <x v="1"/>
    <x v="1"/>
    <n v="21777"/>
    <b v="0"/>
    <n v="1.4166666666666667"/>
    <n v="1281"/>
    <n v="117.89"/>
    <d v="2023-06-01T00:00:00"/>
    <s v="Older"/>
    <n v="0"/>
    <s v="Yes"/>
    <m/>
    <s v="High"/>
    <s v="Low"/>
    <n v="0"/>
    <s v="High"/>
    <n v="1"/>
    <d v="2023-06-01T00:00:00"/>
    <s v="13–24 months"/>
    <s v="0–1 tickets"/>
    <s v="46+ min"/>
    <s v="1000+"/>
    <n v="21777"/>
    <n v="0"/>
  </r>
  <r>
    <n v="10904"/>
    <n v="39"/>
    <s v="Male"/>
    <s v="Bangalore"/>
    <d v="2021-12-29T00:00:00"/>
    <d v="2021-12-28T00:00:00"/>
    <x v="0"/>
    <n v="587"/>
    <x v="1"/>
    <n v="0"/>
    <n v="89.74"/>
    <n v="10"/>
    <x v="0"/>
    <x v="1"/>
    <n v="12855.3"/>
    <b v="0"/>
    <n v="1.8333333333333333"/>
    <n v="584.33181818181811"/>
    <n v="89.74"/>
    <d v="2021-12-01T00:00:00"/>
    <s v="Middle-aged"/>
    <n v="0"/>
    <s v="No"/>
    <m/>
    <s v="High"/>
    <s v="Low"/>
    <n v="0"/>
    <s v="Medium"/>
    <n v="1"/>
    <d v="2021-12-01T00:00:00"/>
    <s v="13–24 months"/>
    <s v="0–1 tickets"/>
    <s v="46+ min"/>
    <s v="501–700"/>
    <n v="12914"/>
    <n v="-58.700000000000728"/>
  </r>
  <r>
    <n v="10905"/>
    <n v="43"/>
    <s v="Female"/>
    <s v="Delhi"/>
    <d v="2023-04-02T00:00:00"/>
    <d v="2022-03-29T00:00:00"/>
    <x v="1"/>
    <n v="780"/>
    <x v="18"/>
    <n v="2"/>
    <n v="59.32"/>
    <n v="0"/>
    <x v="2"/>
    <x v="0"/>
    <n v="13260"/>
    <b v="0"/>
    <n v="1.4166666666666667"/>
    <n v="780"/>
    <n v="19.773333333333333"/>
    <d v="2023-04-01T00:00:00"/>
    <s v="Middle-aged"/>
    <n v="1"/>
    <s v="No"/>
    <m/>
    <s v="Medium"/>
    <s v="Low"/>
    <n v="0.1111111111111111"/>
    <s v="Medium"/>
    <n v="3"/>
    <d v="2023-04-01T00:00:00"/>
    <s v="13–24 months"/>
    <s v="2–3 tickets"/>
    <s v="46+ min"/>
    <s v="701–1000"/>
    <n v="13260"/>
    <n v="0"/>
  </r>
  <r>
    <n v="10906"/>
    <n v="61"/>
    <s v="Female"/>
    <s v="Bangalore"/>
    <d v="2022-01-24T00:00:00"/>
    <d v="2021-08-25T00:00:00"/>
    <x v="1"/>
    <n v="936"/>
    <x v="25"/>
    <n v="1"/>
    <n v="75.31"/>
    <n v="10"/>
    <x v="2"/>
    <x v="1"/>
    <n v="13010.4"/>
    <b v="0"/>
    <n v="1.1666666666666667"/>
    <n v="929.31428571428569"/>
    <n v="37.655000000000001"/>
    <d v="2022-01-01T00:00:00"/>
    <s v="Older"/>
    <n v="0"/>
    <s v="No"/>
    <m/>
    <s v="High"/>
    <s v="Low"/>
    <n v="6.6666666666666666E-2"/>
    <s v="Medium"/>
    <n v="3"/>
    <d v="2022-01-01T00:00:00"/>
    <s v="13–24 months"/>
    <s v="0–1 tickets"/>
    <s v="46+ min"/>
    <s v="701–1000"/>
    <n v="13104"/>
    <n v="-93.600000000000364"/>
  </r>
  <r>
    <n v="10907"/>
    <n v="42"/>
    <s v="Female"/>
    <s v="Delhi"/>
    <d v="2022-10-15T00:00:00"/>
    <d v="2022-07-02T00:00:00"/>
    <x v="0"/>
    <n v="800"/>
    <x v="25"/>
    <n v="2"/>
    <n v="17.27"/>
    <n v="15"/>
    <x v="3"/>
    <x v="1"/>
    <n v="11080"/>
    <b v="0"/>
    <n v="1.1666666666666667"/>
    <n v="791.42857142857144"/>
    <n v="5.7566666666666668"/>
    <d v="2022-10-01T00:00:00"/>
    <s v="Middle-aged"/>
    <n v="0"/>
    <s v="No"/>
    <m/>
    <s v="Low"/>
    <s v="Low"/>
    <n v="0.13333333333333333"/>
    <s v="Medium"/>
    <n v="1"/>
    <d v="2022-10-01T00:00:00"/>
    <s v="13–24 months"/>
    <s v="2–3 tickets"/>
    <s v="11–20 min"/>
    <s v="701–1000"/>
    <n v="11200"/>
    <n v="-120"/>
  </r>
  <r>
    <n v="10908"/>
    <n v="34"/>
    <s v="Female"/>
    <s v="Hyderabad"/>
    <d v="2022-10-30T00:00:00"/>
    <d v="2022-02-08T00:00:00"/>
    <x v="0"/>
    <n v="351"/>
    <x v="18"/>
    <n v="5"/>
    <n v="69.45"/>
    <n v="10"/>
    <x v="0"/>
    <x v="1"/>
    <n v="5931.9"/>
    <b v="0"/>
    <n v="1.4166666666666667"/>
    <n v="348.93529411764706"/>
    <n v="11.575000000000001"/>
    <d v="2022-10-01T00:00:00"/>
    <s v="Adult"/>
    <n v="0"/>
    <s v="No"/>
    <m/>
    <s v="High"/>
    <s v="Low"/>
    <n v="0.27777777777777779"/>
    <s v="Low"/>
    <n v="1"/>
    <d v="2022-10-01T00:00:00"/>
    <s v="13–24 months"/>
    <s v="4–5 tickets"/>
    <s v="46+ min"/>
    <s v="301–500"/>
    <n v="5967"/>
    <n v="-35.100000000000364"/>
  </r>
  <r>
    <n v="10909"/>
    <n v="30"/>
    <s v="Female"/>
    <s v="Hyderabad"/>
    <d v="2021-10-26T00:00:00"/>
    <d v="2022-11-15T00:00:00"/>
    <x v="0"/>
    <n v="402"/>
    <x v="14"/>
    <n v="5"/>
    <n v="13.47"/>
    <n v="0"/>
    <x v="1"/>
    <x v="1"/>
    <n v="3216"/>
    <b v="1"/>
    <n v="0.66666666666666663"/>
    <n v="402"/>
    <n v="2.2450000000000001"/>
    <d v="2021-10-01T00:00:00"/>
    <s v="Adult"/>
    <n v="0"/>
    <s v="No"/>
    <n v="385"/>
    <s v="Low"/>
    <s v="Low"/>
    <n v="0.55555555555555558"/>
    <s v="Low"/>
    <n v="1"/>
    <d v="2021-10-01T00:00:00"/>
    <s v="7–12 months"/>
    <s v="4–5 tickets"/>
    <s v="11–20 min"/>
    <s v="301–500"/>
    <n v="3216"/>
    <n v="0"/>
  </r>
  <r>
    <n v="10910"/>
    <n v="37"/>
    <s v="Male"/>
    <s v="Chennai"/>
    <d v="2023-05-07T00:00:00"/>
    <d v="2023-07-09T00:00:00"/>
    <x v="2"/>
    <n v="998"/>
    <x v="22"/>
    <n v="2"/>
    <n v="67.66"/>
    <n v="0"/>
    <x v="0"/>
    <x v="0"/>
    <n v="33932"/>
    <b v="1"/>
    <n v="2.8333333333333335"/>
    <n v="998"/>
    <n v="22.553333333333331"/>
    <d v="2023-05-01T00:00:00"/>
    <s v="Middle-aged"/>
    <n v="1"/>
    <s v="Yes"/>
    <n v="63"/>
    <s v="High"/>
    <s v="Low"/>
    <n v="5.7142857142857141E-2"/>
    <s v="High"/>
    <n v="2"/>
    <d v="2023-05-01T00:00:00"/>
    <s v="25+ months"/>
    <s v="2–3 tickets"/>
    <s v="46+ min"/>
    <s v="701–1000"/>
    <n v="33932"/>
    <n v="0"/>
  </r>
  <r>
    <n v="10911"/>
    <n v="42"/>
    <s v="Male"/>
    <s v="unknown"/>
    <d v="2022-01-06T00:00:00"/>
    <d v="2023-11-08T00:00:00"/>
    <x v="2"/>
    <n v="1337"/>
    <x v="8"/>
    <n v="3"/>
    <n v="68.56"/>
    <n v="10"/>
    <x v="3"/>
    <x v="1"/>
    <n v="34628.300000000003"/>
    <b v="1"/>
    <n v="2.1666666666666665"/>
    <n v="1331.8576923076923"/>
    <n v="17.14"/>
    <d v="2022-01-01T00:00:00"/>
    <s v="Middle-aged"/>
    <n v="0"/>
    <s v="Yes"/>
    <n v="671"/>
    <s v="High"/>
    <s v="Low"/>
    <n v="0.1111111111111111"/>
    <s v="High"/>
    <n v="2"/>
    <d v="2022-01-01T00:00:00"/>
    <s v="25+ months"/>
    <s v="2–3 tickets"/>
    <s v="46+ min"/>
    <s v="1000+"/>
    <n v="34762"/>
    <n v="-133.69999999999709"/>
  </r>
  <r>
    <n v="10912"/>
    <n v="21"/>
    <s v="Female"/>
    <s v="Hyderabad"/>
    <d v="2021-04-09T00:00:00"/>
    <d v="2022-06-16T00:00:00"/>
    <x v="0"/>
    <n v="769"/>
    <x v="3"/>
    <n v="2"/>
    <n v="105.56"/>
    <n v="0"/>
    <x v="2"/>
    <x v="1"/>
    <n v="23070"/>
    <b v="1"/>
    <n v="2.5"/>
    <n v="769"/>
    <n v="35.186666666666667"/>
    <d v="2021-04-01T00:00:00"/>
    <s v="Young"/>
    <n v="0"/>
    <s v="Yes"/>
    <n v="433"/>
    <s v="High"/>
    <s v="Low"/>
    <n v="6.4516129032258063E-2"/>
    <s v="High"/>
    <n v="1"/>
    <d v="2021-04-01T00:00:00"/>
    <s v="25+ months"/>
    <s v="2–3 tickets"/>
    <s v="46+ min"/>
    <s v="701–1000"/>
    <n v="23070"/>
    <n v="0"/>
  </r>
  <r>
    <n v="10913"/>
    <n v="27"/>
    <s v="Male"/>
    <s v="Pune"/>
    <d v="2021-02-16T00:00:00"/>
    <d v="2022-08-18T00:00:00"/>
    <x v="2"/>
    <n v="726"/>
    <x v="1"/>
    <n v="2"/>
    <n v="88.38"/>
    <n v="10"/>
    <x v="2"/>
    <x v="1"/>
    <n v="15899.4"/>
    <b v="1"/>
    <n v="1.8333333333333333"/>
    <n v="722.69999999999993"/>
    <n v="29.459999999999997"/>
    <d v="2021-02-01T00:00:00"/>
    <s v="Adult"/>
    <n v="0"/>
    <s v="Yes"/>
    <n v="548"/>
    <s v="High"/>
    <s v="Low"/>
    <n v="8.6956521739130432E-2"/>
    <s v="Medium"/>
    <n v="2"/>
    <d v="2021-02-01T00:00:00"/>
    <s v="13–24 months"/>
    <s v="2–3 tickets"/>
    <s v="46+ min"/>
    <s v="701–1000"/>
    <n v="15972"/>
    <n v="-72.600000000000364"/>
  </r>
  <r>
    <n v="10914"/>
    <n v="20"/>
    <s v="Female"/>
    <s v="Mumbai"/>
    <d v="2023-04-19T00:00:00"/>
    <d v="2021-07-03T00:00:00"/>
    <x v="0"/>
    <n v="409"/>
    <x v="24"/>
    <n v="0"/>
    <n v="33.700000000000003"/>
    <n v="5"/>
    <x v="0"/>
    <x v="1"/>
    <n v="6523.55"/>
    <b v="0"/>
    <n v="1.3333333333333333"/>
    <n v="407.72187500000001"/>
    <n v="33.700000000000003"/>
    <d v="2023-04-01T00:00:00"/>
    <s v="Young"/>
    <n v="0"/>
    <s v="No"/>
    <m/>
    <s v="Medium"/>
    <s v="Low"/>
    <n v="0"/>
    <s v="Low"/>
    <n v="1"/>
    <d v="2023-04-01T00:00:00"/>
    <s v="13–24 months"/>
    <s v="0–1 tickets"/>
    <s v="31–45 min"/>
    <s v="301–500"/>
    <n v="6544"/>
    <n v="-20.449999999999818"/>
  </r>
  <r>
    <n v="10915"/>
    <n v="58"/>
    <s v="Female"/>
    <s v="Chennai"/>
    <d v="2022-02-26T00:00:00"/>
    <d v="2022-02-15T00:00:00"/>
    <x v="0"/>
    <n v="814"/>
    <x v="3"/>
    <n v="2"/>
    <n v="107.17"/>
    <n v="20"/>
    <x v="0"/>
    <x v="1"/>
    <n v="24257.200000000001"/>
    <b v="0"/>
    <n v="2.5"/>
    <n v="808.57333333333338"/>
    <n v="35.723333333333336"/>
    <d v="2022-02-01T00:00:00"/>
    <s v="Older"/>
    <n v="0"/>
    <s v="Yes"/>
    <m/>
    <s v="High"/>
    <s v="Medium"/>
    <n v="6.4516129032258063E-2"/>
    <s v="High"/>
    <n v="1"/>
    <d v="2022-02-01T00:00:00"/>
    <s v="25+ months"/>
    <s v="2–3 tickets"/>
    <s v="46+ min"/>
    <s v="701–1000"/>
    <n v="24420"/>
    <n v="-162.79999999999927"/>
  </r>
  <r>
    <n v="10916"/>
    <n v="62"/>
    <s v="Male"/>
    <s v="Bangalore"/>
    <d v="2022-04-25T00:00:00"/>
    <d v="2022-01-20T00:00:00"/>
    <x v="0"/>
    <n v="367"/>
    <x v="24"/>
    <n v="1"/>
    <n v="70.92"/>
    <n v="10"/>
    <x v="0"/>
    <x v="1"/>
    <n v="5835.3"/>
    <b v="0"/>
    <n v="1.3333333333333333"/>
    <n v="364.70625000000001"/>
    <n v="35.46"/>
    <d v="2022-04-01T00:00:00"/>
    <s v="Older"/>
    <n v="0"/>
    <s v="No"/>
    <m/>
    <s v="High"/>
    <s v="Low"/>
    <n v="5.8823529411764705E-2"/>
    <s v="Low"/>
    <n v="1"/>
    <d v="2022-04-01T00:00:00"/>
    <s v="13–24 months"/>
    <s v="0–1 tickets"/>
    <s v="46+ min"/>
    <s v="301–500"/>
    <n v="5872"/>
    <n v="-36.699999999999818"/>
  </r>
  <r>
    <n v="10917"/>
    <n v="35"/>
    <s v="Female"/>
    <s v="Chennai"/>
    <d v="2022-08-02T00:00:00"/>
    <d v="2022-10-28T00:00:00"/>
    <x v="2"/>
    <n v="688"/>
    <x v="30"/>
    <n v="4"/>
    <n v="74.73"/>
    <n v="5"/>
    <x v="0"/>
    <x v="1"/>
    <n v="16477.599999999999"/>
    <b v="1"/>
    <n v="2"/>
    <n v="686.56666666666661"/>
    <n v="14.946000000000002"/>
    <d v="2022-08-01T00:00:00"/>
    <s v="Adult"/>
    <n v="0"/>
    <s v="Yes"/>
    <n v="87"/>
    <s v="High"/>
    <s v="Low"/>
    <n v="0.16"/>
    <s v="Medium"/>
    <n v="2"/>
    <d v="2022-08-01T00:00:00"/>
    <s v="13–24 months"/>
    <s v="4–5 tickets"/>
    <s v="46+ min"/>
    <s v="501–700"/>
    <n v="16512"/>
    <n v="-34.400000000001455"/>
  </r>
  <r>
    <n v="10918"/>
    <n v="64"/>
    <s v="Female"/>
    <s v="Mumbai"/>
    <d v="2021-03-03T00:00:00"/>
    <d v="2023-10-07T00:00:00"/>
    <x v="0"/>
    <n v="607"/>
    <x v="12"/>
    <n v="0"/>
    <n v="24.43"/>
    <n v="5"/>
    <x v="1"/>
    <x v="1"/>
    <n v="21214.65"/>
    <b v="1"/>
    <n v="2.9166666666666665"/>
    <n v="606.13285714285723"/>
    <n v="24.43"/>
    <d v="2021-03-01T00:00:00"/>
    <s v="Older"/>
    <n v="0"/>
    <s v="Yes"/>
    <n v="948"/>
    <s v="Medium"/>
    <s v="Low"/>
    <n v="0"/>
    <s v="High"/>
    <n v="1"/>
    <d v="2021-03-01T00:00:00"/>
    <s v="25+ months"/>
    <s v="0–1 tickets"/>
    <s v="21–30 min"/>
    <s v="501–700"/>
    <n v="21245"/>
    <n v="-30.349999999998545"/>
  </r>
  <r>
    <n v="10919"/>
    <n v="53"/>
    <s v="Female"/>
    <s v="Delhi"/>
    <d v="2021-04-19T00:00:00"/>
    <d v="2022-04-04T00:00:00"/>
    <x v="0"/>
    <n v="1389"/>
    <x v="20"/>
    <n v="4"/>
    <n v="103.64"/>
    <n v="5"/>
    <x v="1"/>
    <x v="1"/>
    <n v="8264.5499999999993"/>
    <b v="1"/>
    <n v="0.5"/>
    <n v="1377.425"/>
    <n v="20.728000000000002"/>
    <d v="2021-04-01T00:00:00"/>
    <s v="Older"/>
    <n v="0"/>
    <s v="No"/>
    <n v="350"/>
    <s v="High"/>
    <s v="Low"/>
    <n v="0.5714285714285714"/>
    <s v="Low"/>
    <n v="1"/>
    <d v="2021-04-01T00:00:00"/>
    <s v="0–6 months"/>
    <s v="4–5 tickets"/>
    <s v="46+ min"/>
    <s v="1000+"/>
    <n v="8334"/>
    <n v="-69.450000000000728"/>
  </r>
  <r>
    <n v="10920"/>
    <n v="64"/>
    <s v="Female"/>
    <s v="Bangalore"/>
    <d v="2022-11-10T00:00:00"/>
    <d v="2023-06-09T00:00:00"/>
    <x v="0"/>
    <n v="759"/>
    <x v="2"/>
    <n v="6"/>
    <n v="112.06"/>
    <n v="5"/>
    <x v="1"/>
    <x v="1"/>
    <n v="2998.05"/>
    <b v="1"/>
    <n v="0.33333333333333331"/>
    <n v="749.51250000000005"/>
    <n v="16.008571428571429"/>
    <d v="2022-11-01T00:00:00"/>
    <s v="Older"/>
    <n v="0"/>
    <s v="No"/>
    <n v="211"/>
    <s v="High"/>
    <s v="Low"/>
    <n v="1.2"/>
    <s v="Low"/>
    <n v="1"/>
    <d v="2022-11-01T00:00:00"/>
    <s v="0–6 months"/>
    <s v="6+ tickets"/>
    <s v="46+ min"/>
    <s v="701–1000"/>
    <n v="3036"/>
    <n v="-37.949999999999818"/>
  </r>
  <r>
    <n v="10921"/>
    <n v="39"/>
    <s v="Female"/>
    <s v="Bangalore"/>
    <d v="2022-07-03T00:00:00"/>
    <d v="2023-08-05T00:00:00"/>
    <x v="0"/>
    <n v="646"/>
    <x v="10"/>
    <n v="3"/>
    <n v="94.12"/>
    <n v="10"/>
    <x v="1"/>
    <x v="1"/>
    <n v="11563.4"/>
    <b v="1"/>
    <n v="1.5"/>
    <n v="642.41111111111104"/>
    <n v="23.53"/>
    <d v="2022-07-01T00:00:00"/>
    <s v="Middle-aged"/>
    <n v="0"/>
    <s v="No"/>
    <n v="398"/>
    <s v="High"/>
    <s v="Low"/>
    <n v="0.15789473684210525"/>
    <s v="Medium"/>
    <n v="1"/>
    <d v="2022-07-01T00:00:00"/>
    <s v="13–24 months"/>
    <s v="2–3 tickets"/>
    <s v="46+ min"/>
    <s v="501–700"/>
    <n v="11628"/>
    <n v="-64.600000000000364"/>
  </r>
  <r>
    <n v="10922"/>
    <n v="51"/>
    <s v="Male"/>
    <s v="Delhi"/>
    <d v="2021-04-29T00:00:00"/>
    <d v="2021-08-09T00:00:00"/>
    <x v="2"/>
    <n v="624"/>
    <x v="20"/>
    <n v="2"/>
    <n v="113.19"/>
    <n v="0"/>
    <x v="3"/>
    <x v="1"/>
    <n v="3744"/>
    <b v="1"/>
    <n v="0.5"/>
    <n v="624"/>
    <n v="37.729999999999997"/>
    <d v="2021-04-01T00:00:00"/>
    <s v="Older"/>
    <n v="0"/>
    <s v="No"/>
    <n v="102"/>
    <s v="High"/>
    <s v="Low"/>
    <n v="0.2857142857142857"/>
    <s v="Low"/>
    <n v="2"/>
    <d v="2021-04-01T00:00:00"/>
    <s v="0–6 months"/>
    <s v="2–3 tickets"/>
    <s v="46+ min"/>
    <s v="501–700"/>
    <n v="3744"/>
    <n v="0"/>
  </r>
  <r>
    <n v="10923"/>
    <n v="64"/>
    <s v="Male"/>
    <s v="Chennai"/>
    <d v="2022-08-21T00:00:00"/>
    <d v="2022-08-28T00:00:00"/>
    <x v="0"/>
    <n v="966"/>
    <x v="8"/>
    <n v="2"/>
    <n v="39.76"/>
    <n v="5"/>
    <x v="2"/>
    <x v="1"/>
    <n v="25067.7"/>
    <b v="1"/>
    <n v="2.1666666666666665"/>
    <n v="964.14230769230767"/>
    <n v="13.253333333333332"/>
    <d v="2022-08-01T00:00:00"/>
    <s v="Older"/>
    <n v="0"/>
    <s v="Yes"/>
    <n v="7"/>
    <s v="Medium"/>
    <s v="Low"/>
    <n v="7.407407407407407E-2"/>
    <s v="High"/>
    <n v="1"/>
    <d v="2022-08-01T00:00:00"/>
    <s v="25+ months"/>
    <s v="2–3 tickets"/>
    <s v="31–45 min"/>
    <s v="701–1000"/>
    <n v="25116"/>
    <n v="-48.299999999999272"/>
  </r>
  <r>
    <n v="10924"/>
    <n v="25"/>
    <s v="Female"/>
    <s v="Hyderabad"/>
    <d v="2022-01-17T00:00:00"/>
    <d v="2022-08-13T00:00:00"/>
    <x v="0"/>
    <n v="1356"/>
    <x v="26"/>
    <n v="1"/>
    <n v="104.03"/>
    <n v="15"/>
    <x v="2"/>
    <x v="0"/>
    <n v="36408.6"/>
    <b v="1"/>
    <n v="2.25"/>
    <n v="1348.4666666666667"/>
    <n v="52.015000000000001"/>
    <d v="2022-01-01T00:00:00"/>
    <s v="Young"/>
    <n v="1"/>
    <s v="Yes"/>
    <n v="208"/>
    <s v="High"/>
    <s v="Low"/>
    <n v="3.5714285714285712E-2"/>
    <s v="High"/>
    <n v="1"/>
    <d v="2022-01-01T00:00:00"/>
    <s v="25+ months"/>
    <s v="0–1 tickets"/>
    <s v="46+ min"/>
    <s v="1000+"/>
    <n v="36612"/>
    <n v="-203.40000000000146"/>
  </r>
  <r>
    <n v="10925"/>
    <n v="41"/>
    <s v="Female"/>
    <s v="Chennai"/>
    <d v="2022-01-27T00:00:00"/>
    <d v="2023-09-03T00:00:00"/>
    <x v="2"/>
    <n v="367"/>
    <x v="11"/>
    <n v="2"/>
    <n v="61.22"/>
    <n v="5"/>
    <x v="3"/>
    <x v="1"/>
    <n v="4018.65"/>
    <b v="1"/>
    <n v="0.91666666666666663"/>
    <n v="365.33181818181816"/>
    <n v="20.406666666666666"/>
    <d v="2022-01-01T00:00:00"/>
    <s v="Middle-aged"/>
    <n v="0"/>
    <s v="No"/>
    <n v="584"/>
    <s v="High"/>
    <s v="Low"/>
    <n v="0.16666666666666666"/>
    <s v="Low"/>
    <n v="2"/>
    <d v="2022-01-01T00:00:00"/>
    <s v="7–12 months"/>
    <s v="2–3 tickets"/>
    <s v="46+ min"/>
    <s v="301–500"/>
    <n v="4037"/>
    <n v="-18.349999999999909"/>
  </r>
  <r>
    <n v="10926"/>
    <n v="61"/>
    <s v="Male"/>
    <s v="Mumbai"/>
    <d v="2021-02-21T00:00:00"/>
    <d v="2022-05-30T00:00:00"/>
    <x v="2"/>
    <n v="486"/>
    <x v="24"/>
    <n v="2"/>
    <n v="23.85"/>
    <n v="0"/>
    <x v="3"/>
    <x v="1"/>
    <n v="7776"/>
    <b v="1"/>
    <n v="1.3333333333333333"/>
    <n v="486"/>
    <n v="7.95"/>
    <d v="2021-02-01T00:00:00"/>
    <s v="Older"/>
    <n v="0"/>
    <s v="No"/>
    <n v="463"/>
    <s v="Medium"/>
    <s v="Low"/>
    <n v="0.11764705882352941"/>
    <s v="Low"/>
    <n v="2"/>
    <d v="2021-02-01T00:00:00"/>
    <s v="13–24 months"/>
    <s v="2–3 tickets"/>
    <s v="21–30 min"/>
    <s v="301–500"/>
    <n v="7776"/>
    <n v="0"/>
  </r>
  <r>
    <n v="10927"/>
    <n v="36"/>
    <s v="Male"/>
    <s v="Pune"/>
    <d v="2022-08-26T00:00:00"/>
    <d v="2023-07-06T00:00:00"/>
    <x v="1"/>
    <n v="491"/>
    <x v="17"/>
    <n v="2"/>
    <n v="81.91"/>
    <n v="0"/>
    <x v="1"/>
    <x v="1"/>
    <n v="9329"/>
    <b v="1"/>
    <n v="1.5833333333333333"/>
    <n v="491"/>
    <n v="27.303333333333331"/>
    <d v="2022-08-01T00:00:00"/>
    <s v="Middle-aged"/>
    <n v="0"/>
    <s v="No"/>
    <n v="314"/>
    <s v="High"/>
    <s v="Low"/>
    <n v="0.1"/>
    <s v="Medium"/>
    <n v="3"/>
    <d v="2022-08-01T00:00:00"/>
    <s v="13–24 months"/>
    <s v="2–3 tickets"/>
    <s v="46+ min"/>
    <s v="301–500"/>
    <n v="9329"/>
    <n v="0"/>
  </r>
  <r>
    <n v="10928"/>
    <n v="59"/>
    <s v="Female"/>
    <s v="Hyderabad"/>
    <d v="2021-10-16T00:00:00"/>
    <d v="2022-09-24T00:00:00"/>
    <x v="2"/>
    <n v="727"/>
    <x v="15"/>
    <n v="2"/>
    <n v="83.67"/>
    <n v="20"/>
    <x v="0"/>
    <x v="1"/>
    <n v="10759.6"/>
    <b v="1"/>
    <n v="1.25"/>
    <n v="717.30666666666673"/>
    <n v="27.89"/>
    <d v="2021-10-01T00:00:00"/>
    <s v="Older"/>
    <n v="0"/>
    <s v="No"/>
    <n v="343"/>
    <s v="High"/>
    <s v="Medium"/>
    <n v="0.125"/>
    <s v="Medium"/>
    <n v="2"/>
    <d v="2021-10-01T00:00:00"/>
    <s v="13–24 months"/>
    <s v="2–3 tickets"/>
    <s v="46+ min"/>
    <s v="701–1000"/>
    <n v="10905"/>
    <n v="-145.39999999999964"/>
  </r>
  <r>
    <n v="10929"/>
    <n v="58"/>
    <s v="Female"/>
    <s v="Chennai"/>
    <d v="2021-12-03T00:00:00"/>
    <d v="2021-10-22T00:00:00"/>
    <x v="0"/>
    <n v="1431"/>
    <x v="8"/>
    <n v="3"/>
    <n v="38"/>
    <n v="20"/>
    <x v="2"/>
    <x v="1"/>
    <n v="36919.800000000003"/>
    <b v="0"/>
    <n v="2.1666666666666665"/>
    <n v="1419.9923076923078"/>
    <n v="9.5"/>
    <d v="2021-12-01T00:00:00"/>
    <s v="Older"/>
    <n v="0"/>
    <s v="Yes"/>
    <m/>
    <s v="Medium"/>
    <s v="Medium"/>
    <n v="0.1111111111111111"/>
    <s v="High"/>
    <n v="1"/>
    <d v="2021-12-01T00:00:00"/>
    <s v="25+ months"/>
    <s v="2–3 tickets"/>
    <s v="31–45 min"/>
    <s v="1000+"/>
    <n v="37206"/>
    <n v="-286.19999999999709"/>
  </r>
  <r>
    <n v="10930"/>
    <n v="54"/>
    <s v="Female"/>
    <s v="Pune"/>
    <d v="2023-03-21T00:00:00"/>
    <d v="2021-06-24T00:00:00"/>
    <x v="2"/>
    <n v="515"/>
    <x v="27"/>
    <n v="2"/>
    <n v="8.16"/>
    <n v="5"/>
    <x v="3"/>
    <x v="1"/>
    <n v="15939.25"/>
    <b v="0"/>
    <n v="2.5833333333333335"/>
    <n v="514.16935483870964"/>
    <n v="2.72"/>
    <d v="2023-03-01T00:00:00"/>
    <s v="Older"/>
    <n v="0"/>
    <s v="Yes"/>
    <m/>
    <s v="Low"/>
    <s v="Low"/>
    <n v="6.25E-2"/>
    <s v="Medium"/>
    <n v="2"/>
    <d v="2023-03-01T00:00:00"/>
    <s v="25+ months"/>
    <s v="2–3 tickets"/>
    <s v="0–10 min"/>
    <s v="501–700"/>
    <n v="15965"/>
    <n v="-25.75"/>
  </r>
  <r>
    <n v="10931"/>
    <n v="23"/>
    <s v="Female"/>
    <s v="Pune"/>
    <d v="2021-07-23T00:00:00"/>
    <d v="2022-07-30T00:00:00"/>
    <x v="2"/>
    <n v="476"/>
    <x v="17"/>
    <n v="1"/>
    <n v="27.98"/>
    <n v="5"/>
    <x v="0"/>
    <x v="1"/>
    <n v="9020.2000000000007"/>
    <b v="1"/>
    <n v="1.5833333333333333"/>
    <n v="474.74736842105267"/>
    <n v="13.99"/>
    <d v="2021-07-01T00:00:00"/>
    <s v="Young"/>
    <n v="0"/>
    <s v="No"/>
    <n v="372"/>
    <s v="Medium"/>
    <s v="Low"/>
    <n v="0.05"/>
    <s v="Medium"/>
    <n v="2"/>
    <d v="2021-07-01T00:00:00"/>
    <s v="13–24 months"/>
    <s v="0–1 tickets"/>
    <s v="21–30 min"/>
    <s v="301–500"/>
    <n v="9044"/>
    <n v="-23.799999999999272"/>
  </r>
  <r>
    <n v="10932"/>
    <n v="43"/>
    <s v="Male"/>
    <s v="Delhi"/>
    <d v="2023-05-30T00:00:00"/>
    <d v="2023-06-16T00:00:00"/>
    <x v="0"/>
    <n v="860"/>
    <x v="30"/>
    <n v="2"/>
    <n v="50.97"/>
    <n v="20"/>
    <x v="1"/>
    <x v="1"/>
    <n v="20468"/>
    <b v="1"/>
    <n v="2"/>
    <n v="852.83333333333337"/>
    <n v="16.989999999999998"/>
    <d v="2023-05-01T00:00:00"/>
    <s v="Middle-aged"/>
    <n v="0"/>
    <s v="Yes"/>
    <n v="17"/>
    <s v="Medium"/>
    <s v="Medium"/>
    <n v="0.08"/>
    <s v="High"/>
    <n v="1"/>
    <d v="2023-05-01T00:00:00"/>
    <s v="13–24 months"/>
    <s v="2–3 tickets"/>
    <s v="46+ min"/>
    <s v="701–1000"/>
    <n v="20640"/>
    <n v="-172"/>
  </r>
  <r>
    <n v="10933"/>
    <n v="51"/>
    <s v="Male"/>
    <s v="Mumbai"/>
    <d v="2021-08-26T00:00:00"/>
    <d v="2023-09-23T00:00:00"/>
    <x v="1"/>
    <n v="1180"/>
    <x v="9"/>
    <n v="2"/>
    <n v="24.27"/>
    <n v="5"/>
    <x v="3"/>
    <x v="1"/>
    <n v="10561"/>
    <b v="1"/>
    <n v="0.75"/>
    <n v="1173.4444444444443"/>
    <n v="8.09"/>
    <d v="2021-08-01T00:00:00"/>
    <s v="Older"/>
    <n v="0"/>
    <s v="No"/>
    <n v="758"/>
    <s v="Medium"/>
    <s v="Low"/>
    <n v="0.2"/>
    <s v="Medium"/>
    <n v="3"/>
    <d v="2021-08-01T00:00:00"/>
    <s v="7–12 months"/>
    <s v="2–3 tickets"/>
    <s v="21–30 min"/>
    <s v="1000+"/>
    <n v="10620"/>
    <n v="-59"/>
  </r>
  <r>
    <n v="10934"/>
    <n v="62"/>
    <s v="Female"/>
    <s v="Mumbai"/>
    <d v="2022-01-17T00:00:00"/>
    <d v="2021-11-22T00:00:00"/>
    <x v="0"/>
    <n v="925"/>
    <x v="31"/>
    <n v="3"/>
    <n v="27.31"/>
    <n v="15"/>
    <x v="2"/>
    <x v="1"/>
    <n v="21136.25"/>
    <b v="0"/>
    <n v="1.9166666666666667"/>
    <n v="918.96739130434787"/>
    <n v="6.8274999999999997"/>
    <d v="2022-01-01T00:00:00"/>
    <s v="Older"/>
    <n v="0"/>
    <s v="Yes"/>
    <m/>
    <s v="Medium"/>
    <s v="Low"/>
    <n v="0.125"/>
    <s v="High"/>
    <n v="1"/>
    <d v="2022-01-01T00:00:00"/>
    <s v="13–24 months"/>
    <s v="2–3 tickets"/>
    <s v="21–30 min"/>
    <s v="701–1000"/>
    <n v="21275"/>
    <n v="-138.75"/>
  </r>
  <r>
    <n v="10935"/>
    <n v="23"/>
    <s v="Male"/>
    <s v="Mumbai"/>
    <d v="2022-10-29T00:00:00"/>
    <d v="2023-09-22T00:00:00"/>
    <x v="1"/>
    <n v="906"/>
    <x v="2"/>
    <n v="2"/>
    <n v="50.01"/>
    <n v="10"/>
    <x v="2"/>
    <x v="1"/>
    <n v="3533.4"/>
    <b v="1"/>
    <n v="0.33333333333333331"/>
    <n v="883.35"/>
    <n v="16.669999999999998"/>
    <d v="2022-10-01T00:00:00"/>
    <s v="Young"/>
    <n v="0"/>
    <s v="No"/>
    <n v="328"/>
    <s v="Medium"/>
    <s v="Low"/>
    <n v="0.4"/>
    <s v="Low"/>
    <n v="3"/>
    <d v="2022-10-01T00:00:00"/>
    <s v="0–6 months"/>
    <s v="2–3 tickets"/>
    <s v="46+ min"/>
    <s v="701–1000"/>
    <n v="3624"/>
    <n v="-90.599999999999909"/>
  </r>
  <r>
    <n v="10936"/>
    <n v="54"/>
    <s v="Male"/>
    <s v="Hyderabad"/>
    <d v="2023-01-22T00:00:00"/>
    <d v="2022-04-21T00:00:00"/>
    <x v="1"/>
    <n v="478"/>
    <x v="32"/>
    <n v="3"/>
    <n v="115.61"/>
    <n v="20"/>
    <x v="2"/>
    <x v="1"/>
    <n v="4684.3999999999996"/>
    <b v="0"/>
    <n v="0.83333333333333337"/>
    <n v="468.43999999999994"/>
    <n v="28.9025"/>
    <d v="2023-01-01T00:00:00"/>
    <s v="Older"/>
    <n v="0"/>
    <s v="No"/>
    <m/>
    <s v="High"/>
    <s v="Medium"/>
    <n v="0.27272727272727271"/>
    <s v="Low"/>
    <n v="3"/>
    <d v="2023-01-01T00:00:00"/>
    <s v="7–12 months"/>
    <s v="2–3 tickets"/>
    <s v="46+ min"/>
    <s v="301–500"/>
    <n v="4780"/>
    <n v="-95.600000000000364"/>
  </r>
  <r>
    <n v="10937"/>
    <n v="50"/>
    <s v="Male"/>
    <s v="Bangalore"/>
    <d v="2021-05-16T00:00:00"/>
    <d v="2023-10-17T00:00:00"/>
    <x v="2"/>
    <n v="694"/>
    <x v="9"/>
    <n v="1"/>
    <n v="92.89"/>
    <n v="20"/>
    <x v="3"/>
    <x v="1"/>
    <n v="6107.2"/>
    <b v="1"/>
    <n v="0.75"/>
    <n v="678.57777777777778"/>
    <n v="46.445"/>
    <d v="2021-05-01T00:00:00"/>
    <s v="Middle-aged"/>
    <n v="0"/>
    <s v="No"/>
    <n v="884"/>
    <s v="High"/>
    <s v="Medium"/>
    <n v="0.1"/>
    <s v="Low"/>
    <n v="2"/>
    <d v="2021-05-01T00:00:00"/>
    <s v="7–12 months"/>
    <s v="0–1 tickets"/>
    <s v="46+ min"/>
    <s v="501–700"/>
    <n v="6246"/>
    <n v="-138.80000000000018"/>
  </r>
  <r>
    <n v="10938"/>
    <n v="39"/>
    <s v="Female"/>
    <s v="Hyderabad"/>
    <d v="2022-02-11T00:00:00"/>
    <d v="2023-04-02T00:00:00"/>
    <x v="1"/>
    <n v="1468"/>
    <x v="17"/>
    <n v="3"/>
    <n v="41.77"/>
    <n v="10"/>
    <x v="2"/>
    <x v="1"/>
    <n v="27892"/>
    <b v="1"/>
    <n v="1.5833333333333333"/>
    <n v="1468"/>
    <n v="10.442500000000001"/>
    <d v="2022-02-01T00:00:00"/>
    <s v="Middle-aged"/>
    <n v="0"/>
    <s v="Yes"/>
    <n v="415"/>
    <s v="Medium"/>
    <s v="Low"/>
    <n v="0.15"/>
    <s v="High"/>
    <n v="3"/>
    <d v="2022-02-01T00:00:00"/>
    <s v="13–24 months"/>
    <s v="2–3 tickets"/>
    <s v="31–45 min"/>
    <s v="1000+"/>
    <n v="27892"/>
    <n v="0"/>
  </r>
  <r>
    <n v="10939"/>
    <n v="38"/>
    <s v="Female"/>
    <s v="Chennai"/>
    <d v="2022-05-23T00:00:00"/>
    <d v="2023-10-08T00:00:00"/>
    <x v="2"/>
    <n v="1175"/>
    <x v="15"/>
    <n v="3"/>
    <n v="114.43"/>
    <n v="5"/>
    <x v="1"/>
    <x v="1"/>
    <n v="17566.25"/>
    <b v="1"/>
    <n v="1.25"/>
    <n v="1171.0833333333333"/>
    <n v="28.607500000000002"/>
    <d v="2022-05-01T00:00:00"/>
    <s v="Middle-aged"/>
    <n v="0"/>
    <s v="Yes"/>
    <n v="503"/>
    <s v="High"/>
    <s v="Low"/>
    <n v="0.1875"/>
    <s v="Medium"/>
    <n v="2"/>
    <d v="2022-05-01T00:00:00"/>
    <s v="13–24 months"/>
    <s v="2–3 tickets"/>
    <s v="46+ min"/>
    <s v="1000+"/>
    <n v="17625"/>
    <n v="-58.75"/>
  </r>
  <r>
    <n v="10940"/>
    <n v="23"/>
    <s v="Male"/>
    <s v="Pune"/>
    <d v="2021-12-28T00:00:00"/>
    <d v="2022-05-14T00:00:00"/>
    <x v="0"/>
    <n v="1261"/>
    <x v="22"/>
    <n v="4"/>
    <n v="79.25"/>
    <n v="20"/>
    <x v="2"/>
    <x v="1"/>
    <n v="42621.8"/>
    <b v="1"/>
    <n v="2.8333333333333335"/>
    <n v="1253.5823529411766"/>
    <n v="15.85"/>
    <d v="2021-12-01T00:00:00"/>
    <s v="Young"/>
    <n v="0"/>
    <s v="Yes"/>
    <n v="137"/>
    <s v="High"/>
    <s v="Medium"/>
    <n v="0.11428571428571428"/>
    <s v="High"/>
    <n v="1"/>
    <d v="2021-12-01T00:00:00"/>
    <s v="25+ months"/>
    <s v="4–5 tickets"/>
    <s v="46+ min"/>
    <s v="1000+"/>
    <n v="42874"/>
    <n v="-252.19999999999709"/>
  </r>
  <r>
    <n v="10941"/>
    <n v="23"/>
    <s v="Male"/>
    <s v="Pune"/>
    <d v="2022-01-16T00:00:00"/>
    <d v="2023-08-07T00:00:00"/>
    <x v="0"/>
    <n v="497"/>
    <x v="17"/>
    <n v="3"/>
    <n v="57.38"/>
    <n v="20"/>
    <x v="1"/>
    <x v="1"/>
    <n v="9343.6"/>
    <b v="1"/>
    <n v="1.5833333333333333"/>
    <n v="491.7684210526316"/>
    <n v="14.345000000000001"/>
    <d v="2022-01-01T00:00:00"/>
    <s v="Young"/>
    <n v="0"/>
    <s v="No"/>
    <n v="568"/>
    <s v="Medium"/>
    <s v="Medium"/>
    <n v="0.15"/>
    <s v="Medium"/>
    <n v="1"/>
    <d v="2022-01-01T00:00:00"/>
    <s v="13–24 months"/>
    <s v="2–3 tickets"/>
    <s v="46+ min"/>
    <s v="301–500"/>
    <n v="9443"/>
    <n v="-99.399999999999636"/>
  </r>
  <r>
    <n v="10942"/>
    <n v="21"/>
    <s v="Female"/>
    <s v="Bangalore"/>
    <d v="2023-05-31T00:00:00"/>
    <d v="2021-06-18T00:00:00"/>
    <x v="0"/>
    <n v="1268"/>
    <x v="6"/>
    <n v="2"/>
    <n v="58.85"/>
    <n v="15"/>
    <x v="2"/>
    <x v="1"/>
    <n v="26437.8"/>
    <b v="0"/>
    <n v="1.75"/>
    <n v="1258.9428571428571"/>
    <n v="19.616666666666667"/>
    <d v="2023-05-01T00:00:00"/>
    <s v="Young"/>
    <n v="0"/>
    <s v="Yes"/>
    <m/>
    <s v="Medium"/>
    <s v="Low"/>
    <n v="9.0909090909090912E-2"/>
    <s v="High"/>
    <n v="1"/>
    <d v="2023-05-01T00:00:00"/>
    <s v="13–24 months"/>
    <s v="2–3 tickets"/>
    <s v="46+ min"/>
    <s v="1000+"/>
    <n v="26628"/>
    <n v="-190.20000000000073"/>
  </r>
  <r>
    <n v="10943"/>
    <n v="47"/>
    <s v="Other"/>
    <s v="Chennai"/>
    <d v="2022-07-30T00:00:00"/>
    <d v="2021-07-14T00:00:00"/>
    <x v="0"/>
    <n v="1407"/>
    <x v="22"/>
    <n v="1"/>
    <n v="52.24"/>
    <n v="5"/>
    <x v="1"/>
    <x v="1"/>
    <n v="47767.65"/>
    <b v="0"/>
    <n v="2.8333333333333335"/>
    <n v="1404.9308823529411"/>
    <n v="26.12"/>
    <d v="2022-07-01T00:00:00"/>
    <s v="Middle-aged"/>
    <n v="0"/>
    <s v="Yes"/>
    <m/>
    <s v="Medium"/>
    <s v="Low"/>
    <n v="2.8571428571428571E-2"/>
    <s v="High"/>
    <n v="1"/>
    <d v="2022-07-01T00:00:00"/>
    <s v="25+ months"/>
    <s v="0–1 tickets"/>
    <s v="46+ min"/>
    <s v="1000+"/>
    <n v="47838"/>
    <n v="-70.349999999998545"/>
  </r>
  <r>
    <n v="10944"/>
    <n v="28"/>
    <s v="Male"/>
    <s v="Bangalore"/>
    <d v="2022-09-27T00:00:00"/>
    <d v="2021-11-02T00:00:00"/>
    <x v="2"/>
    <n v="968"/>
    <x v="18"/>
    <n v="5"/>
    <n v="31.79"/>
    <n v="10"/>
    <x v="3"/>
    <x v="1"/>
    <n v="16359.2"/>
    <b v="0"/>
    <n v="1.4166666666666667"/>
    <n v="962.30588235294124"/>
    <n v="5.2983333333333329"/>
    <d v="2022-09-01T00:00:00"/>
    <s v="Adult"/>
    <n v="0"/>
    <s v="Yes"/>
    <m/>
    <s v="Medium"/>
    <s v="Low"/>
    <n v="0.27777777777777779"/>
    <s v="Medium"/>
    <n v="2"/>
    <d v="2022-09-01T00:00:00"/>
    <s v="13–24 months"/>
    <s v="4–5 tickets"/>
    <s v="31–45 min"/>
    <s v="701–1000"/>
    <n v="16456"/>
    <n v="-96.799999999999272"/>
  </r>
  <r>
    <n v="10945"/>
    <n v="47"/>
    <s v="Female"/>
    <s v="Pune"/>
    <d v="2021-09-11T00:00:00"/>
    <d v="2023-10-15T00:00:00"/>
    <x v="0"/>
    <n v="1408"/>
    <x v="10"/>
    <n v="0"/>
    <n v="49.46"/>
    <n v="15"/>
    <x v="1"/>
    <x v="1"/>
    <n v="25132.799999999999"/>
    <b v="1"/>
    <n v="1.5"/>
    <n v="1396.2666666666667"/>
    <n v="49.46"/>
    <d v="2021-09-01T00:00:00"/>
    <s v="Middle-aged"/>
    <n v="0"/>
    <s v="Yes"/>
    <n v="764"/>
    <s v="Medium"/>
    <s v="Low"/>
    <n v="0"/>
    <s v="High"/>
    <n v="1"/>
    <d v="2021-09-01T00:00:00"/>
    <s v="13–24 months"/>
    <s v="0–1 tickets"/>
    <s v="46+ min"/>
    <s v="1000+"/>
    <n v="25344"/>
    <n v="-211.20000000000073"/>
  </r>
  <r>
    <n v="10946"/>
    <n v="48"/>
    <s v="Male"/>
    <s v="Hyderabad"/>
    <d v="2022-04-22T00:00:00"/>
    <d v="2022-06-12T00:00:00"/>
    <x v="0"/>
    <n v="756"/>
    <x v="18"/>
    <n v="0"/>
    <n v="65.709999999999994"/>
    <n v="10"/>
    <x v="3"/>
    <x v="0"/>
    <n v="12776.4"/>
    <b v="1"/>
    <n v="1.4166666666666667"/>
    <n v="751.55294117647054"/>
    <n v="65.709999999999994"/>
    <d v="2022-04-01T00:00:00"/>
    <s v="Middle-aged"/>
    <n v="1"/>
    <s v="No"/>
    <n v="51"/>
    <s v="High"/>
    <s v="Low"/>
    <n v="0"/>
    <s v="Medium"/>
    <n v="1"/>
    <d v="2022-04-01T00:00:00"/>
    <s v="13–24 months"/>
    <s v="0–1 tickets"/>
    <s v="46+ min"/>
    <s v="701–1000"/>
    <n v="12852"/>
    <n v="-75.600000000000364"/>
  </r>
  <r>
    <n v="10947"/>
    <n v="41"/>
    <s v="Female"/>
    <s v="Mumbai"/>
    <d v="2021-04-24T00:00:00"/>
    <d v="2023-06-13T00:00:00"/>
    <x v="2"/>
    <n v="371"/>
    <x v="4"/>
    <n v="3"/>
    <n v="65.72"/>
    <n v="0"/>
    <x v="0"/>
    <x v="1"/>
    <n v="742"/>
    <b v="1"/>
    <n v="0.16666666666666666"/>
    <n v="371"/>
    <n v="16.43"/>
    <d v="2021-04-01T00:00:00"/>
    <s v="Middle-aged"/>
    <n v="0"/>
    <s v="No"/>
    <n v="780"/>
    <s v="High"/>
    <s v="Low"/>
    <n v="1"/>
    <s v="Low"/>
    <n v="2"/>
    <d v="2021-04-01T00:00:00"/>
    <s v="0–6 months"/>
    <s v="2–3 tickets"/>
    <s v="46+ min"/>
    <s v="301–500"/>
    <n v="742"/>
    <n v="0"/>
  </r>
  <r>
    <n v="10948"/>
    <n v="26"/>
    <s v="Male"/>
    <s v="Pune"/>
    <d v="2021-01-20T00:00:00"/>
    <d v="2023-10-31T00:00:00"/>
    <x v="1"/>
    <n v="522"/>
    <x v="7"/>
    <n v="4"/>
    <n v="92.6"/>
    <n v="10"/>
    <x v="1"/>
    <x v="1"/>
    <n v="417.6"/>
    <b v="1"/>
    <n v="8.3333333333333329E-2"/>
    <n v="417.6"/>
    <n v="18.52"/>
    <d v="2021-01-01T00:00:00"/>
    <s v="Adult"/>
    <n v="0"/>
    <s v="No"/>
    <n v="1014"/>
    <s v="High"/>
    <s v="Low"/>
    <n v="2"/>
    <s v="Low"/>
    <n v="3"/>
    <d v="2021-01-01T00:00:00"/>
    <s v="0–6 months"/>
    <s v="4–5 tickets"/>
    <s v="46+ min"/>
    <s v="501–700"/>
    <n v="522"/>
    <n v="-104.39999999999998"/>
  </r>
  <r>
    <n v="10949"/>
    <n v="20"/>
    <s v="Male"/>
    <s v="Delhi"/>
    <d v="2022-06-12T00:00:00"/>
    <d v="2023-09-06T00:00:00"/>
    <x v="0"/>
    <n v="575"/>
    <x v="32"/>
    <n v="2"/>
    <n v="46.26"/>
    <n v="15"/>
    <x v="3"/>
    <x v="1"/>
    <n v="5663.75"/>
    <b v="1"/>
    <n v="0.83333333333333337"/>
    <n v="566.375"/>
    <n v="15.42"/>
    <d v="2022-06-01T00:00:00"/>
    <s v="Young"/>
    <n v="0"/>
    <s v="No"/>
    <n v="451"/>
    <s v="Medium"/>
    <s v="Low"/>
    <n v="0.18181818181818182"/>
    <s v="Low"/>
    <n v="1"/>
    <d v="2022-06-01T00:00:00"/>
    <s v="7–12 months"/>
    <s v="2–3 tickets"/>
    <s v="46+ min"/>
    <s v="501–700"/>
    <n v="5750"/>
    <n v="-86.25"/>
  </r>
  <r>
    <n v="10950"/>
    <n v="48"/>
    <s v="Female"/>
    <s v="Mumbai"/>
    <d v="2021-05-25T00:00:00"/>
    <d v="2022-07-07T00:00:00"/>
    <x v="0"/>
    <n v="872"/>
    <x v="21"/>
    <n v="5"/>
    <n v="87.43"/>
    <n v="10"/>
    <x v="0"/>
    <x v="1"/>
    <n v="4272.8"/>
    <b v="1"/>
    <n v="0.41666666666666669"/>
    <n v="854.56000000000006"/>
    <n v="14.571666666666667"/>
    <d v="2021-05-01T00:00:00"/>
    <s v="Middle-aged"/>
    <n v="0"/>
    <s v="No"/>
    <n v="408"/>
    <s v="High"/>
    <s v="Low"/>
    <n v="0.83333333333333337"/>
    <s v="Low"/>
    <n v="1"/>
    <d v="2021-05-01T00:00:00"/>
    <s v="0–6 months"/>
    <s v="4–5 tickets"/>
    <s v="46+ min"/>
    <s v="701–1000"/>
    <n v="4360"/>
    <n v="-87.199999999999818"/>
  </r>
  <r>
    <n v="10951"/>
    <n v="57"/>
    <s v="Female"/>
    <s v="Pune"/>
    <d v="2021-07-27T00:00:00"/>
    <d v="2022-01-11T00:00:00"/>
    <x v="0"/>
    <n v="1223"/>
    <x v="34"/>
    <n v="1"/>
    <n v="71.48"/>
    <n v="5"/>
    <x v="2"/>
    <x v="1"/>
    <n v="14614.85"/>
    <b v="1"/>
    <n v="1"/>
    <n v="1217.9041666666667"/>
    <n v="35.74"/>
    <d v="2021-07-01T00:00:00"/>
    <s v="Older"/>
    <n v="0"/>
    <s v="Yes"/>
    <n v="168"/>
    <s v="High"/>
    <s v="Low"/>
    <n v="7.6923076923076927E-2"/>
    <s v="Medium"/>
    <n v="1"/>
    <d v="2021-07-01T00:00:00"/>
    <s v="7–12 months"/>
    <s v="0–1 tickets"/>
    <s v="46+ min"/>
    <s v="1000+"/>
    <n v="14676"/>
    <n v="-61.149999999999636"/>
  </r>
  <r>
    <n v="10952"/>
    <n v="54"/>
    <s v="Male"/>
    <s v="Hyderabad"/>
    <d v="2022-06-15T00:00:00"/>
    <d v="2022-01-03T00:00:00"/>
    <x v="2"/>
    <n v="770"/>
    <x v="27"/>
    <n v="0"/>
    <n v="115.61"/>
    <n v="0"/>
    <x v="0"/>
    <x v="0"/>
    <n v="23870"/>
    <b v="0"/>
    <n v="2.5833333333333335"/>
    <n v="770"/>
    <n v="115.61"/>
    <d v="2022-06-01T00:00:00"/>
    <s v="Older"/>
    <n v="1"/>
    <s v="Yes"/>
    <m/>
    <s v="High"/>
    <s v="Low"/>
    <n v="0"/>
    <s v="High"/>
    <n v="2"/>
    <d v="2022-06-01T00:00:00"/>
    <s v="25+ months"/>
    <s v="0–1 tickets"/>
    <s v="46+ min"/>
    <s v="701–1000"/>
    <n v="23870"/>
    <n v="0"/>
  </r>
  <r>
    <n v="10953"/>
    <n v="53"/>
    <s v="Female"/>
    <s v="Bangalore"/>
    <d v="2022-01-11T00:00:00"/>
    <d v="2022-12-20T00:00:00"/>
    <x v="0"/>
    <n v="753"/>
    <x v="9"/>
    <n v="3"/>
    <n v="49.31"/>
    <n v="0"/>
    <x v="1"/>
    <x v="1"/>
    <n v="6777"/>
    <b v="1"/>
    <n v="0.75"/>
    <n v="753"/>
    <n v="12.327500000000001"/>
    <d v="2022-01-01T00:00:00"/>
    <s v="Older"/>
    <n v="0"/>
    <s v="No"/>
    <n v="343"/>
    <s v="Medium"/>
    <s v="Low"/>
    <n v="0.3"/>
    <s v="Low"/>
    <n v="1"/>
    <d v="2022-01-01T00:00:00"/>
    <s v="7–12 months"/>
    <s v="2–3 tickets"/>
    <s v="46+ min"/>
    <s v="701–1000"/>
    <n v="6777"/>
    <n v="0"/>
  </r>
  <r>
    <n v="10954"/>
    <n v="41"/>
    <s v="Male"/>
    <s v="Mumbai"/>
    <d v="2022-05-19T00:00:00"/>
    <d v="2021-07-01T00:00:00"/>
    <x v="2"/>
    <n v="1268"/>
    <x v="8"/>
    <n v="2"/>
    <n v="108.64"/>
    <n v="20"/>
    <x v="0"/>
    <x v="1"/>
    <n v="32714.400000000001"/>
    <b v="0"/>
    <n v="2.1666666666666665"/>
    <n v="1258.2461538461539"/>
    <n v="36.213333333333331"/>
    <d v="2022-05-01T00:00:00"/>
    <s v="Middle-aged"/>
    <n v="0"/>
    <s v="Yes"/>
    <m/>
    <s v="High"/>
    <s v="Medium"/>
    <n v="7.407407407407407E-2"/>
    <s v="High"/>
    <n v="2"/>
    <d v="2022-05-01T00:00:00"/>
    <s v="25+ months"/>
    <s v="2–3 tickets"/>
    <s v="46+ min"/>
    <s v="1000+"/>
    <n v="32968"/>
    <n v="-253.59999999999854"/>
  </r>
  <r>
    <n v="10955"/>
    <n v="48"/>
    <s v="Female"/>
    <s v="Hyderabad"/>
    <d v="2021-06-15T00:00:00"/>
    <d v="2023-10-17T00:00:00"/>
    <x v="0"/>
    <n v="306"/>
    <x v="15"/>
    <n v="2"/>
    <n v="99.37"/>
    <n v="20"/>
    <x v="2"/>
    <x v="0"/>
    <n v="4528.8"/>
    <b v="1"/>
    <n v="1.25"/>
    <n v="301.92"/>
    <n v="33.123333333333335"/>
    <d v="2021-06-01T00:00:00"/>
    <s v="Middle-aged"/>
    <n v="1"/>
    <s v="No"/>
    <n v="854"/>
    <s v="High"/>
    <s v="Medium"/>
    <n v="0.125"/>
    <s v="Low"/>
    <n v="1"/>
    <d v="2021-06-01T00:00:00"/>
    <s v="13–24 months"/>
    <s v="2–3 tickets"/>
    <s v="46+ min"/>
    <s v="301–500"/>
    <n v="4590"/>
    <n v="-61.199999999999818"/>
  </r>
  <r>
    <n v="10956"/>
    <n v="23"/>
    <s v="Male"/>
    <s v="Chennai"/>
    <d v="2022-07-04T00:00:00"/>
    <d v="2021-07-29T00:00:00"/>
    <x v="0"/>
    <n v="487"/>
    <x v="24"/>
    <n v="1"/>
    <n v="78.33"/>
    <n v="10"/>
    <x v="0"/>
    <x v="1"/>
    <n v="7743.3"/>
    <b v="0"/>
    <n v="1.3333333333333333"/>
    <n v="483.95625000000001"/>
    <n v="39.164999999999999"/>
    <d v="2022-07-01T00:00:00"/>
    <s v="Young"/>
    <n v="0"/>
    <s v="No"/>
    <m/>
    <s v="High"/>
    <s v="Low"/>
    <n v="5.8823529411764705E-2"/>
    <s v="Low"/>
    <n v="1"/>
    <d v="2022-07-01T00:00:00"/>
    <s v="13–24 months"/>
    <s v="0–1 tickets"/>
    <s v="46+ min"/>
    <s v="301–500"/>
    <n v="7792"/>
    <n v="-48.699999999999818"/>
  </r>
  <r>
    <n v="10957"/>
    <n v="19"/>
    <s v="Female"/>
    <s v="Delhi"/>
    <d v="2021-06-30T00:00:00"/>
    <d v="2023-11-09T00:00:00"/>
    <x v="1"/>
    <n v="303"/>
    <x v="19"/>
    <n v="2"/>
    <n v="80.27"/>
    <n v="10"/>
    <x v="1"/>
    <x v="1"/>
    <n v="3908.7"/>
    <b v="1"/>
    <n v="1.0833333333333333"/>
    <n v="300.66923076923075"/>
    <n v="26.756666666666664"/>
    <d v="2021-06-01T00:00:00"/>
    <s v="Young"/>
    <n v="0"/>
    <s v="No"/>
    <n v="862"/>
    <s v="High"/>
    <s v="Low"/>
    <n v="0.14285714285714285"/>
    <s v="Low"/>
    <n v="3"/>
    <d v="2021-06-01T00:00:00"/>
    <s v="13–24 months"/>
    <s v="2–3 tickets"/>
    <s v="46+ min"/>
    <s v="301–500"/>
    <n v="3939"/>
    <n v="-30.300000000000182"/>
  </r>
  <r>
    <n v="10958"/>
    <n v="37"/>
    <s v="Male"/>
    <s v="Mumbai"/>
    <d v="2023-05-11T00:00:00"/>
    <d v="2023-11-15T00:00:00"/>
    <x v="0"/>
    <n v="1206"/>
    <x v="0"/>
    <n v="2"/>
    <n v="14.73"/>
    <n v="0"/>
    <x v="1"/>
    <x v="0"/>
    <n v="30150"/>
    <b v="1"/>
    <n v="2.0833333333333335"/>
    <n v="1206"/>
    <n v="4.91"/>
    <d v="2023-05-01T00:00:00"/>
    <s v="Middle-aged"/>
    <n v="1"/>
    <s v="Yes"/>
    <n v="188"/>
    <s v="Low"/>
    <s v="Low"/>
    <n v="7.6923076923076927E-2"/>
    <s v="High"/>
    <n v="1"/>
    <d v="2023-05-01T00:00:00"/>
    <s v="25+ months"/>
    <s v="2–3 tickets"/>
    <s v="11–20 min"/>
    <s v="1000+"/>
    <n v="30150"/>
    <n v="0"/>
  </r>
  <r>
    <n v="10959"/>
    <n v="45"/>
    <s v="Female"/>
    <s v="Bangalore"/>
    <d v="2022-09-09T00:00:00"/>
    <d v="2022-05-19T00:00:00"/>
    <x v="0"/>
    <n v="1448"/>
    <x v="3"/>
    <n v="5"/>
    <n v="114.28"/>
    <n v="10"/>
    <x v="3"/>
    <x v="0"/>
    <n v="43295.199999999997"/>
    <b v="0"/>
    <n v="2.5"/>
    <n v="1443.1733333333332"/>
    <n v="19.046666666666667"/>
    <d v="2022-09-01T00:00:00"/>
    <s v="Middle-aged"/>
    <n v="1"/>
    <s v="Yes"/>
    <m/>
    <s v="High"/>
    <s v="Low"/>
    <n v="0.16129032258064516"/>
    <s v="High"/>
    <n v="1"/>
    <d v="2022-09-01T00:00:00"/>
    <s v="25+ months"/>
    <s v="4–5 tickets"/>
    <s v="46+ min"/>
    <s v="1000+"/>
    <n v="43440"/>
    <n v="-144.80000000000291"/>
  </r>
  <r>
    <n v="10960"/>
    <n v="28"/>
    <s v="Female"/>
    <s v="Chennai"/>
    <d v="2022-09-04T00:00:00"/>
    <d v="2022-08-19T00:00:00"/>
    <x v="0"/>
    <n v="1338"/>
    <x v="16"/>
    <n v="3"/>
    <n v="17.3"/>
    <n v="20"/>
    <x v="2"/>
    <x v="1"/>
    <n v="9098.4"/>
    <b v="0"/>
    <n v="0.58333333333333337"/>
    <n v="1299.7714285714285"/>
    <n v="4.3250000000000002"/>
    <d v="2022-09-01T00:00:00"/>
    <s v="Adult"/>
    <n v="0"/>
    <s v="No"/>
    <m/>
    <s v="Low"/>
    <s v="Medium"/>
    <n v="0.375"/>
    <s v="Medium"/>
    <n v="1"/>
    <d v="2022-09-01T00:00:00"/>
    <s v="7–12 months"/>
    <s v="2–3 tickets"/>
    <s v="11–20 min"/>
    <s v="1000+"/>
    <n v="9366"/>
    <n v="-267.60000000000036"/>
  </r>
  <r>
    <n v="10961"/>
    <n v="21"/>
    <s v="Female"/>
    <s v="Hyderabad"/>
    <d v="2022-08-25T00:00:00"/>
    <d v="2022-01-21T00:00:00"/>
    <x v="2"/>
    <n v="1259"/>
    <x v="2"/>
    <n v="0"/>
    <n v="69.77"/>
    <n v="10"/>
    <x v="2"/>
    <x v="1"/>
    <n v="5036"/>
    <b v="0"/>
    <n v="0.33333333333333331"/>
    <n v="1259"/>
    <n v="69.77"/>
    <d v="2022-08-01T00:00:00"/>
    <s v="Young"/>
    <n v="0"/>
    <s v="No"/>
    <m/>
    <s v="High"/>
    <s v="Low"/>
    <n v="0"/>
    <s v="Low"/>
    <n v="2"/>
    <d v="2022-08-01T00:00:00"/>
    <s v="0–6 months"/>
    <s v="0–1 tickets"/>
    <s v="46+ min"/>
    <s v="1000+"/>
    <n v="5036"/>
    <n v="0"/>
  </r>
  <r>
    <n v="10962"/>
    <n v="32"/>
    <s v="Female"/>
    <s v="Delhi"/>
    <d v="2023-03-23T00:00:00"/>
    <d v="2021-09-15T00:00:00"/>
    <x v="2"/>
    <n v="824"/>
    <x v="3"/>
    <n v="4"/>
    <n v="42.96"/>
    <n v="10"/>
    <x v="0"/>
    <x v="1"/>
    <n v="24720"/>
    <b v="0"/>
    <n v="2.5"/>
    <n v="824"/>
    <n v="8.5920000000000005"/>
    <d v="2023-03-01T00:00:00"/>
    <s v="Adult"/>
    <n v="0"/>
    <s v="Yes"/>
    <m/>
    <s v="Medium"/>
    <s v="Low"/>
    <n v="0.12903225806451613"/>
    <s v="High"/>
    <n v="2"/>
    <d v="2023-03-01T00:00:00"/>
    <s v="25+ months"/>
    <s v="4–5 tickets"/>
    <s v="31–45 min"/>
    <s v="701–1000"/>
    <n v="24720"/>
    <n v="0"/>
  </r>
  <r>
    <n v="10963"/>
    <n v="23"/>
    <s v="Female"/>
    <s v="Bangalore"/>
    <d v="2022-03-20T00:00:00"/>
    <d v="2021-12-08T00:00:00"/>
    <x v="0"/>
    <n v="929"/>
    <x v="32"/>
    <n v="1"/>
    <n v="54.43"/>
    <n v="5"/>
    <x v="2"/>
    <x v="1"/>
    <n v="9243.5499999999993"/>
    <b v="0"/>
    <n v="0.83333333333333337"/>
    <n v="924.3549999999999"/>
    <n v="27.215"/>
    <d v="2022-03-01T00:00:00"/>
    <s v="Young"/>
    <n v="0"/>
    <s v="No"/>
    <m/>
    <s v="Medium"/>
    <s v="Low"/>
    <n v="9.0909090909090912E-2"/>
    <s v="Medium"/>
    <n v="1"/>
    <d v="2022-03-01T00:00:00"/>
    <s v="7–12 months"/>
    <s v="0–1 tickets"/>
    <s v="46+ min"/>
    <s v="701–1000"/>
    <n v="9290"/>
    <n v="-46.450000000000728"/>
  </r>
  <r>
    <n v="10964"/>
    <n v="47"/>
    <s v="Male"/>
    <s v="Hyderabad"/>
    <d v="2021-11-28T00:00:00"/>
    <d v="2022-11-12T00:00:00"/>
    <x v="0"/>
    <n v="1074"/>
    <x v="3"/>
    <n v="5"/>
    <n v="75.17"/>
    <n v="5"/>
    <x v="1"/>
    <x v="0"/>
    <n v="32166.3"/>
    <b v="1"/>
    <n v="2.5"/>
    <n v="1072.21"/>
    <n v="12.528333333333334"/>
    <d v="2021-11-01T00:00:00"/>
    <s v="Middle-aged"/>
    <n v="1"/>
    <s v="Yes"/>
    <n v="349"/>
    <s v="High"/>
    <s v="Low"/>
    <n v="0.16129032258064516"/>
    <s v="High"/>
    <n v="1"/>
    <d v="2021-11-01T00:00:00"/>
    <s v="25+ months"/>
    <s v="4–5 tickets"/>
    <s v="46+ min"/>
    <s v="1000+"/>
    <n v="32220"/>
    <n v="-53.700000000000728"/>
  </r>
  <r>
    <n v="10965"/>
    <n v="55"/>
    <s v="Male"/>
    <s v="Hyderabad"/>
    <d v="2022-05-18T00:00:00"/>
    <d v="2023-06-08T00:00:00"/>
    <x v="0"/>
    <n v="659"/>
    <x v="16"/>
    <n v="1"/>
    <n v="109.52"/>
    <n v="10"/>
    <x v="0"/>
    <x v="0"/>
    <n v="4547.1000000000004"/>
    <b v="1"/>
    <n v="0.58333333333333337"/>
    <n v="649.58571428571429"/>
    <n v="54.76"/>
    <d v="2022-05-01T00:00:00"/>
    <s v="Older"/>
    <n v="1"/>
    <s v="No"/>
    <n v="386"/>
    <s v="High"/>
    <s v="Low"/>
    <n v="0.125"/>
    <s v="Low"/>
    <n v="1"/>
    <d v="2022-05-01T00:00:00"/>
    <s v="7–12 months"/>
    <s v="0–1 tickets"/>
    <s v="46+ min"/>
    <s v="501–700"/>
    <n v="4613"/>
    <n v="-65.899999999999636"/>
  </r>
  <r>
    <n v="10966"/>
    <n v="19"/>
    <s v="Female"/>
    <s v="Mumbai"/>
    <d v="2021-03-20T00:00:00"/>
    <d v="2023-04-10T00:00:00"/>
    <x v="2"/>
    <n v="817"/>
    <x v="12"/>
    <n v="5"/>
    <n v="57.62"/>
    <n v="10"/>
    <x v="3"/>
    <x v="1"/>
    <n v="28513.3"/>
    <b v="1"/>
    <n v="2.9166666666666665"/>
    <n v="814.66571428571422"/>
    <n v="9.6033333333333335"/>
    <d v="2021-03-01T00:00:00"/>
    <s v="Young"/>
    <n v="0"/>
    <s v="Yes"/>
    <n v="751"/>
    <s v="Medium"/>
    <s v="Low"/>
    <n v="0.1388888888888889"/>
    <s v="High"/>
    <n v="2"/>
    <d v="2021-03-01T00:00:00"/>
    <s v="25+ months"/>
    <s v="4–5 tickets"/>
    <s v="46+ min"/>
    <s v="701–1000"/>
    <n v="28595"/>
    <n v="-81.700000000000728"/>
  </r>
  <r>
    <n v="10967"/>
    <n v="32"/>
    <s v="Male"/>
    <s v="Mumbai"/>
    <d v="2022-08-08T00:00:00"/>
    <d v="2023-01-04T00:00:00"/>
    <x v="2"/>
    <n v="1353"/>
    <x v="30"/>
    <n v="1"/>
    <n v="118.59"/>
    <n v="20"/>
    <x v="0"/>
    <x v="1"/>
    <n v="32201.4"/>
    <b v="1"/>
    <n v="2"/>
    <n v="1341.7250000000001"/>
    <n v="59.295000000000002"/>
    <d v="2022-08-01T00:00:00"/>
    <s v="Adult"/>
    <n v="0"/>
    <s v="Yes"/>
    <n v="149"/>
    <s v="High"/>
    <s v="Medium"/>
    <n v="0.04"/>
    <s v="High"/>
    <n v="2"/>
    <d v="2022-08-01T00:00:00"/>
    <s v="13–24 months"/>
    <s v="0–1 tickets"/>
    <s v="46+ min"/>
    <s v="1000+"/>
    <n v="32472"/>
    <n v="-270.59999999999854"/>
  </r>
  <r>
    <n v="10968"/>
    <n v="28"/>
    <s v="Female"/>
    <s v="Bangalore"/>
    <d v="2022-11-19T00:00:00"/>
    <d v="2023-10-22T00:00:00"/>
    <x v="2"/>
    <n v="1220"/>
    <x v="28"/>
    <n v="1"/>
    <n v="73.17"/>
    <n v="20"/>
    <x v="0"/>
    <x v="1"/>
    <n v="24156"/>
    <b v="1"/>
    <n v="1.6666666666666667"/>
    <n v="1207.8"/>
    <n v="36.585000000000001"/>
    <d v="2022-11-01T00:00:00"/>
    <s v="Adult"/>
    <n v="0"/>
    <s v="Yes"/>
    <n v="337"/>
    <s v="High"/>
    <s v="Medium"/>
    <n v="4.7619047619047616E-2"/>
    <s v="High"/>
    <n v="2"/>
    <d v="2022-11-01T00:00:00"/>
    <s v="13–24 months"/>
    <s v="0–1 tickets"/>
    <s v="46+ min"/>
    <s v="1000+"/>
    <n v="24400"/>
    <n v="-244"/>
  </r>
  <r>
    <n v="10969"/>
    <n v="25"/>
    <s v="Other"/>
    <s v="Pune"/>
    <d v="2022-01-31T00:00:00"/>
    <d v="2022-12-18T00:00:00"/>
    <x v="2"/>
    <n v="1479"/>
    <x v="23"/>
    <n v="3"/>
    <n v="23.46"/>
    <n v="5"/>
    <x v="3"/>
    <x v="1"/>
    <n v="47254.05"/>
    <b v="1"/>
    <n v="2.6666666666666665"/>
    <n v="1476.6890625000001"/>
    <n v="5.8650000000000002"/>
    <d v="2022-01-01T00:00:00"/>
    <s v="Young"/>
    <n v="0"/>
    <s v="Yes"/>
    <n v="321"/>
    <s v="Medium"/>
    <s v="Low"/>
    <n v="9.0909090909090912E-2"/>
    <s v="High"/>
    <n v="2"/>
    <d v="2022-01-01T00:00:00"/>
    <s v="25+ months"/>
    <s v="2–3 tickets"/>
    <s v="21–30 min"/>
    <s v="1000+"/>
    <n v="47328"/>
    <n v="-73.94999999999709"/>
  </r>
  <r>
    <n v="10970"/>
    <n v="43"/>
    <s v="Male"/>
    <s v="unknown"/>
    <d v="2022-08-31T00:00:00"/>
    <d v="2022-01-31T00:00:00"/>
    <x v="0"/>
    <n v="1151"/>
    <x v="8"/>
    <n v="1"/>
    <n v="26.85"/>
    <n v="0"/>
    <x v="0"/>
    <x v="1"/>
    <n v="29926"/>
    <b v="0"/>
    <n v="2.1666666666666665"/>
    <n v="1151"/>
    <n v="13.425000000000001"/>
    <d v="2022-08-01T00:00:00"/>
    <s v="Middle-aged"/>
    <n v="0"/>
    <s v="Yes"/>
    <m/>
    <s v="Medium"/>
    <s v="Low"/>
    <n v="3.7037037037037035E-2"/>
    <s v="High"/>
    <n v="1"/>
    <d v="2022-08-01T00:00:00"/>
    <s v="25+ months"/>
    <s v="0–1 tickets"/>
    <s v="21–30 min"/>
    <s v="1000+"/>
    <n v="29926"/>
    <n v="0"/>
  </r>
  <r>
    <n v="10971"/>
    <n v="62"/>
    <s v="Female"/>
    <s v="Hyderabad"/>
    <d v="2023-05-07T00:00:00"/>
    <d v="2023-10-10T00:00:00"/>
    <x v="0"/>
    <n v="1234"/>
    <x v="8"/>
    <n v="1"/>
    <n v="87.35"/>
    <n v="15"/>
    <x v="2"/>
    <x v="0"/>
    <n v="31898.9"/>
    <b v="1"/>
    <n v="2.1666666666666665"/>
    <n v="1226.8807692307694"/>
    <n v="43.674999999999997"/>
    <d v="2023-05-01T00:00:00"/>
    <s v="Older"/>
    <n v="1"/>
    <s v="Yes"/>
    <n v="156"/>
    <s v="High"/>
    <s v="Low"/>
    <n v="3.7037037037037035E-2"/>
    <s v="High"/>
    <n v="1"/>
    <d v="2023-05-01T00:00:00"/>
    <s v="25+ months"/>
    <s v="0–1 tickets"/>
    <s v="46+ min"/>
    <s v="1000+"/>
    <n v="32084"/>
    <n v="-185.09999999999854"/>
  </r>
  <r>
    <n v="10972"/>
    <n v="61"/>
    <s v="Male"/>
    <s v="Mumbai"/>
    <d v="2021-04-13T00:00:00"/>
    <d v="2021-08-15T00:00:00"/>
    <x v="0"/>
    <n v="1200"/>
    <x v="12"/>
    <n v="2"/>
    <n v="10.8"/>
    <n v="15"/>
    <x v="0"/>
    <x v="1"/>
    <n v="41820"/>
    <b v="1"/>
    <n v="2.9166666666666665"/>
    <n v="1194.8571428571429"/>
    <n v="3.6"/>
    <d v="2021-04-01T00:00:00"/>
    <s v="Older"/>
    <n v="0"/>
    <s v="Yes"/>
    <n v="124"/>
    <s v="Low"/>
    <s v="Low"/>
    <n v="5.5555555555555552E-2"/>
    <s v="High"/>
    <n v="1"/>
    <d v="2021-04-01T00:00:00"/>
    <s v="25+ months"/>
    <s v="2–3 tickets"/>
    <s v="11–20 min"/>
    <s v="1000+"/>
    <n v="42000"/>
    <n v="-180"/>
  </r>
  <r>
    <n v="10973"/>
    <n v="22"/>
    <s v="Female"/>
    <s v="Delhi"/>
    <d v="2022-02-06T00:00:00"/>
    <d v="2022-11-29T00:00:00"/>
    <x v="0"/>
    <n v="698"/>
    <x v="12"/>
    <n v="3"/>
    <n v="60.24"/>
    <n v="10"/>
    <x v="0"/>
    <x v="1"/>
    <n v="24360.2"/>
    <b v="1"/>
    <n v="2.9166666666666665"/>
    <n v="696.00571428571436"/>
    <n v="15.06"/>
    <d v="2022-02-01T00:00:00"/>
    <s v="Young"/>
    <n v="0"/>
    <s v="Yes"/>
    <n v="296"/>
    <s v="High"/>
    <s v="Low"/>
    <n v="8.3333333333333329E-2"/>
    <s v="High"/>
    <n v="1"/>
    <d v="2022-02-01T00:00:00"/>
    <s v="25+ months"/>
    <s v="2–3 tickets"/>
    <s v="46+ min"/>
    <s v="501–700"/>
    <n v="24430"/>
    <n v="-69.799999999999272"/>
  </r>
  <r>
    <n v="10974"/>
    <n v="23"/>
    <s v="Male"/>
    <s v="Delhi"/>
    <d v="2021-08-12T00:00:00"/>
    <d v="2022-02-22T00:00:00"/>
    <x v="0"/>
    <n v="467"/>
    <x v="34"/>
    <n v="1"/>
    <n v="22.05"/>
    <n v="15"/>
    <x v="0"/>
    <x v="1"/>
    <n v="5533.95"/>
    <b v="1"/>
    <n v="1"/>
    <n v="461.16249999999997"/>
    <n v="11.025"/>
    <d v="2021-08-01T00:00:00"/>
    <s v="Young"/>
    <n v="0"/>
    <s v="No"/>
    <n v="194"/>
    <s v="Medium"/>
    <s v="Low"/>
    <n v="7.6923076923076927E-2"/>
    <s v="Low"/>
    <n v="1"/>
    <d v="2021-08-01T00:00:00"/>
    <s v="7–12 months"/>
    <s v="0–1 tickets"/>
    <s v="21–30 min"/>
    <s v="301–500"/>
    <n v="5604"/>
    <n v="-70.050000000000182"/>
  </r>
  <r>
    <n v="10975"/>
    <n v="43"/>
    <s v="Male"/>
    <s v="Hyderabad"/>
    <d v="2022-06-02T00:00:00"/>
    <d v="2022-04-13T00:00:00"/>
    <x v="2"/>
    <n v="676"/>
    <x v="33"/>
    <n v="4"/>
    <n v="54.82"/>
    <n v="15"/>
    <x v="1"/>
    <x v="1"/>
    <n v="22206.6"/>
    <b v="0"/>
    <n v="2.75"/>
    <n v="672.92727272727268"/>
    <n v="10.964"/>
    <d v="2022-06-01T00:00:00"/>
    <s v="Middle-aged"/>
    <n v="0"/>
    <s v="Yes"/>
    <m/>
    <s v="Medium"/>
    <s v="Low"/>
    <n v="0.11764705882352941"/>
    <s v="High"/>
    <n v="2"/>
    <d v="2022-06-01T00:00:00"/>
    <s v="25+ months"/>
    <s v="4–5 tickets"/>
    <s v="46+ min"/>
    <s v="501–700"/>
    <n v="22308"/>
    <n v="-101.40000000000146"/>
  </r>
  <r>
    <n v="10976"/>
    <n v="21"/>
    <s v="Female"/>
    <s v="Mumbai"/>
    <d v="2022-09-26T00:00:00"/>
    <d v="2023-08-21T00:00:00"/>
    <x v="2"/>
    <n v="906"/>
    <x v="25"/>
    <n v="0"/>
    <n v="91.24"/>
    <n v="5"/>
    <x v="1"/>
    <x v="1"/>
    <n v="12638.7"/>
    <b v="1"/>
    <n v="1.1666666666666667"/>
    <n v="902.76428571428573"/>
    <n v="91.24"/>
    <d v="2022-09-01T00:00:00"/>
    <s v="Young"/>
    <n v="0"/>
    <s v="No"/>
    <n v="329"/>
    <s v="High"/>
    <s v="Low"/>
    <n v="0"/>
    <s v="Medium"/>
    <n v="2"/>
    <d v="2022-09-01T00:00:00"/>
    <s v="13–24 months"/>
    <s v="0–1 tickets"/>
    <s v="46+ min"/>
    <s v="701–1000"/>
    <n v="12684"/>
    <n v="-45.299999999999272"/>
  </r>
  <r>
    <n v="10977"/>
    <n v="36"/>
    <s v="Female"/>
    <s v="Bangalore"/>
    <d v="2021-08-24T00:00:00"/>
    <d v="2021-09-29T00:00:00"/>
    <x v="1"/>
    <n v="1310"/>
    <x v="33"/>
    <n v="2"/>
    <n v="57.76"/>
    <n v="0"/>
    <x v="2"/>
    <x v="1"/>
    <n v="43230"/>
    <b v="1"/>
    <n v="2.75"/>
    <n v="1310"/>
    <n v="19.253333333333334"/>
    <d v="2021-08-01T00:00:00"/>
    <s v="Middle-aged"/>
    <n v="0"/>
    <s v="Yes"/>
    <n v="36"/>
    <s v="Medium"/>
    <s v="Low"/>
    <n v="5.8823529411764705E-2"/>
    <s v="High"/>
    <n v="3"/>
    <d v="2021-08-01T00:00:00"/>
    <s v="25+ months"/>
    <s v="2–3 tickets"/>
    <s v="46+ min"/>
    <s v="1000+"/>
    <n v="43230"/>
    <n v="0"/>
  </r>
  <r>
    <n v="10978"/>
    <n v="37"/>
    <s v="Female"/>
    <s v="Bangalore"/>
    <d v="2022-03-03T00:00:00"/>
    <d v="2023-09-14T00:00:00"/>
    <x v="0"/>
    <n v="888"/>
    <x v="30"/>
    <n v="1"/>
    <n v="62.59"/>
    <n v="20"/>
    <x v="3"/>
    <x v="1"/>
    <n v="21134.400000000001"/>
    <b v="1"/>
    <n v="2"/>
    <n v="880.6"/>
    <n v="31.295000000000002"/>
    <d v="2022-03-01T00:00:00"/>
    <s v="Middle-aged"/>
    <n v="0"/>
    <s v="Yes"/>
    <n v="560"/>
    <s v="High"/>
    <s v="Medium"/>
    <n v="0.04"/>
    <s v="High"/>
    <n v="1"/>
    <d v="2022-03-01T00:00:00"/>
    <s v="13–24 months"/>
    <s v="0–1 tickets"/>
    <s v="46+ min"/>
    <s v="701–1000"/>
    <n v="21312"/>
    <n v="-177.59999999999854"/>
  </r>
  <r>
    <n v="10979"/>
    <n v="50"/>
    <s v="Female"/>
    <s v="Bangalore"/>
    <d v="2021-04-26T00:00:00"/>
    <d v="2021-06-25T00:00:00"/>
    <x v="2"/>
    <n v="1494"/>
    <x v="15"/>
    <n v="2"/>
    <n v="33.97"/>
    <n v="5"/>
    <x v="1"/>
    <x v="0"/>
    <n v="22335.3"/>
    <b v="1"/>
    <n v="1.25"/>
    <n v="1489.02"/>
    <n v="11.323333333333332"/>
    <d v="2021-04-01T00:00:00"/>
    <s v="Middle-aged"/>
    <n v="1"/>
    <s v="Yes"/>
    <n v="60"/>
    <s v="Medium"/>
    <s v="Low"/>
    <n v="0.125"/>
    <s v="High"/>
    <n v="2"/>
    <d v="2021-04-01T00:00:00"/>
    <s v="13–24 months"/>
    <s v="2–3 tickets"/>
    <s v="31–45 min"/>
    <s v="1000+"/>
    <n v="22410"/>
    <n v="-74.700000000000728"/>
  </r>
  <r>
    <n v="10980"/>
    <n v="37"/>
    <s v="Male"/>
    <s v="Delhi"/>
    <d v="2021-06-12T00:00:00"/>
    <d v="2022-08-06T00:00:00"/>
    <x v="1"/>
    <n v="1477"/>
    <x v="27"/>
    <n v="2"/>
    <n v="47.27"/>
    <n v="20"/>
    <x v="1"/>
    <x v="1"/>
    <n v="45491.6"/>
    <b v="1"/>
    <n v="2.5833333333333335"/>
    <n v="1467.4709677419355"/>
    <n v="15.756666666666668"/>
    <d v="2021-06-01T00:00:00"/>
    <s v="Middle-aged"/>
    <n v="0"/>
    <s v="Yes"/>
    <n v="420"/>
    <s v="Medium"/>
    <s v="Medium"/>
    <n v="6.25E-2"/>
    <s v="High"/>
    <n v="3"/>
    <d v="2021-06-01T00:00:00"/>
    <s v="25+ months"/>
    <s v="2–3 tickets"/>
    <s v="46+ min"/>
    <s v="1000+"/>
    <n v="45787"/>
    <n v="-295.40000000000146"/>
  </r>
  <r>
    <n v="10981"/>
    <n v="29"/>
    <s v="Female"/>
    <s v="Mumbai"/>
    <d v="2021-08-14T00:00:00"/>
    <d v="2021-11-07T00:00:00"/>
    <x v="2"/>
    <n v="347"/>
    <x v="18"/>
    <n v="2"/>
    <n v="13"/>
    <n v="5"/>
    <x v="2"/>
    <x v="1"/>
    <n v="5881.65"/>
    <b v="1"/>
    <n v="1.4166666666666667"/>
    <n v="345.97941176470584"/>
    <n v="4.333333333333333"/>
    <d v="2021-08-01T00:00:00"/>
    <s v="Adult"/>
    <n v="0"/>
    <s v="No"/>
    <n v="85"/>
    <s v="Low"/>
    <s v="Low"/>
    <n v="0.1111111111111111"/>
    <s v="Low"/>
    <n v="2"/>
    <d v="2021-08-01T00:00:00"/>
    <s v="13–24 months"/>
    <s v="2–3 tickets"/>
    <s v="11–20 min"/>
    <s v="301–500"/>
    <n v="5899"/>
    <n v="-17.350000000000364"/>
  </r>
  <r>
    <n v="10982"/>
    <n v="64"/>
    <s v="Male"/>
    <s v="Mumbai"/>
    <d v="2021-08-18T00:00:00"/>
    <d v="2023-01-17T00:00:00"/>
    <x v="0"/>
    <n v="1324"/>
    <x v="34"/>
    <n v="3"/>
    <n v="72.2"/>
    <n v="5"/>
    <x v="2"/>
    <x v="0"/>
    <n v="15821.8"/>
    <b v="1"/>
    <n v="1"/>
    <n v="1318.4833333333333"/>
    <n v="18.05"/>
    <d v="2021-08-01T00:00:00"/>
    <s v="Older"/>
    <n v="1"/>
    <s v="Yes"/>
    <n v="517"/>
    <s v="High"/>
    <s v="Low"/>
    <n v="0.23076923076923078"/>
    <s v="Medium"/>
    <n v="1"/>
    <d v="2021-08-01T00:00:00"/>
    <s v="7–12 months"/>
    <s v="2–3 tickets"/>
    <s v="46+ min"/>
    <s v="1000+"/>
    <n v="15888"/>
    <n v="-66.200000000000728"/>
  </r>
  <r>
    <n v="10983"/>
    <n v="18"/>
    <s v="Female"/>
    <s v="Delhi"/>
    <d v="2021-07-01T00:00:00"/>
    <d v="2021-09-22T00:00:00"/>
    <x v="0"/>
    <n v="1430"/>
    <x v="1"/>
    <n v="3"/>
    <n v="74.87"/>
    <n v="15"/>
    <x v="3"/>
    <x v="1"/>
    <n v="31245.5"/>
    <b v="1"/>
    <n v="1.8333333333333333"/>
    <n v="1420.25"/>
    <n v="18.717500000000001"/>
    <d v="2021-07-01T00:00:00"/>
    <s v="Young"/>
    <n v="0"/>
    <s v="Yes"/>
    <n v="83"/>
    <s v="High"/>
    <s v="Low"/>
    <n v="0.13043478260869565"/>
    <s v="High"/>
    <n v="1"/>
    <d v="2021-07-01T00:00:00"/>
    <s v="13–24 months"/>
    <s v="2–3 tickets"/>
    <s v="46+ min"/>
    <s v="1000+"/>
    <n v="31460"/>
    <n v="-214.5"/>
  </r>
  <r>
    <n v="10984"/>
    <n v="43"/>
    <s v="Female"/>
    <s v="Bangalore"/>
    <d v="2021-09-06T00:00:00"/>
    <d v="2023-06-05T00:00:00"/>
    <x v="0"/>
    <n v="472"/>
    <x v="31"/>
    <n v="3"/>
    <n v="12.15"/>
    <n v="20"/>
    <x v="0"/>
    <x v="0"/>
    <n v="10761.6"/>
    <b v="1"/>
    <n v="1.9166666666666667"/>
    <n v="467.89565217391305"/>
    <n v="3.0375000000000001"/>
    <d v="2021-09-01T00:00:00"/>
    <s v="Middle-aged"/>
    <n v="1"/>
    <s v="No"/>
    <n v="637"/>
    <s v="Low"/>
    <s v="Medium"/>
    <n v="0.125"/>
    <s v="Medium"/>
    <n v="1"/>
    <d v="2021-09-01T00:00:00"/>
    <s v="13–24 months"/>
    <s v="2–3 tickets"/>
    <s v="11–20 min"/>
    <s v="301–500"/>
    <n v="10856"/>
    <n v="-94.399999999999636"/>
  </r>
  <r>
    <n v="10985"/>
    <n v="31"/>
    <s v="Female"/>
    <s v="Bangalore"/>
    <d v="2021-11-14T00:00:00"/>
    <d v="2023-11-17T00:00:00"/>
    <x v="0"/>
    <n v="805"/>
    <x v="8"/>
    <n v="2"/>
    <n v="51.27"/>
    <n v="5"/>
    <x v="0"/>
    <x v="0"/>
    <n v="20889.75"/>
    <b v="1"/>
    <n v="2.1666666666666665"/>
    <n v="803.45192307692309"/>
    <n v="17.09"/>
    <d v="2021-11-01T00:00:00"/>
    <s v="Adult"/>
    <n v="1"/>
    <s v="Yes"/>
    <n v="733"/>
    <s v="Medium"/>
    <s v="Low"/>
    <n v="7.407407407407407E-2"/>
    <s v="High"/>
    <n v="1"/>
    <d v="2021-11-01T00:00:00"/>
    <s v="25+ months"/>
    <s v="2–3 tickets"/>
    <s v="46+ min"/>
    <s v="701–1000"/>
    <n v="20930"/>
    <n v="-40.25"/>
  </r>
  <r>
    <n v="10986"/>
    <n v="55"/>
    <s v="Female"/>
    <s v="Hyderabad"/>
    <d v="2021-07-29T00:00:00"/>
    <d v="2022-10-15T00:00:00"/>
    <x v="2"/>
    <n v="1453"/>
    <x v="25"/>
    <n v="4"/>
    <n v="52.61"/>
    <n v="15"/>
    <x v="3"/>
    <x v="1"/>
    <n v="20124.05"/>
    <b v="1"/>
    <n v="1.1666666666666667"/>
    <n v="1437.4321428571427"/>
    <n v="10.522"/>
    <d v="2021-07-01T00:00:00"/>
    <s v="Older"/>
    <n v="0"/>
    <s v="Yes"/>
    <n v="443"/>
    <s v="Medium"/>
    <s v="Low"/>
    <n v="0.26666666666666666"/>
    <s v="High"/>
    <n v="2"/>
    <d v="2021-07-01T00:00:00"/>
    <s v="13–24 months"/>
    <s v="4–5 tickets"/>
    <s v="46+ min"/>
    <s v="1000+"/>
    <n v="20342"/>
    <n v="-217.95000000000073"/>
  </r>
  <r>
    <n v="10987"/>
    <n v="54"/>
    <s v="Male"/>
    <s v="unknown"/>
    <d v="2022-10-18T00:00:00"/>
    <d v="2021-11-13T00:00:00"/>
    <x v="0"/>
    <n v="697"/>
    <x v="34"/>
    <n v="3"/>
    <n v="43.39"/>
    <n v="10"/>
    <x v="3"/>
    <x v="1"/>
    <n v="8294.2999999999993"/>
    <b v="0"/>
    <n v="1"/>
    <n v="691.19166666666661"/>
    <n v="10.8475"/>
    <d v="2022-10-01T00:00:00"/>
    <s v="Older"/>
    <n v="0"/>
    <s v="No"/>
    <m/>
    <s v="Medium"/>
    <s v="Low"/>
    <n v="0.23076923076923078"/>
    <s v="Low"/>
    <n v="1"/>
    <d v="2022-10-01T00:00:00"/>
    <s v="7–12 months"/>
    <s v="2–3 tickets"/>
    <s v="31–45 min"/>
    <s v="501–700"/>
    <n v="8364"/>
    <n v="-69.700000000000728"/>
  </r>
  <r>
    <n v="10988"/>
    <n v="28"/>
    <s v="Female"/>
    <s v="Chennai"/>
    <d v="2022-01-27T00:00:00"/>
    <d v="2023-05-04T00:00:00"/>
    <x v="0"/>
    <n v="593"/>
    <x v="2"/>
    <n v="6"/>
    <n v="69.14"/>
    <n v="20"/>
    <x v="3"/>
    <x v="0"/>
    <n v="2253.4"/>
    <b v="1"/>
    <n v="0.33333333333333331"/>
    <n v="563.35"/>
    <n v="9.8771428571428572"/>
    <d v="2022-01-01T00:00:00"/>
    <s v="Adult"/>
    <n v="1"/>
    <s v="No"/>
    <n v="462"/>
    <s v="High"/>
    <s v="Medium"/>
    <n v="1.2"/>
    <s v="Low"/>
    <n v="1"/>
    <d v="2022-01-01T00:00:00"/>
    <s v="0–6 months"/>
    <s v="6+ tickets"/>
    <s v="46+ min"/>
    <s v="501–700"/>
    <n v="2372"/>
    <n v="-118.59999999999991"/>
  </r>
  <r>
    <n v="10989"/>
    <n v="53"/>
    <s v="Male"/>
    <s v="Pune"/>
    <d v="2023-05-07T00:00:00"/>
    <d v="2021-11-22T00:00:00"/>
    <x v="2"/>
    <n v="851"/>
    <x v="19"/>
    <n v="3"/>
    <n v="44.79"/>
    <n v="5"/>
    <x v="2"/>
    <x v="0"/>
    <n v="11020.45"/>
    <b v="0"/>
    <n v="1.0833333333333333"/>
    <n v="847.72692307692319"/>
    <n v="11.1975"/>
    <d v="2023-05-01T00:00:00"/>
    <s v="Older"/>
    <n v="1"/>
    <s v="No"/>
    <m/>
    <s v="Medium"/>
    <s v="Low"/>
    <n v="0.21428571428571427"/>
    <s v="Medium"/>
    <n v="2"/>
    <d v="2023-05-01T00:00:00"/>
    <s v="13–24 months"/>
    <s v="2–3 tickets"/>
    <s v="31–45 min"/>
    <s v="701–1000"/>
    <n v="11063"/>
    <n v="-42.549999999999272"/>
  </r>
  <r>
    <n v="10990"/>
    <n v="30"/>
    <s v="Female"/>
    <s v="Mumbai"/>
    <d v="2021-04-06T00:00:00"/>
    <d v="2021-06-01T00:00:00"/>
    <x v="2"/>
    <n v="1149"/>
    <x v="10"/>
    <n v="1"/>
    <n v="52.89"/>
    <n v="10"/>
    <x v="0"/>
    <x v="1"/>
    <n v="20567.099999999999"/>
    <b v="1"/>
    <n v="1.5"/>
    <n v="1142.6166666666666"/>
    <n v="26.445"/>
    <d v="2021-04-01T00:00:00"/>
    <s v="Adult"/>
    <n v="0"/>
    <s v="Yes"/>
    <n v="56"/>
    <s v="Medium"/>
    <s v="Low"/>
    <n v="5.2631578947368418E-2"/>
    <s v="High"/>
    <n v="2"/>
    <d v="2021-04-01T00:00:00"/>
    <s v="13–24 months"/>
    <s v="0–1 tickets"/>
    <s v="46+ min"/>
    <s v="1000+"/>
    <n v="20682"/>
    <n v="-114.90000000000146"/>
  </r>
  <r>
    <n v="10991"/>
    <n v="60"/>
    <s v="Male"/>
    <s v="Mumbai"/>
    <d v="2023-06-13T00:00:00"/>
    <d v="2023-11-16T00:00:00"/>
    <x v="2"/>
    <n v="1339"/>
    <x v="29"/>
    <n v="2"/>
    <n v="96.72"/>
    <n v="15"/>
    <x v="3"/>
    <x v="1"/>
    <n v="37291.15"/>
    <b v="1"/>
    <n v="2.3333333333333335"/>
    <n v="1331.8267857142857"/>
    <n v="32.24"/>
    <d v="2023-06-01T00:00:00"/>
    <s v="Older"/>
    <n v="0"/>
    <s v="Yes"/>
    <n v="156"/>
    <s v="High"/>
    <s v="Low"/>
    <n v="6.8965517241379309E-2"/>
    <s v="High"/>
    <n v="2"/>
    <d v="2023-06-01T00:00:00"/>
    <s v="25+ months"/>
    <s v="2–3 tickets"/>
    <s v="46+ min"/>
    <s v="1000+"/>
    <n v="37492"/>
    <n v="-200.84999999999854"/>
  </r>
  <r>
    <n v="10992"/>
    <n v="20"/>
    <s v="Female"/>
    <s v="Mumbai"/>
    <d v="2023-05-08T00:00:00"/>
    <d v="2023-06-11T00:00:00"/>
    <x v="2"/>
    <n v="1184"/>
    <x v="17"/>
    <n v="7"/>
    <n v="23.64"/>
    <n v="5"/>
    <x v="3"/>
    <x v="1"/>
    <n v="22436.799999999999"/>
    <b v="1"/>
    <n v="1.5833333333333333"/>
    <n v="1180.8842105263157"/>
    <n v="2.9550000000000001"/>
    <d v="2023-05-01T00:00:00"/>
    <s v="Young"/>
    <n v="0"/>
    <s v="Yes"/>
    <n v="34"/>
    <s v="Medium"/>
    <s v="Low"/>
    <n v="0.35"/>
    <s v="High"/>
    <n v="2"/>
    <d v="2023-05-01T00:00:00"/>
    <s v="13–24 months"/>
    <s v="6+ tickets"/>
    <s v="21–30 min"/>
    <s v="1000+"/>
    <n v="22496"/>
    <n v="-59.200000000000728"/>
  </r>
  <r>
    <n v="10993"/>
    <n v="50"/>
    <s v="Female"/>
    <s v="unknown"/>
    <d v="2023-01-26T00:00:00"/>
    <d v="2021-08-25T00:00:00"/>
    <x v="0"/>
    <n v="1303"/>
    <x v="13"/>
    <n v="2"/>
    <n v="76.2"/>
    <n v="10"/>
    <x v="0"/>
    <x v="1"/>
    <n v="3713.55"/>
    <b v="0"/>
    <n v="0.25"/>
    <n v="1237.8500000000001"/>
    <n v="25.400000000000002"/>
    <d v="2023-01-01T00:00:00"/>
    <s v="Middle-aged"/>
    <n v="0"/>
    <s v="No"/>
    <m/>
    <s v="High"/>
    <s v="Low"/>
    <n v="0.5"/>
    <s v="Low"/>
    <n v="1"/>
    <d v="2023-01-01T00:00:00"/>
    <s v="0–6 months"/>
    <s v="2–3 tickets"/>
    <s v="46+ min"/>
    <s v="1000+"/>
    <n v="3909"/>
    <n v="-195.44999999999982"/>
  </r>
  <r>
    <n v="10994"/>
    <n v="23"/>
    <s v="Male"/>
    <s v="Chennai"/>
    <d v="2021-03-27T00:00:00"/>
    <d v="2022-12-26T00:00:00"/>
    <x v="0"/>
    <n v="433"/>
    <x v="17"/>
    <n v="1"/>
    <n v="63.14"/>
    <n v="15"/>
    <x v="0"/>
    <x v="1"/>
    <n v="8162.05"/>
    <b v="1"/>
    <n v="1.5833333333333333"/>
    <n v="429.58157894736843"/>
    <n v="31.57"/>
    <d v="2021-03-01T00:00:00"/>
    <s v="Young"/>
    <n v="0"/>
    <s v="No"/>
    <n v="639"/>
    <s v="High"/>
    <s v="Low"/>
    <n v="0.05"/>
    <s v="Low"/>
    <n v="1"/>
    <d v="2021-03-01T00:00:00"/>
    <s v="13–24 months"/>
    <s v="0–1 tickets"/>
    <s v="46+ min"/>
    <s v="301–500"/>
    <n v="8227"/>
    <n v="-64.949999999999818"/>
  </r>
  <r>
    <n v="10995"/>
    <n v="27"/>
    <s v="Male"/>
    <s v="Hyderabad"/>
    <d v="2022-02-19T00:00:00"/>
    <d v="2022-04-16T00:00:00"/>
    <x v="0"/>
    <n v="1070"/>
    <x v="28"/>
    <n v="5"/>
    <n v="40.08"/>
    <n v="10"/>
    <x v="2"/>
    <x v="1"/>
    <n v="21239.5"/>
    <b v="1"/>
    <n v="1.6666666666666667"/>
    <n v="1061.9749999999999"/>
    <n v="6.68"/>
    <d v="2022-02-01T00:00:00"/>
    <s v="Adult"/>
    <n v="0"/>
    <s v="Yes"/>
    <n v="56"/>
    <s v="Medium"/>
    <s v="Low"/>
    <n v="0.23809523809523808"/>
    <s v="High"/>
    <n v="1"/>
    <d v="2022-02-01T00:00:00"/>
    <s v="13–24 months"/>
    <s v="4–5 tickets"/>
    <s v="31–45 min"/>
    <s v="1000+"/>
    <n v="21400"/>
    <n v="-160.5"/>
  </r>
  <r>
    <n v="10996"/>
    <n v="22"/>
    <s v="Female"/>
    <s v="Pune"/>
    <d v="2022-01-29T00:00:00"/>
    <d v="2022-07-06T00:00:00"/>
    <x v="2"/>
    <n v="807"/>
    <x v="0"/>
    <n v="3"/>
    <n v="88.67"/>
    <n v="20"/>
    <x v="1"/>
    <x v="1"/>
    <n v="20013.599999999999"/>
    <b v="1"/>
    <n v="2.0833333333333335"/>
    <n v="800.54399999999998"/>
    <n v="22.1675"/>
    <d v="2022-01-01T00:00:00"/>
    <s v="Young"/>
    <n v="0"/>
    <s v="Yes"/>
    <n v="158"/>
    <s v="High"/>
    <s v="Medium"/>
    <n v="0.11538461538461539"/>
    <s v="High"/>
    <n v="2"/>
    <d v="2022-01-01T00:00:00"/>
    <s v="25+ months"/>
    <s v="2–3 tickets"/>
    <s v="46+ min"/>
    <s v="701–1000"/>
    <n v="20175"/>
    <n v="-161.40000000000146"/>
  </r>
  <r>
    <n v="10997"/>
    <n v="40"/>
    <s v="Male"/>
    <s v="Chennai"/>
    <d v="2022-11-27T00:00:00"/>
    <d v="2022-06-17T00:00:00"/>
    <x v="1"/>
    <n v="1389"/>
    <x v="11"/>
    <n v="5"/>
    <n v="68.39"/>
    <n v="10"/>
    <x v="1"/>
    <x v="1"/>
    <n v="15140.1"/>
    <b v="0"/>
    <n v="0.91666666666666663"/>
    <n v="1376.3727272727274"/>
    <n v="11.398333333333333"/>
    <d v="2022-11-01T00:00:00"/>
    <s v="Middle-aged"/>
    <n v="0"/>
    <s v="Yes"/>
    <m/>
    <s v="High"/>
    <s v="Low"/>
    <n v="0.41666666666666669"/>
    <s v="Medium"/>
    <n v="3"/>
    <d v="2022-11-01T00:00:00"/>
    <s v="7–12 months"/>
    <s v="4–5 tickets"/>
    <s v="46+ min"/>
    <s v="1000+"/>
    <n v="15279"/>
    <n v="-138.89999999999964"/>
  </r>
  <r>
    <n v="10998"/>
    <n v="27"/>
    <s v="Male"/>
    <s v="Bangalore"/>
    <d v="2022-09-25T00:00:00"/>
    <d v="2023-05-19T00:00:00"/>
    <x v="0"/>
    <n v="779"/>
    <x v="18"/>
    <n v="2"/>
    <n v="59.9"/>
    <n v="10"/>
    <x v="2"/>
    <x v="1"/>
    <n v="13165.1"/>
    <b v="1"/>
    <n v="1.4166666666666667"/>
    <n v="774.4176470588236"/>
    <n v="19.966666666666665"/>
    <d v="2022-09-01T00:00:00"/>
    <s v="Adult"/>
    <n v="0"/>
    <s v="No"/>
    <n v="236"/>
    <s v="Medium"/>
    <s v="Low"/>
    <n v="0.1111111111111111"/>
    <s v="Medium"/>
    <n v="1"/>
    <d v="2022-09-01T00:00:00"/>
    <s v="13–24 months"/>
    <s v="2–3 tickets"/>
    <s v="46+ min"/>
    <s v="701–1000"/>
    <n v="13243"/>
    <n v="-77.899999999999636"/>
  </r>
  <r>
    <n v="10999"/>
    <n v="61"/>
    <s v="Male"/>
    <s v="Bangalore"/>
    <d v="2023-04-24T00:00:00"/>
    <d v="2023-02-07T00:00:00"/>
    <x v="2"/>
    <n v="1162"/>
    <x v="12"/>
    <n v="0"/>
    <n v="62.59"/>
    <n v="0"/>
    <x v="2"/>
    <x v="1"/>
    <n v="40670"/>
    <b v="0"/>
    <n v="2.9166666666666665"/>
    <n v="1162"/>
    <n v="62.59"/>
    <d v="2023-04-01T00:00:00"/>
    <s v="Older"/>
    <n v="0"/>
    <s v="Yes"/>
    <m/>
    <s v="High"/>
    <s v="Low"/>
    <n v="0"/>
    <s v="High"/>
    <n v="2"/>
    <d v="2023-04-01T00:00:00"/>
    <s v="25+ months"/>
    <s v="0–1 tickets"/>
    <s v="46+ min"/>
    <s v="1000+"/>
    <n v="40670"/>
    <n v="0"/>
  </r>
  <r>
    <n v="11000"/>
    <n v="19"/>
    <s v="Male"/>
    <s v="Mumbai"/>
    <d v="2022-05-16T00:00:00"/>
    <d v="2022-04-14T00:00:00"/>
    <x v="0"/>
    <n v="758"/>
    <x v="25"/>
    <n v="0"/>
    <n v="97.26"/>
    <n v="5"/>
    <x v="0"/>
    <x v="1"/>
    <n v="10574.1"/>
    <b v="0"/>
    <n v="1.1666666666666667"/>
    <n v="755.2928571428572"/>
    <n v="97.26"/>
    <d v="2022-05-01T00:00:00"/>
    <s v="Young"/>
    <n v="0"/>
    <s v="No"/>
    <m/>
    <s v="High"/>
    <s v="Low"/>
    <n v="0"/>
    <s v="Medium"/>
    <n v="1"/>
    <d v="2022-05-01T00:00:00"/>
    <s v="13–24 months"/>
    <s v="0–1 tickets"/>
    <s v="46+ min"/>
    <s v="701–1000"/>
    <n v="10612"/>
    <n v="-37.899999999999636"/>
  </r>
  <r>
    <n v="11001"/>
    <n v="30"/>
    <s v="Female"/>
    <s v="Delhi"/>
    <d v="2022-08-27T00:00:00"/>
    <d v="2023-08-12T00:00:00"/>
    <x v="2"/>
    <n v="925"/>
    <x v="17"/>
    <n v="1"/>
    <n v="116.86"/>
    <n v="15"/>
    <x v="2"/>
    <x v="1"/>
    <n v="17436.25"/>
    <b v="1"/>
    <n v="1.5833333333333333"/>
    <n v="917.6973684210526"/>
    <n v="58.43"/>
    <d v="2022-08-01T00:00:00"/>
    <s v="Adult"/>
    <n v="0"/>
    <s v="Yes"/>
    <n v="350"/>
    <s v="High"/>
    <s v="Low"/>
    <n v="0.05"/>
    <s v="Medium"/>
    <n v="2"/>
    <d v="2022-08-01T00:00:00"/>
    <s v="13–24 months"/>
    <s v="0–1 tickets"/>
    <s v="46+ min"/>
    <s v="701–1000"/>
    <n v="17575"/>
    <n v="-138.75"/>
  </r>
  <r>
    <n v="11002"/>
    <n v="57"/>
    <s v="Female"/>
    <s v="Mumbai"/>
    <d v="2022-08-05T00:00:00"/>
    <d v="2022-02-05T00:00:00"/>
    <x v="0"/>
    <n v="458"/>
    <x v="13"/>
    <n v="2"/>
    <n v="77.38"/>
    <n v="5"/>
    <x v="2"/>
    <x v="1"/>
    <n v="1351.1"/>
    <b v="0"/>
    <n v="0.25"/>
    <n v="450.36666666666662"/>
    <n v="25.793333333333333"/>
    <d v="2022-08-01T00:00:00"/>
    <s v="Older"/>
    <n v="0"/>
    <s v="No"/>
    <m/>
    <s v="High"/>
    <s v="Low"/>
    <n v="0.5"/>
    <s v="Low"/>
    <n v="1"/>
    <d v="2022-08-01T00:00:00"/>
    <s v="0–6 months"/>
    <s v="2–3 tickets"/>
    <s v="46+ min"/>
    <s v="301–500"/>
    <n v="1374"/>
    <n v="-22.900000000000091"/>
  </r>
  <r>
    <n v="11003"/>
    <n v="19"/>
    <s v="Male"/>
    <s v="Delhi"/>
    <d v="2021-05-13T00:00:00"/>
    <d v="2022-11-07T00:00:00"/>
    <x v="0"/>
    <n v="460"/>
    <x v="22"/>
    <n v="3"/>
    <n v="105.56"/>
    <n v="10"/>
    <x v="3"/>
    <x v="1"/>
    <n v="15594"/>
    <b v="1"/>
    <n v="2.8333333333333335"/>
    <n v="458.64705882352939"/>
    <n v="26.39"/>
    <d v="2021-05-01T00:00:00"/>
    <s v="Young"/>
    <n v="0"/>
    <s v="Yes"/>
    <n v="543"/>
    <s v="High"/>
    <s v="Low"/>
    <n v="8.5714285714285715E-2"/>
    <s v="Medium"/>
    <n v="1"/>
    <d v="2021-05-01T00:00:00"/>
    <s v="25+ months"/>
    <s v="2–3 tickets"/>
    <s v="46+ min"/>
    <s v="301–500"/>
    <n v="15640"/>
    <n v="-46"/>
  </r>
  <r>
    <n v="11004"/>
    <n v="37"/>
    <s v="Male"/>
    <s v="Chennai"/>
    <d v="2023-03-02T00:00:00"/>
    <d v="2023-04-06T00:00:00"/>
    <x v="1"/>
    <n v="1239"/>
    <x v="1"/>
    <n v="2"/>
    <n v="5.13"/>
    <n v="10"/>
    <x v="2"/>
    <x v="1"/>
    <n v="27134.1"/>
    <b v="1"/>
    <n v="1.8333333333333333"/>
    <n v="1233.3681818181817"/>
    <n v="1.71"/>
    <d v="2023-03-01T00:00:00"/>
    <s v="Middle-aged"/>
    <n v="0"/>
    <s v="Yes"/>
    <n v="35"/>
    <s v="Low"/>
    <s v="Low"/>
    <n v="8.6956521739130432E-2"/>
    <s v="High"/>
    <n v="3"/>
    <d v="2023-03-01T00:00:00"/>
    <s v="13–24 months"/>
    <s v="2–3 tickets"/>
    <s v="0–10 min"/>
    <s v="1000+"/>
    <n v="27258"/>
    <n v="-123.90000000000146"/>
  </r>
  <r>
    <n v="11005"/>
    <n v="18"/>
    <s v="Male"/>
    <s v="Bangalore"/>
    <d v="2022-10-11T00:00:00"/>
    <d v="2022-12-07T00:00:00"/>
    <x v="2"/>
    <n v="454"/>
    <x v="26"/>
    <n v="2"/>
    <n v="62.59"/>
    <n v="15"/>
    <x v="2"/>
    <x v="1"/>
    <n v="12189.9"/>
    <b v="1"/>
    <n v="2.25"/>
    <n v="451.47777777777776"/>
    <n v="20.863333333333333"/>
    <d v="2022-10-01T00:00:00"/>
    <s v="Young"/>
    <n v="0"/>
    <s v="No"/>
    <n v="57"/>
    <s v="High"/>
    <s v="Low"/>
    <n v="7.1428571428571425E-2"/>
    <s v="Medium"/>
    <n v="2"/>
    <d v="2022-10-01T00:00:00"/>
    <s v="25+ months"/>
    <s v="2–3 tickets"/>
    <s v="46+ min"/>
    <s v="301–500"/>
    <n v="12258"/>
    <n v="-68.100000000000364"/>
  </r>
  <r>
    <n v="11006"/>
    <n v="54"/>
    <s v="Male"/>
    <s v="Pune"/>
    <d v="2021-11-10T00:00:00"/>
    <d v="2023-11-15T00:00:00"/>
    <x v="2"/>
    <n v="785"/>
    <x v="6"/>
    <n v="3"/>
    <n v="29.68"/>
    <n v="20"/>
    <x v="3"/>
    <x v="1"/>
    <n v="16328"/>
    <b v="1"/>
    <n v="1.75"/>
    <n v="777.52380952380952"/>
    <n v="7.42"/>
    <d v="2021-11-01T00:00:00"/>
    <s v="Older"/>
    <n v="0"/>
    <s v="Yes"/>
    <n v="735"/>
    <s v="Medium"/>
    <s v="Medium"/>
    <n v="0.13636363636363635"/>
    <s v="Medium"/>
    <n v="2"/>
    <d v="2021-11-01T00:00:00"/>
    <s v="13–24 months"/>
    <s v="2–3 tickets"/>
    <s v="21–30 min"/>
    <s v="701–1000"/>
    <n v="16485"/>
    <n v="-157"/>
  </r>
  <r>
    <n v="11007"/>
    <n v="26"/>
    <s v="Male"/>
    <s v="Delhi"/>
    <d v="2022-11-30T00:00:00"/>
    <d v="2023-02-13T00:00:00"/>
    <x v="0"/>
    <n v="731"/>
    <x v="27"/>
    <n v="1"/>
    <n v="15.83"/>
    <n v="15"/>
    <x v="0"/>
    <x v="0"/>
    <n v="22551.35"/>
    <b v="1"/>
    <n v="2.5833333333333335"/>
    <n v="727.46290322580637"/>
    <n v="7.915"/>
    <d v="2022-11-01T00:00:00"/>
    <s v="Adult"/>
    <n v="1"/>
    <s v="Yes"/>
    <n v="75"/>
    <s v="Low"/>
    <s v="Low"/>
    <n v="3.125E-2"/>
    <s v="High"/>
    <n v="1"/>
    <d v="2022-11-01T00:00:00"/>
    <s v="25+ months"/>
    <s v="0–1 tickets"/>
    <s v="11–20 min"/>
    <s v="701–1000"/>
    <n v="22661"/>
    <n v="-109.65000000000146"/>
  </r>
  <r>
    <n v="11008"/>
    <n v="41"/>
    <s v="Male"/>
    <s v="Chennai"/>
    <d v="2021-08-09T00:00:00"/>
    <d v="2023-05-18T00:00:00"/>
    <x v="0"/>
    <n v="1350"/>
    <x v="26"/>
    <n v="7"/>
    <n v="66.180000000000007"/>
    <n v="15"/>
    <x v="0"/>
    <x v="1"/>
    <n v="36247.5"/>
    <b v="1"/>
    <n v="2.25"/>
    <n v="1342.5"/>
    <n v="8.2725000000000009"/>
    <d v="2021-08-01T00:00:00"/>
    <s v="Middle-aged"/>
    <n v="0"/>
    <s v="Yes"/>
    <n v="647"/>
    <s v="High"/>
    <s v="Low"/>
    <n v="0.25"/>
    <s v="High"/>
    <n v="1"/>
    <d v="2021-08-01T00:00:00"/>
    <s v="25+ months"/>
    <s v="6+ tickets"/>
    <s v="46+ min"/>
    <s v="1000+"/>
    <n v="36450"/>
    <n v="-202.5"/>
  </r>
  <r>
    <n v="11009"/>
    <n v="26"/>
    <s v="Male"/>
    <s v="Bangalore"/>
    <d v="2022-03-14T00:00:00"/>
    <d v="2023-11-13T00:00:00"/>
    <x v="0"/>
    <n v="1303"/>
    <x v="4"/>
    <n v="2"/>
    <n v="90.89"/>
    <n v="0"/>
    <x v="2"/>
    <x v="1"/>
    <n v="2606"/>
    <b v="1"/>
    <n v="0.16666666666666666"/>
    <n v="1303"/>
    <n v="30.296666666666667"/>
    <d v="2022-03-01T00:00:00"/>
    <s v="Adult"/>
    <n v="0"/>
    <s v="No"/>
    <n v="609"/>
    <s v="High"/>
    <s v="Low"/>
    <n v="0.66666666666666663"/>
    <s v="Low"/>
    <n v="1"/>
    <d v="2022-03-01T00:00:00"/>
    <s v="0–6 months"/>
    <s v="2–3 tickets"/>
    <s v="46+ min"/>
    <s v="1000+"/>
    <n v="2606"/>
    <n v="0"/>
  </r>
  <r>
    <n v="11010"/>
    <n v="28"/>
    <s v="Female"/>
    <s v="Pune"/>
    <d v="2021-02-15T00:00:00"/>
    <d v="2022-02-11T00:00:00"/>
    <x v="1"/>
    <n v="1335"/>
    <x v="9"/>
    <n v="6"/>
    <n v="52.41"/>
    <n v="20"/>
    <x v="2"/>
    <x v="1"/>
    <n v="11748"/>
    <b v="1"/>
    <n v="0.75"/>
    <n v="1305.3333333333333"/>
    <n v="7.4871428571428567"/>
    <d v="2021-02-01T00:00:00"/>
    <s v="Adult"/>
    <n v="0"/>
    <s v="No"/>
    <n v="361"/>
    <s v="Medium"/>
    <s v="Medium"/>
    <n v="0.6"/>
    <s v="Medium"/>
    <n v="3"/>
    <d v="2021-02-01T00:00:00"/>
    <s v="7–12 months"/>
    <s v="6+ tickets"/>
    <s v="46+ min"/>
    <s v="1000+"/>
    <n v="12015"/>
    <n v="-267"/>
  </r>
  <r>
    <n v="11011"/>
    <n v="32"/>
    <s v="Male"/>
    <s v="Delhi"/>
    <d v="2023-03-01T00:00:00"/>
    <d v="2022-04-03T00:00:00"/>
    <x v="1"/>
    <n v="366"/>
    <x v="17"/>
    <n v="1"/>
    <n v="82.06"/>
    <n v="5"/>
    <x v="1"/>
    <x v="1"/>
    <n v="6935.7"/>
    <b v="0"/>
    <n v="1.5833333333333333"/>
    <n v="365.03684210526313"/>
    <n v="41.03"/>
    <d v="2023-03-01T00:00:00"/>
    <s v="Adult"/>
    <n v="0"/>
    <s v="No"/>
    <m/>
    <s v="High"/>
    <s v="Low"/>
    <n v="0.05"/>
    <s v="Low"/>
    <n v="3"/>
    <d v="2023-03-01T00:00:00"/>
    <s v="13–24 months"/>
    <s v="0–1 tickets"/>
    <s v="46+ min"/>
    <s v="301–500"/>
    <n v="6954"/>
    <n v="-18.300000000000182"/>
  </r>
  <r>
    <n v="11012"/>
    <n v="41"/>
    <s v="Female"/>
    <s v="Mumbai"/>
    <d v="2021-07-11T00:00:00"/>
    <d v="2021-10-22T00:00:00"/>
    <x v="0"/>
    <n v="841"/>
    <x v="32"/>
    <n v="0"/>
    <n v="61.32"/>
    <n v="20"/>
    <x v="3"/>
    <x v="0"/>
    <n v="8241.7999999999993"/>
    <b v="1"/>
    <n v="0.83333333333333337"/>
    <n v="824.18"/>
    <n v="61.32"/>
    <d v="2021-07-01T00:00:00"/>
    <s v="Middle-aged"/>
    <n v="1"/>
    <s v="No"/>
    <n v="103"/>
    <s v="High"/>
    <s v="Medium"/>
    <n v="0"/>
    <s v="Low"/>
    <n v="1"/>
    <d v="2021-07-01T00:00:00"/>
    <s v="7–12 months"/>
    <s v="0–1 tickets"/>
    <s v="46+ min"/>
    <s v="701–1000"/>
    <n v="8410"/>
    <n v="-168.20000000000073"/>
  </r>
  <r>
    <n v="11013"/>
    <n v="55"/>
    <s v="Female"/>
    <s v="Mumbai"/>
    <d v="2022-06-04T00:00:00"/>
    <d v="2023-03-20T00:00:00"/>
    <x v="0"/>
    <n v="395"/>
    <x v="16"/>
    <n v="1"/>
    <n v="55.26"/>
    <n v="15"/>
    <x v="1"/>
    <x v="0"/>
    <n v="2705.75"/>
    <b v="1"/>
    <n v="0.58333333333333337"/>
    <n v="386.53571428571428"/>
    <n v="27.63"/>
    <d v="2022-06-01T00:00:00"/>
    <s v="Older"/>
    <n v="1"/>
    <s v="No"/>
    <n v="289"/>
    <s v="Medium"/>
    <s v="Low"/>
    <n v="0.125"/>
    <s v="Low"/>
    <n v="1"/>
    <d v="2022-06-01T00:00:00"/>
    <s v="7–12 months"/>
    <s v="0–1 tickets"/>
    <s v="46+ min"/>
    <s v="301–500"/>
    <n v="2765"/>
    <n v="-59.25"/>
  </r>
  <r>
    <n v="11014"/>
    <n v="52"/>
    <s v="Female"/>
    <s v="Mumbai"/>
    <d v="2022-01-14T00:00:00"/>
    <d v="2022-06-26T00:00:00"/>
    <x v="1"/>
    <n v="514"/>
    <x v="2"/>
    <n v="6"/>
    <n v="38.380000000000003"/>
    <n v="15"/>
    <x v="2"/>
    <x v="0"/>
    <n v="1978.9"/>
    <b v="1"/>
    <n v="0.33333333333333331"/>
    <n v="494.72500000000002"/>
    <n v="5.4828571428571431"/>
    <d v="2022-01-01T00:00:00"/>
    <s v="Older"/>
    <n v="1"/>
    <s v="No"/>
    <n v="163"/>
    <s v="Medium"/>
    <s v="Low"/>
    <n v="1.2"/>
    <s v="Low"/>
    <n v="3"/>
    <d v="2022-01-01T00:00:00"/>
    <s v="0–6 months"/>
    <s v="6+ tickets"/>
    <s v="31–45 min"/>
    <s v="501–700"/>
    <n v="2056"/>
    <n v="-77.099999999999909"/>
  </r>
  <r>
    <n v="11015"/>
    <n v="47"/>
    <s v="Female"/>
    <s v="Chennai"/>
    <d v="2023-02-27T00:00:00"/>
    <d v="2023-08-22T00:00:00"/>
    <x v="0"/>
    <n v="493"/>
    <x v="15"/>
    <n v="2"/>
    <n v="49"/>
    <n v="15"/>
    <x v="1"/>
    <x v="0"/>
    <n v="7321.05"/>
    <b v="1"/>
    <n v="1.25"/>
    <n v="488.07"/>
    <n v="16.333333333333332"/>
    <d v="2023-02-01T00:00:00"/>
    <s v="Middle-aged"/>
    <n v="1"/>
    <s v="No"/>
    <n v="176"/>
    <s v="Medium"/>
    <s v="Low"/>
    <n v="0.125"/>
    <s v="Low"/>
    <n v="1"/>
    <d v="2023-02-01T00:00:00"/>
    <s v="13–24 months"/>
    <s v="2–3 tickets"/>
    <s v="46+ min"/>
    <s v="301–500"/>
    <n v="7395"/>
    <n v="-73.949999999999818"/>
  </r>
  <r>
    <n v="11016"/>
    <n v="48"/>
    <s v="Female"/>
    <s v="Mumbai"/>
    <d v="2022-11-22T00:00:00"/>
    <d v="2023-04-07T00:00:00"/>
    <x v="2"/>
    <n v="1184"/>
    <x v="34"/>
    <n v="2"/>
    <n v="45.23"/>
    <n v="10"/>
    <x v="1"/>
    <x v="1"/>
    <n v="14030.4"/>
    <b v="1"/>
    <n v="1"/>
    <n v="1169.2"/>
    <n v="15.076666666666666"/>
    <d v="2022-11-01T00:00:00"/>
    <s v="Middle-aged"/>
    <n v="0"/>
    <s v="Yes"/>
    <n v="136"/>
    <s v="Medium"/>
    <s v="Low"/>
    <n v="0.15384615384615385"/>
    <s v="Medium"/>
    <n v="2"/>
    <d v="2022-11-01T00:00:00"/>
    <s v="7–12 months"/>
    <s v="2–3 tickets"/>
    <s v="46+ min"/>
    <s v="1000+"/>
    <n v="14208"/>
    <n v="-177.60000000000036"/>
  </r>
  <r>
    <n v="11017"/>
    <n v="22"/>
    <s v="Female"/>
    <s v="Hyderabad"/>
    <d v="2021-11-30T00:00:00"/>
    <d v="2021-11-16T00:00:00"/>
    <x v="0"/>
    <n v="338"/>
    <x v="20"/>
    <n v="1"/>
    <n v="79.31"/>
    <n v="15"/>
    <x v="0"/>
    <x v="1"/>
    <n v="1977.3"/>
    <b v="0"/>
    <n v="0.5"/>
    <n v="329.55"/>
    <n v="39.655000000000001"/>
    <d v="2021-11-01T00:00:00"/>
    <s v="Young"/>
    <n v="0"/>
    <s v="No"/>
    <m/>
    <s v="High"/>
    <s v="Low"/>
    <n v="0.14285714285714285"/>
    <s v="Low"/>
    <n v="1"/>
    <d v="2021-11-01T00:00:00"/>
    <s v="0–6 months"/>
    <s v="0–1 tickets"/>
    <s v="46+ min"/>
    <s v="301–500"/>
    <n v="2028"/>
    <n v="-50.700000000000045"/>
  </r>
  <r>
    <n v="11018"/>
    <n v="61"/>
    <s v="Female"/>
    <s v="Bangalore"/>
    <d v="2021-02-08T00:00:00"/>
    <d v="2022-03-25T00:00:00"/>
    <x v="2"/>
    <n v="1238"/>
    <x v="9"/>
    <n v="1"/>
    <n v="18.34"/>
    <n v="20"/>
    <x v="3"/>
    <x v="1"/>
    <n v="10894.4"/>
    <b v="1"/>
    <n v="0.75"/>
    <n v="1210.4888888888888"/>
    <n v="9.17"/>
    <d v="2021-02-01T00:00:00"/>
    <s v="Older"/>
    <n v="0"/>
    <s v="No"/>
    <n v="410"/>
    <s v="Low"/>
    <s v="Medium"/>
    <n v="0.1"/>
    <s v="Medium"/>
    <n v="2"/>
    <d v="2021-02-01T00:00:00"/>
    <s v="7–12 months"/>
    <s v="0–1 tickets"/>
    <s v="11–20 min"/>
    <s v="1000+"/>
    <n v="11142"/>
    <n v="-247.60000000000036"/>
  </r>
  <r>
    <n v="11019"/>
    <n v="31"/>
    <s v="Female"/>
    <s v="Chennai"/>
    <d v="2021-10-20T00:00:00"/>
    <d v="2022-01-19T00:00:00"/>
    <x v="2"/>
    <n v="1238"/>
    <x v="12"/>
    <n v="1"/>
    <n v="15.65"/>
    <n v="15"/>
    <x v="0"/>
    <x v="1"/>
    <n v="43144.3"/>
    <b v="1"/>
    <n v="2.9166666666666665"/>
    <n v="1232.6942857142858"/>
    <n v="7.8250000000000002"/>
    <d v="2021-10-01T00:00:00"/>
    <s v="Adult"/>
    <n v="0"/>
    <s v="Yes"/>
    <n v="91"/>
    <s v="Low"/>
    <s v="Low"/>
    <n v="2.7777777777777776E-2"/>
    <s v="High"/>
    <n v="2"/>
    <d v="2021-10-01T00:00:00"/>
    <s v="25+ months"/>
    <s v="0–1 tickets"/>
    <s v="11–20 min"/>
    <s v="1000+"/>
    <n v="43330"/>
    <n v="-185.69999999999709"/>
  </r>
  <r>
    <n v="11020"/>
    <n v="41"/>
    <s v="Female"/>
    <s v="Pune"/>
    <d v="2022-11-21T00:00:00"/>
    <d v="2022-02-26T00:00:00"/>
    <x v="1"/>
    <n v="505"/>
    <x v="14"/>
    <n v="1"/>
    <n v="62.59"/>
    <n v="10"/>
    <x v="0"/>
    <x v="1"/>
    <n v="3989.5"/>
    <b v="0"/>
    <n v="0.66666666666666663"/>
    <n v="498.6875"/>
    <n v="31.295000000000002"/>
    <d v="2022-11-01T00:00:00"/>
    <s v="Middle-aged"/>
    <n v="0"/>
    <s v="No"/>
    <m/>
    <s v="High"/>
    <s v="Low"/>
    <n v="0.1111111111111111"/>
    <s v="Low"/>
    <n v="3"/>
    <d v="2022-11-01T00:00:00"/>
    <s v="7–12 months"/>
    <s v="0–1 tickets"/>
    <s v="46+ min"/>
    <s v="501–700"/>
    <n v="4040"/>
    <n v="-50.5"/>
  </r>
  <r>
    <n v="11021"/>
    <n v="26"/>
    <s v="Female"/>
    <s v="Mumbai"/>
    <d v="2021-06-11T00:00:00"/>
    <d v="2021-07-30T00:00:00"/>
    <x v="2"/>
    <n v="1241"/>
    <x v="16"/>
    <n v="2"/>
    <n v="67.819999999999993"/>
    <n v="10"/>
    <x v="1"/>
    <x v="0"/>
    <n v="8562.9"/>
    <b v="1"/>
    <n v="0.58333333333333337"/>
    <n v="1223.2714285714285"/>
    <n v="22.606666666666666"/>
    <d v="2021-06-01T00:00:00"/>
    <s v="Adult"/>
    <n v="1"/>
    <s v="No"/>
    <n v="49"/>
    <s v="High"/>
    <s v="Low"/>
    <n v="0.25"/>
    <s v="Low"/>
    <n v="2"/>
    <d v="2021-06-01T00:00:00"/>
    <s v="7–12 months"/>
    <s v="2–3 tickets"/>
    <s v="46+ min"/>
    <s v="1000+"/>
    <n v="8687"/>
    <n v="-124.10000000000036"/>
  </r>
  <r>
    <n v="11022"/>
    <n v="51"/>
    <s v="Male"/>
    <s v="Bangalore"/>
    <d v="2021-11-27T00:00:00"/>
    <d v="2022-03-23T00:00:00"/>
    <x v="0"/>
    <n v="854"/>
    <x v="2"/>
    <n v="2"/>
    <n v="54.47"/>
    <n v="0"/>
    <x v="3"/>
    <x v="1"/>
    <n v="3416"/>
    <b v="1"/>
    <n v="0.33333333333333331"/>
    <n v="854"/>
    <n v="18.156666666666666"/>
    <d v="2021-11-01T00:00:00"/>
    <s v="Older"/>
    <n v="0"/>
    <s v="No"/>
    <n v="116"/>
    <s v="Medium"/>
    <s v="Low"/>
    <n v="0.4"/>
    <s v="Low"/>
    <n v="1"/>
    <d v="2021-11-01T00:00:00"/>
    <s v="0–6 months"/>
    <s v="2–3 tickets"/>
    <s v="46+ min"/>
    <s v="701–1000"/>
    <n v="3416"/>
    <n v="0"/>
  </r>
  <r>
    <n v="11023"/>
    <n v="29"/>
    <s v="Male"/>
    <s v="Delhi"/>
    <d v="2023-06-05T00:00:00"/>
    <d v="2022-09-10T00:00:00"/>
    <x v="2"/>
    <n v="783"/>
    <x v="19"/>
    <n v="2"/>
    <n v="22.53"/>
    <n v="5"/>
    <x v="2"/>
    <x v="0"/>
    <n v="10139.85"/>
    <b v="0"/>
    <n v="1.0833333333333333"/>
    <n v="779.98846153846159"/>
    <n v="7.5100000000000007"/>
    <d v="2023-06-01T00:00:00"/>
    <s v="Adult"/>
    <n v="1"/>
    <s v="No"/>
    <m/>
    <s v="Medium"/>
    <s v="Low"/>
    <n v="0.14285714285714285"/>
    <s v="Medium"/>
    <n v="2"/>
    <d v="2023-06-01T00:00:00"/>
    <s v="13–24 months"/>
    <s v="2–3 tickets"/>
    <s v="21–30 min"/>
    <s v="701–1000"/>
    <n v="10179"/>
    <n v="-39.149999999999636"/>
  </r>
  <r>
    <n v="11024"/>
    <n v="52"/>
    <s v="Male"/>
    <s v="Mumbai"/>
    <d v="2021-04-14T00:00:00"/>
    <d v="2022-01-21T00:00:00"/>
    <x v="1"/>
    <n v="1070"/>
    <x v="17"/>
    <n v="0"/>
    <n v="52.27"/>
    <n v="10"/>
    <x v="3"/>
    <x v="1"/>
    <n v="20223"/>
    <b v="1"/>
    <n v="1.5833333333333333"/>
    <n v="1064.3684210526317"/>
    <n v="52.27"/>
    <d v="2021-04-01T00:00:00"/>
    <s v="Older"/>
    <n v="0"/>
    <s v="Yes"/>
    <n v="282"/>
    <s v="Medium"/>
    <s v="Low"/>
    <n v="0"/>
    <s v="High"/>
    <n v="3"/>
    <d v="2021-04-01T00:00:00"/>
    <s v="13–24 months"/>
    <s v="0–1 tickets"/>
    <s v="46+ min"/>
    <s v="1000+"/>
    <n v="20330"/>
    <n v="-107"/>
  </r>
  <r>
    <n v="11025"/>
    <n v="52"/>
    <s v="Female"/>
    <s v="Bangalore"/>
    <d v="2021-06-10T00:00:00"/>
    <d v="2023-04-08T00:00:00"/>
    <x v="0"/>
    <n v="548"/>
    <x v="16"/>
    <n v="1"/>
    <n v="95.82"/>
    <n v="0"/>
    <x v="0"/>
    <x v="1"/>
    <n v="3836"/>
    <b v="1"/>
    <n v="0.58333333333333337"/>
    <n v="548"/>
    <n v="47.91"/>
    <d v="2021-06-01T00:00:00"/>
    <s v="Older"/>
    <n v="0"/>
    <s v="No"/>
    <n v="667"/>
    <s v="High"/>
    <s v="Low"/>
    <n v="0.125"/>
    <s v="Low"/>
    <n v="1"/>
    <d v="2021-06-01T00:00:00"/>
    <s v="7–12 months"/>
    <s v="0–1 tickets"/>
    <s v="46+ min"/>
    <s v="501–700"/>
    <n v="3836"/>
    <n v="0"/>
  </r>
  <r>
    <n v="11026"/>
    <n v="18"/>
    <s v="Female"/>
    <s v="Hyderabad"/>
    <d v="2023-03-10T00:00:00"/>
    <d v="2023-05-07T00:00:00"/>
    <x v="0"/>
    <n v="1397"/>
    <x v="32"/>
    <n v="4"/>
    <n v="107.31"/>
    <n v="20"/>
    <x v="1"/>
    <x v="1"/>
    <n v="13690.6"/>
    <b v="1"/>
    <n v="0.83333333333333337"/>
    <n v="1369.06"/>
    <n v="21.462"/>
    <d v="2023-03-01T00:00:00"/>
    <s v="Young"/>
    <n v="0"/>
    <s v="Yes"/>
    <n v="58"/>
    <s v="High"/>
    <s v="Medium"/>
    <n v="0.36363636363636365"/>
    <s v="Medium"/>
    <n v="1"/>
    <d v="2023-03-01T00:00:00"/>
    <s v="7–12 months"/>
    <s v="4–5 tickets"/>
    <s v="46+ min"/>
    <s v="1000+"/>
    <n v="13970"/>
    <n v="-279.39999999999964"/>
  </r>
  <r>
    <n v="11027"/>
    <n v="57"/>
    <s v="Female"/>
    <s v="Delhi"/>
    <d v="2022-09-27T00:00:00"/>
    <d v="2022-01-20T00:00:00"/>
    <x v="0"/>
    <n v="672"/>
    <x v="0"/>
    <n v="5"/>
    <n v="85.8"/>
    <n v="5"/>
    <x v="2"/>
    <x v="0"/>
    <n v="16766.400000000001"/>
    <b v="0"/>
    <n v="2.0833333333333335"/>
    <n v="670.65600000000006"/>
    <n v="14.299999999999999"/>
    <d v="2022-09-01T00:00:00"/>
    <s v="Older"/>
    <n v="1"/>
    <s v="Yes"/>
    <m/>
    <s v="High"/>
    <s v="Low"/>
    <n v="0.19230769230769232"/>
    <s v="Medium"/>
    <n v="1"/>
    <d v="2022-09-01T00:00:00"/>
    <s v="25+ months"/>
    <s v="4–5 tickets"/>
    <s v="46+ min"/>
    <s v="501–700"/>
    <n v="16800"/>
    <n v="-33.599999999998545"/>
  </r>
  <r>
    <n v="11028"/>
    <n v="39"/>
    <s v="Female"/>
    <s v="Hyderabad"/>
    <d v="2021-02-23T00:00:00"/>
    <d v="2022-06-03T00:00:00"/>
    <x v="2"/>
    <n v="1178"/>
    <x v="12"/>
    <n v="2"/>
    <n v="11.89"/>
    <n v="15"/>
    <x v="0"/>
    <x v="1"/>
    <n v="41053.300000000003"/>
    <b v="1"/>
    <n v="2.9166666666666665"/>
    <n v="1172.9514285714286"/>
    <n v="3.9633333333333334"/>
    <d v="2021-02-01T00:00:00"/>
    <s v="Middle-aged"/>
    <n v="0"/>
    <s v="Yes"/>
    <n v="465"/>
    <s v="Low"/>
    <s v="Low"/>
    <n v="5.5555555555555552E-2"/>
    <s v="High"/>
    <n v="2"/>
    <d v="2021-02-01T00:00:00"/>
    <s v="25+ months"/>
    <s v="2–3 tickets"/>
    <s v="11–20 min"/>
    <s v="1000+"/>
    <n v="41230"/>
    <n v="-176.69999999999709"/>
  </r>
  <r>
    <n v="11029"/>
    <n v="46"/>
    <s v="Male"/>
    <s v="Pune"/>
    <d v="2021-02-03T00:00:00"/>
    <d v="2023-04-26T00:00:00"/>
    <x v="0"/>
    <n v="1134"/>
    <x v="0"/>
    <n v="4"/>
    <n v="82.1"/>
    <n v="15"/>
    <x v="1"/>
    <x v="1"/>
    <n v="28179.9"/>
    <b v="1"/>
    <n v="2.0833333333333335"/>
    <n v="1127.1960000000001"/>
    <n v="16.419999999999998"/>
    <d v="2021-02-01T00:00:00"/>
    <s v="Middle-aged"/>
    <n v="0"/>
    <s v="Yes"/>
    <n v="812"/>
    <s v="High"/>
    <s v="Low"/>
    <n v="0.15384615384615385"/>
    <s v="High"/>
    <n v="1"/>
    <d v="2021-02-01T00:00:00"/>
    <s v="25+ months"/>
    <s v="4–5 tickets"/>
    <s v="46+ min"/>
    <s v="1000+"/>
    <n v="28350"/>
    <n v="-170.09999999999854"/>
  </r>
  <r>
    <n v="11030"/>
    <n v="25"/>
    <s v="Male"/>
    <s v="Bangalore"/>
    <d v="2021-08-30T00:00:00"/>
    <d v="2023-09-23T00:00:00"/>
    <x v="2"/>
    <n v="1170"/>
    <x v="5"/>
    <n v="0"/>
    <n v="32.71"/>
    <n v="20"/>
    <x v="0"/>
    <x v="1"/>
    <n v="33696"/>
    <b v="1"/>
    <n v="2.4166666666666665"/>
    <n v="1161.9310344827586"/>
    <n v="32.71"/>
    <d v="2021-08-01T00:00:00"/>
    <s v="Young"/>
    <n v="0"/>
    <s v="Yes"/>
    <n v="754"/>
    <s v="Medium"/>
    <s v="Medium"/>
    <n v="0"/>
    <s v="High"/>
    <n v="2"/>
    <d v="2021-08-01T00:00:00"/>
    <s v="25+ months"/>
    <s v="0–1 tickets"/>
    <s v="31–45 min"/>
    <s v="1000+"/>
    <n v="33930"/>
    <n v="-234"/>
  </r>
  <r>
    <n v="11031"/>
    <n v="28"/>
    <s v="Female"/>
    <s v="Hyderabad"/>
    <d v="2023-06-09T00:00:00"/>
    <d v="2022-01-18T00:00:00"/>
    <x v="0"/>
    <n v="1001"/>
    <x v="34"/>
    <n v="3"/>
    <n v="41.25"/>
    <n v="5"/>
    <x v="1"/>
    <x v="1"/>
    <n v="11961.95"/>
    <b v="0"/>
    <n v="1"/>
    <n v="996.82916666666677"/>
    <n v="10.3125"/>
    <d v="2023-06-01T00:00:00"/>
    <s v="Adult"/>
    <n v="0"/>
    <s v="No"/>
    <m/>
    <s v="Medium"/>
    <s v="Low"/>
    <n v="0.23076923076923078"/>
    <s v="Medium"/>
    <n v="1"/>
    <d v="2023-06-01T00:00:00"/>
    <s v="7–12 months"/>
    <s v="2–3 tickets"/>
    <s v="31–45 min"/>
    <s v="1000+"/>
    <n v="12012"/>
    <n v="-50.049999999999272"/>
  </r>
  <r>
    <n v="11032"/>
    <n v="58"/>
    <s v="Female"/>
    <s v="Pune"/>
    <d v="2021-04-23T00:00:00"/>
    <d v="2023-10-21T00:00:00"/>
    <x v="1"/>
    <n v="437"/>
    <x v="34"/>
    <n v="6"/>
    <n v="27.53"/>
    <n v="10"/>
    <x v="3"/>
    <x v="0"/>
    <n v="5200.3"/>
    <b v="1"/>
    <n v="1"/>
    <n v="433.35833333333335"/>
    <n v="3.9328571428571428"/>
    <d v="2021-04-01T00:00:00"/>
    <s v="Older"/>
    <n v="1"/>
    <s v="No"/>
    <n v="911"/>
    <s v="Medium"/>
    <s v="Low"/>
    <n v="0.46153846153846156"/>
    <s v="Low"/>
    <n v="3"/>
    <d v="2021-04-01T00:00:00"/>
    <s v="7–12 months"/>
    <s v="6+ tickets"/>
    <s v="21–30 min"/>
    <s v="301–500"/>
    <n v="5244"/>
    <n v="-43.699999999999818"/>
  </r>
  <r>
    <n v="11033"/>
    <n v="54"/>
    <s v="Other"/>
    <s v="Bangalore"/>
    <d v="2021-11-14T00:00:00"/>
    <d v="2022-10-04T00:00:00"/>
    <x v="0"/>
    <n v="1247"/>
    <x v="20"/>
    <n v="0"/>
    <n v="94.21"/>
    <n v="5"/>
    <x v="0"/>
    <x v="1"/>
    <n v="7419.65"/>
    <b v="1"/>
    <n v="0.5"/>
    <n v="1236.6083333333333"/>
    <n v="94.21"/>
    <d v="2021-11-01T00:00:00"/>
    <s v="Older"/>
    <n v="0"/>
    <s v="No"/>
    <n v="324"/>
    <s v="High"/>
    <s v="Low"/>
    <n v="0"/>
    <s v="Low"/>
    <n v="1"/>
    <d v="2021-11-01T00:00:00"/>
    <s v="0–6 months"/>
    <s v="0–1 tickets"/>
    <s v="46+ min"/>
    <s v="1000+"/>
    <n v="7482"/>
    <n v="-62.350000000000364"/>
  </r>
  <r>
    <n v="11034"/>
    <n v="31"/>
    <s v="Male"/>
    <s v="Bangalore"/>
    <d v="2021-01-23T00:00:00"/>
    <d v="2023-02-09T00:00:00"/>
    <x v="0"/>
    <n v="756"/>
    <x v="32"/>
    <n v="6"/>
    <n v="79.59"/>
    <n v="10"/>
    <x v="3"/>
    <x v="1"/>
    <n v="7560"/>
    <b v="1"/>
    <n v="0.83333333333333337"/>
    <n v="756"/>
    <n v="11.370000000000001"/>
    <d v="2021-01-01T00:00:00"/>
    <s v="Adult"/>
    <n v="0"/>
    <s v="No"/>
    <n v="747"/>
    <s v="High"/>
    <s v="Low"/>
    <n v="0.54545454545454541"/>
    <s v="Low"/>
    <n v="1"/>
    <d v="2021-01-01T00:00:00"/>
    <s v="7–12 months"/>
    <s v="6+ tickets"/>
    <s v="46+ min"/>
    <s v="701–1000"/>
    <n v="7560"/>
    <n v="0"/>
  </r>
  <r>
    <n v="11035"/>
    <n v="47"/>
    <s v="Female"/>
    <s v="Hyderabad"/>
    <d v="2022-07-12T00:00:00"/>
    <d v="2022-10-16T00:00:00"/>
    <x v="2"/>
    <n v="1113"/>
    <x v="4"/>
    <n v="2"/>
    <n v="75.36"/>
    <n v="20"/>
    <x v="3"/>
    <x v="1"/>
    <n v="2003.4"/>
    <b v="1"/>
    <n v="0.16666666666666666"/>
    <n v="1001.7"/>
    <n v="25.12"/>
    <d v="2022-07-01T00:00:00"/>
    <s v="Middle-aged"/>
    <n v="0"/>
    <s v="No"/>
    <n v="96"/>
    <s v="High"/>
    <s v="Medium"/>
    <n v="0.66666666666666663"/>
    <s v="Low"/>
    <n v="2"/>
    <d v="2022-07-01T00:00:00"/>
    <s v="0–6 months"/>
    <s v="2–3 tickets"/>
    <s v="46+ min"/>
    <s v="1000+"/>
    <n v="2226"/>
    <n v="-222.59999999999991"/>
  </r>
  <r>
    <n v="11036"/>
    <n v="52"/>
    <s v="Female"/>
    <s v="Bangalore"/>
    <d v="2023-04-04T00:00:00"/>
    <d v="2023-11-07T00:00:00"/>
    <x v="2"/>
    <n v="1122"/>
    <x v="0"/>
    <n v="3"/>
    <n v="81.819999999999993"/>
    <n v="10"/>
    <x v="1"/>
    <x v="1"/>
    <n v="27937.8"/>
    <b v="1"/>
    <n v="2.0833333333333335"/>
    <n v="1117.5119999999999"/>
    <n v="20.454999999999998"/>
    <d v="2023-04-01T00:00:00"/>
    <s v="Older"/>
    <n v="0"/>
    <s v="Yes"/>
    <n v="217"/>
    <s v="High"/>
    <s v="Low"/>
    <n v="0.11538461538461539"/>
    <s v="High"/>
    <n v="2"/>
    <d v="2023-04-01T00:00:00"/>
    <s v="25+ months"/>
    <s v="2–3 tickets"/>
    <s v="46+ min"/>
    <s v="1000+"/>
    <n v="28050"/>
    <n v="-112.20000000000073"/>
  </r>
  <r>
    <n v="11037"/>
    <n v="38"/>
    <s v="Female"/>
    <s v="Mumbai"/>
    <d v="2022-10-09T00:00:00"/>
    <d v="2023-06-05T00:00:00"/>
    <x v="0"/>
    <n v="1241"/>
    <x v="16"/>
    <n v="3"/>
    <n v="32.229999999999997"/>
    <n v="5"/>
    <x v="2"/>
    <x v="0"/>
    <n v="8624.9500000000007"/>
    <b v="1"/>
    <n v="0.58333333333333337"/>
    <n v="1232.1357142857144"/>
    <n v="8.0574999999999992"/>
    <d v="2022-10-01T00:00:00"/>
    <s v="Middle-aged"/>
    <n v="1"/>
    <s v="No"/>
    <n v="239"/>
    <s v="Medium"/>
    <s v="Low"/>
    <n v="0.375"/>
    <s v="Low"/>
    <n v="1"/>
    <d v="2022-10-01T00:00:00"/>
    <s v="7–12 months"/>
    <s v="2–3 tickets"/>
    <s v="31–45 min"/>
    <s v="1000+"/>
    <n v="8687"/>
    <n v="-62.049999999999272"/>
  </r>
  <r>
    <n v="11038"/>
    <n v="41"/>
    <s v="Female"/>
    <s v="unknown"/>
    <d v="2021-04-28T00:00:00"/>
    <d v="2023-01-13T00:00:00"/>
    <x v="0"/>
    <n v="743"/>
    <x v="31"/>
    <n v="0"/>
    <n v="56.13"/>
    <n v="5"/>
    <x v="3"/>
    <x v="1"/>
    <n v="17051.849999999999"/>
    <b v="1"/>
    <n v="1.9166666666666667"/>
    <n v="741.38478260869556"/>
    <n v="56.13"/>
    <d v="2021-04-01T00:00:00"/>
    <s v="Middle-aged"/>
    <n v="0"/>
    <s v="Yes"/>
    <n v="625"/>
    <s v="Medium"/>
    <s v="Low"/>
    <n v="0"/>
    <s v="Medium"/>
    <n v="1"/>
    <d v="2021-04-01T00:00:00"/>
    <s v="13–24 months"/>
    <s v="0–1 tickets"/>
    <s v="46+ min"/>
    <s v="701–1000"/>
    <n v="17089"/>
    <n v="-37.150000000001455"/>
  </r>
  <r>
    <n v="11039"/>
    <n v="22"/>
    <s v="Female"/>
    <s v="Chennai"/>
    <d v="2022-12-02T00:00:00"/>
    <d v="2023-06-16T00:00:00"/>
    <x v="0"/>
    <n v="652"/>
    <x v="11"/>
    <n v="1"/>
    <n v="77.819999999999993"/>
    <n v="10"/>
    <x v="0"/>
    <x v="1"/>
    <n v="7106.8"/>
    <b v="1"/>
    <n v="0.91666666666666663"/>
    <n v="646.07272727272732"/>
    <n v="38.909999999999997"/>
    <d v="2022-12-01T00:00:00"/>
    <s v="Young"/>
    <n v="0"/>
    <s v="No"/>
    <n v="196"/>
    <s v="High"/>
    <s v="Low"/>
    <n v="8.3333333333333329E-2"/>
    <s v="Low"/>
    <n v="1"/>
    <d v="2022-12-01T00:00:00"/>
    <s v="7–12 months"/>
    <s v="0–1 tickets"/>
    <s v="46+ min"/>
    <s v="501–700"/>
    <n v="7172"/>
    <n v="-65.199999999999818"/>
  </r>
  <r>
    <n v="11040"/>
    <n v="36"/>
    <s v="Male"/>
    <s v="Pune"/>
    <d v="2022-10-05T00:00:00"/>
    <d v="2022-06-16T00:00:00"/>
    <x v="2"/>
    <n v="1295"/>
    <x v="31"/>
    <n v="1"/>
    <n v="78.209999999999994"/>
    <n v="0"/>
    <x v="0"/>
    <x v="1"/>
    <n v="29785"/>
    <b v="0"/>
    <n v="1.9166666666666667"/>
    <n v="1295"/>
    <n v="39.104999999999997"/>
    <d v="2022-10-01T00:00:00"/>
    <s v="Middle-aged"/>
    <n v="0"/>
    <s v="Yes"/>
    <m/>
    <s v="High"/>
    <s v="Low"/>
    <n v="4.1666666666666664E-2"/>
    <s v="High"/>
    <n v="2"/>
    <d v="2022-10-01T00:00:00"/>
    <s v="13–24 months"/>
    <s v="0–1 tickets"/>
    <s v="46+ min"/>
    <s v="1000+"/>
    <n v="29785"/>
    <n v="0"/>
  </r>
  <r>
    <n v="11041"/>
    <n v="31"/>
    <s v="Female"/>
    <s v="Bangalore"/>
    <d v="2021-07-31T00:00:00"/>
    <d v="2023-04-27T00:00:00"/>
    <x v="2"/>
    <n v="1093"/>
    <x v="16"/>
    <n v="1"/>
    <n v="96.06"/>
    <n v="0"/>
    <x v="1"/>
    <x v="1"/>
    <n v="7651"/>
    <b v="1"/>
    <n v="0.58333333333333337"/>
    <n v="1093"/>
    <n v="48.03"/>
    <d v="2021-07-01T00:00:00"/>
    <s v="Adult"/>
    <n v="0"/>
    <s v="No"/>
    <n v="635"/>
    <s v="High"/>
    <s v="Low"/>
    <n v="0.125"/>
    <s v="Low"/>
    <n v="2"/>
    <d v="2021-07-01T00:00:00"/>
    <s v="7–12 months"/>
    <s v="0–1 tickets"/>
    <s v="46+ min"/>
    <s v="1000+"/>
    <n v="7651"/>
    <n v="0"/>
  </r>
  <r>
    <n v="11042"/>
    <n v="43"/>
    <s v="Female"/>
    <s v="Chennai"/>
    <d v="2022-02-22T00:00:00"/>
    <d v="2022-08-02T00:00:00"/>
    <x v="2"/>
    <n v="710"/>
    <x v="26"/>
    <n v="2"/>
    <n v="38.020000000000003"/>
    <n v="5"/>
    <x v="3"/>
    <x v="1"/>
    <n v="19134.5"/>
    <b v="1"/>
    <n v="2.25"/>
    <n v="708.68518518518522"/>
    <n v="12.673333333333334"/>
    <d v="2022-02-01T00:00:00"/>
    <s v="Middle-aged"/>
    <n v="0"/>
    <s v="Yes"/>
    <n v="161"/>
    <s v="Medium"/>
    <s v="Low"/>
    <n v="7.1428571428571425E-2"/>
    <s v="Medium"/>
    <n v="2"/>
    <d v="2022-02-01T00:00:00"/>
    <s v="25+ months"/>
    <s v="2–3 tickets"/>
    <s v="31–45 min"/>
    <s v="701–1000"/>
    <n v="19170"/>
    <n v="-35.5"/>
  </r>
  <r>
    <n v="11043"/>
    <n v="21"/>
    <s v="Female"/>
    <s v="Bangalore"/>
    <d v="2021-04-23T00:00:00"/>
    <d v="2023-04-28T00:00:00"/>
    <x v="2"/>
    <n v="977"/>
    <x v="19"/>
    <n v="6"/>
    <n v="93.59"/>
    <n v="15"/>
    <x v="2"/>
    <x v="1"/>
    <n v="12554.45"/>
    <b v="1"/>
    <n v="1.0833333333333333"/>
    <n v="965.72692307692319"/>
    <n v="13.370000000000001"/>
    <d v="2021-04-01T00:00:00"/>
    <s v="Young"/>
    <n v="0"/>
    <s v="No"/>
    <n v="735"/>
    <s v="High"/>
    <s v="Low"/>
    <n v="0.42857142857142855"/>
    <s v="Medium"/>
    <n v="2"/>
    <d v="2021-04-01T00:00:00"/>
    <s v="13–24 months"/>
    <s v="6+ tickets"/>
    <s v="46+ min"/>
    <s v="701–1000"/>
    <n v="12701"/>
    <n v="-146.54999999999927"/>
  </r>
  <r>
    <n v="11044"/>
    <n v="42"/>
    <s v="Female"/>
    <s v="Bangalore"/>
    <d v="2021-02-13T00:00:00"/>
    <d v="2023-03-08T00:00:00"/>
    <x v="2"/>
    <n v="752"/>
    <x v="18"/>
    <n v="2"/>
    <n v="55.62"/>
    <n v="10"/>
    <x v="2"/>
    <x v="1"/>
    <n v="12708.8"/>
    <b v="1"/>
    <n v="1.4166666666666667"/>
    <n v="747.57647058823522"/>
    <n v="18.54"/>
    <d v="2021-02-01T00:00:00"/>
    <s v="Middle-aged"/>
    <n v="0"/>
    <s v="No"/>
    <n v="753"/>
    <s v="Medium"/>
    <s v="Low"/>
    <n v="0.1111111111111111"/>
    <s v="Medium"/>
    <n v="2"/>
    <d v="2021-02-01T00:00:00"/>
    <s v="13–24 months"/>
    <s v="2–3 tickets"/>
    <s v="46+ min"/>
    <s v="701–1000"/>
    <n v="12784"/>
    <n v="-75.200000000000728"/>
  </r>
  <r>
    <n v="11045"/>
    <n v="62"/>
    <s v="Male"/>
    <s v="Hyderabad"/>
    <d v="2021-05-08T00:00:00"/>
    <d v="2023-06-02T00:00:00"/>
    <x v="0"/>
    <n v="718"/>
    <x v="23"/>
    <n v="3"/>
    <n v="82.07"/>
    <n v="0"/>
    <x v="0"/>
    <x v="1"/>
    <n v="22976"/>
    <b v="1"/>
    <n v="2.6666666666666665"/>
    <n v="718"/>
    <n v="20.517499999999998"/>
    <d v="2021-05-01T00:00:00"/>
    <s v="Older"/>
    <n v="0"/>
    <s v="Yes"/>
    <n v="755"/>
    <s v="High"/>
    <s v="Low"/>
    <n v="9.0909090909090912E-2"/>
    <s v="High"/>
    <n v="1"/>
    <d v="2021-05-01T00:00:00"/>
    <s v="25+ months"/>
    <s v="2–3 tickets"/>
    <s v="46+ min"/>
    <s v="701–1000"/>
    <n v="22976"/>
    <n v="0"/>
  </r>
  <r>
    <n v="11046"/>
    <n v="41"/>
    <s v="Male"/>
    <s v="Mumbai"/>
    <d v="2023-05-26T00:00:00"/>
    <d v="2023-08-09T00:00:00"/>
    <x v="1"/>
    <n v="749"/>
    <x v="8"/>
    <n v="2"/>
    <n v="57.41"/>
    <n v="0"/>
    <x v="1"/>
    <x v="1"/>
    <n v="19474"/>
    <b v="1"/>
    <n v="2.1666666666666665"/>
    <n v="749"/>
    <n v="19.136666666666667"/>
    <d v="2023-05-01T00:00:00"/>
    <s v="Middle-aged"/>
    <n v="0"/>
    <s v="Yes"/>
    <n v="75"/>
    <s v="Medium"/>
    <s v="Low"/>
    <n v="7.407407407407407E-2"/>
    <s v="High"/>
    <n v="3"/>
    <d v="2023-05-01T00:00:00"/>
    <s v="25+ months"/>
    <s v="2–3 tickets"/>
    <s v="46+ min"/>
    <s v="701–1000"/>
    <n v="19474"/>
    <n v="0"/>
  </r>
  <r>
    <n v="11047"/>
    <n v="42"/>
    <s v="Other"/>
    <s v="Pune"/>
    <d v="2021-06-07T00:00:00"/>
    <d v="2022-05-30T00:00:00"/>
    <x v="1"/>
    <n v="1294"/>
    <x v="1"/>
    <n v="7"/>
    <n v="114.09"/>
    <n v="0"/>
    <x v="3"/>
    <x v="1"/>
    <n v="28468"/>
    <b v="1"/>
    <n v="1.8333333333333333"/>
    <n v="1294"/>
    <n v="14.26125"/>
    <d v="2021-06-01T00:00:00"/>
    <s v="Middle-aged"/>
    <n v="0"/>
    <s v="Yes"/>
    <n v="357"/>
    <s v="High"/>
    <s v="Low"/>
    <n v="0.30434782608695654"/>
    <s v="High"/>
    <n v="3"/>
    <d v="2021-06-01T00:00:00"/>
    <s v="13–24 months"/>
    <s v="6+ tickets"/>
    <s v="46+ min"/>
    <s v="1000+"/>
    <n v="28468"/>
    <n v="0"/>
  </r>
  <r>
    <n v="11048"/>
    <n v="35"/>
    <s v="Female"/>
    <s v="Mumbai"/>
    <d v="2023-02-24T00:00:00"/>
    <d v="2021-12-19T00:00:00"/>
    <x v="0"/>
    <n v="1438"/>
    <x v="19"/>
    <n v="3"/>
    <n v="25.62"/>
    <n v="20"/>
    <x v="0"/>
    <x v="1"/>
    <n v="18406.400000000001"/>
    <b v="0"/>
    <n v="1.0833333333333333"/>
    <n v="1415.8769230769233"/>
    <n v="6.4050000000000002"/>
    <d v="2023-02-01T00:00:00"/>
    <s v="Adult"/>
    <n v="0"/>
    <s v="Yes"/>
    <m/>
    <s v="Medium"/>
    <s v="Medium"/>
    <n v="0.21428571428571427"/>
    <s v="Medium"/>
    <n v="1"/>
    <d v="2023-02-01T00:00:00"/>
    <s v="13–24 months"/>
    <s v="2–3 tickets"/>
    <s v="21–30 min"/>
    <s v="1000+"/>
    <n v="18694"/>
    <n v="-287.59999999999854"/>
  </r>
  <r>
    <n v="11049"/>
    <n v="41"/>
    <s v="Female"/>
    <s v="Delhi"/>
    <d v="2023-04-07T00:00:00"/>
    <d v="2023-10-30T00:00:00"/>
    <x v="0"/>
    <n v="350"/>
    <x v="34"/>
    <n v="1"/>
    <n v="82.63"/>
    <n v="15"/>
    <x v="1"/>
    <x v="1"/>
    <n v="4147.5"/>
    <b v="1"/>
    <n v="1"/>
    <n v="345.625"/>
    <n v="41.314999999999998"/>
    <d v="2023-04-01T00:00:00"/>
    <s v="Middle-aged"/>
    <n v="0"/>
    <s v="No"/>
    <n v="206"/>
    <s v="High"/>
    <s v="Low"/>
    <n v="7.6923076923076927E-2"/>
    <s v="Low"/>
    <n v="1"/>
    <d v="2023-04-01T00:00:00"/>
    <s v="7–12 months"/>
    <s v="0–1 tickets"/>
    <s v="46+ min"/>
    <s v="301–500"/>
    <n v="4200"/>
    <n v="-52.5"/>
  </r>
  <r>
    <n v="11050"/>
    <n v="25"/>
    <s v="Male"/>
    <s v="Hyderabad"/>
    <d v="2022-01-29T00:00:00"/>
    <d v="2021-10-24T00:00:00"/>
    <x v="0"/>
    <n v="509"/>
    <x v="16"/>
    <n v="2"/>
    <n v="71.3"/>
    <n v="0"/>
    <x v="2"/>
    <x v="1"/>
    <n v="3563"/>
    <b v="0"/>
    <n v="0.58333333333333337"/>
    <n v="509"/>
    <n v="23.766666666666666"/>
    <d v="2022-01-01T00:00:00"/>
    <s v="Young"/>
    <n v="0"/>
    <s v="No"/>
    <m/>
    <s v="High"/>
    <s v="Low"/>
    <n v="0.25"/>
    <s v="Low"/>
    <n v="1"/>
    <d v="2022-01-01T00:00:00"/>
    <s v="7–12 months"/>
    <s v="2–3 tickets"/>
    <s v="46+ min"/>
    <s v="501–700"/>
    <n v="3563"/>
    <n v="0"/>
  </r>
  <r>
    <n v="11051"/>
    <n v="56"/>
    <s v="Female"/>
    <s v="Hyderabad"/>
    <d v="2023-05-17T00:00:00"/>
    <d v="2023-09-14T00:00:00"/>
    <x v="0"/>
    <n v="1187"/>
    <x v="7"/>
    <n v="2"/>
    <n v="24.86"/>
    <n v="15"/>
    <x v="0"/>
    <x v="0"/>
    <n v="1008.95"/>
    <b v="1"/>
    <n v="8.3333333333333329E-2"/>
    <n v="1008.95"/>
    <n v="8.2866666666666671"/>
    <d v="2023-05-01T00:00:00"/>
    <s v="Older"/>
    <n v="1"/>
    <s v="No"/>
    <n v="120"/>
    <s v="Medium"/>
    <s v="Low"/>
    <n v="1"/>
    <s v="Low"/>
    <n v="1"/>
    <d v="2023-05-01T00:00:00"/>
    <s v="0–6 months"/>
    <s v="2–3 tickets"/>
    <s v="21–30 min"/>
    <s v="1000+"/>
    <n v="1187"/>
    <n v="-178.04999999999995"/>
  </r>
  <r>
    <n v="11052"/>
    <n v="57"/>
    <s v="Female"/>
    <s v="Mumbai"/>
    <d v="2023-05-02T00:00:00"/>
    <d v="2023-03-01T00:00:00"/>
    <x v="2"/>
    <n v="1297"/>
    <x v="33"/>
    <n v="2"/>
    <n v="12.59"/>
    <n v="5"/>
    <x v="1"/>
    <x v="0"/>
    <n v="42736.15"/>
    <b v="0"/>
    <n v="2.75"/>
    <n v="1295.0348484848485"/>
    <n v="4.1966666666666663"/>
    <d v="2023-05-01T00:00:00"/>
    <s v="Older"/>
    <n v="1"/>
    <s v="Yes"/>
    <m/>
    <s v="Low"/>
    <s v="Low"/>
    <n v="5.8823529411764705E-2"/>
    <s v="High"/>
    <n v="2"/>
    <d v="2023-05-01T00:00:00"/>
    <s v="25+ months"/>
    <s v="2–3 tickets"/>
    <s v="11–20 min"/>
    <s v="1000+"/>
    <n v="42801"/>
    <n v="-64.849999999998545"/>
  </r>
  <r>
    <n v="11053"/>
    <n v="31"/>
    <s v="Female"/>
    <s v="Hyderabad"/>
    <d v="2022-05-27T00:00:00"/>
    <d v="2022-08-31T00:00:00"/>
    <x v="2"/>
    <n v="1292"/>
    <x v="25"/>
    <n v="1"/>
    <n v="96.9"/>
    <n v="5"/>
    <x v="2"/>
    <x v="0"/>
    <n v="18023.400000000001"/>
    <b v="1"/>
    <n v="1.1666666666666667"/>
    <n v="1287.3857142857144"/>
    <n v="48.45"/>
    <d v="2022-05-01T00:00:00"/>
    <s v="Adult"/>
    <n v="1"/>
    <s v="Yes"/>
    <n v="96"/>
    <s v="High"/>
    <s v="Low"/>
    <n v="6.6666666666666666E-2"/>
    <s v="Medium"/>
    <n v="2"/>
    <d v="2022-05-01T00:00:00"/>
    <s v="13–24 months"/>
    <s v="0–1 tickets"/>
    <s v="46+ min"/>
    <s v="1000+"/>
    <n v="18088"/>
    <n v="-64.599999999998545"/>
  </r>
  <r>
    <n v="11054"/>
    <n v="49"/>
    <s v="Male"/>
    <s v="Mumbai"/>
    <d v="2021-02-14T00:00:00"/>
    <d v="2021-10-13T00:00:00"/>
    <x v="2"/>
    <n v="1149"/>
    <x v="18"/>
    <n v="1"/>
    <n v="23.11"/>
    <n v="20"/>
    <x v="1"/>
    <x v="1"/>
    <n v="19303.2"/>
    <b v="1"/>
    <n v="1.4166666666666667"/>
    <n v="1135.4823529411765"/>
    <n v="11.555"/>
    <d v="2021-02-01T00:00:00"/>
    <s v="Middle-aged"/>
    <n v="0"/>
    <s v="Yes"/>
    <n v="241"/>
    <s v="Medium"/>
    <s v="Medium"/>
    <n v="5.5555555555555552E-2"/>
    <s v="Medium"/>
    <n v="2"/>
    <d v="2021-02-01T00:00:00"/>
    <s v="13–24 months"/>
    <s v="0–1 tickets"/>
    <s v="21–30 min"/>
    <s v="1000+"/>
    <n v="19533"/>
    <n v="-229.79999999999927"/>
  </r>
  <r>
    <n v="11055"/>
    <n v="55"/>
    <s v="Female"/>
    <s v="Hyderabad"/>
    <d v="2021-04-18T00:00:00"/>
    <d v="2023-02-16T00:00:00"/>
    <x v="2"/>
    <n v="926"/>
    <x v="2"/>
    <n v="1"/>
    <n v="62.59"/>
    <n v="15"/>
    <x v="0"/>
    <x v="1"/>
    <n v="3565.1"/>
    <b v="1"/>
    <n v="0.33333333333333331"/>
    <n v="891.27499999999998"/>
    <n v="31.295000000000002"/>
    <d v="2021-04-01T00:00:00"/>
    <s v="Older"/>
    <n v="0"/>
    <s v="No"/>
    <n v="669"/>
    <s v="High"/>
    <s v="Low"/>
    <n v="0.2"/>
    <s v="Low"/>
    <n v="2"/>
    <d v="2021-04-01T00:00:00"/>
    <s v="0–6 months"/>
    <s v="0–1 tickets"/>
    <s v="46+ min"/>
    <s v="701–1000"/>
    <n v="3704"/>
    <n v="-138.90000000000009"/>
  </r>
  <r>
    <n v="11056"/>
    <n v="50"/>
    <s v="Female"/>
    <s v="Bangalore"/>
    <d v="2021-08-07T00:00:00"/>
    <d v="2022-02-19T00:00:00"/>
    <x v="2"/>
    <n v="978"/>
    <x v="7"/>
    <n v="1"/>
    <n v="117.52"/>
    <n v="10"/>
    <x v="3"/>
    <x v="1"/>
    <n v="880.2"/>
    <b v="1"/>
    <n v="8.3333333333333329E-2"/>
    <n v="880.2"/>
    <n v="58.76"/>
    <d v="2021-08-01T00:00:00"/>
    <s v="Middle-aged"/>
    <n v="0"/>
    <s v="No"/>
    <n v="196"/>
    <s v="High"/>
    <s v="Low"/>
    <n v="0.5"/>
    <s v="Low"/>
    <n v="2"/>
    <d v="2021-08-01T00:00:00"/>
    <s v="0–6 months"/>
    <s v="0–1 tickets"/>
    <s v="46+ min"/>
    <s v="701–1000"/>
    <n v="978"/>
    <n v="-97.799999999999955"/>
  </r>
  <r>
    <n v="11057"/>
    <n v="40"/>
    <s v="Male"/>
    <s v="Mumbai"/>
    <d v="2022-03-19T00:00:00"/>
    <d v="2021-08-03T00:00:00"/>
    <x v="2"/>
    <n v="1076"/>
    <x v="30"/>
    <n v="2"/>
    <n v="87.48"/>
    <n v="20"/>
    <x v="1"/>
    <x v="1"/>
    <n v="25608.799999999999"/>
    <b v="0"/>
    <n v="2"/>
    <n v="1067.0333333333333"/>
    <n v="29.16"/>
    <d v="2022-03-01T00:00:00"/>
    <s v="Middle-aged"/>
    <n v="0"/>
    <s v="Yes"/>
    <m/>
    <s v="High"/>
    <s v="Medium"/>
    <n v="0.08"/>
    <s v="High"/>
    <n v="2"/>
    <d v="2022-03-01T00:00:00"/>
    <s v="13–24 months"/>
    <s v="2–3 tickets"/>
    <s v="46+ min"/>
    <s v="1000+"/>
    <n v="25824"/>
    <n v="-215.20000000000073"/>
  </r>
  <r>
    <n v="11058"/>
    <n v="32"/>
    <s v="Female"/>
    <s v="Mumbai"/>
    <d v="2023-04-10T00:00:00"/>
    <d v="2022-10-04T00:00:00"/>
    <x v="0"/>
    <n v="962"/>
    <x v="22"/>
    <n v="2"/>
    <n v="33.81"/>
    <n v="0"/>
    <x v="3"/>
    <x v="1"/>
    <n v="32708"/>
    <b v="0"/>
    <n v="2.8333333333333335"/>
    <n v="962"/>
    <n v="11.270000000000001"/>
    <d v="2023-04-01T00:00:00"/>
    <s v="Adult"/>
    <n v="0"/>
    <s v="Yes"/>
    <m/>
    <s v="Medium"/>
    <s v="Low"/>
    <n v="5.7142857142857141E-2"/>
    <s v="High"/>
    <n v="1"/>
    <d v="2023-04-01T00:00:00"/>
    <s v="25+ months"/>
    <s v="2–3 tickets"/>
    <s v="31–45 min"/>
    <s v="701–1000"/>
    <n v="32708"/>
    <n v="0"/>
  </r>
  <r>
    <n v="11059"/>
    <n v="50"/>
    <s v="Female"/>
    <s v="Chennai"/>
    <d v="2021-11-11T00:00:00"/>
    <d v="2023-03-09T00:00:00"/>
    <x v="0"/>
    <n v="567"/>
    <x v="22"/>
    <n v="2"/>
    <n v="72.959999999999994"/>
    <n v="5"/>
    <x v="0"/>
    <x v="1"/>
    <n v="19249.650000000001"/>
    <b v="1"/>
    <n v="2.8333333333333335"/>
    <n v="566.16617647058831"/>
    <n v="24.319999999999997"/>
    <d v="2021-11-01T00:00:00"/>
    <s v="Middle-aged"/>
    <n v="0"/>
    <s v="Yes"/>
    <n v="483"/>
    <s v="High"/>
    <s v="Low"/>
    <n v="5.7142857142857141E-2"/>
    <s v="Medium"/>
    <n v="1"/>
    <d v="2021-11-01T00:00:00"/>
    <s v="25+ months"/>
    <s v="2–3 tickets"/>
    <s v="46+ min"/>
    <s v="501–700"/>
    <n v="19278"/>
    <n v="-28.349999999998545"/>
  </r>
  <r>
    <n v="11060"/>
    <n v="42"/>
    <s v="Female"/>
    <s v="Hyderabad"/>
    <d v="2021-06-26T00:00:00"/>
    <d v="2021-07-11T00:00:00"/>
    <x v="2"/>
    <n v="415"/>
    <x v="30"/>
    <n v="0"/>
    <n v="66.42"/>
    <n v="5"/>
    <x v="2"/>
    <x v="1"/>
    <n v="9939.25"/>
    <b v="1"/>
    <n v="2"/>
    <n v="414.13541666666669"/>
    <n v="66.42"/>
    <d v="2021-06-01T00:00:00"/>
    <s v="Middle-aged"/>
    <n v="0"/>
    <s v="No"/>
    <n v="15"/>
    <s v="High"/>
    <s v="Low"/>
    <n v="0"/>
    <s v="Medium"/>
    <n v="2"/>
    <d v="2021-06-01T00:00:00"/>
    <s v="13–24 months"/>
    <s v="0–1 tickets"/>
    <s v="46+ min"/>
    <s v="301–500"/>
    <n v="9960"/>
    <n v="-20.75"/>
  </r>
  <r>
    <n v="11061"/>
    <n v="34"/>
    <s v="Female"/>
    <s v="Hyderabad"/>
    <d v="2021-08-16T00:00:00"/>
    <d v="2022-03-23T00:00:00"/>
    <x v="0"/>
    <n v="1053"/>
    <x v="15"/>
    <n v="2"/>
    <n v="102.11"/>
    <n v="10"/>
    <x v="1"/>
    <x v="0"/>
    <n v="15689.7"/>
    <b v="1"/>
    <n v="1.25"/>
    <n v="1045.98"/>
    <n v="34.036666666666669"/>
    <d v="2021-08-01T00:00:00"/>
    <s v="Adult"/>
    <n v="1"/>
    <s v="Yes"/>
    <n v="219"/>
    <s v="High"/>
    <s v="Low"/>
    <n v="0.125"/>
    <s v="Medium"/>
    <n v="1"/>
    <d v="2021-08-01T00:00:00"/>
    <s v="13–24 months"/>
    <s v="2–3 tickets"/>
    <s v="46+ min"/>
    <s v="1000+"/>
    <n v="15795"/>
    <n v="-105.29999999999927"/>
  </r>
  <r>
    <n v="11062"/>
    <n v="50"/>
    <s v="Male"/>
    <s v="Mumbai"/>
    <d v="2022-12-04T00:00:00"/>
    <d v="2021-06-03T00:00:00"/>
    <x v="0"/>
    <n v="1363"/>
    <x v="18"/>
    <n v="5"/>
    <n v="88.87"/>
    <n v="20"/>
    <x v="2"/>
    <x v="1"/>
    <n v="22898.400000000001"/>
    <b v="0"/>
    <n v="1.4166666666666667"/>
    <n v="1346.964705882353"/>
    <n v="14.811666666666667"/>
    <d v="2022-12-01T00:00:00"/>
    <s v="Middle-aged"/>
    <n v="0"/>
    <s v="Yes"/>
    <m/>
    <s v="High"/>
    <s v="Medium"/>
    <n v="0.27777777777777779"/>
    <s v="High"/>
    <n v="1"/>
    <d v="2022-12-01T00:00:00"/>
    <s v="13–24 months"/>
    <s v="4–5 tickets"/>
    <s v="46+ min"/>
    <s v="1000+"/>
    <n v="23171"/>
    <n v="-272.59999999999854"/>
  </r>
  <r>
    <n v="11063"/>
    <n v="64"/>
    <s v="Male"/>
    <s v="Bangalore"/>
    <d v="2022-11-03T00:00:00"/>
    <d v="2023-05-07T00:00:00"/>
    <x v="1"/>
    <n v="481"/>
    <x v="19"/>
    <n v="2"/>
    <n v="100.65"/>
    <n v="15"/>
    <x v="3"/>
    <x v="1"/>
    <n v="6180.85"/>
    <b v="1"/>
    <n v="1.0833333333333333"/>
    <n v="475.45000000000005"/>
    <n v="33.550000000000004"/>
    <d v="2022-11-01T00:00:00"/>
    <s v="Older"/>
    <n v="0"/>
    <s v="No"/>
    <n v="185"/>
    <s v="High"/>
    <s v="Low"/>
    <n v="0.14285714285714285"/>
    <s v="Low"/>
    <n v="3"/>
    <d v="2022-11-01T00:00:00"/>
    <s v="13–24 months"/>
    <s v="2–3 tickets"/>
    <s v="46+ min"/>
    <s v="301–500"/>
    <n v="6253"/>
    <n v="-72.149999999999636"/>
  </r>
  <r>
    <n v="11064"/>
    <n v="19"/>
    <s v="Male"/>
    <s v="Bangalore"/>
    <d v="2021-09-24T00:00:00"/>
    <d v="2021-09-18T00:00:00"/>
    <x v="2"/>
    <n v="1202"/>
    <x v="16"/>
    <n v="2"/>
    <n v="29.32"/>
    <n v="5"/>
    <x v="3"/>
    <x v="1"/>
    <n v="8353.9"/>
    <b v="0"/>
    <n v="0.58333333333333337"/>
    <n v="1193.4142857142856"/>
    <n v="9.7733333333333334"/>
    <d v="2021-09-01T00:00:00"/>
    <s v="Young"/>
    <n v="0"/>
    <s v="No"/>
    <m/>
    <s v="Medium"/>
    <s v="Low"/>
    <n v="0.25"/>
    <s v="Low"/>
    <n v="2"/>
    <d v="2021-09-01T00:00:00"/>
    <s v="7–12 months"/>
    <s v="2–3 tickets"/>
    <s v="21–30 min"/>
    <s v="1000+"/>
    <n v="8414"/>
    <n v="-60.100000000000364"/>
  </r>
  <r>
    <n v="11065"/>
    <n v="31"/>
    <s v="Male"/>
    <s v="Pune"/>
    <d v="2023-05-20T00:00:00"/>
    <d v="2022-01-07T00:00:00"/>
    <x v="0"/>
    <n v="1442"/>
    <x v="9"/>
    <n v="2"/>
    <n v="78.63"/>
    <n v="0"/>
    <x v="2"/>
    <x v="1"/>
    <n v="12978"/>
    <b v="0"/>
    <n v="0.75"/>
    <n v="1442"/>
    <n v="26.209999999999997"/>
    <d v="2023-05-01T00:00:00"/>
    <s v="Adult"/>
    <n v="0"/>
    <s v="No"/>
    <m/>
    <s v="High"/>
    <s v="Low"/>
    <n v="0.2"/>
    <s v="Medium"/>
    <n v="1"/>
    <d v="2023-05-01T00:00:00"/>
    <s v="7–12 months"/>
    <s v="2–3 tickets"/>
    <s v="46+ min"/>
    <s v="1000+"/>
    <n v="12978"/>
    <n v="0"/>
  </r>
  <r>
    <n v="11066"/>
    <n v="57"/>
    <s v="Female"/>
    <s v="Bangalore"/>
    <d v="2023-04-18T00:00:00"/>
    <d v="2022-06-05T00:00:00"/>
    <x v="2"/>
    <n v="1245"/>
    <x v="12"/>
    <n v="2"/>
    <n v="9.6300000000000008"/>
    <n v="10"/>
    <x v="0"/>
    <x v="0"/>
    <n v="43450.5"/>
    <b v="0"/>
    <n v="2.9166666666666665"/>
    <n v="1241.4428571428571"/>
    <n v="3.2100000000000004"/>
    <d v="2023-04-01T00:00:00"/>
    <s v="Older"/>
    <n v="1"/>
    <s v="Yes"/>
    <m/>
    <s v="Low"/>
    <s v="Low"/>
    <n v="5.5555555555555552E-2"/>
    <s v="High"/>
    <n v="2"/>
    <d v="2023-04-01T00:00:00"/>
    <s v="25+ months"/>
    <s v="2–3 tickets"/>
    <s v="0–10 min"/>
    <s v="1000+"/>
    <n v="43575"/>
    <n v="-124.5"/>
  </r>
  <r>
    <n v="11067"/>
    <n v="57"/>
    <s v="Male"/>
    <s v="Hyderabad"/>
    <d v="2022-01-14T00:00:00"/>
    <d v="2022-06-03T00:00:00"/>
    <x v="2"/>
    <n v="557"/>
    <x v="31"/>
    <n v="2"/>
    <n v="12.93"/>
    <n v="10"/>
    <x v="3"/>
    <x v="1"/>
    <n v="12755.3"/>
    <b v="1"/>
    <n v="1.9166666666666667"/>
    <n v="554.57826086956516"/>
    <n v="4.3099999999999996"/>
    <d v="2022-01-01T00:00:00"/>
    <s v="Older"/>
    <n v="0"/>
    <s v="No"/>
    <n v="140"/>
    <s v="Low"/>
    <s v="Low"/>
    <n v="8.3333333333333329E-2"/>
    <s v="Medium"/>
    <n v="2"/>
    <d v="2022-01-01T00:00:00"/>
    <s v="13–24 months"/>
    <s v="2–3 tickets"/>
    <s v="11–20 min"/>
    <s v="501–700"/>
    <n v="12811"/>
    <n v="-55.700000000000728"/>
  </r>
  <r>
    <n v="11068"/>
    <n v="56"/>
    <s v="Female"/>
    <s v="Chennai"/>
    <d v="2022-05-04T00:00:00"/>
    <d v="2022-08-10T00:00:00"/>
    <x v="0"/>
    <n v="808"/>
    <x v="31"/>
    <n v="4"/>
    <n v="87.06"/>
    <n v="10"/>
    <x v="0"/>
    <x v="1"/>
    <n v="18503.2"/>
    <b v="1"/>
    <n v="1.9166666666666667"/>
    <n v="804.48695652173922"/>
    <n v="17.411999999999999"/>
    <d v="2022-05-01T00:00:00"/>
    <s v="Older"/>
    <n v="0"/>
    <s v="Yes"/>
    <n v="98"/>
    <s v="High"/>
    <s v="Low"/>
    <n v="0.16666666666666666"/>
    <s v="Medium"/>
    <n v="1"/>
    <d v="2022-05-01T00:00:00"/>
    <s v="13–24 months"/>
    <s v="4–5 tickets"/>
    <s v="46+ min"/>
    <s v="701–1000"/>
    <n v="18584"/>
    <n v="-80.799999999999272"/>
  </r>
  <r>
    <n v="11069"/>
    <n v="23"/>
    <s v="Other"/>
    <s v="Mumbai"/>
    <d v="2022-12-03T00:00:00"/>
    <d v="2021-06-04T00:00:00"/>
    <x v="0"/>
    <n v="391"/>
    <x v="8"/>
    <n v="4"/>
    <n v="7.81"/>
    <n v="0"/>
    <x v="2"/>
    <x v="1"/>
    <n v="10166"/>
    <b v="0"/>
    <n v="2.1666666666666665"/>
    <n v="391"/>
    <n v="1.5619999999999998"/>
    <d v="2022-12-01T00:00:00"/>
    <s v="Young"/>
    <n v="0"/>
    <s v="No"/>
    <m/>
    <s v="Low"/>
    <s v="Low"/>
    <n v="0.14814814814814814"/>
    <s v="Medium"/>
    <n v="1"/>
    <d v="2022-12-01T00:00:00"/>
    <s v="25+ months"/>
    <s v="4–5 tickets"/>
    <s v="0–10 min"/>
    <s v="301–500"/>
    <n v="10166"/>
    <n v="0"/>
  </r>
  <r>
    <n v="11070"/>
    <n v="23"/>
    <s v="Female"/>
    <s v="Delhi"/>
    <d v="2022-11-18T00:00:00"/>
    <d v="2022-01-30T00:00:00"/>
    <x v="1"/>
    <n v="1484"/>
    <x v="7"/>
    <n v="3"/>
    <n v="71.67"/>
    <n v="10"/>
    <x v="0"/>
    <x v="1"/>
    <n v="1335.6"/>
    <b v="0"/>
    <n v="8.3333333333333329E-2"/>
    <n v="1335.6"/>
    <n v="17.9175"/>
    <d v="2022-11-01T00:00:00"/>
    <s v="Young"/>
    <n v="0"/>
    <s v="No"/>
    <m/>
    <s v="High"/>
    <s v="Low"/>
    <n v="1.5"/>
    <s v="Low"/>
    <n v="3"/>
    <d v="2022-11-01T00:00:00"/>
    <s v="0–6 months"/>
    <s v="2–3 tickets"/>
    <s v="46+ min"/>
    <s v="1000+"/>
    <n v="1484"/>
    <n v="-148.40000000000009"/>
  </r>
  <r>
    <n v="11071"/>
    <n v="20"/>
    <s v="Female"/>
    <s v="Chennai"/>
    <d v="2021-10-17T00:00:00"/>
    <d v="2021-11-13T00:00:00"/>
    <x v="0"/>
    <n v="448"/>
    <x v="25"/>
    <n v="2"/>
    <n v="101.65"/>
    <n v="15"/>
    <x v="3"/>
    <x v="1"/>
    <n v="6204.8"/>
    <b v="1"/>
    <n v="1.1666666666666667"/>
    <n v="443.2"/>
    <n v="33.883333333333333"/>
    <d v="2021-10-01T00:00:00"/>
    <s v="Young"/>
    <n v="0"/>
    <s v="No"/>
    <n v="27"/>
    <s v="High"/>
    <s v="Low"/>
    <n v="0.13333333333333333"/>
    <s v="Low"/>
    <n v="1"/>
    <d v="2021-10-01T00:00:00"/>
    <s v="13–24 months"/>
    <s v="2–3 tickets"/>
    <s v="46+ min"/>
    <s v="301–500"/>
    <n v="6272"/>
    <n v="-67.199999999999818"/>
  </r>
  <r>
    <n v="11072"/>
    <n v="24"/>
    <s v="Female"/>
    <s v="unknown"/>
    <d v="2021-12-23T00:00:00"/>
    <d v="2021-06-26T00:00:00"/>
    <x v="0"/>
    <n v="416"/>
    <x v="23"/>
    <n v="1"/>
    <n v="48.69"/>
    <n v="15"/>
    <x v="2"/>
    <x v="1"/>
    <n v="13249.6"/>
    <b v="0"/>
    <n v="2.6666666666666665"/>
    <n v="414.05"/>
    <n v="24.344999999999999"/>
    <d v="2021-12-01T00:00:00"/>
    <s v="Young"/>
    <n v="0"/>
    <s v="No"/>
    <m/>
    <s v="Medium"/>
    <s v="Low"/>
    <n v="3.0303030303030304E-2"/>
    <s v="Medium"/>
    <n v="1"/>
    <d v="2021-12-01T00:00:00"/>
    <s v="25+ months"/>
    <s v="0–1 tickets"/>
    <s v="46+ min"/>
    <s v="301–500"/>
    <n v="13312"/>
    <n v="-62.399999999999636"/>
  </r>
  <r>
    <n v="11073"/>
    <n v="25"/>
    <s v="Female"/>
    <s v="Chennai"/>
    <d v="2022-10-19T00:00:00"/>
    <d v="2022-06-30T00:00:00"/>
    <x v="2"/>
    <n v="757"/>
    <x v="32"/>
    <n v="1"/>
    <n v="62.59"/>
    <n v="20"/>
    <x v="0"/>
    <x v="1"/>
    <n v="7418.6"/>
    <b v="0"/>
    <n v="0.83333333333333337"/>
    <n v="741.86"/>
    <n v="31.295000000000002"/>
    <d v="2022-10-01T00:00:00"/>
    <s v="Young"/>
    <n v="0"/>
    <s v="No"/>
    <m/>
    <s v="High"/>
    <s v="Medium"/>
    <n v="9.0909090909090912E-2"/>
    <s v="Low"/>
    <n v="2"/>
    <d v="2022-10-01T00:00:00"/>
    <s v="7–12 months"/>
    <s v="0–1 tickets"/>
    <s v="46+ min"/>
    <s v="701–1000"/>
    <n v="7570"/>
    <n v="-151.39999999999964"/>
  </r>
  <r>
    <n v="11074"/>
    <n v="59"/>
    <s v="Male"/>
    <s v="Bangalore"/>
    <d v="2023-01-14T00:00:00"/>
    <d v="2022-09-17T00:00:00"/>
    <x v="2"/>
    <n v="864"/>
    <x v="7"/>
    <n v="2"/>
    <n v="87.09"/>
    <n v="20"/>
    <x v="0"/>
    <x v="1"/>
    <n v="691.2"/>
    <b v="0"/>
    <n v="8.3333333333333329E-2"/>
    <n v="691.2"/>
    <n v="29.03"/>
    <d v="2023-01-01T00:00:00"/>
    <s v="Older"/>
    <n v="0"/>
    <s v="No"/>
    <m/>
    <s v="High"/>
    <s v="Medium"/>
    <n v="1"/>
    <s v="Low"/>
    <n v="2"/>
    <d v="2023-01-01T00:00:00"/>
    <s v="0–6 months"/>
    <s v="2–3 tickets"/>
    <s v="46+ min"/>
    <s v="701–1000"/>
    <n v="864"/>
    <n v="-172.79999999999995"/>
  </r>
  <r>
    <n v="11075"/>
    <n v="32"/>
    <s v="Male"/>
    <s v="Hyderabad"/>
    <d v="2023-05-22T00:00:00"/>
    <d v="2021-06-17T00:00:00"/>
    <x v="0"/>
    <n v="1113"/>
    <x v="21"/>
    <n v="3"/>
    <n v="111.91"/>
    <n v="10"/>
    <x v="1"/>
    <x v="0"/>
    <n v="5398.05"/>
    <b v="0"/>
    <n v="0.41666666666666669"/>
    <n v="1079.6100000000001"/>
    <n v="27.977499999999999"/>
    <d v="2023-05-01T00:00:00"/>
    <s v="Adult"/>
    <n v="1"/>
    <s v="No"/>
    <m/>
    <s v="High"/>
    <s v="Low"/>
    <n v="0.5"/>
    <s v="Low"/>
    <n v="1"/>
    <d v="2023-05-01T00:00:00"/>
    <s v="0–6 months"/>
    <s v="2–3 tickets"/>
    <s v="46+ min"/>
    <s v="1000+"/>
    <n v="5565"/>
    <n v="-166.94999999999982"/>
  </r>
  <r>
    <n v="11076"/>
    <n v="64"/>
    <s v="Female"/>
    <s v="Delhi"/>
    <d v="2021-07-23T00:00:00"/>
    <d v="2023-05-29T00:00:00"/>
    <x v="0"/>
    <n v="344"/>
    <x v="13"/>
    <n v="2"/>
    <n v="87.47"/>
    <n v="0"/>
    <x v="3"/>
    <x v="1"/>
    <n v="1032"/>
    <b v="1"/>
    <n v="0.25"/>
    <n v="344"/>
    <n v="29.156666666666666"/>
    <d v="2021-07-01T00:00:00"/>
    <s v="Older"/>
    <n v="0"/>
    <s v="No"/>
    <n v="675"/>
    <s v="High"/>
    <s v="Low"/>
    <n v="0.5"/>
    <s v="Low"/>
    <n v="1"/>
    <d v="2021-07-01T00:00:00"/>
    <s v="0–6 months"/>
    <s v="2–3 tickets"/>
    <s v="46+ min"/>
    <s v="301–500"/>
    <n v="1032"/>
    <n v="0"/>
  </r>
  <r>
    <n v="11077"/>
    <n v="46"/>
    <s v="Female"/>
    <s v="Chennai"/>
    <d v="2021-08-01T00:00:00"/>
    <d v="2021-08-31T00:00:00"/>
    <x v="0"/>
    <n v="1073"/>
    <x v="26"/>
    <n v="2"/>
    <n v="71.52"/>
    <n v="20"/>
    <x v="1"/>
    <x v="1"/>
    <n v="28756.400000000001"/>
    <b v="1"/>
    <n v="2.25"/>
    <n v="1065.051851851852"/>
    <n v="23.84"/>
    <d v="2021-08-01T00:00:00"/>
    <s v="Middle-aged"/>
    <n v="0"/>
    <s v="Yes"/>
    <n v="30"/>
    <s v="High"/>
    <s v="Medium"/>
    <n v="7.1428571428571425E-2"/>
    <s v="High"/>
    <n v="1"/>
    <d v="2021-08-01T00:00:00"/>
    <s v="25+ months"/>
    <s v="2–3 tickets"/>
    <s v="46+ min"/>
    <s v="1000+"/>
    <n v="28971"/>
    <n v="-214.59999999999854"/>
  </r>
  <r>
    <n v="11078"/>
    <n v="50"/>
    <s v="Female"/>
    <s v="Hyderabad"/>
    <d v="2022-07-06T00:00:00"/>
    <d v="2022-09-26T00:00:00"/>
    <x v="1"/>
    <n v="533"/>
    <x v="1"/>
    <n v="2"/>
    <n v="31.45"/>
    <n v="10"/>
    <x v="0"/>
    <x v="1"/>
    <n v="11672.7"/>
    <b v="1"/>
    <n v="1.8333333333333333"/>
    <n v="530.57727272727277"/>
    <n v="10.483333333333333"/>
    <d v="2022-07-01T00:00:00"/>
    <s v="Middle-aged"/>
    <n v="0"/>
    <s v="No"/>
    <n v="82"/>
    <s v="Medium"/>
    <s v="Low"/>
    <n v="8.6956521739130432E-2"/>
    <s v="Medium"/>
    <n v="3"/>
    <d v="2022-07-01T00:00:00"/>
    <s v="13–24 months"/>
    <s v="2–3 tickets"/>
    <s v="31–45 min"/>
    <s v="501–700"/>
    <n v="11726"/>
    <n v="-53.299999999999272"/>
  </r>
  <r>
    <n v="11079"/>
    <n v="47"/>
    <s v="Female"/>
    <s v="Delhi"/>
    <d v="2023-02-26T00:00:00"/>
    <d v="2022-11-25T00:00:00"/>
    <x v="0"/>
    <n v="496"/>
    <x v="10"/>
    <n v="4"/>
    <n v="6.77"/>
    <n v="15"/>
    <x v="3"/>
    <x v="1"/>
    <n v="8853.6"/>
    <b v="0"/>
    <n v="1.5"/>
    <n v="491.86666666666667"/>
    <n v="1.3539999999999999"/>
    <d v="2023-02-01T00:00:00"/>
    <s v="Middle-aged"/>
    <n v="0"/>
    <s v="No"/>
    <m/>
    <s v="Low"/>
    <s v="Low"/>
    <n v="0.21052631578947367"/>
    <s v="Medium"/>
    <n v="1"/>
    <d v="2023-02-01T00:00:00"/>
    <s v="13–24 months"/>
    <s v="4–5 tickets"/>
    <s v="0–10 min"/>
    <s v="301–500"/>
    <n v="8928"/>
    <n v="-74.399999999999636"/>
  </r>
  <r>
    <n v="11080"/>
    <n v="56"/>
    <s v="Female"/>
    <s v="Mumbai"/>
    <d v="2021-11-19T00:00:00"/>
    <d v="2021-12-22T00:00:00"/>
    <x v="2"/>
    <n v="324"/>
    <x v="24"/>
    <n v="4"/>
    <n v="84.89"/>
    <n v="5"/>
    <x v="2"/>
    <x v="1"/>
    <n v="5167.8"/>
    <b v="1"/>
    <n v="1.3333333333333333"/>
    <n v="322.98750000000001"/>
    <n v="16.978000000000002"/>
    <d v="2021-11-01T00:00:00"/>
    <s v="Older"/>
    <n v="0"/>
    <s v="No"/>
    <n v="33"/>
    <s v="High"/>
    <s v="Low"/>
    <n v="0.23529411764705882"/>
    <s v="Low"/>
    <n v="2"/>
    <d v="2021-11-01T00:00:00"/>
    <s v="13–24 months"/>
    <s v="4–5 tickets"/>
    <s v="46+ min"/>
    <s v="301–500"/>
    <n v="5184"/>
    <n v="-16.199999999999818"/>
  </r>
  <r>
    <n v="11081"/>
    <n v="44"/>
    <s v="Male"/>
    <s v="Chennai"/>
    <d v="2022-08-17T00:00:00"/>
    <d v="2022-10-15T00:00:00"/>
    <x v="1"/>
    <n v="694"/>
    <x v="4"/>
    <n v="4"/>
    <n v="31.57"/>
    <n v="0"/>
    <x v="2"/>
    <x v="1"/>
    <n v="1388"/>
    <b v="1"/>
    <n v="0.16666666666666666"/>
    <n v="694"/>
    <n v="6.3140000000000001"/>
    <d v="2022-08-01T00:00:00"/>
    <s v="Middle-aged"/>
    <n v="0"/>
    <s v="No"/>
    <n v="59"/>
    <s v="Medium"/>
    <s v="Low"/>
    <n v="1.3333333333333333"/>
    <s v="Low"/>
    <n v="3"/>
    <d v="2022-08-01T00:00:00"/>
    <s v="0–6 months"/>
    <s v="4–5 tickets"/>
    <s v="31–45 min"/>
    <s v="501–700"/>
    <n v="1388"/>
    <n v="0"/>
  </r>
  <r>
    <n v="11082"/>
    <n v="53"/>
    <s v="Other"/>
    <s v="Mumbai"/>
    <d v="2021-06-30T00:00:00"/>
    <d v="2022-07-05T00:00:00"/>
    <x v="0"/>
    <n v="1013"/>
    <x v="19"/>
    <n v="4"/>
    <n v="103.69"/>
    <n v="0"/>
    <x v="2"/>
    <x v="1"/>
    <n v="13169"/>
    <b v="1"/>
    <n v="1.0833333333333333"/>
    <n v="1013"/>
    <n v="20.738"/>
    <d v="2021-06-01T00:00:00"/>
    <s v="Older"/>
    <n v="0"/>
    <s v="No"/>
    <n v="370"/>
    <s v="High"/>
    <s v="Low"/>
    <n v="0.2857142857142857"/>
    <s v="Medium"/>
    <n v="1"/>
    <d v="2021-06-01T00:00:00"/>
    <s v="13–24 months"/>
    <s v="4–5 tickets"/>
    <s v="46+ min"/>
    <s v="1000+"/>
    <n v="13169"/>
    <n v="0"/>
  </r>
  <r>
    <n v="11083"/>
    <n v="46"/>
    <s v="Female"/>
    <s v="Bangalore"/>
    <d v="2022-05-14T00:00:00"/>
    <d v="2021-12-24T00:00:00"/>
    <x v="1"/>
    <n v="1359"/>
    <x v="24"/>
    <n v="1"/>
    <n v="58.63"/>
    <n v="15"/>
    <x v="0"/>
    <x v="1"/>
    <n v="21540.15"/>
    <b v="0"/>
    <n v="1.3333333333333333"/>
    <n v="1346.2593750000001"/>
    <n v="29.315000000000001"/>
    <d v="2022-05-01T00:00:00"/>
    <s v="Middle-aged"/>
    <n v="0"/>
    <s v="Yes"/>
    <m/>
    <s v="Medium"/>
    <s v="Low"/>
    <n v="5.8823529411764705E-2"/>
    <s v="High"/>
    <n v="3"/>
    <d v="2022-05-01T00:00:00"/>
    <s v="13–24 months"/>
    <s v="0–1 tickets"/>
    <s v="46+ min"/>
    <s v="1000+"/>
    <n v="21744"/>
    <n v="-203.84999999999854"/>
  </r>
  <r>
    <n v="11084"/>
    <n v="55"/>
    <s v="Male"/>
    <s v="Mumbai"/>
    <d v="2021-11-16T00:00:00"/>
    <d v="2023-02-09T00:00:00"/>
    <x v="1"/>
    <n v="522"/>
    <x v="14"/>
    <n v="1"/>
    <n v="66.02"/>
    <n v="5"/>
    <x v="0"/>
    <x v="1"/>
    <n v="4149.8999999999996"/>
    <b v="1"/>
    <n v="0.66666666666666663"/>
    <n v="518.73749999999995"/>
    <n v="33.01"/>
    <d v="2021-11-01T00:00:00"/>
    <s v="Older"/>
    <n v="0"/>
    <s v="No"/>
    <n v="450"/>
    <s v="High"/>
    <s v="Low"/>
    <n v="0.1111111111111111"/>
    <s v="Low"/>
    <n v="3"/>
    <d v="2021-11-01T00:00:00"/>
    <s v="7–12 months"/>
    <s v="0–1 tickets"/>
    <s v="46+ min"/>
    <s v="501–700"/>
    <n v="4176"/>
    <n v="-26.100000000000364"/>
  </r>
  <r>
    <n v="11085"/>
    <n v="41"/>
    <s v="Female"/>
    <s v="Mumbai"/>
    <d v="2021-03-24T00:00:00"/>
    <d v="2021-10-24T00:00:00"/>
    <x v="1"/>
    <n v="1163"/>
    <x v="14"/>
    <n v="0"/>
    <n v="91.7"/>
    <n v="0"/>
    <x v="2"/>
    <x v="1"/>
    <n v="9304"/>
    <b v="1"/>
    <n v="0.66666666666666663"/>
    <n v="1163"/>
    <n v="91.7"/>
    <d v="2021-03-01T00:00:00"/>
    <s v="Middle-aged"/>
    <n v="0"/>
    <s v="No"/>
    <n v="214"/>
    <s v="High"/>
    <s v="Low"/>
    <n v="0"/>
    <s v="Medium"/>
    <n v="3"/>
    <d v="2021-03-01T00:00:00"/>
    <s v="7–12 months"/>
    <s v="0–1 tickets"/>
    <s v="46+ min"/>
    <s v="1000+"/>
    <n v="9304"/>
    <n v="0"/>
  </r>
  <r>
    <n v="11086"/>
    <n v="54"/>
    <s v="Male"/>
    <s v="Pune"/>
    <d v="2021-10-30T00:00:00"/>
    <d v="2023-10-27T00:00:00"/>
    <x v="0"/>
    <n v="829"/>
    <x v="32"/>
    <n v="1"/>
    <n v="94.63"/>
    <n v="20"/>
    <x v="1"/>
    <x v="0"/>
    <n v="8124.2"/>
    <b v="1"/>
    <n v="0.83333333333333337"/>
    <n v="812.42"/>
    <n v="47.314999999999998"/>
    <d v="2021-10-01T00:00:00"/>
    <s v="Older"/>
    <n v="1"/>
    <s v="No"/>
    <n v="727"/>
    <s v="High"/>
    <s v="Medium"/>
    <n v="9.0909090909090912E-2"/>
    <s v="Low"/>
    <n v="1"/>
    <d v="2021-10-01T00:00:00"/>
    <s v="7–12 months"/>
    <s v="0–1 tickets"/>
    <s v="46+ min"/>
    <s v="701–1000"/>
    <n v="8290"/>
    <n v="-165.80000000000018"/>
  </r>
  <r>
    <n v="11087"/>
    <n v="44"/>
    <s v="Female"/>
    <s v="Chennai"/>
    <d v="2021-09-19T00:00:00"/>
    <d v="2021-09-09T00:00:00"/>
    <x v="2"/>
    <n v="556"/>
    <x v="33"/>
    <n v="2"/>
    <n v="78.900000000000006"/>
    <n v="5"/>
    <x v="1"/>
    <x v="1"/>
    <n v="18320.2"/>
    <b v="0"/>
    <n v="2.75"/>
    <n v="555.15757575757573"/>
    <n v="26.3"/>
    <d v="2021-09-01T00:00:00"/>
    <s v="Middle-aged"/>
    <n v="0"/>
    <s v="Yes"/>
    <m/>
    <s v="High"/>
    <s v="Low"/>
    <n v="5.8823529411764705E-2"/>
    <s v="Medium"/>
    <n v="2"/>
    <d v="2021-09-01T00:00:00"/>
    <s v="25+ months"/>
    <s v="2–3 tickets"/>
    <s v="46+ min"/>
    <s v="501–700"/>
    <n v="18348"/>
    <n v="-27.799999999999272"/>
  </r>
  <r>
    <n v="11088"/>
    <n v="50"/>
    <s v="Female"/>
    <s v="Bangalore"/>
    <d v="2023-02-23T00:00:00"/>
    <d v="2023-10-28T00:00:00"/>
    <x v="2"/>
    <n v="953"/>
    <x v="27"/>
    <n v="4"/>
    <n v="112.92"/>
    <n v="10"/>
    <x v="3"/>
    <x v="0"/>
    <n v="29447.7"/>
    <b v="1"/>
    <n v="2.5833333333333335"/>
    <n v="949.92580645161297"/>
    <n v="22.584"/>
    <d v="2023-02-01T00:00:00"/>
    <s v="Middle-aged"/>
    <n v="1"/>
    <s v="Yes"/>
    <n v="247"/>
    <s v="High"/>
    <s v="Low"/>
    <n v="0.125"/>
    <s v="High"/>
    <n v="2"/>
    <d v="2023-02-01T00:00:00"/>
    <s v="25+ months"/>
    <s v="4–5 tickets"/>
    <s v="46+ min"/>
    <s v="701–1000"/>
    <n v="29543"/>
    <n v="-95.299999999999272"/>
  </r>
  <r>
    <n v="11089"/>
    <n v="21"/>
    <s v="Male"/>
    <s v="Mumbai"/>
    <d v="2021-07-19T00:00:00"/>
    <d v="2023-09-08T00:00:00"/>
    <x v="1"/>
    <n v="1459"/>
    <x v="34"/>
    <n v="2"/>
    <n v="117.96"/>
    <n v="20"/>
    <x v="3"/>
    <x v="1"/>
    <n v="17216.2"/>
    <b v="1"/>
    <n v="1"/>
    <n v="1434.6833333333334"/>
    <n v="39.32"/>
    <d v="2021-07-01T00:00:00"/>
    <s v="Young"/>
    <n v="0"/>
    <s v="Yes"/>
    <n v="781"/>
    <s v="High"/>
    <s v="Medium"/>
    <n v="0.15384615384615385"/>
    <s v="Medium"/>
    <n v="3"/>
    <d v="2021-07-01T00:00:00"/>
    <s v="7–12 months"/>
    <s v="2–3 tickets"/>
    <s v="46+ min"/>
    <s v="1000+"/>
    <n v="17508"/>
    <n v="-291.79999999999927"/>
  </r>
  <r>
    <n v="11090"/>
    <n v="39"/>
    <s v="Female"/>
    <s v="Hyderabad"/>
    <d v="2021-08-28T00:00:00"/>
    <d v="2023-10-28T00:00:00"/>
    <x v="0"/>
    <n v="890"/>
    <x v="9"/>
    <n v="2"/>
    <n v="113.89"/>
    <n v="5"/>
    <x v="2"/>
    <x v="0"/>
    <n v="7965.5"/>
    <b v="1"/>
    <n v="0.75"/>
    <n v="885.05555555555554"/>
    <n v="37.963333333333331"/>
    <d v="2021-08-01T00:00:00"/>
    <s v="Middle-aged"/>
    <n v="1"/>
    <s v="No"/>
    <n v="791"/>
    <s v="High"/>
    <s v="Low"/>
    <n v="0.2"/>
    <s v="Low"/>
    <n v="1"/>
    <d v="2021-08-01T00:00:00"/>
    <s v="7–12 months"/>
    <s v="2–3 tickets"/>
    <s v="46+ min"/>
    <s v="701–1000"/>
    <n v="8010"/>
    <n v="-44.5"/>
  </r>
  <r>
    <n v="11091"/>
    <n v="19"/>
    <s v="Female"/>
    <s v="Delhi"/>
    <d v="2022-11-23T00:00:00"/>
    <d v="2022-01-27T00:00:00"/>
    <x v="2"/>
    <n v="743"/>
    <x v="9"/>
    <n v="4"/>
    <n v="99.78"/>
    <n v="15"/>
    <x v="0"/>
    <x v="1"/>
    <n v="6575.55"/>
    <b v="0"/>
    <n v="0.75"/>
    <n v="730.61666666666667"/>
    <n v="19.956"/>
    <d v="2022-11-01T00:00:00"/>
    <s v="Young"/>
    <n v="0"/>
    <s v="No"/>
    <m/>
    <s v="High"/>
    <s v="Low"/>
    <n v="0.4"/>
    <s v="Low"/>
    <n v="2"/>
    <d v="2022-11-01T00:00:00"/>
    <s v="7–12 months"/>
    <s v="4–5 tickets"/>
    <s v="46+ min"/>
    <s v="701–1000"/>
    <n v="6687"/>
    <n v="-111.44999999999982"/>
  </r>
  <r>
    <n v="11092"/>
    <n v="27"/>
    <s v="Male"/>
    <s v="Mumbai"/>
    <d v="2022-11-14T00:00:00"/>
    <d v="2023-06-29T00:00:00"/>
    <x v="0"/>
    <n v="717"/>
    <x v="10"/>
    <n v="1"/>
    <n v="86.15"/>
    <n v="0"/>
    <x v="0"/>
    <x v="0"/>
    <n v="12906"/>
    <b v="1"/>
    <n v="1.5"/>
    <n v="717"/>
    <n v="43.075000000000003"/>
    <d v="2022-11-01T00:00:00"/>
    <s v="Adult"/>
    <n v="1"/>
    <s v="No"/>
    <n v="227"/>
    <s v="High"/>
    <s v="Low"/>
    <n v="5.2631578947368418E-2"/>
    <s v="Medium"/>
    <n v="1"/>
    <d v="2022-11-01T00:00:00"/>
    <s v="13–24 months"/>
    <s v="0–1 tickets"/>
    <s v="46+ min"/>
    <s v="701–1000"/>
    <n v="12906"/>
    <n v="0"/>
  </r>
  <r>
    <n v="11093"/>
    <n v="22"/>
    <s v="Male"/>
    <s v="Bangalore"/>
    <d v="2021-10-22T00:00:00"/>
    <d v="2021-11-10T00:00:00"/>
    <x v="0"/>
    <n v="873"/>
    <x v="3"/>
    <n v="1"/>
    <n v="81.28"/>
    <n v="20"/>
    <x v="3"/>
    <x v="1"/>
    <n v="26015.4"/>
    <b v="1"/>
    <n v="2.5"/>
    <n v="867.18000000000006"/>
    <n v="40.64"/>
    <d v="2021-10-01T00:00:00"/>
    <s v="Young"/>
    <n v="0"/>
    <s v="Yes"/>
    <n v="19"/>
    <s v="High"/>
    <s v="Medium"/>
    <n v="3.2258064516129031E-2"/>
    <s v="High"/>
    <n v="1"/>
    <d v="2021-10-01T00:00:00"/>
    <s v="25+ months"/>
    <s v="0–1 tickets"/>
    <s v="46+ min"/>
    <s v="701–1000"/>
    <n v="26190"/>
    <n v="-174.59999999999854"/>
  </r>
  <r>
    <n v="11094"/>
    <n v="27"/>
    <s v="Female"/>
    <s v="Mumbai"/>
    <d v="2022-05-27T00:00:00"/>
    <d v="2023-11-01T00:00:00"/>
    <x v="0"/>
    <n v="428"/>
    <x v="23"/>
    <n v="3"/>
    <n v="16.93"/>
    <n v="15"/>
    <x v="2"/>
    <x v="1"/>
    <n v="13631.8"/>
    <b v="1"/>
    <n v="2.6666666666666665"/>
    <n v="425.99374999999998"/>
    <n v="4.2324999999999999"/>
    <d v="2022-05-01T00:00:00"/>
    <s v="Adult"/>
    <n v="0"/>
    <s v="Yes"/>
    <n v="523"/>
    <s v="Low"/>
    <s v="Low"/>
    <n v="9.0909090909090912E-2"/>
    <s v="Medium"/>
    <n v="1"/>
    <d v="2022-05-01T00:00:00"/>
    <s v="25+ months"/>
    <s v="2–3 tickets"/>
    <s v="11–20 min"/>
    <s v="301–500"/>
    <n v="13696"/>
    <n v="-64.200000000000728"/>
  </r>
  <r>
    <n v="11095"/>
    <n v="50"/>
    <s v="Male"/>
    <s v="Delhi"/>
    <d v="2022-11-20T00:00:00"/>
    <d v="2021-11-20T00:00:00"/>
    <x v="2"/>
    <n v="1310"/>
    <x v="31"/>
    <n v="1"/>
    <n v="36.22"/>
    <n v="5"/>
    <x v="3"/>
    <x v="0"/>
    <n v="30064.5"/>
    <b v="0"/>
    <n v="1.9166666666666667"/>
    <n v="1307.1521739130435"/>
    <n v="18.11"/>
    <d v="2022-11-01T00:00:00"/>
    <s v="Middle-aged"/>
    <n v="1"/>
    <s v="Yes"/>
    <m/>
    <s v="Medium"/>
    <s v="Low"/>
    <n v="4.1666666666666664E-2"/>
    <s v="High"/>
    <n v="2"/>
    <d v="2022-11-01T00:00:00"/>
    <s v="13–24 months"/>
    <s v="0–1 tickets"/>
    <s v="31–45 min"/>
    <s v="1000+"/>
    <n v="30130"/>
    <n v="-65.5"/>
  </r>
  <r>
    <n v="11096"/>
    <n v="55"/>
    <s v="Male"/>
    <s v="Bangalore"/>
    <d v="2023-05-31T00:00:00"/>
    <d v="2022-10-15T00:00:00"/>
    <x v="2"/>
    <n v="640"/>
    <x v="11"/>
    <n v="2"/>
    <n v="5.65"/>
    <n v="10"/>
    <x v="1"/>
    <x v="1"/>
    <n v="6976"/>
    <b v="0"/>
    <n v="0.91666666666666663"/>
    <n v="634.18181818181813"/>
    <n v="1.8833333333333335"/>
    <d v="2023-05-01T00:00:00"/>
    <s v="Older"/>
    <n v="0"/>
    <s v="No"/>
    <m/>
    <s v="Low"/>
    <s v="Low"/>
    <n v="0.16666666666666666"/>
    <s v="Low"/>
    <n v="2"/>
    <d v="2023-05-01T00:00:00"/>
    <s v="7–12 months"/>
    <s v="2–3 tickets"/>
    <s v="0–10 min"/>
    <s v="501–700"/>
    <n v="7040"/>
    <n v="-64"/>
  </r>
  <r>
    <n v="11097"/>
    <n v="30"/>
    <s v="Male"/>
    <s v="Chennai"/>
    <d v="2022-01-31T00:00:00"/>
    <d v="2022-11-29T00:00:00"/>
    <x v="2"/>
    <n v="1109"/>
    <x v="28"/>
    <n v="1"/>
    <n v="20.8"/>
    <n v="0"/>
    <x v="2"/>
    <x v="1"/>
    <n v="22180"/>
    <b v="1"/>
    <n v="1.6666666666666667"/>
    <n v="1109"/>
    <n v="10.4"/>
    <d v="2022-01-01T00:00:00"/>
    <s v="Adult"/>
    <n v="0"/>
    <s v="Yes"/>
    <n v="302"/>
    <s v="Medium"/>
    <s v="Low"/>
    <n v="4.7619047619047616E-2"/>
    <s v="High"/>
    <n v="2"/>
    <d v="2022-01-01T00:00:00"/>
    <s v="13–24 months"/>
    <s v="0–1 tickets"/>
    <s v="21–30 min"/>
    <s v="1000+"/>
    <n v="22180"/>
    <n v="0"/>
  </r>
  <r>
    <n v="11098"/>
    <n v="41"/>
    <s v="Male"/>
    <s v="Bangalore"/>
    <d v="2023-01-19T00:00:00"/>
    <d v="2022-03-11T00:00:00"/>
    <x v="1"/>
    <n v="1291"/>
    <x v="17"/>
    <n v="0"/>
    <n v="55.51"/>
    <n v="0"/>
    <x v="2"/>
    <x v="1"/>
    <n v="24529"/>
    <b v="0"/>
    <n v="1.5833333333333333"/>
    <n v="1291"/>
    <n v="55.51"/>
    <d v="2023-01-01T00:00:00"/>
    <s v="Middle-aged"/>
    <n v="0"/>
    <s v="Yes"/>
    <m/>
    <s v="Medium"/>
    <s v="Low"/>
    <n v="0"/>
    <s v="High"/>
    <n v="3"/>
    <d v="2023-01-01T00:00:00"/>
    <s v="13–24 months"/>
    <s v="0–1 tickets"/>
    <s v="46+ min"/>
    <s v="1000+"/>
    <n v="24529"/>
    <n v="0"/>
  </r>
  <r>
    <n v="11099"/>
    <n v="41"/>
    <s v="Female"/>
    <s v="Chennai"/>
    <d v="2021-05-18T00:00:00"/>
    <d v="2022-05-25T00:00:00"/>
    <x v="0"/>
    <n v="399"/>
    <x v="8"/>
    <n v="4"/>
    <n v="21.85"/>
    <n v="20"/>
    <x v="2"/>
    <x v="1"/>
    <n v="10294.200000000001"/>
    <b v="1"/>
    <n v="2.1666666666666665"/>
    <n v="395.93076923076927"/>
    <n v="4.37"/>
    <d v="2021-05-01T00:00:00"/>
    <s v="Middle-aged"/>
    <n v="0"/>
    <s v="No"/>
    <n v="372"/>
    <s v="Medium"/>
    <s v="Medium"/>
    <n v="0.14814814814814814"/>
    <s v="Medium"/>
    <n v="1"/>
    <d v="2021-05-01T00:00:00"/>
    <s v="25+ months"/>
    <s v="4–5 tickets"/>
    <s v="21–30 min"/>
    <s v="301–500"/>
    <n v="10374"/>
    <n v="-79.799999999999272"/>
  </r>
  <r>
    <n v="11100"/>
    <n v="53"/>
    <s v="Female"/>
    <s v="Bangalore"/>
    <d v="2023-04-19T00:00:00"/>
    <d v="2022-06-16T00:00:00"/>
    <x v="2"/>
    <n v="338"/>
    <x v="32"/>
    <n v="1"/>
    <n v="108.69"/>
    <n v="15"/>
    <x v="1"/>
    <x v="1"/>
    <n v="3329.3"/>
    <b v="0"/>
    <n v="0.83333333333333337"/>
    <n v="332.93"/>
    <n v="54.344999999999999"/>
    <d v="2023-04-01T00:00:00"/>
    <s v="Older"/>
    <n v="0"/>
    <s v="No"/>
    <m/>
    <s v="High"/>
    <s v="Low"/>
    <n v="9.0909090909090912E-2"/>
    <s v="Low"/>
    <n v="2"/>
    <d v="2023-04-01T00:00:00"/>
    <s v="7–12 months"/>
    <s v="0–1 tickets"/>
    <s v="46+ min"/>
    <s v="301–500"/>
    <n v="3380"/>
    <n v="-50.699999999999818"/>
  </r>
  <r>
    <n v="11101"/>
    <n v="62"/>
    <s v="Male"/>
    <s v="Delhi"/>
    <d v="2023-05-28T00:00:00"/>
    <d v="2023-10-18T00:00:00"/>
    <x v="0"/>
    <n v="562"/>
    <x v="30"/>
    <n v="2"/>
    <n v="97.66"/>
    <n v="5"/>
    <x v="2"/>
    <x v="1"/>
    <n v="13459.9"/>
    <b v="1"/>
    <n v="2"/>
    <n v="560.82916666666665"/>
    <n v="32.553333333333335"/>
    <d v="2023-05-01T00:00:00"/>
    <s v="Older"/>
    <n v="0"/>
    <s v="Yes"/>
    <n v="143"/>
    <s v="High"/>
    <s v="Low"/>
    <n v="0.08"/>
    <s v="Medium"/>
    <n v="1"/>
    <d v="2023-05-01T00:00:00"/>
    <s v="13–24 months"/>
    <s v="2–3 tickets"/>
    <s v="46+ min"/>
    <s v="501–700"/>
    <n v="13488"/>
    <n v="-28.100000000000364"/>
  </r>
  <r>
    <n v="11102"/>
    <n v="41"/>
    <s v="Female"/>
    <s v="Delhi"/>
    <d v="2023-04-03T00:00:00"/>
    <d v="2022-11-15T00:00:00"/>
    <x v="0"/>
    <n v="449"/>
    <x v="19"/>
    <n v="0"/>
    <n v="13.24"/>
    <n v="5"/>
    <x v="3"/>
    <x v="1"/>
    <n v="5814.55"/>
    <b v="0"/>
    <n v="1.0833333333333333"/>
    <n v="447.27307692307693"/>
    <n v="13.24"/>
    <d v="2023-04-01T00:00:00"/>
    <s v="Middle-aged"/>
    <n v="0"/>
    <s v="No"/>
    <m/>
    <s v="Low"/>
    <s v="Low"/>
    <n v="0"/>
    <s v="Low"/>
    <n v="1"/>
    <d v="2023-04-01T00:00:00"/>
    <s v="13–24 months"/>
    <s v="0–1 tickets"/>
    <s v="11–20 min"/>
    <s v="301–500"/>
    <n v="5837"/>
    <n v="-22.449999999999818"/>
  </r>
  <r>
    <n v="11103"/>
    <n v="32"/>
    <s v="Male"/>
    <s v="Bangalore"/>
    <d v="2021-05-09T00:00:00"/>
    <d v="2023-08-29T00:00:00"/>
    <x v="2"/>
    <n v="989"/>
    <x v="22"/>
    <n v="1"/>
    <n v="33.630000000000003"/>
    <n v="15"/>
    <x v="1"/>
    <x v="1"/>
    <n v="33477.65"/>
    <b v="1"/>
    <n v="2.8333333333333335"/>
    <n v="984.63676470588234"/>
    <n v="16.815000000000001"/>
    <d v="2021-05-01T00:00:00"/>
    <s v="Adult"/>
    <n v="0"/>
    <s v="Yes"/>
    <n v="842"/>
    <s v="Medium"/>
    <s v="Low"/>
    <n v="2.8571428571428571E-2"/>
    <s v="High"/>
    <n v="2"/>
    <d v="2021-05-01T00:00:00"/>
    <s v="25+ months"/>
    <s v="0–1 tickets"/>
    <s v="31–45 min"/>
    <s v="701–1000"/>
    <n v="33626"/>
    <n v="-148.34999999999854"/>
  </r>
  <r>
    <n v="11104"/>
    <n v="46"/>
    <s v="Female"/>
    <s v="Mumbai"/>
    <d v="2021-02-18T00:00:00"/>
    <d v="2021-11-10T00:00:00"/>
    <x v="1"/>
    <n v="1112"/>
    <x v="5"/>
    <n v="1"/>
    <n v="99.19"/>
    <n v="0"/>
    <x v="0"/>
    <x v="1"/>
    <n v="32248"/>
    <b v="1"/>
    <n v="2.4166666666666665"/>
    <n v="1112"/>
    <n v="49.594999999999999"/>
    <d v="2021-02-01T00:00:00"/>
    <s v="Middle-aged"/>
    <n v="0"/>
    <s v="Yes"/>
    <n v="265"/>
    <s v="High"/>
    <s v="Low"/>
    <n v="3.3333333333333333E-2"/>
    <s v="High"/>
    <n v="3"/>
    <d v="2021-02-01T00:00:00"/>
    <s v="25+ months"/>
    <s v="0–1 tickets"/>
    <s v="46+ min"/>
    <s v="1000+"/>
    <n v="32248"/>
    <n v="0"/>
  </r>
  <r>
    <n v="11105"/>
    <n v="25"/>
    <s v="Other"/>
    <s v="Delhi"/>
    <d v="2022-11-07T00:00:00"/>
    <d v="2023-01-30T00:00:00"/>
    <x v="2"/>
    <n v="1443"/>
    <x v="16"/>
    <n v="0"/>
    <n v="97.35"/>
    <n v="15"/>
    <x v="3"/>
    <x v="1"/>
    <n v="9884.5499999999993"/>
    <b v="1"/>
    <n v="0.58333333333333337"/>
    <n v="1412.0785714285714"/>
    <n v="97.35"/>
    <d v="2022-11-01T00:00:00"/>
    <s v="Young"/>
    <n v="0"/>
    <s v="No"/>
    <n v="84"/>
    <s v="High"/>
    <s v="Low"/>
    <n v="0"/>
    <s v="Medium"/>
    <n v="2"/>
    <d v="2022-11-01T00:00:00"/>
    <s v="7–12 months"/>
    <s v="0–1 tickets"/>
    <s v="46+ min"/>
    <s v="1000+"/>
    <n v="10101"/>
    <n v="-216.45000000000073"/>
  </r>
  <r>
    <n v="11106"/>
    <n v="22"/>
    <s v="Male"/>
    <s v="Chennai"/>
    <d v="2023-02-28T00:00:00"/>
    <d v="2022-04-03T00:00:00"/>
    <x v="2"/>
    <n v="518"/>
    <x v="3"/>
    <n v="0"/>
    <n v="113.73"/>
    <n v="5"/>
    <x v="3"/>
    <x v="0"/>
    <n v="15514.1"/>
    <b v="0"/>
    <n v="2.5"/>
    <n v="517.13666666666666"/>
    <n v="113.73"/>
    <d v="2023-02-01T00:00:00"/>
    <s v="Young"/>
    <n v="1"/>
    <s v="Yes"/>
    <m/>
    <s v="High"/>
    <s v="Low"/>
    <n v="0"/>
    <s v="Medium"/>
    <n v="2"/>
    <d v="2023-02-01T00:00:00"/>
    <s v="25+ months"/>
    <s v="0–1 tickets"/>
    <s v="46+ min"/>
    <s v="501–700"/>
    <n v="15540"/>
    <n v="-25.899999999999636"/>
  </r>
  <r>
    <n v="11107"/>
    <n v="46"/>
    <s v="Female"/>
    <s v="Chennai"/>
    <d v="2021-10-20T00:00:00"/>
    <d v="2022-05-05T00:00:00"/>
    <x v="0"/>
    <n v="1205"/>
    <x v="18"/>
    <n v="4"/>
    <n v="119.72"/>
    <n v="15"/>
    <x v="3"/>
    <x v="1"/>
    <n v="20304.25"/>
    <b v="1"/>
    <n v="1.4166666666666667"/>
    <n v="1194.3676470588234"/>
    <n v="23.943999999999999"/>
    <d v="2021-10-01T00:00:00"/>
    <s v="Middle-aged"/>
    <n v="0"/>
    <s v="Yes"/>
    <n v="197"/>
    <s v="High"/>
    <s v="Low"/>
    <n v="0.22222222222222221"/>
    <s v="High"/>
    <n v="1"/>
    <d v="2021-10-01T00:00:00"/>
    <s v="13–24 months"/>
    <s v="4–5 tickets"/>
    <s v="46+ min"/>
    <s v="1000+"/>
    <n v="20485"/>
    <n v="-180.75"/>
  </r>
  <r>
    <n v="11108"/>
    <n v="64"/>
    <s v="Female"/>
    <s v="Hyderabad"/>
    <d v="2022-09-20T00:00:00"/>
    <d v="2021-07-25T00:00:00"/>
    <x v="0"/>
    <n v="1446"/>
    <x v="19"/>
    <n v="1"/>
    <n v="117.27"/>
    <n v="0"/>
    <x v="1"/>
    <x v="1"/>
    <n v="18798"/>
    <b v="0"/>
    <n v="1.0833333333333333"/>
    <n v="1446"/>
    <n v="58.634999999999998"/>
    <d v="2022-09-01T00:00:00"/>
    <s v="Older"/>
    <n v="0"/>
    <s v="Yes"/>
    <m/>
    <s v="High"/>
    <s v="Low"/>
    <n v="7.1428571428571425E-2"/>
    <s v="Medium"/>
    <n v="1"/>
    <d v="2022-09-01T00:00:00"/>
    <s v="13–24 months"/>
    <s v="0–1 tickets"/>
    <s v="46+ min"/>
    <s v="1000+"/>
    <n v="18798"/>
    <n v="0"/>
  </r>
  <r>
    <n v="11109"/>
    <n v="21"/>
    <s v="Male"/>
    <s v="unknown"/>
    <d v="2022-06-20T00:00:00"/>
    <d v="2022-04-29T00:00:00"/>
    <x v="2"/>
    <n v="543"/>
    <x v="30"/>
    <n v="0"/>
    <n v="52.17"/>
    <n v="20"/>
    <x v="3"/>
    <x v="1"/>
    <n v="12923.4"/>
    <b v="0"/>
    <n v="2"/>
    <n v="538.47500000000002"/>
    <n v="52.17"/>
    <d v="2022-06-01T00:00:00"/>
    <s v="Young"/>
    <n v="0"/>
    <s v="No"/>
    <m/>
    <s v="Medium"/>
    <s v="Medium"/>
    <n v="0"/>
    <s v="Medium"/>
    <n v="2"/>
    <d v="2022-06-01T00:00:00"/>
    <s v="13–24 months"/>
    <s v="0–1 tickets"/>
    <s v="46+ min"/>
    <s v="501–700"/>
    <n v="13032"/>
    <n v="-108.60000000000036"/>
  </r>
  <r>
    <n v="11110"/>
    <n v="29"/>
    <s v="Male"/>
    <s v="Pune"/>
    <d v="2021-11-07T00:00:00"/>
    <d v="2021-10-05T00:00:00"/>
    <x v="0"/>
    <n v="1185"/>
    <x v="27"/>
    <n v="0"/>
    <n v="33.79"/>
    <n v="0"/>
    <x v="1"/>
    <x v="0"/>
    <n v="36735"/>
    <b v="0"/>
    <n v="2.5833333333333335"/>
    <n v="1185"/>
    <n v="33.79"/>
    <d v="2021-11-01T00:00:00"/>
    <s v="Adult"/>
    <n v="1"/>
    <s v="Yes"/>
    <m/>
    <s v="Medium"/>
    <s v="Low"/>
    <n v="0"/>
    <s v="High"/>
    <n v="1"/>
    <d v="2021-11-01T00:00:00"/>
    <s v="25+ months"/>
    <s v="0–1 tickets"/>
    <s v="31–45 min"/>
    <s v="1000+"/>
    <n v="36735"/>
    <n v="0"/>
  </r>
  <r>
    <n v="11111"/>
    <n v="62"/>
    <s v="Male"/>
    <s v="Pune"/>
    <d v="2022-06-21T00:00:00"/>
    <d v="2023-05-06T00:00:00"/>
    <x v="0"/>
    <n v="886"/>
    <x v="26"/>
    <n v="4"/>
    <n v="92.22"/>
    <n v="10"/>
    <x v="2"/>
    <x v="1"/>
    <n v="23833.4"/>
    <b v="1"/>
    <n v="2.25"/>
    <n v="882.71851851851852"/>
    <n v="18.443999999999999"/>
    <d v="2022-06-01T00:00:00"/>
    <s v="Older"/>
    <n v="0"/>
    <s v="Yes"/>
    <n v="319"/>
    <s v="High"/>
    <s v="Low"/>
    <n v="0.14285714285714285"/>
    <s v="High"/>
    <n v="1"/>
    <d v="2022-06-01T00:00:00"/>
    <s v="25+ months"/>
    <s v="4–5 tickets"/>
    <s v="46+ min"/>
    <s v="701–1000"/>
    <n v="23922"/>
    <n v="-88.599999999998545"/>
  </r>
  <r>
    <n v="11112"/>
    <n v="19"/>
    <s v="Female"/>
    <s v="Chennai"/>
    <d v="2022-10-01T00:00:00"/>
    <d v="2022-01-29T00:00:00"/>
    <x v="2"/>
    <n v="817"/>
    <x v="6"/>
    <n v="4"/>
    <n v="39.42"/>
    <n v="10"/>
    <x v="0"/>
    <x v="1"/>
    <n v="17075.3"/>
    <b v="0"/>
    <n v="1.75"/>
    <n v="813.10952380952381"/>
    <n v="7.8840000000000003"/>
    <d v="2022-10-01T00:00:00"/>
    <s v="Young"/>
    <n v="0"/>
    <s v="Yes"/>
    <m/>
    <s v="Medium"/>
    <s v="Low"/>
    <n v="0.18181818181818182"/>
    <s v="Medium"/>
    <n v="2"/>
    <d v="2022-10-01T00:00:00"/>
    <s v="13–24 months"/>
    <s v="4–5 tickets"/>
    <s v="31–45 min"/>
    <s v="701–1000"/>
    <n v="17157"/>
    <n v="-81.700000000000728"/>
  </r>
  <r>
    <n v="11113"/>
    <n v="44"/>
    <s v="Other"/>
    <s v="Hyderabad"/>
    <d v="2021-08-22T00:00:00"/>
    <d v="2023-10-09T00:00:00"/>
    <x v="0"/>
    <n v="1344"/>
    <x v="7"/>
    <n v="2"/>
    <n v="97.74"/>
    <n v="15"/>
    <x v="2"/>
    <x v="0"/>
    <n v="1142.4000000000001"/>
    <b v="1"/>
    <n v="8.3333333333333329E-2"/>
    <n v="1142.4000000000001"/>
    <n v="32.58"/>
    <d v="2021-08-01T00:00:00"/>
    <s v="Middle-aged"/>
    <n v="1"/>
    <s v="No"/>
    <n v="778"/>
    <s v="High"/>
    <s v="Low"/>
    <n v="1"/>
    <s v="Low"/>
    <n v="1"/>
    <d v="2021-08-01T00:00:00"/>
    <s v="0–6 months"/>
    <s v="2–3 tickets"/>
    <s v="46+ min"/>
    <s v="1000+"/>
    <n v="1344"/>
    <n v="-201.59999999999991"/>
  </r>
  <r>
    <n v="11114"/>
    <n v="48"/>
    <s v="Female"/>
    <s v="Pune"/>
    <d v="2021-07-28T00:00:00"/>
    <d v="2023-01-21T00:00:00"/>
    <x v="0"/>
    <n v="489"/>
    <x v="15"/>
    <n v="2"/>
    <n v="66.400000000000006"/>
    <n v="0"/>
    <x v="3"/>
    <x v="0"/>
    <n v="7335"/>
    <b v="1"/>
    <n v="1.25"/>
    <n v="489"/>
    <n v="22.133333333333336"/>
    <d v="2021-07-01T00:00:00"/>
    <s v="Middle-aged"/>
    <n v="1"/>
    <s v="No"/>
    <n v="542"/>
    <s v="High"/>
    <s v="Low"/>
    <n v="0.125"/>
    <s v="Low"/>
    <n v="1"/>
    <d v="2021-07-01T00:00:00"/>
    <s v="13–24 months"/>
    <s v="2–3 tickets"/>
    <s v="46+ min"/>
    <s v="301–500"/>
    <n v="7335"/>
    <n v="0"/>
  </r>
  <r>
    <n v="11115"/>
    <n v="53"/>
    <s v="Female"/>
    <s v="Pune"/>
    <d v="2022-08-28T00:00:00"/>
    <d v="2023-09-26T00:00:00"/>
    <x v="2"/>
    <n v="1214"/>
    <x v="13"/>
    <n v="1"/>
    <n v="96.3"/>
    <n v="0"/>
    <x v="1"/>
    <x v="0"/>
    <n v="3642"/>
    <b v="1"/>
    <n v="0.25"/>
    <n v="1214"/>
    <n v="48.15"/>
    <d v="2022-08-01T00:00:00"/>
    <s v="Older"/>
    <n v="1"/>
    <s v="No"/>
    <n v="394"/>
    <s v="High"/>
    <s v="Low"/>
    <n v="0.25"/>
    <s v="Low"/>
    <n v="2"/>
    <d v="2022-08-01T00:00:00"/>
    <s v="0–6 months"/>
    <s v="0–1 tickets"/>
    <s v="46+ min"/>
    <s v="1000+"/>
    <n v="3642"/>
    <n v="0"/>
  </r>
  <r>
    <n v="11116"/>
    <n v="53"/>
    <s v="Female"/>
    <s v="Bangalore"/>
    <d v="2021-04-04T00:00:00"/>
    <d v="2022-07-14T00:00:00"/>
    <x v="2"/>
    <n v="914"/>
    <x v="20"/>
    <n v="1"/>
    <n v="36.729999999999997"/>
    <n v="5"/>
    <x v="1"/>
    <x v="1"/>
    <n v="5438.3"/>
    <b v="1"/>
    <n v="0.5"/>
    <n v="906.38333333333333"/>
    <n v="18.364999999999998"/>
    <d v="2021-04-01T00:00:00"/>
    <s v="Older"/>
    <n v="0"/>
    <s v="No"/>
    <n v="466"/>
    <s v="Medium"/>
    <s v="Low"/>
    <n v="0.14285714285714285"/>
    <s v="Low"/>
    <n v="2"/>
    <d v="2021-04-01T00:00:00"/>
    <s v="0–6 months"/>
    <s v="0–1 tickets"/>
    <s v="31–45 min"/>
    <s v="701–1000"/>
    <n v="5484"/>
    <n v="-45.699999999999818"/>
  </r>
  <r>
    <n v="11117"/>
    <n v="43"/>
    <s v="Female"/>
    <s v="Bangalore"/>
    <d v="2021-11-23T00:00:00"/>
    <d v="2022-10-16T00:00:00"/>
    <x v="1"/>
    <n v="1155"/>
    <x v="25"/>
    <n v="1"/>
    <n v="63.42"/>
    <n v="10"/>
    <x v="2"/>
    <x v="1"/>
    <n v="15939"/>
    <b v="1"/>
    <n v="1.1666666666666667"/>
    <n v="1138.5"/>
    <n v="31.71"/>
    <d v="2021-11-01T00:00:00"/>
    <s v="Middle-aged"/>
    <n v="0"/>
    <s v="Yes"/>
    <n v="327"/>
    <s v="High"/>
    <s v="Low"/>
    <n v="6.6666666666666666E-2"/>
    <s v="Medium"/>
    <n v="3"/>
    <d v="2021-11-01T00:00:00"/>
    <s v="13–24 months"/>
    <s v="0–1 tickets"/>
    <s v="46+ min"/>
    <s v="1000+"/>
    <n v="16170"/>
    <n v="-231"/>
  </r>
  <r>
    <n v="11118"/>
    <n v="60"/>
    <s v="Female"/>
    <s v="Bangalore"/>
    <d v="2021-08-13T00:00:00"/>
    <d v="2023-05-28T00:00:00"/>
    <x v="2"/>
    <n v="765"/>
    <x v="33"/>
    <n v="5"/>
    <n v="69.86"/>
    <n v="0"/>
    <x v="3"/>
    <x v="1"/>
    <n v="25245"/>
    <b v="1"/>
    <n v="2.75"/>
    <n v="765"/>
    <n v="11.643333333333333"/>
    <d v="2021-08-01T00:00:00"/>
    <s v="Older"/>
    <n v="0"/>
    <s v="Yes"/>
    <n v="653"/>
    <s v="High"/>
    <s v="Low"/>
    <n v="0.14705882352941177"/>
    <s v="High"/>
    <n v="2"/>
    <d v="2021-08-01T00:00:00"/>
    <s v="25+ months"/>
    <s v="4–5 tickets"/>
    <s v="46+ min"/>
    <s v="701–1000"/>
    <n v="25245"/>
    <n v="0"/>
  </r>
  <r>
    <n v="11119"/>
    <n v="44"/>
    <s v="Male"/>
    <s v="Mumbai"/>
    <d v="2023-06-09T00:00:00"/>
    <d v="2023-01-25T00:00:00"/>
    <x v="0"/>
    <n v="398"/>
    <x v="14"/>
    <n v="0"/>
    <n v="113.46"/>
    <n v="15"/>
    <x v="0"/>
    <x v="0"/>
    <n v="3124.3"/>
    <b v="0"/>
    <n v="0.66666666666666663"/>
    <n v="390.53750000000002"/>
    <n v="113.46"/>
    <d v="2023-06-01T00:00:00"/>
    <s v="Middle-aged"/>
    <n v="1"/>
    <s v="No"/>
    <m/>
    <s v="High"/>
    <s v="Low"/>
    <n v="0"/>
    <s v="Low"/>
    <n v="1"/>
    <d v="2023-06-01T00:00:00"/>
    <s v="7–12 months"/>
    <s v="0–1 tickets"/>
    <s v="46+ min"/>
    <s v="301–500"/>
    <n v="3184"/>
    <n v="-59.699999999999818"/>
  </r>
  <r>
    <n v="11120"/>
    <n v="22"/>
    <s v="Female"/>
    <s v="Pune"/>
    <d v="2023-03-03T00:00:00"/>
    <d v="2022-03-30T00:00:00"/>
    <x v="1"/>
    <n v="1129"/>
    <x v="8"/>
    <n v="5"/>
    <n v="35.659999999999997"/>
    <n v="5"/>
    <x v="1"/>
    <x v="1"/>
    <n v="29297.55"/>
    <b v="0"/>
    <n v="2.1666666666666665"/>
    <n v="1126.8288461538461"/>
    <n v="5.9433333333333325"/>
    <d v="2023-03-01T00:00:00"/>
    <s v="Young"/>
    <n v="0"/>
    <s v="Yes"/>
    <m/>
    <s v="Medium"/>
    <s v="Low"/>
    <n v="0.18518518518518517"/>
    <s v="High"/>
    <n v="3"/>
    <d v="2023-03-01T00:00:00"/>
    <s v="25+ months"/>
    <s v="4–5 tickets"/>
    <s v="31–45 min"/>
    <s v="1000+"/>
    <n v="29354"/>
    <n v="-56.450000000000728"/>
  </r>
  <r>
    <n v="11121"/>
    <n v="37"/>
    <s v="Female"/>
    <s v="Mumbai"/>
    <d v="2021-01-11T00:00:00"/>
    <d v="2022-09-07T00:00:00"/>
    <x v="2"/>
    <n v="1296"/>
    <x v="15"/>
    <n v="1"/>
    <n v="112.72"/>
    <n v="5"/>
    <x v="1"/>
    <x v="1"/>
    <n v="19375.2"/>
    <b v="1"/>
    <n v="1.25"/>
    <n v="1291.68"/>
    <n v="56.36"/>
    <d v="2021-01-01T00:00:00"/>
    <s v="Middle-aged"/>
    <n v="0"/>
    <s v="Yes"/>
    <n v="604"/>
    <s v="High"/>
    <s v="Low"/>
    <n v="6.25E-2"/>
    <s v="Medium"/>
    <n v="2"/>
    <d v="2021-01-01T00:00:00"/>
    <s v="13–24 months"/>
    <s v="0–1 tickets"/>
    <s v="46+ min"/>
    <s v="1000+"/>
    <n v="19440"/>
    <n v="-64.799999999999272"/>
  </r>
  <r>
    <n v="11122"/>
    <n v="28"/>
    <s v="Male"/>
    <s v="Hyderabad"/>
    <d v="2021-11-25T00:00:00"/>
    <d v="2022-01-21T00:00:00"/>
    <x v="0"/>
    <n v="1406"/>
    <x v="25"/>
    <n v="1"/>
    <n v="97.56"/>
    <n v="15"/>
    <x v="3"/>
    <x v="1"/>
    <n v="19473.099999999999"/>
    <b v="1"/>
    <n v="1.1666666666666667"/>
    <n v="1390.9357142857141"/>
    <n v="48.78"/>
    <d v="2021-11-01T00:00:00"/>
    <s v="Adult"/>
    <n v="0"/>
    <s v="Yes"/>
    <n v="57"/>
    <s v="High"/>
    <s v="Low"/>
    <n v="6.6666666666666666E-2"/>
    <s v="High"/>
    <n v="1"/>
    <d v="2021-11-01T00:00:00"/>
    <s v="13–24 months"/>
    <s v="0–1 tickets"/>
    <s v="46+ min"/>
    <s v="1000+"/>
    <n v="19684"/>
    <n v="-210.90000000000146"/>
  </r>
  <r>
    <n v="11123"/>
    <n v="27"/>
    <s v="Female"/>
    <s v="Chennai"/>
    <d v="2021-01-12T00:00:00"/>
    <d v="2023-04-27T00:00:00"/>
    <x v="0"/>
    <n v="355"/>
    <x v="28"/>
    <n v="0"/>
    <n v="89.05"/>
    <n v="15"/>
    <x v="1"/>
    <x v="0"/>
    <n v="7046.75"/>
    <b v="1"/>
    <n v="1.6666666666666667"/>
    <n v="352.33749999999998"/>
    <n v="89.05"/>
    <d v="2021-01-01T00:00:00"/>
    <s v="Adult"/>
    <n v="1"/>
    <s v="No"/>
    <n v="835"/>
    <s v="High"/>
    <s v="Low"/>
    <n v="0"/>
    <s v="Low"/>
    <n v="1"/>
    <d v="2021-01-01T00:00:00"/>
    <s v="13–24 months"/>
    <s v="0–1 tickets"/>
    <s v="46+ min"/>
    <s v="301–500"/>
    <n v="7100"/>
    <n v="-53.25"/>
  </r>
  <r>
    <n v="11124"/>
    <n v="57"/>
    <s v="Male"/>
    <s v="Pune"/>
    <d v="2021-02-04T00:00:00"/>
    <d v="2021-07-08T00:00:00"/>
    <x v="2"/>
    <n v="1345"/>
    <x v="17"/>
    <n v="1"/>
    <n v="95.49"/>
    <n v="0"/>
    <x v="3"/>
    <x v="1"/>
    <n v="25555"/>
    <b v="1"/>
    <n v="1.5833333333333333"/>
    <n v="1345"/>
    <n v="47.744999999999997"/>
    <d v="2021-02-01T00:00:00"/>
    <s v="Older"/>
    <n v="0"/>
    <s v="Yes"/>
    <n v="154"/>
    <s v="High"/>
    <s v="Low"/>
    <n v="0.05"/>
    <s v="High"/>
    <n v="2"/>
    <d v="2021-02-01T00:00:00"/>
    <s v="13–24 months"/>
    <s v="0–1 tickets"/>
    <s v="46+ min"/>
    <s v="1000+"/>
    <n v="25555"/>
    <n v="0"/>
  </r>
  <r>
    <n v="11125"/>
    <n v="55"/>
    <s v="Female"/>
    <s v="Chennai"/>
    <d v="2022-03-23T00:00:00"/>
    <d v="2021-10-17T00:00:00"/>
    <x v="2"/>
    <n v="879"/>
    <x v="33"/>
    <n v="2"/>
    <n v="74.62"/>
    <n v="0"/>
    <x v="3"/>
    <x v="1"/>
    <n v="29007"/>
    <b v="0"/>
    <n v="2.75"/>
    <n v="879"/>
    <n v="24.873333333333335"/>
    <d v="2022-03-01T00:00:00"/>
    <s v="Older"/>
    <n v="0"/>
    <s v="Yes"/>
    <m/>
    <s v="High"/>
    <s v="Low"/>
    <n v="5.8823529411764705E-2"/>
    <s v="High"/>
    <n v="2"/>
    <d v="2022-03-01T00:00:00"/>
    <s v="25+ months"/>
    <s v="2–3 tickets"/>
    <s v="46+ min"/>
    <s v="701–1000"/>
    <n v="29007"/>
    <n v="0"/>
  </r>
  <r>
    <n v="11126"/>
    <n v="23"/>
    <s v="Female"/>
    <s v="Bangalore"/>
    <d v="2022-03-28T00:00:00"/>
    <d v="2021-12-12T00:00:00"/>
    <x v="2"/>
    <n v="484"/>
    <x v="30"/>
    <n v="2"/>
    <n v="33.07"/>
    <n v="10"/>
    <x v="0"/>
    <x v="1"/>
    <n v="11591.8"/>
    <b v="0"/>
    <n v="2"/>
    <n v="482.99166666666662"/>
    <n v="11.023333333333333"/>
    <d v="2022-03-01T00:00:00"/>
    <s v="Young"/>
    <n v="0"/>
    <s v="No"/>
    <m/>
    <s v="Medium"/>
    <s v="Low"/>
    <n v="0.08"/>
    <s v="Medium"/>
    <n v="2"/>
    <d v="2022-03-01T00:00:00"/>
    <s v="13–24 months"/>
    <s v="2–3 tickets"/>
    <s v="31–45 min"/>
    <s v="301–500"/>
    <n v="11616"/>
    <n v="-24.200000000000728"/>
  </r>
  <r>
    <n v="11127"/>
    <n v="25"/>
    <s v="Male"/>
    <s v="Pune"/>
    <d v="2023-01-10T00:00:00"/>
    <d v="2022-11-09T00:00:00"/>
    <x v="2"/>
    <n v="821"/>
    <x v="32"/>
    <n v="0"/>
    <n v="26.79"/>
    <n v="5"/>
    <x v="3"/>
    <x v="1"/>
    <n v="8168.95"/>
    <b v="0"/>
    <n v="0.83333333333333337"/>
    <n v="816.89499999999998"/>
    <n v="26.79"/>
    <d v="2023-01-01T00:00:00"/>
    <s v="Young"/>
    <n v="0"/>
    <s v="No"/>
    <m/>
    <s v="Medium"/>
    <s v="Low"/>
    <n v="0"/>
    <s v="Low"/>
    <n v="2"/>
    <d v="2023-01-01T00:00:00"/>
    <s v="7–12 months"/>
    <s v="0–1 tickets"/>
    <s v="21–30 min"/>
    <s v="701–1000"/>
    <n v="8210"/>
    <n v="-41.050000000000182"/>
  </r>
  <r>
    <n v="11128"/>
    <n v="40"/>
    <s v="Male"/>
    <s v="Delhi"/>
    <d v="2021-08-08T00:00:00"/>
    <d v="2023-07-09T00:00:00"/>
    <x v="2"/>
    <n v="563"/>
    <x v="22"/>
    <n v="3"/>
    <n v="104.63"/>
    <n v="20"/>
    <x v="2"/>
    <x v="1"/>
    <n v="19029.400000000001"/>
    <b v="1"/>
    <n v="2.8333333333333335"/>
    <n v="559.6882352941177"/>
    <n v="26.157499999999999"/>
    <d v="2021-08-01T00:00:00"/>
    <s v="Middle-aged"/>
    <n v="0"/>
    <s v="Yes"/>
    <n v="700"/>
    <s v="High"/>
    <s v="Medium"/>
    <n v="8.5714285714285715E-2"/>
    <s v="Medium"/>
    <n v="2"/>
    <d v="2021-08-01T00:00:00"/>
    <s v="25+ months"/>
    <s v="2–3 tickets"/>
    <s v="46+ min"/>
    <s v="501–700"/>
    <n v="19142"/>
    <n v="-112.59999999999854"/>
  </r>
  <r>
    <n v="11129"/>
    <n v="64"/>
    <s v="Male"/>
    <s v="Mumbai"/>
    <d v="2022-03-17T00:00:00"/>
    <d v="2023-03-09T00:00:00"/>
    <x v="1"/>
    <n v="1361"/>
    <x v="24"/>
    <n v="3"/>
    <n v="88.39"/>
    <n v="5"/>
    <x v="0"/>
    <x v="1"/>
    <n v="21707.95"/>
    <b v="1"/>
    <n v="1.3333333333333333"/>
    <n v="1356.746875"/>
    <n v="22.0975"/>
    <d v="2022-03-01T00:00:00"/>
    <s v="Older"/>
    <n v="0"/>
    <s v="Yes"/>
    <n v="357"/>
    <s v="High"/>
    <s v="Low"/>
    <n v="0.17647058823529413"/>
    <s v="High"/>
    <n v="3"/>
    <d v="2022-03-01T00:00:00"/>
    <s v="13–24 months"/>
    <s v="2–3 tickets"/>
    <s v="46+ min"/>
    <s v="1000+"/>
    <n v="21776"/>
    <n v="-68.049999999999272"/>
  </r>
  <r>
    <n v="11130"/>
    <n v="43"/>
    <s v="Female"/>
    <s v="Mumbai"/>
    <d v="2022-10-15T00:00:00"/>
    <d v="2021-06-01T00:00:00"/>
    <x v="2"/>
    <n v="1302"/>
    <x v="15"/>
    <n v="3"/>
    <n v="29.52"/>
    <n v="15"/>
    <x v="3"/>
    <x v="1"/>
    <n v="19334.7"/>
    <b v="0"/>
    <n v="1.25"/>
    <n v="1288.98"/>
    <n v="7.38"/>
    <d v="2022-10-01T00:00:00"/>
    <s v="Middle-aged"/>
    <n v="0"/>
    <s v="Yes"/>
    <m/>
    <s v="Medium"/>
    <s v="Low"/>
    <n v="0.1875"/>
    <s v="Medium"/>
    <n v="2"/>
    <d v="2022-10-01T00:00:00"/>
    <s v="13–24 months"/>
    <s v="2–3 tickets"/>
    <s v="21–30 min"/>
    <s v="1000+"/>
    <n v="19530"/>
    <n v="-195.29999999999927"/>
  </r>
  <r>
    <n v="11131"/>
    <n v="63"/>
    <s v="Male"/>
    <s v="Pune"/>
    <d v="2022-06-19T00:00:00"/>
    <d v="2022-12-13T00:00:00"/>
    <x v="0"/>
    <n v="422"/>
    <x v="10"/>
    <n v="1"/>
    <n v="75.739999999999995"/>
    <n v="15"/>
    <x v="3"/>
    <x v="0"/>
    <n v="7532.7"/>
    <b v="1"/>
    <n v="1.5"/>
    <n v="418.48333333333335"/>
    <n v="37.869999999999997"/>
    <d v="2022-06-01T00:00:00"/>
    <s v="Older"/>
    <n v="1"/>
    <s v="No"/>
    <n v="177"/>
    <s v="High"/>
    <s v="Low"/>
    <n v="5.2631578947368418E-2"/>
    <s v="Low"/>
    <n v="1"/>
    <d v="2022-06-01T00:00:00"/>
    <s v="13–24 months"/>
    <s v="0–1 tickets"/>
    <s v="46+ min"/>
    <s v="301–500"/>
    <n v="7596"/>
    <n v="-63.300000000000182"/>
  </r>
  <r>
    <n v="11132"/>
    <n v="60"/>
    <s v="Female"/>
    <s v="Bangalore"/>
    <d v="2022-08-18T00:00:00"/>
    <d v="2021-09-04T00:00:00"/>
    <x v="1"/>
    <n v="1479"/>
    <x v="16"/>
    <n v="1"/>
    <n v="56.47"/>
    <n v="20"/>
    <x v="0"/>
    <x v="0"/>
    <n v="10057.200000000001"/>
    <b v="0"/>
    <n v="0.58333333333333337"/>
    <n v="1436.7428571428572"/>
    <n v="28.234999999999999"/>
    <d v="2022-08-01T00:00:00"/>
    <s v="Older"/>
    <n v="1"/>
    <s v="No"/>
    <m/>
    <s v="Medium"/>
    <s v="Medium"/>
    <n v="0.125"/>
    <s v="Medium"/>
    <n v="3"/>
    <d v="2022-08-01T00:00:00"/>
    <s v="7–12 months"/>
    <s v="0–1 tickets"/>
    <s v="46+ min"/>
    <s v="1000+"/>
    <n v="10353"/>
    <n v="-295.79999999999927"/>
  </r>
  <r>
    <n v="11133"/>
    <n v="29"/>
    <s v="Male"/>
    <s v="Mumbai"/>
    <d v="2021-08-17T00:00:00"/>
    <d v="2023-05-14T00:00:00"/>
    <x v="0"/>
    <n v="600"/>
    <x v="1"/>
    <n v="2"/>
    <n v="62.59"/>
    <n v="10"/>
    <x v="1"/>
    <x v="0"/>
    <n v="13140"/>
    <b v="1"/>
    <n v="1.8333333333333333"/>
    <n v="597.27272727272725"/>
    <n v="20.863333333333333"/>
    <d v="2021-08-01T00:00:00"/>
    <s v="Adult"/>
    <n v="1"/>
    <s v="No"/>
    <n v="635"/>
    <s v="High"/>
    <s v="Low"/>
    <n v="8.6956521739130432E-2"/>
    <s v="Medium"/>
    <n v="1"/>
    <d v="2021-08-01T00:00:00"/>
    <s v="13–24 months"/>
    <s v="2–3 tickets"/>
    <s v="46+ min"/>
    <s v="501–700"/>
    <n v="13200"/>
    <n v="-60"/>
  </r>
  <r>
    <n v="11134"/>
    <n v="43"/>
    <s v="Other"/>
    <s v="Bangalore"/>
    <d v="2021-12-10T00:00:00"/>
    <d v="2022-07-18T00:00:00"/>
    <x v="2"/>
    <n v="1132"/>
    <x v="23"/>
    <n v="0"/>
    <n v="66.16"/>
    <n v="10"/>
    <x v="0"/>
    <x v="1"/>
    <n v="36110.800000000003"/>
    <b v="1"/>
    <n v="2.6666666666666665"/>
    <n v="1128.4625000000001"/>
    <n v="66.16"/>
    <d v="2021-12-01T00:00:00"/>
    <s v="Middle-aged"/>
    <n v="0"/>
    <s v="Yes"/>
    <n v="220"/>
    <s v="High"/>
    <s v="Low"/>
    <n v="0"/>
    <s v="High"/>
    <n v="2"/>
    <d v="2021-12-01T00:00:00"/>
    <s v="25+ months"/>
    <s v="0–1 tickets"/>
    <s v="46+ min"/>
    <s v="1000+"/>
    <n v="36224"/>
    <n v="-113.19999999999709"/>
  </r>
  <r>
    <n v="11135"/>
    <n v="30"/>
    <s v="Female"/>
    <s v="Hyderabad"/>
    <d v="2021-03-21T00:00:00"/>
    <d v="2022-11-20T00:00:00"/>
    <x v="1"/>
    <n v="1390"/>
    <x v="17"/>
    <n v="2"/>
    <n v="37.369999999999997"/>
    <n v="15"/>
    <x v="1"/>
    <x v="0"/>
    <n v="26201.5"/>
    <b v="1"/>
    <n v="1.5833333333333333"/>
    <n v="1379.0263157894738"/>
    <n v="12.456666666666665"/>
    <d v="2021-03-01T00:00:00"/>
    <s v="Adult"/>
    <n v="1"/>
    <s v="Yes"/>
    <n v="609"/>
    <s v="Medium"/>
    <s v="Low"/>
    <n v="0.1"/>
    <s v="High"/>
    <n v="3"/>
    <d v="2021-03-01T00:00:00"/>
    <s v="13–24 months"/>
    <s v="2–3 tickets"/>
    <s v="31–45 min"/>
    <s v="1000+"/>
    <n v="26410"/>
    <n v="-208.5"/>
  </r>
  <r>
    <n v="11136"/>
    <n v="41"/>
    <s v="Female"/>
    <s v="Chennai"/>
    <d v="2021-12-19T00:00:00"/>
    <d v="2023-10-03T00:00:00"/>
    <x v="2"/>
    <n v="944"/>
    <x v="7"/>
    <n v="2"/>
    <n v="16.07"/>
    <n v="10"/>
    <x v="0"/>
    <x v="0"/>
    <n v="849.6"/>
    <b v="1"/>
    <n v="8.3333333333333329E-2"/>
    <n v="849.6"/>
    <n v="5.3566666666666665"/>
    <d v="2021-12-01T00:00:00"/>
    <s v="Middle-aged"/>
    <n v="1"/>
    <s v="No"/>
    <n v="653"/>
    <s v="Low"/>
    <s v="Low"/>
    <n v="1"/>
    <s v="Low"/>
    <n v="2"/>
    <d v="2021-12-01T00:00:00"/>
    <s v="0–6 months"/>
    <s v="2–3 tickets"/>
    <s v="11–20 min"/>
    <s v="701–1000"/>
    <n v="944"/>
    <n v="-94.399999999999977"/>
  </r>
  <r>
    <n v="11137"/>
    <n v="35"/>
    <s v="Female"/>
    <s v="Delhi"/>
    <d v="2022-01-31T00:00:00"/>
    <d v="2022-08-03T00:00:00"/>
    <x v="2"/>
    <n v="1173"/>
    <x v="12"/>
    <n v="1"/>
    <n v="58.7"/>
    <n v="10"/>
    <x v="0"/>
    <x v="1"/>
    <n v="40937.699999999997"/>
    <b v="1"/>
    <n v="2.9166666666666665"/>
    <n v="1169.6485714285714"/>
    <n v="29.35"/>
    <d v="2022-01-01T00:00:00"/>
    <s v="Adult"/>
    <n v="0"/>
    <s v="Yes"/>
    <n v="184"/>
    <s v="Medium"/>
    <s v="Low"/>
    <n v="2.7777777777777776E-2"/>
    <s v="High"/>
    <n v="2"/>
    <d v="2022-01-01T00:00:00"/>
    <s v="25+ months"/>
    <s v="0–1 tickets"/>
    <s v="46+ min"/>
    <s v="1000+"/>
    <n v="41055"/>
    <n v="-117.30000000000291"/>
  </r>
  <r>
    <n v="11138"/>
    <n v="42"/>
    <s v="Female"/>
    <s v="Chennai"/>
    <d v="2021-10-17T00:00:00"/>
    <d v="2022-01-21T00:00:00"/>
    <x v="2"/>
    <n v="693"/>
    <x v="21"/>
    <n v="0"/>
    <n v="72.86"/>
    <n v="20"/>
    <x v="2"/>
    <x v="1"/>
    <n v="3326.4"/>
    <b v="1"/>
    <n v="0.41666666666666669"/>
    <n v="665.28"/>
    <n v="72.86"/>
    <d v="2021-10-01T00:00:00"/>
    <s v="Middle-aged"/>
    <n v="0"/>
    <s v="No"/>
    <n v="96"/>
    <s v="High"/>
    <s v="Medium"/>
    <n v="0"/>
    <s v="Low"/>
    <n v="2"/>
    <d v="2021-10-01T00:00:00"/>
    <s v="0–6 months"/>
    <s v="0–1 tickets"/>
    <s v="46+ min"/>
    <s v="501–700"/>
    <n v="3465"/>
    <n v="-138.59999999999991"/>
  </r>
  <r>
    <n v="11139"/>
    <n v="50"/>
    <s v="Female"/>
    <s v="Chennai"/>
    <d v="2022-03-31T00:00:00"/>
    <d v="2022-05-15T00:00:00"/>
    <x v="0"/>
    <n v="960"/>
    <x v="34"/>
    <n v="3"/>
    <n v="10.39"/>
    <n v="5"/>
    <x v="0"/>
    <x v="1"/>
    <n v="11472"/>
    <b v="1"/>
    <n v="1"/>
    <n v="956"/>
    <n v="2.5975000000000001"/>
    <d v="2022-03-01T00:00:00"/>
    <s v="Middle-aged"/>
    <n v="0"/>
    <s v="No"/>
    <n v="45"/>
    <s v="Low"/>
    <s v="Low"/>
    <n v="0.23076923076923078"/>
    <s v="Medium"/>
    <n v="1"/>
    <d v="2022-03-01T00:00:00"/>
    <s v="7–12 months"/>
    <s v="2–3 tickets"/>
    <s v="11–20 min"/>
    <s v="701–1000"/>
    <n v="11520"/>
    <n v="-48"/>
  </r>
  <r>
    <n v="11140"/>
    <n v="64"/>
    <s v="Male"/>
    <s v="Hyderabad"/>
    <d v="2023-04-23T00:00:00"/>
    <d v="2023-06-26T00:00:00"/>
    <x v="0"/>
    <n v="1454"/>
    <x v="34"/>
    <n v="2"/>
    <n v="51.24"/>
    <n v="5"/>
    <x v="2"/>
    <x v="1"/>
    <n v="17375.3"/>
    <b v="1"/>
    <n v="1"/>
    <n v="1447.9416666666666"/>
    <n v="17.080000000000002"/>
    <d v="2023-04-01T00:00:00"/>
    <s v="Older"/>
    <n v="0"/>
    <s v="Yes"/>
    <n v="64"/>
    <s v="Medium"/>
    <s v="Low"/>
    <n v="0.15384615384615385"/>
    <s v="Medium"/>
    <n v="1"/>
    <d v="2023-04-01T00:00:00"/>
    <s v="7–12 months"/>
    <s v="2–3 tickets"/>
    <s v="46+ min"/>
    <s v="1000+"/>
    <n v="17448"/>
    <n v="-72.700000000000728"/>
  </r>
  <r>
    <n v="11141"/>
    <n v="57"/>
    <s v="Male"/>
    <s v="Mumbai"/>
    <d v="2022-11-02T00:00:00"/>
    <d v="2023-10-18T00:00:00"/>
    <x v="2"/>
    <n v="368"/>
    <x v="6"/>
    <n v="1"/>
    <n v="34.630000000000003"/>
    <n v="10"/>
    <x v="3"/>
    <x v="1"/>
    <n v="7691.2"/>
    <b v="1"/>
    <n v="1.75"/>
    <n v="366.24761904761903"/>
    <n v="17.315000000000001"/>
    <d v="2022-11-01T00:00:00"/>
    <s v="Older"/>
    <n v="0"/>
    <s v="No"/>
    <n v="350"/>
    <s v="Medium"/>
    <s v="Low"/>
    <n v="4.5454545454545456E-2"/>
    <s v="Low"/>
    <n v="2"/>
    <d v="2022-11-01T00:00:00"/>
    <s v="13–24 months"/>
    <s v="0–1 tickets"/>
    <s v="31–45 min"/>
    <s v="301–500"/>
    <n v="7728"/>
    <n v="-36.800000000000182"/>
  </r>
  <r>
    <n v="11142"/>
    <n v="60"/>
    <s v="Male"/>
    <s v="Delhi"/>
    <d v="2021-05-08T00:00:00"/>
    <d v="2022-09-24T00:00:00"/>
    <x v="2"/>
    <n v="1061"/>
    <x v="17"/>
    <n v="1"/>
    <n v="8.52"/>
    <n v="0"/>
    <x v="1"/>
    <x v="1"/>
    <n v="20159"/>
    <b v="1"/>
    <n v="1.5833333333333333"/>
    <n v="1061"/>
    <n v="4.26"/>
    <d v="2021-05-01T00:00:00"/>
    <s v="Older"/>
    <n v="0"/>
    <s v="Yes"/>
    <n v="504"/>
    <s v="Low"/>
    <s v="Low"/>
    <n v="0.05"/>
    <s v="High"/>
    <n v="2"/>
    <d v="2021-05-01T00:00:00"/>
    <s v="13–24 months"/>
    <s v="0–1 tickets"/>
    <s v="0–10 min"/>
    <s v="1000+"/>
    <n v="20159"/>
    <n v="0"/>
  </r>
  <r>
    <n v="11143"/>
    <n v="29"/>
    <s v="Male"/>
    <s v="Mumbai"/>
    <d v="2022-12-03T00:00:00"/>
    <d v="2023-09-17T00:00:00"/>
    <x v="2"/>
    <n v="619"/>
    <x v="9"/>
    <n v="1"/>
    <n v="19.45"/>
    <n v="20"/>
    <x v="1"/>
    <x v="1"/>
    <n v="5447.2"/>
    <b v="1"/>
    <n v="0.75"/>
    <n v="605.24444444444441"/>
    <n v="9.7249999999999996"/>
    <d v="2022-12-01T00:00:00"/>
    <s v="Adult"/>
    <n v="0"/>
    <s v="No"/>
    <n v="288"/>
    <s v="Low"/>
    <s v="Medium"/>
    <n v="0.1"/>
    <s v="Low"/>
    <n v="2"/>
    <d v="2022-12-01T00:00:00"/>
    <s v="7–12 months"/>
    <s v="0–1 tickets"/>
    <s v="11–20 min"/>
    <s v="501–700"/>
    <n v="5571"/>
    <n v="-123.80000000000018"/>
  </r>
  <r>
    <n v="11144"/>
    <n v="61"/>
    <s v="Male"/>
    <s v="Pune"/>
    <d v="2022-06-27T00:00:00"/>
    <d v="2022-07-01T00:00:00"/>
    <x v="0"/>
    <n v="476"/>
    <x v="23"/>
    <n v="0"/>
    <n v="20.99"/>
    <n v="10"/>
    <x v="2"/>
    <x v="1"/>
    <n v="15184.4"/>
    <b v="1"/>
    <n v="2.6666666666666665"/>
    <n v="474.51249999999999"/>
    <n v="20.99"/>
    <d v="2022-06-01T00:00:00"/>
    <s v="Older"/>
    <n v="0"/>
    <s v="Yes"/>
    <n v="4"/>
    <s v="Medium"/>
    <s v="Low"/>
    <n v="0"/>
    <s v="Medium"/>
    <n v="1"/>
    <d v="2022-06-01T00:00:00"/>
    <s v="25+ months"/>
    <s v="0–1 tickets"/>
    <s v="21–30 min"/>
    <s v="301–500"/>
    <n v="15232"/>
    <n v="-47.600000000000364"/>
  </r>
  <r>
    <n v="11145"/>
    <n v="53"/>
    <s v="Female"/>
    <s v="Chennai"/>
    <d v="2023-06-17T00:00:00"/>
    <d v="2022-05-17T00:00:00"/>
    <x v="2"/>
    <n v="883"/>
    <x v="12"/>
    <n v="3"/>
    <n v="26.03"/>
    <n v="0"/>
    <x v="1"/>
    <x v="1"/>
    <n v="30905"/>
    <b v="0"/>
    <n v="2.9166666666666665"/>
    <n v="883"/>
    <n v="6.5075000000000003"/>
    <d v="2023-06-01T00:00:00"/>
    <s v="Older"/>
    <n v="0"/>
    <s v="Yes"/>
    <m/>
    <s v="Medium"/>
    <s v="Low"/>
    <n v="8.3333333333333329E-2"/>
    <s v="High"/>
    <n v="2"/>
    <d v="2023-06-01T00:00:00"/>
    <s v="25+ months"/>
    <s v="2–3 tickets"/>
    <s v="21–30 min"/>
    <s v="701–1000"/>
    <n v="30905"/>
    <n v="0"/>
  </r>
  <r>
    <n v="11146"/>
    <n v="21"/>
    <s v="Other"/>
    <s v="Pune"/>
    <d v="2021-12-25T00:00:00"/>
    <d v="2022-07-21T00:00:00"/>
    <x v="2"/>
    <n v="1483"/>
    <x v="27"/>
    <n v="3"/>
    <n v="97.39"/>
    <n v="0"/>
    <x v="1"/>
    <x v="1"/>
    <n v="45973"/>
    <b v="1"/>
    <n v="2.5833333333333335"/>
    <n v="1483"/>
    <n v="24.3475"/>
    <d v="2021-12-01T00:00:00"/>
    <s v="Young"/>
    <n v="0"/>
    <s v="Yes"/>
    <n v="208"/>
    <s v="High"/>
    <s v="Low"/>
    <n v="9.375E-2"/>
    <s v="High"/>
    <n v="2"/>
    <d v="2021-12-01T00:00:00"/>
    <s v="25+ months"/>
    <s v="2–3 tickets"/>
    <s v="46+ min"/>
    <s v="1000+"/>
    <n v="45973"/>
    <n v="0"/>
  </r>
  <r>
    <n v="11147"/>
    <n v="22"/>
    <s v="Male"/>
    <s v="Bangalore"/>
    <d v="2022-06-11T00:00:00"/>
    <d v="2023-11-03T00:00:00"/>
    <x v="2"/>
    <n v="881"/>
    <x v="23"/>
    <n v="2"/>
    <n v="55.54"/>
    <n v="20"/>
    <x v="0"/>
    <x v="1"/>
    <n v="28015.8"/>
    <b v="1"/>
    <n v="2.6666666666666665"/>
    <n v="875.49374999999998"/>
    <n v="18.513333333333332"/>
    <d v="2022-06-01T00:00:00"/>
    <s v="Young"/>
    <n v="0"/>
    <s v="Yes"/>
    <n v="510"/>
    <s v="Medium"/>
    <s v="Medium"/>
    <n v="6.0606060606060608E-2"/>
    <s v="High"/>
    <n v="2"/>
    <d v="2022-06-01T00:00:00"/>
    <s v="25+ months"/>
    <s v="2–3 tickets"/>
    <s v="46+ min"/>
    <s v="701–1000"/>
    <n v="28192"/>
    <n v="-176.20000000000073"/>
  </r>
  <r>
    <n v="11148"/>
    <n v="41"/>
    <s v="Female"/>
    <s v="Chennai"/>
    <d v="2021-11-09T00:00:00"/>
    <d v="2023-11-04T00:00:00"/>
    <x v="2"/>
    <n v="1458"/>
    <x v="23"/>
    <n v="2"/>
    <n v="21.91"/>
    <n v="5"/>
    <x v="2"/>
    <x v="1"/>
    <n v="46583.1"/>
    <b v="1"/>
    <n v="2.6666666666666665"/>
    <n v="1455.721875"/>
    <n v="7.3033333333333337"/>
    <d v="2021-11-01T00:00:00"/>
    <s v="Middle-aged"/>
    <n v="0"/>
    <s v="Yes"/>
    <n v="725"/>
    <s v="Medium"/>
    <s v="Low"/>
    <n v="6.0606060606060608E-2"/>
    <s v="High"/>
    <n v="2"/>
    <d v="2021-11-01T00:00:00"/>
    <s v="25+ months"/>
    <s v="2–3 tickets"/>
    <s v="21–30 min"/>
    <s v="1000+"/>
    <n v="46656"/>
    <n v="-72.900000000001455"/>
  </r>
  <r>
    <n v="11149"/>
    <n v="25"/>
    <s v="Male"/>
    <s v="Mumbai"/>
    <d v="2021-03-16T00:00:00"/>
    <d v="2021-07-21T00:00:00"/>
    <x v="2"/>
    <n v="410"/>
    <x v="3"/>
    <n v="1"/>
    <n v="16.53"/>
    <n v="15"/>
    <x v="1"/>
    <x v="1"/>
    <n v="12238.5"/>
    <b v="1"/>
    <n v="2.5"/>
    <n v="407.95"/>
    <n v="8.2650000000000006"/>
    <d v="2021-03-01T00:00:00"/>
    <s v="Young"/>
    <n v="0"/>
    <s v="No"/>
    <n v="127"/>
    <s v="Low"/>
    <s v="Low"/>
    <n v="3.2258064516129031E-2"/>
    <s v="Medium"/>
    <n v="2"/>
    <d v="2021-03-01T00:00:00"/>
    <s v="25+ months"/>
    <s v="0–1 tickets"/>
    <s v="11–20 min"/>
    <s v="301–500"/>
    <n v="12300"/>
    <n v="-61.5"/>
  </r>
  <r>
    <n v="11150"/>
    <n v="59"/>
    <s v="Female"/>
    <s v="Chennai"/>
    <d v="2022-06-30T00:00:00"/>
    <d v="2021-08-20T00:00:00"/>
    <x v="2"/>
    <n v="1298"/>
    <x v="23"/>
    <n v="6"/>
    <n v="39.26"/>
    <n v="0"/>
    <x v="3"/>
    <x v="1"/>
    <n v="41536"/>
    <b v="0"/>
    <n v="2.6666666666666665"/>
    <n v="1298"/>
    <n v="5.6085714285714285"/>
    <d v="2022-06-01T00:00:00"/>
    <s v="Older"/>
    <n v="0"/>
    <s v="Yes"/>
    <m/>
    <s v="Medium"/>
    <s v="Low"/>
    <n v="0.18181818181818182"/>
    <s v="High"/>
    <n v="2"/>
    <d v="2022-06-01T00:00:00"/>
    <s v="25+ months"/>
    <s v="6+ tickets"/>
    <s v="31–45 min"/>
    <s v="1000+"/>
    <n v="41536"/>
    <n v="0"/>
  </r>
  <r>
    <n v="11151"/>
    <n v="45"/>
    <s v="Female"/>
    <s v="Bangalore"/>
    <d v="2023-05-21T00:00:00"/>
    <d v="2021-07-06T00:00:00"/>
    <x v="0"/>
    <n v="1057"/>
    <x v="4"/>
    <n v="1"/>
    <n v="96.77"/>
    <n v="15"/>
    <x v="2"/>
    <x v="1"/>
    <n v="1955.45"/>
    <b v="0"/>
    <n v="0.16666666666666666"/>
    <n v="977.72500000000002"/>
    <n v="48.384999999999998"/>
    <d v="2023-05-01T00:00:00"/>
    <s v="Middle-aged"/>
    <n v="0"/>
    <s v="No"/>
    <m/>
    <s v="High"/>
    <s v="Low"/>
    <n v="0.33333333333333331"/>
    <s v="Low"/>
    <n v="1"/>
    <d v="2023-05-01T00:00:00"/>
    <s v="0–6 months"/>
    <s v="0–1 tickets"/>
    <s v="46+ min"/>
    <s v="1000+"/>
    <n v="2114"/>
    <n v="-158.54999999999995"/>
  </r>
  <r>
    <n v="11152"/>
    <n v="48"/>
    <s v="Female"/>
    <s v="Hyderabad"/>
    <d v="2021-07-15T00:00:00"/>
    <d v="2021-08-06T00:00:00"/>
    <x v="1"/>
    <n v="582"/>
    <x v="11"/>
    <n v="3"/>
    <n v="46.91"/>
    <n v="15"/>
    <x v="0"/>
    <x v="1"/>
    <n v="6314.7"/>
    <b v="1"/>
    <n v="0.91666666666666663"/>
    <n v="574.06363636363631"/>
    <n v="11.727499999999999"/>
    <d v="2021-07-01T00:00:00"/>
    <s v="Middle-aged"/>
    <n v="0"/>
    <s v="No"/>
    <n v="22"/>
    <s v="Medium"/>
    <s v="Low"/>
    <n v="0.25"/>
    <s v="Low"/>
    <n v="3"/>
    <d v="2021-07-01T00:00:00"/>
    <s v="7–12 months"/>
    <s v="2–3 tickets"/>
    <s v="46+ min"/>
    <s v="501–700"/>
    <n v="6402"/>
    <n v="-87.300000000000182"/>
  </r>
  <r>
    <n v="11153"/>
    <n v="26"/>
    <s v="Other"/>
    <s v="Pune"/>
    <d v="2023-04-23T00:00:00"/>
    <d v="2023-03-03T00:00:00"/>
    <x v="0"/>
    <n v="493"/>
    <x v="28"/>
    <n v="1"/>
    <n v="23.39"/>
    <n v="20"/>
    <x v="3"/>
    <x v="1"/>
    <n v="9761.4"/>
    <b v="0"/>
    <n v="1.6666666666666667"/>
    <n v="488.07"/>
    <n v="11.695"/>
    <d v="2023-04-01T00:00:00"/>
    <s v="Adult"/>
    <n v="0"/>
    <s v="No"/>
    <m/>
    <s v="Medium"/>
    <s v="Medium"/>
    <n v="4.7619047619047616E-2"/>
    <s v="Medium"/>
    <n v="1"/>
    <d v="2023-04-01T00:00:00"/>
    <s v="13–24 months"/>
    <s v="0–1 tickets"/>
    <s v="21–30 min"/>
    <s v="301–500"/>
    <n v="9860"/>
    <n v="-98.600000000000364"/>
  </r>
  <r>
    <n v="11154"/>
    <n v="46"/>
    <s v="Male"/>
    <s v="Pune"/>
    <d v="2021-01-29T00:00:00"/>
    <d v="2023-10-30T00:00:00"/>
    <x v="1"/>
    <n v="1266"/>
    <x v="9"/>
    <n v="2"/>
    <n v="51.47"/>
    <n v="5"/>
    <x v="1"/>
    <x v="1"/>
    <n v="11330.7"/>
    <b v="1"/>
    <n v="0.75"/>
    <n v="1258.9666666666667"/>
    <n v="17.156666666666666"/>
    <d v="2021-01-01T00:00:00"/>
    <s v="Middle-aged"/>
    <n v="0"/>
    <s v="No"/>
    <n v="1004"/>
    <s v="Medium"/>
    <s v="Low"/>
    <n v="0.2"/>
    <s v="Medium"/>
    <n v="3"/>
    <d v="2021-01-01T00:00:00"/>
    <s v="7–12 months"/>
    <s v="2–3 tickets"/>
    <s v="46+ min"/>
    <s v="1000+"/>
    <n v="11394"/>
    <n v="-63.299999999999272"/>
  </r>
  <r>
    <n v="11155"/>
    <n v="31"/>
    <s v="Female"/>
    <s v="Mumbai"/>
    <d v="2022-12-07T00:00:00"/>
    <d v="2023-03-29T00:00:00"/>
    <x v="0"/>
    <n v="1370"/>
    <x v="17"/>
    <n v="1"/>
    <n v="68.86"/>
    <n v="20"/>
    <x v="1"/>
    <x v="0"/>
    <n v="25756"/>
    <b v="1"/>
    <n v="1.5833333333333333"/>
    <n v="1355.578947368421"/>
    <n v="34.43"/>
    <d v="2022-12-01T00:00:00"/>
    <s v="Adult"/>
    <n v="1"/>
    <s v="Yes"/>
    <n v="112"/>
    <s v="High"/>
    <s v="Medium"/>
    <n v="0.05"/>
    <s v="High"/>
    <n v="1"/>
    <d v="2022-12-01T00:00:00"/>
    <s v="13–24 months"/>
    <s v="0–1 tickets"/>
    <s v="46+ min"/>
    <s v="1000+"/>
    <n v="26030"/>
    <n v="-274"/>
  </r>
  <r>
    <n v="11156"/>
    <n v="57"/>
    <s v="Female"/>
    <s v="Chennai"/>
    <d v="2021-01-16T00:00:00"/>
    <d v="2023-06-27T00:00:00"/>
    <x v="0"/>
    <n v="1277"/>
    <x v="16"/>
    <n v="0"/>
    <n v="8.4"/>
    <n v="0"/>
    <x v="2"/>
    <x v="1"/>
    <n v="8939"/>
    <b v="1"/>
    <n v="0.58333333333333337"/>
    <n v="1277"/>
    <n v="8.4"/>
    <d v="2021-01-01T00:00:00"/>
    <s v="Older"/>
    <n v="0"/>
    <s v="No"/>
    <n v="892"/>
    <s v="Low"/>
    <s v="Low"/>
    <n v="0"/>
    <s v="Medium"/>
    <n v="1"/>
    <d v="2021-01-01T00:00:00"/>
    <s v="7–12 months"/>
    <s v="0–1 tickets"/>
    <s v="0–10 min"/>
    <s v="1000+"/>
    <n v="8939"/>
    <n v="0"/>
  </r>
  <r>
    <n v="11157"/>
    <n v="58"/>
    <s v="Male"/>
    <s v="Mumbai"/>
    <d v="2022-02-27T00:00:00"/>
    <d v="2023-02-13T00:00:00"/>
    <x v="1"/>
    <n v="641"/>
    <x v="21"/>
    <n v="2"/>
    <n v="77.180000000000007"/>
    <n v="5"/>
    <x v="1"/>
    <x v="1"/>
    <n v="3172.95"/>
    <b v="1"/>
    <n v="0.41666666666666669"/>
    <n v="634.58999999999992"/>
    <n v="25.72666666666667"/>
    <d v="2022-02-01T00:00:00"/>
    <s v="Older"/>
    <n v="0"/>
    <s v="No"/>
    <n v="351"/>
    <s v="High"/>
    <s v="Low"/>
    <n v="0.33333333333333331"/>
    <s v="Low"/>
    <n v="3"/>
    <d v="2022-02-01T00:00:00"/>
    <s v="0–6 months"/>
    <s v="2–3 tickets"/>
    <s v="46+ min"/>
    <s v="501–700"/>
    <n v="3205"/>
    <n v="-32.050000000000182"/>
  </r>
  <r>
    <n v="11158"/>
    <n v="39"/>
    <s v="Female"/>
    <s v="Hyderabad"/>
    <d v="2022-08-12T00:00:00"/>
    <d v="2023-04-11T00:00:00"/>
    <x v="0"/>
    <n v="821"/>
    <x v="30"/>
    <n v="1"/>
    <n v="50.44"/>
    <n v="10"/>
    <x v="2"/>
    <x v="0"/>
    <n v="19621.900000000001"/>
    <b v="1"/>
    <n v="2"/>
    <n v="817.57916666666677"/>
    <n v="25.22"/>
    <d v="2022-08-01T00:00:00"/>
    <s v="Middle-aged"/>
    <n v="1"/>
    <s v="Yes"/>
    <n v="242"/>
    <s v="Medium"/>
    <s v="Low"/>
    <n v="0.04"/>
    <s v="High"/>
    <n v="1"/>
    <d v="2022-08-01T00:00:00"/>
    <s v="13–24 months"/>
    <s v="0–1 tickets"/>
    <s v="46+ min"/>
    <s v="701–1000"/>
    <n v="19704"/>
    <n v="-82.099999999998545"/>
  </r>
  <r>
    <n v="11159"/>
    <n v="28"/>
    <s v="Male"/>
    <s v="Chennai"/>
    <d v="2023-03-16T00:00:00"/>
    <d v="2022-09-24T00:00:00"/>
    <x v="2"/>
    <n v="1100"/>
    <x v="16"/>
    <n v="2"/>
    <n v="62.59"/>
    <n v="5"/>
    <x v="1"/>
    <x v="1"/>
    <n v="7645"/>
    <b v="0"/>
    <n v="0.58333333333333337"/>
    <n v="1092.1428571428571"/>
    <n v="20.863333333333333"/>
    <d v="2023-03-01T00:00:00"/>
    <s v="Adult"/>
    <n v="0"/>
    <s v="No"/>
    <m/>
    <s v="High"/>
    <s v="Low"/>
    <n v="0.25"/>
    <s v="Low"/>
    <n v="2"/>
    <d v="2023-03-01T00:00:00"/>
    <s v="7–12 months"/>
    <s v="2–3 tickets"/>
    <s v="46+ min"/>
    <s v="1000+"/>
    <n v="7700"/>
    <n v="-55"/>
  </r>
  <r>
    <n v="11160"/>
    <n v="40"/>
    <s v="Female"/>
    <s v="Chennai"/>
    <d v="2022-08-16T00:00:00"/>
    <d v="2022-09-11T00:00:00"/>
    <x v="1"/>
    <n v="1202"/>
    <x v="11"/>
    <n v="1"/>
    <n v="82.5"/>
    <n v="20"/>
    <x v="3"/>
    <x v="0"/>
    <n v="12981.6"/>
    <b v="1"/>
    <n v="0.91666666666666663"/>
    <n v="1180.1454545454546"/>
    <n v="41.25"/>
    <d v="2022-08-01T00:00:00"/>
    <s v="Middle-aged"/>
    <n v="1"/>
    <s v="No"/>
    <n v="26"/>
    <s v="High"/>
    <s v="Medium"/>
    <n v="8.3333333333333329E-2"/>
    <s v="Medium"/>
    <n v="3"/>
    <d v="2022-08-01T00:00:00"/>
    <s v="7–12 months"/>
    <s v="0–1 tickets"/>
    <s v="46+ min"/>
    <s v="1000+"/>
    <n v="13222"/>
    <n v="-240.39999999999964"/>
  </r>
  <r>
    <n v="11161"/>
    <n v="18"/>
    <s v="Male"/>
    <s v="Mumbai"/>
    <d v="2022-02-09T00:00:00"/>
    <d v="2021-10-20T00:00:00"/>
    <x v="1"/>
    <n v="430"/>
    <x v="9"/>
    <n v="3"/>
    <n v="86.92"/>
    <n v="10"/>
    <x v="0"/>
    <x v="1"/>
    <n v="3784"/>
    <b v="0"/>
    <n v="0.75"/>
    <n v="420.44444444444446"/>
    <n v="21.73"/>
    <d v="2022-02-01T00:00:00"/>
    <s v="Young"/>
    <n v="0"/>
    <s v="No"/>
    <m/>
    <s v="High"/>
    <s v="Low"/>
    <n v="0.3"/>
    <s v="Low"/>
    <n v="3"/>
    <d v="2022-02-01T00:00:00"/>
    <s v="7–12 months"/>
    <s v="2–3 tickets"/>
    <s v="46+ min"/>
    <s v="301–500"/>
    <n v="3870"/>
    <n v="-86"/>
  </r>
  <r>
    <n v="11162"/>
    <n v="63"/>
    <s v="Male"/>
    <s v="Mumbai"/>
    <d v="2022-09-28T00:00:00"/>
    <d v="2022-05-22T00:00:00"/>
    <x v="1"/>
    <n v="1113"/>
    <x v="3"/>
    <n v="1"/>
    <n v="77.319999999999993"/>
    <n v="15"/>
    <x v="3"/>
    <x v="1"/>
    <n v="33223.050000000003"/>
    <b v="0"/>
    <n v="2.5"/>
    <n v="1107.4350000000002"/>
    <n v="38.659999999999997"/>
    <d v="2022-09-01T00:00:00"/>
    <s v="Older"/>
    <n v="0"/>
    <s v="Yes"/>
    <m/>
    <s v="High"/>
    <s v="Low"/>
    <n v="3.2258064516129031E-2"/>
    <s v="High"/>
    <n v="3"/>
    <d v="2022-09-01T00:00:00"/>
    <s v="25+ months"/>
    <s v="0–1 tickets"/>
    <s v="46+ min"/>
    <s v="1000+"/>
    <n v="33390"/>
    <n v="-166.94999999999709"/>
  </r>
  <r>
    <n v="11163"/>
    <n v="54"/>
    <s v="Female"/>
    <s v="Bangalore"/>
    <d v="2022-06-15T00:00:00"/>
    <d v="2023-05-10T00:00:00"/>
    <x v="0"/>
    <n v="360"/>
    <x v="13"/>
    <n v="2"/>
    <n v="44.32"/>
    <n v="10"/>
    <x v="0"/>
    <x v="0"/>
    <n v="1044"/>
    <b v="1"/>
    <n v="0.25"/>
    <n v="348"/>
    <n v="14.773333333333333"/>
    <d v="2022-06-01T00:00:00"/>
    <s v="Older"/>
    <n v="1"/>
    <s v="No"/>
    <n v="329"/>
    <s v="Medium"/>
    <s v="Low"/>
    <n v="0.5"/>
    <s v="Low"/>
    <n v="1"/>
    <d v="2022-06-01T00:00:00"/>
    <s v="0–6 months"/>
    <s v="2–3 tickets"/>
    <s v="31–45 min"/>
    <s v="301–500"/>
    <n v="1080"/>
    <n v="-36"/>
  </r>
  <r>
    <n v="11164"/>
    <n v="41"/>
    <s v="Female"/>
    <s v="Hyderabad"/>
    <d v="2022-09-06T00:00:00"/>
    <d v="2022-09-14T00:00:00"/>
    <x v="2"/>
    <n v="463"/>
    <x v="1"/>
    <n v="3"/>
    <n v="65.900000000000006"/>
    <n v="5"/>
    <x v="2"/>
    <x v="1"/>
    <n v="10162.85"/>
    <b v="1"/>
    <n v="1.8333333333333333"/>
    <n v="461.94772727272726"/>
    <n v="16.475000000000001"/>
    <d v="2022-09-01T00:00:00"/>
    <s v="Middle-aged"/>
    <n v="0"/>
    <s v="No"/>
    <n v="8"/>
    <s v="High"/>
    <s v="Low"/>
    <n v="0.13043478260869565"/>
    <s v="Medium"/>
    <n v="2"/>
    <d v="2022-09-01T00:00:00"/>
    <s v="13–24 months"/>
    <s v="2–3 tickets"/>
    <s v="46+ min"/>
    <s v="301–500"/>
    <n v="10186"/>
    <n v="-23.149999999999636"/>
  </r>
  <r>
    <n v="11165"/>
    <n v="43"/>
    <s v="Male"/>
    <s v="Bangalore"/>
    <d v="2021-03-18T00:00:00"/>
    <d v="2023-02-11T00:00:00"/>
    <x v="0"/>
    <n v="571"/>
    <x v="28"/>
    <n v="6"/>
    <n v="49.52"/>
    <n v="10"/>
    <x v="1"/>
    <x v="0"/>
    <n v="11362.9"/>
    <b v="1"/>
    <n v="1.6666666666666667"/>
    <n v="568.14499999999998"/>
    <n v="7.0742857142857147"/>
    <d v="2021-03-01T00:00:00"/>
    <s v="Middle-aged"/>
    <n v="1"/>
    <s v="No"/>
    <n v="695"/>
    <s v="Medium"/>
    <s v="Low"/>
    <n v="0.2857142857142857"/>
    <s v="Medium"/>
    <n v="1"/>
    <d v="2021-03-01T00:00:00"/>
    <s v="13–24 months"/>
    <s v="6+ tickets"/>
    <s v="46+ min"/>
    <s v="501–700"/>
    <n v="11420"/>
    <n v="-57.100000000000364"/>
  </r>
  <r>
    <n v="11166"/>
    <n v="63"/>
    <s v="Male"/>
    <s v="Pune"/>
    <d v="2021-08-17T00:00:00"/>
    <d v="2023-11-05T00:00:00"/>
    <x v="0"/>
    <n v="432"/>
    <x v="23"/>
    <n v="4"/>
    <n v="85.57"/>
    <n v="15"/>
    <x v="3"/>
    <x v="1"/>
    <n v="13759.2"/>
    <b v="1"/>
    <n v="2.6666666666666665"/>
    <n v="429.97500000000002"/>
    <n v="17.113999999999997"/>
    <d v="2021-08-01T00:00:00"/>
    <s v="Older"/>
    <n v="0"/>
    <s v="Yes"/>
    <n v="810"/>
    <s v="High"/>
    <s v="Low"/>
    <n v="0.12121212121212122"/>
    <s v="Medium"/>
    <n v="1"/>
    <d v="2021-08-01T00:00:00"/>
    <s v="25+ months"/>
    <s v="4–5 tickets"/>
    <s v="46+ min"/>
    <s v="301–500"/>
    <n v="13824"/>
    <n v="-64.799999999999272"/>
  </r>
  <r>
    <n v="11167"/>
    <n v="53"/>
    <s v="Female"/>
    <s v="Chennai"/>
    <d v="2021-10-24T00:00:00"/>
    <d v="2023-01-12T00:00:00"/>
    <x v="1"/>
    <n v="1297"/>
    <x v="16"/>
    <n v="2"/>
    <n v="72.11"/>
    <n v="10"/>
    <x v="1"/>
    <x v="1"/>
    <n v="8949.2999999999993"/>
    <b v="1"/>
    <n v="0.58333333333333337"/>
    <n v="1278.4714285714285"/>
    <n v="24.036666666666665"/>
    <d v="2021-10-01T00:00:00"/>
    <s v="Older"/>
    <n v="0"/>
    <s v="No"/>
    <n v="445"/>
    <s v="High"/>
    <s v="Low"/>
    <n v="0.25"/>
    <s v="Medium"/>
    <n v="3"/>
    <d v="2021-10-01T00:00:00"/>
    <s v="7–12 months"/>
    <s v="2–3 tickets"/>
    <s v="46+ min"/>
    <s v="1000+"/>
    <n v="9079"/>
    <n v="-129.70000000000073"/>
  </r>
  <r>
    <n v="11168"/>
    <n v="40"/>
    <s v="Male"/>
    <s v="Mumbai"/>
    <d v="2022-05-25T00:00:00"/>
    <d v="2023-04-04T00:00:00"/>
    <x v="0"/>
    <n v="337"/>
    <x v="16"/>
    <n v="2"/>
    <n v="14.41"/>
    <n v="10"/>
    <x v="2"/>
    <x v="1"/>
    <n v="2325.3000000000002"/>
    <b v="1"/>
    <n v="0.58333333333333337"/>
    <n v="332.18571428571431"/>
    <n v="4.8033333333333337"/>
    <d v="2022-05-01T00:00:00"/>
    <s v="Middle-aged"/>
    <n v="0"/>
    <s v="No"/>
    <n v="314"/>
    <s v="Low"/>
    <s v="Low"/>
    <n v="0.25"/>
    <s v="Low"/>
    <n v="1"/>
    <d v="2022-05-01T00:00:00"/>
    <s v="7–12 months"/>
    <s v="2–3 tickets"/>
    <s v="11–20 min"/>
    <s v="301–500"/>
    <n v="2359"/>
    <n v="-33.699999999999818"/>
  </r>
  <r>
    <n v="11169"/>
    <n v="18"/>
    <s v="Male"/>
    <s v="Chennai"/>
    <d v="2022-12-16T00:00:00"/>
    <d v="2022-08-13T00:00:00"/>
    <x v="2"/>
    <n v="916"/>
    <x v="28"/>
    <n v="0"/>
    <n v="78.959999999999994"/>
    <n v="5"/>
    <x v="0"/>
    <x v="0"/>
    <n v="18274.2"/>
    <b v="0"/>
    <n v="1.6666666666666667"/>
    <n v="913.71"/>
    <n v="78.959999999999994"/>
    <d v="2022-12-01T00:00:00"/>
    <s v="Young"/>
    <n v="1"/>
    <s v="Yes"/>
    <m/>
    <s v="High"/>
    <s v="Low"/>
    <n v="0"/>
    <s v="Medium"/>
    <n v="2"/>
    <d v="2022-12-01T00:00:00"/>
    <s v="13–24 months"/>
    <s v="0–1 tickets"/>
    <s v="46+ min"/>
    <s v="701–1000"/>
    <n v="18320"/>
    <n v="-45.799999999999272"/>
  </r>
  <r>
    <n v="11170"/>
    <n v="57"/>
    <s v="Female"/>
    <s v="Chennai"/>
    <d v="2022-07-27T00:00:00"/>
    <d v="2022-11-13T00:00:00"/>
    <x v="2"/>
    <n v="773"/>
    <x v="0"/>
    <n v="2"/>
    <n v="84.03"/>
    <n v="10"/>
    <x v="3"/>
    <x v="1"/>
    <n v="19247.7"/>
    <b v="1"/>
    <n v="2.0833333333333335"/>
    <n v="769.90800000000002"/>
    <n v="28.01"/>
    <d v="2022-07-01T00:00:00"/>
    <s v="Older"/>
    <n v="0"/>
    <s v="Yes"/>
    <n v="109"/>
    <s v="High"/>
    <s v="Low"/>
    <n v="7.6923076923076927E-2"/>
    <s v="Medium"/>
    <n v="2"/>
    <d v="2022-07-01T00:00:00"/>
    <s v="25+ months"/>
    <s v="2–3 tickets"/>
    <s v="46+ min"/>
    <s v="701–1000"/>
    <n v="19325"/>
    <n v="-77.299999999999272"/>
  </r>
  <r>
    <n v="11171"/>
    <n v="32"/>
    <s v="Female"/>
    <s v="Delhi"/>
    <d v="2022-06-22T00:00:00"/>
    <d v="2021-10-05T00:00:00"/>
    <x v="2"/>
    <n v="358"/>
    <x v="12"/>
    <n v="4"/>
    <n v="47.63"/>
    <n v="15"/>
    <x v="0"/>
    <x v="1"/>
    <n v="12476.3"/>
    <b v="0"/>
    <n v="2.9166666666666665"/>
    <n v="356.46571428571428"/>
    <n v="9.5259999999999998"/>
    <d v="2022-06-01T00:00:00"/>
    <s v="Adult"/>
    <n v="0"/>
    <s v="No"/>
    <m/>
    <s v="Medium"/>
    <s v="Low"/>
    <n v="0.1111111111111111"/>
    <s v="Medium"/>
    <n v="2"/>
    <d v="2022-06-01T00:00:00"/>
    <s v="25+ months"/>
    <s v="4–5 tickets"/>
    <s v="46+ min"/>
    <s v="301–500"/>
    <n v="12530"/>
    <n v="-53.700000000000728"/>
  </r>
  <r>
    <n v="11172"/>
    <n v="38"/>
    <s v="Male"/>
    <s v="Pune"/>
    <d v="2022-08-06T00:00:00"/>
    <d v="2021-12-22T00:00:00"/>
    <x v="1"/>
    <n v="888"/>
    <x v="30"/>
    <n v="1"/>
    <n v="105.72"/>
    <n v="0"/>
    <x v="0"/>
    <x v="0"/>
    <n v="21312"/>
    <b v="0"/>
    <n v="2"/>
    <n v="888"/>
    <n v="52.86"/>
    <d v="2022-08-01T00:00:00"/>
    <s v="Middle-aged"/>
    <n v="1"/>
    <s v="Yes"/>
    <m/>
    <s v="High"/>
    <s v="Low"/>
    <n v="0.04"/>
    <s v="High"/>
    <n v="3"/>
    <d v="2022-08-01T00:00:00"/>
    <s v="13–24 months"/>
    <s v="0–1 tickets"/>
    <s v="46+ min"/>
    <s v="701–1000"/>
    <n v="21312"/>
    <n v="0"/>
  </r>
  <r>
    <n v="11173"/>
    <n v="64"/>
    <s v="Female"/>
    <s v="Delhi"/>
    <d v="2022-09-07T00:00:00"/>
    <d v="2021-06-29T00:00:00"/>
    <x v="0"/>
    <n v="798"/>
    <x v="19"/>
    <n v="2"/>
    <n v="101.95"/>
    <n v="0"/>
    <x v="2"/>
    <x v="0"/>
    <n v="10374"/>
    <b v="0"/>
    <n v="1.0833333333333333"/>
    <n v="798"/>
    <n v="33.983333333333334"/>
    <d v="2022-09-01T00:00:00"/>
    <s v="Older"/>
    <n v="1"/>
    <s v="No"/>
    <m/>
    <s v="High"/>
    <s v="Low"/>
    <n v="0.14285714285714285"/>
    <s v="Medium"/>
    <n v="1"/>
    <d v="2022-09-01T00:00:00"/>
    <s v="13–24 months"/>
    <s v="2–3 tickets"/>
    <s v="46+ min"/>
    <s v="701–1000"/>
    <n v="10374"/>
    <n v="0"/>
  </r>
  <r>
    <n v="11174"/>
    <n v="26"/>
    <s v="Female"/>
    <s v="Chennai"/>
    <d v="2021-11-22T00:00:00"/>
    <d v="2022-08-19T00:00:00"/>
    <x v="2"/>
    <n v="866"/>
    <x v="2"/>
    <n v="1"/>
    <n v="25.14"/>
    <n v="20"/>
    <x v="0"/>
    <x v="1"/>
    <n v="3290.8"/>
    <b v="1"/>
    <n v="0.33333333333333331"/>
    <n v="822.7"/>
    <n v="12.57"/>
    <d v="2021-11-01T00:00:00"/>
    <s v="Adult"/>
    <n v="0"/>
    <s v="No"/>
    <n v="270"/>
    <s v="Medium"/>
    <s v="Medium"/>
    <n v="0.2"/>
    <s v="Low"/>
    <n v="2"/>
    <d v="2021-11-01T00:00:00"/>
    <s v="0–6 months"/>
    <s v="0–1 tickets"/>
    <s v="21–30 min"/>
    <s v="701–1000"/>
    <n v="3464"/>
    <n v="-173.19999999999982"/>
  </r>
  <r>
    <n v="11175"/>
    <n v="26"/>
    <s v="Female"/>
    <s v="Mumbai"/>
    <d v="2021-12-29T00:00:00"/>
    <d v="2023-05-20T00:00:00"/>
    <x v="1"/>
    <n v="866"/>
    <x v="34"/>
    <n v="3"/>
    <n v="108.99"/>
    <n v="0"/>
    <x v="2"/>
    <x v="0"/>
    <n v="10392"/>
    <b v="1"/>
    <n v="1"/>
    <n v="866"/>
    <n v="27.247499999999999"/>
    <d v="2021-12-01T00:00:00"/>
    <s v="Adult"/>
    <n v="1"/>
    <s v="No"/>
    <n v="507"/>
    <s v="High"/>
    <s v="Low"/>
    <n v="0.23076923076923078"/>
    <s v="Medium"/>
    <n v="3"/>
    <d v="2021-12-01T00:00:00"/>
    <s v="7–12 months"/>
    <s v="2–3 tickets"/>
    <s v="46+ min"/>
    <s v="701–1000"/>
    <n v="10392"/>
    <n v="0"/>
  </r>
  <r>
    <n v="11176"/>
    <n v="27"/>
    <s v="Female"/>
    <s v="Chennai"/>
    <d v="2022-10-31T00:00:00"/>
    <d v="2022-09-07T00:00:00"/>
    <x v="2"/>
    <n v="1452"/>
    <x v="18"/>
    <n v="4"/>
    <n v="55.7"/>
    <n v="5"/>
    <x v="0"/>
    <x v="1"/>
    <n v="24611.4"/>
    <b v="0"/>
    <n v="1.4166666666666667"/>
    <n v="1447.7294117647059"/>
    <n v="11.14"/>
    <d v="2022-10-01T00:00:00"/>
    <s v="Adult"/>
    <n v="0"/>
    <s v="Yes"/>
    <m/>
    <s v="Medium"/>
    <s v="Low"/>
    <n v="0.22222222222222221"/>
    <s v="High"/>
    <n v="2"/>
    <d v="2022-10-01T00:00:00"/>
    <s v="13–24 months"/>
    <s v="4–5 tickets"/>
    <s v="46+ min"/>
    <s v="1000+"/>
    <n v="24684"/>
    <n v="-72.599999999998545"/>
  </r>
  <r>
    <n v="11177"/>
    <n v="43"/>
    <s v="Male"/>
    <s v="Pune"/>
    <d v="2023-05-25T00:00:00"/>
    <d v="2022-03-07T00:00:00"/>
    <x v="0"/>
    <n v="1203"/>
    <x v="7"/>
    <n v="1"/>
    <n v="88.23"/>
    <n v="20"/>
    <x v="0"/>
    <x v="1"/>
    <n v="962.4"/>
    <b v="0"/>
    <n v="8.3333333333333329E-2"/>
    <n v="962.4"/>
    <n v="44.115000000000002"/>
    <d v="2023-05-01T00:00:00"/>
    <s v="Middle-aged"/>
    <n v="0"/>
    <s v="No"/>
    <m/>
    <s v="High"/>
    <s v="Medium"/>
    <n v="0.5"/>
    <s v="Low"/>
    <n v="1"/>
    <d v="2023-05-01T00:00:00"/>
    <s v="0–6 months"/>
    <s v="0–1 tickets"/>
    <s v="46+ min"/>
    <s v="1000+"/>
    <n v="1203"/>
    <n v="-240.60000000000002"/>
  </r>
  <r>
    <n v="11178"/>
    <n v="41"/>
    <s v="Male"/>
    <s v="Delhi"/>
    <d v="2021-12-25T00:00:00"/>
    <d v="2021-10-29T00:00:00"/>
    <x v="2"/>
    <n v="682"/>
    <x v="18"/>
    <n v="1"/>
    <n v="98.62"/>
    <n v="0"/>
    <x v="3"/>
    <x v="0"/>
    <n v="11594"/>
    <b v="0"/>
    <n v="1.4166666666666667"/>
    <n v="682"/>
    <n v="49.31"/>
    <d v="2021-12-01T00:00:00"/>
    <s v="Middle-aged"/>
    <n v="1"/>
    <s v="No"/>
    <m/>
    <s v="High"/>
    <s v="Low"/>
    <n v="5.5555555555555552E-2"/>
    <s v="Medium"/>
    <n v="2"/>
    <d v="2021-12-01T00:00:00"/>
    <s v="13–24 months"/>
    <s v="0–1 tickets"/>
    <s v="46+ min"/>
    <s v="501–700"/>
    <n v="11594"/>
    <n v="0"/>
  </r>
  <r>
    <n v="11179"/>
    <n v="52"/>
    <s v="Male"/>
    <s v="Mumbai"/>
    <d v="2022-12-07T00:00:00"/>
    <d v="2022-01-26T00:00:00"/>
    <x v="0"/>
    <n v="384"/>
    <x v="4"/>
    <n v="2"/>
    <n v="63.09"/>
    <n v="0"/>
    <x v="2"/>
    <x v="1"/>
    <n v="768"/>
    <b v="0"/>
    <n v="0.16666666666666666"/>
    <n v="384"/>
    <n v="21.03"/>
    <d v="2022-12-01T00:00:00"/>
    <s v="Older"/>
    <n v="0"/>
    <s v="No"/>
    <m/>
    <s v="High"/>
    <s v="Low"/>
    <n v="0.66666666666666663"/>
    <s v="Low"/>
    <n v="1"/>
    <d v="2022-12-01T00:00:00"/>
    <s v="0–6 months"/>
    <s v="2–3 tickets"/>
    <s v="46+ min"/>
    <s v="301–500"/>
    <n v="768"/>
    <n v="0"/>
  </r>
  <r>
    <n v="11180"/>
    <n v="42"/>
    <s v="Female"/>
    <s v="Chennai"/>
    <d v="2023-02-26T00:00:00"/>
    <d v="2022-02-21T00:00:00"/>
    <x v="0"/>
    <n v="926"/>
    <x v="20"/>
    <n v="3"/>
    <n v="50.9"/>
    <n v="20"/>
    <x v="1"/>
    <x v="1"/>
    <n v="5370.8"/>
    <b v="0"/>
    <n v="0.5"/>
    <n v="895.13333333333333"/>
    <n v="12.725"/>
    <d v="2023-02-01T00:00:00"/>
    <s v="Middle-aged"/>
    <n v="0"/>
    <s v="No"/>
    <m/>
    <s v="Medium"/>
    <s v="Medium"/>
    <n v="0.42857142857142855"/>
    <s v="Low"/>
    <n v="1"/>
    <d v="2023-02-01T00:00:00"/>
    <s v="0–6 months"/>
    <s v="2–3 tickets"/>
    <s v="46+ min"/>
    <s v="701–1000"/>
    <n v="5556"/>
    <n v="-185.19999999999982"/>
  </r>
  <r>
    <n v="11181"/>
    <n v="43"/>
    <s v="Male"/>
    <s v="Hyderabad"/>
    <d v="2021-11-20T00:00:00"/>
    <d v="2023-04-25T00:00:00"/>
    <x v="1"/>
    <n v="1125"/>
    <x v="11"/>
    <n v="1"/>
    <n v="110.28"/>
    <n v="5"/>
    <x v="1"/>
    <x v="1"/>
    <n v="12318.75"/>
    <b v="1"/>
    <n v="0.91666666666666663"/>
    <n v="1119.8863636363637"/>
    <n v="55.14"/>
    <d v="2021-11-01T00:00:00"/>
    <s v="Middle-aged"/>
    <n v="0"/>
    <s v="No"/>
    <n v="521"/>
    <s v="High"/>
    <s v="Low"/>
    <n v="8.3333333333333329E-2"/>
    <s v="Medium"/>
    <n v="3"/>
    <d v="2021-11-01T00:00:00"/>
    <s v="7–12 months"/>
    <s v="0–1 tickets"/>
    <s v="46+ min"/>
    <s v="1000+"/>
    <n v="12375"/>
    <n v="-56.25"/>
  </r>
  <r>
    <n v="11182"/>
    <n v="28"/>
    <s v="Female"/>
    <s v="Pune"/>
    <d v="2022-11-29T00:00:00"/>
    <d v="2021-09-13T00:00:00"/>
    <x v="2"/>
    <n v="592"/>
    <x v="10"/>
    <n v="3"/>
    <n v="31.55"/>
    <n v="20"/>
    <x v="1"/>
    <x v="0"/>
    <n v="10537.6"/>
    <b v="0"/>
    <n v="1.5"/>
    <n v="585.42222222222222"/>
    <n v="7.8875000000000002"/>
    <d v="2022-11-01T00:00:00"/>
    <s v="Adult"/>
    <n v="1"/>
    <s v="No"/>
    <m/>
    <s v="Medium"/>
    <s v="Medium"/>
    <n v="0.15789473684210525"/>
    <s v="Medium"/>
    <n v="2"/>
    <d v="2022-11-01T00:00:00"/>
    <s v="13–24 months"/>
    <s v="2–3 tickets"/>
    <s v="31–45 min"/>
    <s v="501–700"/>
    <n v="10656"/>
    <n v="-118.39999999999964"/>
  </r>
  <r>
    <n v="11183"/>
    <n v="55"/>
    <s v="Male"/>
    <s v="Pune"/>
    <d v="2021-11-22T00:00:00"/>
    <d v="2022-08-07T00:00:00"/>
    <x v="1"/>
    <n v="1372"/>
    <x v="0"/>
    <n v="5"/>
    <n v="34.549999999999997"/>
    <n v="5"/>
    <x v="3"/>
    <x v="0"/>
    <n v="34231.4"/>
    <b v="1"/>
    <n v="2.0833333333333335"/>
    <n v="1369.2560000000001"/>
    <n v="5.7583333333333329"/>
    <d v="2021-11-01T00:00:00"/>
    <s v="Older"/>
    <n v="1"/>
    <s v="Yes"/>
    <n v="258"/>
    <s v="Medium"/>
    <s v="Low"/>
    <n v="0.19230769230769232"/>
    <s v="High"/>
    <n v="3"/>
    <d v="2021-11-01T00:00:00"/>
    <s v="25+ months"/>
    <s v="4–5 tickets"/>
    <s v="31–45 min"/>
    <s v="1000+"/>
    <n v="34300"/>
    <n v="-68.599999999998545"/>
  </r>
  <r>
    <n v="11184"/>
    <n v="19"/>
    <s v="Male"/>
    <s v="Hyderabad"/>
    <d v="2022-09-17T00:00:00"/>
    <d v="2022-10-10T00:00:00"/>
    <x v="1"/>
    <n v="1390"/>
    <x v="29"/>
    <n v="4"/>
    <n v="46.59"/>
    <n v="5"/>
    <x v="3"/>
    <x v="1"/>
    <n v="38850.5"/>
    <b v="1"/>
    <n v="2.3333333333333335"/>
    <n v="1387.5178571428571"/>
    <n v="9.3180000000000014"/>
    <d v="2022-09-01T00:00:00"/>
    <s v="Young"/>
    <n v="0"/>
    <s v="Yes"/>
    <n v="23"/>
    <s v="Medium"/>
    <s v="Low"/>
    <n v="0.13793103448275862"/>
    <s v="High"/>
    <n v="3"/>
    <d v="2022-09-01T00:00:00"/>
    <s v="25+ months"/>
    <s v="4–5 tickets"/>
    <s v="46+ min"/>
    <s v="1000+"/>
    <n v="38920"/>
    <n v="-69.5"/>
  </r>
  <r>
    <n v="11185"/>
    <n v="24"/>
    <s v="Female"/>
    <s v="Chennai"/>
    <d v="2023-04-05T00:00:00"/>
    <d v="2022-08-14T00:00:00"/>
    <x v="2"/>
    <n v="1086"/>
    <x v="24"/>
    <n v="1"/>
    <n v="103.84"/>
    <n v="15"/>
    <x v="0"/>
    <x v="0"/>
    <n v="17213.099999999999"/>
    <b v="0"/>
    <n v="1.3333333333333333"/>
    <n v="1075.8187499999999"/>
    <n v="51.92"/>
    <d v="2023-04-01T00:00:00"/>
    <s v="Young"/>
    <n v="1"/>
    <s v="Yes"/>
    <m/>
    <s v="High"/>
    <s v="Low"/>
    <n v="5.8823529411764705E-2"/>
    <s v="Medium"/>
    <n v="2"/>
    <d v="2023-04-01T00:00:00"/>
    <s v="13–24 months"/>
    <s v="0–1 tickets"/>
    <s v="46+ min"/>
    <s v="1000+"/>
    <n v="17376"/>
    <n v="-162.90000000000146"/>
  </r>
  <r>
    <n v="11186"/>
    <n v="35"/>
    <s v="Male"/>
    <s v="Pune"/>
    <d v="2021-06-14T00:00:00"/>
    <d v="2023-06-18T00:00:00"/>
    <x v="0"/>
    <n v="428"/>
    <x v="34"/>
    <n v="2"/>
    <n v="112.96"/>
    <n v="0"/>
    <x v="0"/>
    <x v="0"/>
    <n v="5136"/>
    <b v="1"/>
    <n v="1"/>
    <n v="428"/>
    <n v="37.653333333333329"/>
    <d v="2021-06-01T00:00:00"/>
    <s v="Adult"/>
    <n v="1"/>
    <s v="No"/>
    <n v="734"/>
    <s v="High"/>
    <s v="Low"/>
    <n v="0.15384615384615385"/>
    <s v="Low"/>
    <n v="1"/>
    <d v="2021-06-01T00:00:00"/>
    <s v="7–12 months"/>
    <s v="2–3 tickets"/>
    <s v="46+ min"/>
    <s v="301–500"/>
    <n v="5136"/>
    <n v="0"/>
  </r>
  <r>
    <n v="11187"/>
    <n v="44"/>
    <s v="Male"/>
    <s v="Mumbai"/>
    <d v="2022-07-27T00:00:00"/>
    <d v="2023-04-16T00:00:00"/>
    <x v="0"/>
    <n v="328"/>
    <x v="5"/>
    <n v="1"/>
    <n v="30.31"/>
    <n v="0"/>
    <x v="1"/>
    <x v="1"/>
    <n v="9512"/>
    <b v="1"/>
    <n v="2.4166666666666665"/>
    <n v="328"/>
    <n v="15.154999999999999"/>
    <d v="2022-07-01T00:00:00"/>
    <s v="Middle-aged"/>
    <n v="0"/>
    <s v="No"/>
    <n v="263"/>
    <s v="Medium"/>
    <s v="Low"/>
    <n v="3.3333333333333333E-2"/>
    <s v="Medium"/>
    <n v="1"/>
    <d v="2022-07-01T00:00:00"/>
    <s v="25+ months"/>
    <s v="0–1 tickets"/>
    <s v="31–45 min"/>
    <s v="301–500"/>
    <n v="9512"/>
    <n v="0"/>
  </r>
  <r>
    <n v="11188"/>
    <n v="51"/>
    <s v="Female"/>
    <s v="Chennai"/>
    <d v="2022-08-27T00:00:00"/>
    <d v="2021-11-05T00:00:00"/>
    <x v="0"/>
    <n v="1442"/>
    <x v="31"/>
    <n v="2"/>
    <n v="104.35"/>
    <n v="10"/>
    <x v="0"/>
    <x v="0"/>
    <n v="33021.800000000003"/>
    <b v="0"/>
    <n v="1.9166666666666667"/>
    <n v="1435.7304347826089"/>
    <n v="34.783333333333331"/>
    <d v="2022-08-01T00:00:00"/>
    <s v="Older"/>
    <n v="1"/>
    <s v="Yes"/>
    <m/>
    <s v="High"/>
    <s v="Low"/>
    <n v="8.3333333333333329E-2"/>
    <s v="High"/>
    <n v="1"/>
    <d v="2022-08-01T00:00:00"/>
    <s v="13–24 months"/>
    <s v="2–3 tickets"/>
    <s v="46+ min"/>
    <s v="1000+"/>
    <n v="33166"/>
    <n v="-144.19999999999709"/>
  </r>
  <r>
    <n v="11189"/>
    <n v="44"/>
    <s v="Male"/>
    <s v="Chennai"/>
    <d v="2023-03-09T00:00:00"/>
    <d v="2021-11-19T00:00:00"/>
    <x v="1"/>
    <n v="991"/>
    <x v="6"/>
    <n v="1"/>
    <n v="34.69"/>
    <n v="20"/>
    <x v="0"/>
    <x v="1"/>
    <n v="20612.8"/>
    <b v="0"/>
    <n v="1.75"/>
    <n v="981.56190476190477"/>
    <n v="17.344999999999999"/>
    <d v="2023-03-01T00:00:00"/>
    <s v="Middle-aged"/>
    <n v="0"/>
    <s v="Yes"/>
    <m/>
    <s v="Medium"/>
    <s v="Medium"/>
    <n v="4.5454545454545456E-2"/>
    <s v="High"/>
    <n v="3"/>
    <d v="2023-03-01T00:00:00"/>
    <s v="13–24 months"/>
    <s v="0–1 tickets"/>
    <s v="31–45 min"/>
    <s v="701–1000"/>
    <n v="20811"/>
    <n v="-198.20000000000073"/>
  </r>
  <r>
    <n v="11190"/>
    <n v="34"/>
    <s v="Female"/>
    <s v="Delhi"/>
    <d v="2022-03-31T00:00:00"/>
    <d v="2022-10-07T00:00:00"/>
    <x v="0"/>
    <n v="432"/>
    <x v="24"/>
    <n v="1"/>
    <n v="116.62"/>
    <n v="15"/>
    <x v="3"/>
    <x v="1"/>
    <n v="6847.2"/>
    <b v="1"/>
    <n v="1.3333333333333333"/>
    <n v="427.95"/>
    <n v="58.31"/>
    <d v="2022-03-01T00:00:00"/>
    <s v="Adult"/>
    <n v="0"/>
    <s v="No"/>
    <n v="190"/>
    <s v="High"/>
    <s v="Low"/>
    <n v="5.8823529411764705E-2"/>
    <s v="Low"/>
    <n v="1"/>
    <d v="2022-03-01T00:00:00"/>
    <s v="13–24 months"/>
    <s v="0–1 tickets"/>
    <s v="46+ min"/>
    <s v="301–500"/>
    <n v="6912"/>
    <n v="-64.800000000000182"/>
  </r>
  <r>
    <n v="11191"/>
    <n v="60"/>
    <s v="Female"/>
    <s v="Pune"/>
    <d v="2021-06-02T00:00:00"/>
    <d v="2022-04-07T00:00:00"/>
    <x v="0"/>
    <n v="945"/>
    <x v="8"/>
    <n v="5"/>
    <n v="62.59"/>
    <n v="0"/>
    <x v="1"/>
    <x v="0"/>
    <n v="24570"/>
    <b v="1"/>
    <n v="2.1666666666666665"/>
    <n v="945"/>
    <n v="10.431666666666667"/>
    <d v="2021-06-01T00:00:00"/>
    <s v="Older"/>
    <n v="1"/>
    <s v="Yes"/>
    <n v="309"/>
    <s v="High"/>
    <s v="Low"/>
    <n v="0.18518518518518517"/>
    <s v="High"/>
    <n v="1"/>
    <d v="2021-06-01T00:00:00"/>
    <s v="25+ months"/>
    <s v="4–5 tickets"/>
    <s v="46+ min"/>
    <s v="701–1000"/>
    <n v="24570"/>
    <n v="0"/>
  </r>
  <r>
    <n v="11192"/>
    <n v="61"/>
    <s v="Male"/>
    <s v="Pune"/>
    <d v="2023-01-07T00:00:00"/>
    <d v="2022-07-08T00:00:00"/>
    <x v="2"/>
    <n v="988"/>
    <x v="1"/>
    <n v="1"/>
    <n v="5.81"/>
    <n v="10"/>
    <x v="2"/>
    <x v="1"/>
    <n v="21637.200000000001"/>
    <b v="0"/>
    <n v="1.8333333333333333"/>
    <n v="983.5090909090909"/>
    <n v="2.9049999999999998"/>
    <d v="2023-01-01T00:00:00"/>
    <s v="Older"/>
    <n v="0"/>
    <s v="Yes"/>
    <m/>
    <s v="Low"/>
    <s v="Low"/>
    <n v="4.3478260869565216E-2"/>
    <s v="High"/>
    <n v="2"/>
    <d v="2023-01-01T00:00:00"/>
    <s v="13–24 months"/>
    <s v="0–1 tickets"/>
    <s v="0–10 min"/>
    <s v="701–1000"/>
    <n v="21736"/>
    <n v="-98.799999999999272"/>
  </r>
  <r>
    <n v="11193"/>
    <n v="41"/>
    <s v="Female"/>
    <s v="Hyderabad"/>
    <d v="2021-05-07T00:00:00"/>
    <d v="2023-03-31T00:00:00"/>
    <x v="0"/>
    <n v="833"/>
    <x v="32"/>
    <n v="3"/>
    <n v="8.92"/>
    <n v="15"/>
    <x v="1"/>
    <x v="1"/>
    <n v="8205.0499999999993"/>
    <b v="1"/>
    <n v="0.83333333333333337"/>
    <n v="820.50499999999988"/>
    <n v="2.23"/>
    <d v="2021-05-01T00:00:00"/>
    <s v="Middle-aged"/>
    <n v="0"/>
    <s v="No"/>
    <n v="693"/>
    <s v="Low"/>
    <s v="Low"/>
    <n v="0.27272727272727271"/>
    <s v="Low"/>
    <n v="1"/>
    <d v="2021-05-01T00:00:00"/>
    <s v="7–12 months"/>
    <s v="2–3 tickets"/>
    <s v="0–10 min"/>
    <s v="701–1000"/>
    <n v="8330"/>
    <n v="-124.95000000000073"/>
  </r>
  <r>
    <n v="11194"/>
    <n v="42"/>
    <s v="Female"/>
    <s v="Delhi"/>
    <d v="2021-07-12T00:00:00"/>
    <d v="2023-07-10T00:00:00"/>
    <x v="0"/>
    <n v="815"/>
    <x v="16"/>
    <n v="3"/>
    <n v="21.96"/>
    <n v="5"/>
    <x v="3"/>
    <x v="1"/>
    <n v="5664.25"/>
    <b v="1"/>
    <n v="0.58333333333333337"/>
    <n v="809.17857142857144"/>
    <n v="5.49"/>
    <d v="2021-07-01T00:00:00"/>
    <s v="Middle-aged"/>
    <n v="0"/>
    <s v="No"/>
    <n v="728"/>
    <s v="Medium"/>
    <s v="Low"/>
    <n v="0.375"/>
    <s v="Low"/>
    <n v="1"/>
    <d v="2021-07-01T00:00:00"/>
    <s v="7–12 months"/>
    <s v="2–3 tickets"/>
    <s v="21–30 min"/>
    <s v="701–1000"/>
    <n v="5705"/>
    <n v="-40.75"/>
  </r>
  <r>
    <n v="11195"/>
    <n v="24"/>
    <s v="Male"/>
    <s v="Delhi"/>
    <d v="2022-09-19T00:00:00"/>
    <d v="2023-04-07T00:00:00"/>
    <x v="2"/>
    <n v="1259"/>
    <x v="9"/>
    <n v="4"/>
    <n v="26.57"/>
    <n v="0"/>
    <x v="1"/>
    <x v="1"/>
    <n v="11331"/>
    <b v="1"/>
    <n v="0.75"/>
    <n v="1259"/>
    <n v="5.3140000000000001"/>
    <d v="2022-09-01T00:00:00"/>
    <s v="Young"/>
    <n v="0"/>
    <s v="No"/>
    <n v="200"/>
    <s v="Medium"/>
    <s v="Low"/>
    <n v="0.4"/>
    <s v="Medium"/>
    <n v="2"/>
    <d v="2022-09-01T00:00:00"/>
    <s v="7–12 months"/>
    <s v="4–5 tickets"/>
    <s v="21–30 min"/>
    <s v="1000+"/>
    <n v="11331"/>
    <n v="0"/>
  </r>
  <r>
    <n v="11196"/>
    <n v="23"/>
    <s v="Male"/>
    <s v="Pune"/>
    <d v="2023-02-13T00:00:00"/>
    <d v="2023-03-21T00:00:00"/>
    <x v="0"/>
    <n v="464"/>
    <x v="0"/>
    <n v="7"/>
    <n v="93.28"/>
    <n v="20"/>
    <x v="2"/>
    <x v="1"/>
    <n v="11507.2"/>
    <b v="1"/>
    <n v="2.0833333333333335"/>
    <n v="460.28800000000001"/>
    <n v="11.66"/>
    <d v="2023-02-01T00:00:00"/>
    <s v="Young"/>
    <n v="0"/>
    <s v="No"/>
    <n v="36"/>
    <s v="High"/>
    <s v="Medium"/>
    <n v="0.26923076923076922"/>
    <s v="Medium"/>
    <n v="1"/>
    <d v="2023-02-01T00:00:00"/>
    <s v="25+ months"/>
    <s v="6+ tickets"/>
    <s v="46+ min"/>
    <s v="301–500"/>
    <n v="11600"/>
    <n v="-92.799999999999272"/>
  </r>
  <r>
    <n v="11197"/>
    <n v="41"/>
    <s v="Male"/>
    <s v="Chennai"/>
    <d v="2022-06-14T00:00:00"/>
    <d v="2023-03-28T00:00:00"/>
    <x v="0"/>
    <n v="1226"/>
    <x v="15"/>
    <n v="2"/>
    <n v="30.62"/>
    <n v="15"/>
    <x v="0"/>
    <x v="1"/>
    <n v="18206.099999999999"/>
    <b v="1"/>
    <n v="1.25"/>
    <n v="1213.74"/>
    <n v="10.206666666666667"/>
    <d v="2022-06-01T00:00:00"/>
    <s v="Middle-aged"/>
    <n v="0"/>
    <s v="Yes"/>
    <n v="287"/>
    <s v="Medium"/>
    <s v="Low"/>
    <n v="0.125"/>
    <s v="Medium"/>
    <n v="1"/>
    <d v="2022-06-01T00:00:00"/>
    <s v="13–24 months"/>
    <s v="2–3 tickets"/>
    <s v="31–45 min"/>
    <s v="1000+"/>
    <n v="18390"/>
    <n v="-183.90000000000146"/>
  </r>
  <r>
    <n v="11198"/>
    <n v="50"/>
    <s v="Female"/>
    <s v="Delhi"/>
    <d v="2021-01-10T00:00:00"/>
    <d v="2022-09-06T00:00:00"/>
    <x v="0"/>
    <n v="1232"/>
    <x v="19"/>
    <n v="4"/>
    <n v="116.45"/>
    <n v="10"/>
    <x v="1"/>
    <x v="1"/>
    <n v="15892.8"/>
    <b v="1"/>
    <n v="1.0833333333333333"/>
    <n v="1222.5230769230768"/>
    <n v="23.29"/>
    <d v="2021-01-01T00:00:00"/>
    <s v="Middle-aged"/>
    <n v="0"/>
    <s v="Yes"/>
    <n v="604"/>
    <s v="High"/>
    <s v="Low"/>
    <n v="0.2857142857142857"/>
    <s v="Medium"/>
    <n v="1"/>
    <d v="2021-01-01T00:00:00"/>
    <s v="13–24 months"/>
    <s v="4–5 tickets"/>
    <s v="46+ min"/>
    <s v="1000+"/>
    <n v="16016"/>
    <n v="-123.20000000000073"/>
  </r>
  <r>
    <n v="11199"/>
    <n v="46"/>
    <s v="Male"/>
    <s v="Hyderabad"/>
    <d v="2021-04-02T00:00:00"/>
    <d v="2022-06-02T00:00:00"/>
    <x v="2"/>
    <n v="856"/>
    <x v="8"/>
    <n v="2"/>
    <n v="78.150000000000006"/>
    <n v="20"/>
    <x v="3"/>
    <x v="0"/>
    <n v="22084.799999999999"/>
    <b v="1"/>
    <n v="2.1666666666666665"/>
    <n v="849.4153846153846"/>
    <n v="26.05"/>
    <d v="2021-04-01T00:00:00"/>
    <s v="Middle-aged"/>
    <n v="1"/>
    <s v="Yes"/>
    <n v="426"/>
    <s v="High"/>
    <s v="Medium"/>
    <n v="7.407407407407407E-2"/>
    <s v="High"/>
    <n v="2"/>
    <d v="2021-04-01T00:00:00"/>
    <s v="25+ months"/>
    <s v="2–3 tickets"/>
    <s v="46+ min"/>
    <s v="701–1000"/>
    <n v="22256"/>
    <n v="-171.20000000000073"/>
  </r>
  <r>
    <n v="11200"/>
    <n v="60"/>
    <s v="Female"/>
    <s v="Delhi"/>
    <d v="2021-05-19T00:00:00"/>
    <d v="2022-12-02T00:00:00"/>
    <x v="2"/>
    <n v="979"/>
    <x v="6"/>
    <n v="2"/>
    <n v="84.64"/>
    <n v="5"/>
    <x v="3"/>
    <x v="1"/>
    <n v="20510.05"/>
    <b v="1"/>
    <n v="1.75"/>
    <n v="976.66904761904755"/>
    <n v="28.213333333333335"/>
    <d v="2021-05-01T00:00:00"/>
    <s v="Older"/>
    <n v="0"/>
    <s v="Yes"/>
    <n v="562"/>
    <s v="High"/>
    <s v="Low"/>
    <n v="9.0909090909090912E-2"/>
    <s v="High"/>
    <n v="2"/>
    <d v="2021-05-01T00:00:00"/>
    <s v="13–24 months"/>
    <s v="2–3 tickets"/>
    <s v="46+ min"/>
    <s v="701–1000"/>
    <n v="20559"/>
    <n v="-48.950000000000728"/>
  </r>
  <r>
    <n v="11201"/>
    <n v="39"/>
    <s v="Female"/>
    <s v="Hyderabad"/>
    <d v="2022-04-26T00:00:00"/>
    <d v="2023-03-05T00:00:00"/>
    <x v="0"/>
    <n v="1292"/>
    <x v="31"/>
    <n v="2"/>
    <n v="30.05"/>
    <n v="20"/>
    <x v="1"/>
    <x v="1"/>
    <n v="29457.599999999999"/>
    <b v="1"/>
    <n v="1.9166666666666667"/>
    <n v="1280.7652173913043"/>
    <n v="10.016666666666667"/>
    <d v="2022-04-01T00:00:00"/>
    <s v="Middle-aged"/>
    <n v="0"/>
    <s v="Yes"/>
    <n v="313"/>
    <s v="Medium"/>
    <s v="Medium"/>
    <n v="8.3333333333333329E-2"/>
    <s v="High"/>
    <n v="1"/>
    <d v="2022-04-01T00:00:00"/>
    <s v="13–24 months"/>
    <s v="2–3 tickets"/>
    <s v="31–45 min"/>
    <s v="1000+"/>
    <n v="29716"/>
    <n v="-258.40000000000146"/>
  </r>
  <r>
    <n v="11202"/>
    <n v="43"/>
    <s v="Female"/>
    <s v="Delhi"/>
    <d v="2022-03-25T00:00:00"/>
    <d v="2023-10-18T00:00:00"/>
    <x v="2"/>
    <n v="1328"/>
    <x v="29"/>
    <n v="1"/>
    <n v="107.66"/>
    <n v="10"/>
    <x v="0"/>
    <x v="1"/>
    <n v="37051.199999999997"/>
    <b v="1"/>
    <n v="2.3333333333333335"/>
    <n v="1323.2571428571428"/>
    <n v="53.83"/>
    <d v="2022-03-01T00:00:00"/>
    <s v="Middle-aged"/>
    <n v="0"/>
    <s v="Yes"/>
    <n v="572"/>
    <s v="High"/>
    <s v="Low"/>
    <n v="3.4482758620689655E-2"/>
    <s v="High"/>
    <n v="2"/>
    <d v="2022-03-01T00:00:00"/>
    <s v="25+ months"/>
    <s v="0–1 tickets"/>
    <s v="46+ min"/>
    <s v="1000+"/>
    <n v="37184"/>
    <n v="-132.80000000000291"/>
  </r>
  <r>
    <n v="11203"/>
    <n v="45"/>
    <s v="Male"/>
    <s v="Hyderabad"/>
    <d v="2021-11-29T00:00:00"/>
    <d v="2022-02-10T00:00:00"/>
    <x v="0"/>
    <n v="1056"/>
    <x v="34"/>
    <n v="1"/>
    <n v="81.8"/>
    <n v="5"/>
    <x v="0"/>
    <x v="0"/>
    <n v="12619.2"/>
    <b v="1"/>
    <n v="1"/>
    <n v="1051.6000000000001"/>
    <n v="40.9"/>
    <d v="2021-11-01T00:00:00"/>
    <s v="Middle-aged"/>
    <n v="1"/>
    <s v="No"/>
    <n v="73"/>
    <s v="High"/>
    <s v="Low"/>
    <n v="7.6923076923076927E-2"/>
    <s v="Medium"/>
    <n v="1"/>
    <d v="2021-11-01T00:00:00"/>
    <s v="7–12 months"/>
    <s v="0–1 tickets"/>
    <s v="46+ min"/>
    <s v="1000+"/>
    <n v="12672"/>
    <n v="-52.799999999999272"/>
  </r>
  <r>
    <n v="11204"/>
    <n v="38"/>
    <s v="Male"/>
    <s v="Delhi"/>
    <d v="2023-05-19T00:00:00"/>
    <d v="2021-12-25T00:00:00"/>
    <x v="1"/>
    <n v="1404"/>
    <x v="30"/>
    <n v="6"/>
    <n v="104.41"/>
    <n v="10"/>
    <x v="3"/>
    <x v="0"/>
    <n v="33555.599999999999"/>
    <b v="0"/>
    <n v="2"/>
    <n v="1398.1499999999999"/>
    <n v="14.915714285714285"/>
    <d v="2023-05-01T00:00:00"/>
    <s v="Middle-aged"/>
    <n v="1"/>
    <s v="Yes"/>
    <m/>
    <s v="High"/>
    <s v="Low"/>
    <n v="0.24"/>
    <s v="High"/>
    <n v="3"/>
    <d v="2023-05-01T00:00:00"/>
    <s v="13–24 months"/>
    <s v="6+ tickets"/>
    <s v="46+ min"/>
    <s v="1000+"/>
    <n v="33696"/>
    <n v="-140.40000000000146"/>
  </r>
  <r>
    <n v="11205"/>
    <n v="24"/>
    <s v="Female"/>
    <s v="Delhi"/>
    <d v="2021-12-06T00:00:00"/>
    <d v="2022-08-24T00:00:00"/>
    <x v="0"/>
    <n v="1154"/>
    <x v="19"/>
    <n v="2"/>
    <n v="115"/>
    <n v="0"/>
    <x v="3"/>
    <x v="1"/>
    <n v="15002"/>
    <b v="1"/>
    <n v="1.0833333333333333"/>
    <n v="1154"/>
    <n v="38.333333333333336"/>
    <d v="2021-12-01T00:00:00"/>
    <s v="Young"/>
    <n v="0"/>
    <s v="Yes"/>
    <n v="261"/>
    <s v="High"/>
    <s v="Low"/>
    <n v="0.14285714285714285"/>
    <s v="Medium"/>
    <n v="1"/>
    <d v="2021-12-01T00:00:00"/>
    <s v="13–24 months"/>
    <s v="2–3 tickets"/>
    <s v="46+ min"/>
    <s v="1000+"/>
    <n v="15002"/>
    <n v="0"/>
  </r>
  <r>
    <n v="11206"/>
    <n v="34"/>
    <s v="Male"/>
    <s v="Mumbai"/>
    <d v="2021-02-21T00:00:00"/>
    <d v="2021-09-03T00:00:00"/>
    <x v="2"/>
    <n v="792"/>
    <x v="4"/>
    <n v="1"/>
    <n v="19.45"/>
    <n v="10"/>
    <x v="2"/>
    <x v="1"/>
    <n v="1504.8"/>
    <b v="1"/>
    <n v="0.16666666666666666"/>
    <n v="752.4"/>
    <n v="9.7249999999999996"/>
    <d v="2021-02-01T00:00:00"/>
    <s v="Adult"/>
    <n v="0"/>
    <s v="No"/>
    <n v="194"/>
    <s v="Low"/>
    <s v="Low"/>
    <n v="0.33333333333333331"/>
    <s v="Low"/>
    <n v="2"/>
    <d v="2021-02-01T00:00:00"/>
    <s v="0–6 months"/>
    <s v="0–1 tickets"/>
    <s v="11–20 min"/>
    <s v="701–1000"/>
    <n v="1584"/>
    <n v="-79.200000000000045"/>
  </r>
  <r>
    <n v="11207"/>
    <n v="37"/>
    <s v="Male"/>
    <s v="Hyderabad"/>
    <d v="2022-12-08T00:00:00"/>
    <d v="2023-10-08T00:00:00"/>
    <x v="1"/>
    <n v="948"/>
    <x v="34"/>
    <n v="1"/>
    <n v="16.11"/>
    <n v="20"/>
    <x v="0"/>
    <x v="1"/>
    <n v="11186.4"/>
    <b v="1"/>
    <n v="1"/>
    <n v="932.19999999999993"/>
    <n v="8.0549999999999997"/>
    <d v="2022-12-01T00:00:00"/>
    <s v="Middle-aged"/>
    <n v="0"/>
    <s v="No"/>
    <n v="304"/>
    <s v="Low"/>
    <s v="Medium"/>
    <n v="7.6923076923076927E-2"/>
    <s v="Medium"/>
    <n v="3"/>
    <d v="2022-12-01T00:00:00"/>
    <s v="7–12 months"/>
    <s v="0–1 tickets"/>
    <s v="11–20 min"/>
    <s v="701–1000"/>
    <n v="11376"/>
    <n v="-189.60000000000036"/>
  </r>
  <r>
    <n v="11208"/>
    <n v="58"/>
    <s v="Male"/>
    <s v="unknown"/>
    <d v="2022-04-11T00:00:00"/>
    <d v="2023-09-17T00:00:00"/>
    <x v="1"/>
    <n v="1291"/>
    <x v="25"/>
    <n v="6"/>
    <n v="97.39"/>
    <n v="0"/>
    <x v="1"/>
    <x v="0"/>
    <n v="18074"/>
    <b v="1"/>
    <n v="1.1666666666666667"/>
    <n v="1291"/>
    <n v="13.912857142857144"/>
    <d v="2022-04-01T00:00:00"/>
    <s v="Older"/>
    <n v="1"/>
    <s v="Yes"/>
    <n v="524"/>
    <s v="High"/>
    <s v="Low"/>
    <n v="0.4"/>
    <s v="Medium"/>
    <n v="3"/>
    <d v="2022-04-01T00:00:00"/>
    <s v="13–24 months"/>
    <s v="6+ tickets"/>
    <s v="46+ min"/>
    <s v="1000+"/>
    <n v="18074"/>
    <n v="0"/>
  </r>
  <r>
    <n v="11209"/>
    <n v="37"/>
    <s v="Male"/>
    <s v="Hyderabad"/>
    <d v="2022-12-19T00:00:00"/>
    <d v="2022-09-21T00:00:00"/>
    <x v="0"/>
    <n v="927"/>
    <x v="3"/>
    <n v="4"/>
    <n v="104.6"/>
    <n v="0"/>
    <x v="3"/>
    <x v="1"/>
    <n v="27810"/>
    <b v="0"/>
    <n v="2.5"/>
    <n v="927"/>
    <n v="20.919999999999998"/>
    <d v="2022-12-01T00:00:00"/>
    <s v="Middle-aged"/>
    <n v="0"/>
    <s v="Yes"/>
    <m/>
    <s v="High"/>
    <s v="Low"/>
    <n v="0.12903225806451613"/>
    <s v="High"/>
    <n v="1"/>
    <d v="2022-12-01T00:00:00"/>
    <s v="25+ months"/>
    <s v="4–5 tickets"/>
    <s v="46+ min"/>
    <s v="701–1000"/>
    <n v="27810"/>
    <n v="0"/>
  </r>
  <r>
    <n v="11210"/>
    <n v="39"/>
    <s v="Female"/>
    <s v="unknown"/>
    <d v="2023-03-10T00:00:00"/>
    <d v="2023-04-14T00:00:00"/>
    <x v="0"/>
    <n v="924"/>
    <x v="17"/>
    <n v="2"/>
    <n v="72.13"/>
    <n v="15"/>
    <x v="3"/>
    <x v="0"/>
    <n v="17417.400000000001"/>
    <b v="1"/>
    <n v="1.5833333333333333"/>
    <n v="916.70526315789482"/>
    <n v="24.043333333333333"/>
    <d v="2023-03-01T00:00:00"/>
    <s v="Middle-aged"/>
    <n v="1"/>
    <s v="Yes"/>
    <n v="35"/>
    <s v="High"/>
    <s v="Low"/>
    <n v="0.1"/>
    <s v="Medium"/>
    <n v="1"/>
    <d v="2023-03-01T00:00:00"/>
    <s v="13–24 months"/>
    <s v="2–3 tickets"/>
    <s v="46+ min"/>
    <s v="701–1000"/>
    <n v="17556"/>
    <n v="-138.59999999999854"/>
  </r>
  <r>
    <n v="11211"/>
    <n v="45"/>
    <s v="Male"/>
    <s v="Delhi"/>
    <d v="2022-04-20T00:00:00"/>
    <d v="2023-07-02T00:00:00"/>
    <x v="2"/>
    <n v="842"/>
    <x v="27"/>
    <n v="1"/>
    <n v="47.09"/>
    <n v="20"/>
    <x v="3"/>
    <x v="1"/>
    <n v="25933.599999999999"/>
    <b v="1"/>
    <n v="2.5833333333333335"/>
    <n v="836.56774193548381"/>
    <n v="23.545000000000002"/>
    <d v="2022-04-01T00:00:00"/>
    <s v="Middle-aged"/>
    <n v="0"/>
    <s v="Yes"/>
    <n v="438"/>
    <s v="Medium"/>
    <s v="Medium"/>
    <n v="3.125E-2"/>
    <s v="High"/>
    <n v="2"/>
    <d v="2022-04-01T00:00:00"/>
    <s v="25+ months"/>
    <s v="0–1 tickets"/>
    <s v="46+ min"/>
    <s v="701–1000"/>
    <n v="26102"/>
    <n v="-168.40000000000146"/>
  </r>
  <r>
    <n v="11212"/>
    <n v="57"/>
    <s v="Male"/>
    <s v="Hyderabad"/>
    <d v="2022-02-05T00:00:00"/>
    <d v="2021-12-07T00:00:00"/>
    <x v="0"/>
    <n v="306"/>
    <x v="0"/>
    <n v="2"/>
    <n v="80.05"/>
    <n v="20"/>
    <x v="3"/>
    <x v="1"/>
    <n v="7588.8"/>
    <b v="0"/>
    <n v="2.0833333333333335"/>
    <n v="303.55200000000002"/>
    <n v="26.683333333333334"/>
    <d v="2022-02-01T00:00:00"/>
    <s v="Older"/>
    <n v="0"/>
    <s v="No"/>
    <m/>
    <s v="High"/>
    <s v="Medium"/>
    <n v="7.6923076923076927E-2"/>
    <s v="Low"/>
    <n v="1"/>
    <d v="2022-02-01T00:00:00"/>
    <s v="25+ months"/>
    <s v="2–3 tickets"/>
    <s v="46+ min"/>
    <s v="301–500"/>
    <n v="7650"/>
    <n v="-61.199999999999818"/>
  </r>
  <r>
    <n v="11213"/>
    <n v="24"/>
    <s v="Male"/>
    <s v="Pune"/>
    <d v="2022-03-15T00:00:00"/>
    <d v="2023-05-12T00:00:00"/>
    <x v="1"/>
    <n v="1253"/>
    <x v="2"/>
    <n v="0"/>
    <n v="40.15"/>
    <n v="5"/>
    <x v="0"/>
    <x v="0"/>
    <n v="4949.3500000000004"/>
    <b v="1"/>
    <n v="0.33333333333333331"/>
    <n v="1237.3375000000001"/>
    <n v="40.15"/>
    <d v="2022-03-01T00:00:00"/>
    <s v="Young"/>
    <n v="1"/>
    <s v="No"/>
    <n v="423"/>
    <s v="Medium"/>
    <s v="Low"/>
    <n v="0"/>
    <s v="Low"/>
    <n v="3"/>
    <d v="2022-03-01T00:00:00"/>
    <s v="0–6 months"/>
    <s v="0–1 tickets"/>
    <s v="31–45 min"/>
    <s v="1000+"/>
    <n v="5012"/>
    <n v="-62.649999999999636"/>
  </r>
  <r>
    <n v="11214"/>
    <n v="18"/>
    <s v="Female"/>
    <s v="Bangalore"/>
    <d v="2023-05-28T00:00:00"/>
    <d v="2022-09-27T00:00:00"/>
    <x v="2"/>
    <n v="814"/>
    <x v="19"/>
    <n v="0"/>
    <n v="32.409999999999997"/>
    <n v="10"/>
    <x v="3"/>
    <x v="1"/>
    <n v="10500.6"/>
    <b v="0"/>
    <n v="1.0833333333333333"/>
    <n v="807.73846153846159"/>
    <n v="32.409999999999997"/>
    <d v="2023-05-01T00:00:00"/>
    <s v="Young"/>
    <n v="0"/>
    <s v="No"/>
    <m/>
    <s v="Medium"/>
    <s v="Low"/>
    <n v="0"/>
    <s v="Medium"/>
    <n v="2"/>
    <d v="2023-05-01T00:00:00"/>
    <s v="13–24 months"/>
    <s v="0–1 tickets"/>
    <s v="31–45 min"/>
    <s v="701–1000"/>
    <n v="10582"/>
    <n v="-81.399999999999636"/>
  </r>
  <r>
    <n v="11215"/>
    <n v="49"/>
    <s v="Female"/>
    <s v="Mumbai"/>
    <d v="2022-08-28T00:00:00"/>
    <d v="2023-06-03T00:00:00"/>
    <x v="2"/>
    <n v="1054"/>
    <x v="13"/>
    <n v="5"/>
    <n v="61.14"/>
    <n v="10"/>
    <x v="0"/>
    <x v="0"/>
    <n v="3056.6"/>
    <b v="1"/>
    <n v="0.25"/>
    <n v="1018.8666666666667"/>
    <n v="10.19"/>
    <d v="2022-08-01T00:00:00"/>
    <s v="Middle-aged"/>
    <n v="1"/>
    <s v="No"/>
    <n v="279"/>
    <s v="High"/>
    <s v="Low"/>
    <n v="1.25"/>
    <s v="Low"/>
    <n v="2"/>
    <d v="2022-08-01T00:00:00"/>
    <s v="0–6 months"/>
    <s v="4–5 tickets"/>
    <s v="46+ min"/>
    <s v="1000+"/>
    <n v="3162"/>
    <n v="-105.40000000000009"/>
  </r>
  <r>
    <n v="11216"/>
    <n v="30"/>
    <s v="Male"/>
    <s v="Hyderabad"/>
    <d v="2023-04-01T00:00:00"/>
    <d v="2022-11-18T00:00:00"/>
    <x v="0"/>
    <n v="372"/>
    <x v="24"/>
    <n v="0"/>
    <n v="29.86"/>
    <n v="20"/>
    <x v="2"/>
    <x v="1"/>
    <n v="5877.6"/>
    <b v="0"/>
    <n v="1.3333333333333333"/>
    <n v="367.35"/>
    <n v="29.86"/>
    <d v="2023-04-01T00:00:00"/>
    <s v="Adult"/>
    <n v="0"/>
    <s v="No"/>
    <m/>
    <s v="Medium"/>
    <s v="Medium"/>
    <n v="0"/>
    <s v="Low"/>
    <n v="1"/>
    <d v="2023-04-01T00:00:00"/>
    <s v="13–24 months"/>
    <s v="0–1 tickets"/>
    <s v="21–30 min"/>
    <s v="301–500"/>
    <n v="5952"/>
    <n v="-74.399999999999636"/>
  </r>
  <r>
    <n v="11217"/>
    <n v="47"/>
    <s v="Female"/>
    <s v="Hyderabad"/>
    <d v="2022-10-19T00:00:00"/>
    <d v="2023-06-26T00:00:00"/>
    <x v="2"/>
    <n v="309"/>
    <x v="8"/>
    <n v="0"/>
    <n v="60.63"/>
    <n v="10"/>
    <x v="2"/>
    <x v="1"/>
    <n v="8003.1"/>
    <b v="1"/>
    <n v="2.1666666666666665"/>
    <n v="307.81153846153848"/>
    <n v="60.63"/>
    <d v="2022-10-01T00:00:00"/>
    <s v="Middle-aged"/>
    <n v="0"/>
    <s v="No"/>
    <n v="250"/>
    <s v="High"/>
    <s v="Low"/>
    <n v="0"/>
    <s v="Low"/>
    <n v="2"/>
    <d v="2022-10-01T00:00:00"/>
    <s v="25+ months"/>
    <s v="0–1 tickets"/>
    <s v="46+ min"/>
    <s v="301–500"/>
    <n v="8034"/>
    <n v="-30.899999999999636"/>
  </r>
  <r>
    <n v="11218"/>
    <n v="40"/>
    <s v="Female"/>
    <s v="Bangalore"/>
    <d v="2022-08-21T00:00:00"/>
    <d v="2022-07-28T00:00:00"/>
    <x v="2"/>
    <n v="861"/>
    <x v="17"/>
    <n v="4"/>
    <n v="115.01"/>
    <n v="20"/>
    <x v="1"/>
    <x v="1"/>
    <n v="16186.8"/>
    <b v="0"/>
    <n v="1.5833333333333333"/>
    <n v="851.93684210526317"/>
    <n v="23.002000000000002"/>
    <d v="2022-08-01T00:00:00"/>
    <s v="Middle-aged"/>
    <n v="0"/>
    <s v="Yes"/>
    <m/>
    <s v="High"/>
    <s v="Medium"/>
    <n v="0.2"/>
    <s v="Medium"/>
    <n v="2"/>
    <d v="2022-08-01T00:00:00"/>
    <s v="13–24 months"/>
    <s v="4–5 tickets"/>
    <s v="46+ min"/>
    <s v="701–1000"/>
    <n v="16359"/>
    <n v="-172.20000000000073"/>
  </r>
  <r>
    <n v="11219"/>
    <n v="36"/>
    <s v="Female"/>
    <s v="Delhi"/>
    <d v="2022-05-24T00:00:00"/>
    <d v="2023-09-14T00:00:00"/>
    <x v="1"/>
    <n v="421"/>
    <x v="15"/>
    <n v="1"/>
    <n v="101.58"/>
    <n v="0"/>
    <x v="3"/>
    <x v="0"/>
    <n v="6315"/>
    <b v="1"/>
    <n v="1.25"/>
    <n v="421"/>
    <n v="50.79"/>
    <d v="2022-05-01T00:00:00"/>
    <s v="Middle-aged"/>
    <n v="1"/>
    <s v="No"/>
    <n v="478"/>
    <s v="High"/>
    <s v="Low"/>
    <n v="6.25E-2"/>
    <s v="Low"/>
    <n v="3"/>
    <d v="2022-05-01T00:00:00"/>
    <s v="13–24 months"/>
    <s v="0–1 tickets"/>
    <s v="46+ min"/>
    <s v="301–500"/>
    <n v="6315"/>
    <n v="0"/>
  </r>
  <r>
    <n v="11220"/>
    <n v="49"/>
    <s v="Female"/>
    <s v="Pune"/>
    <d v="2021-06-02T00:00:00"/>
    <d v="2023-03-02T00:00:00"/>
    <x v="0"/>
    <n v="986"/>
    <x v="23"/>
    <n v="2"/>
    <n v="113.29"/>
    <n v="10"/>
    <x v="1"/>
    <x v="1"/>
    <n v="31453.4"/>
    <b v="1"/>
    <n v="2.6666666666666665"/>
    <n v="982.91875000000005"/>
    <n v="37.763333333333335"/>
    <d v="2021-06-01T00:00:00"/>
    <s v="Middle-aged"/>
    <n v="0"/>
    <s v="Yes"/>
    <n v="638"/>
    <s v="High"/>
    <s v="Low"/>
    <n v="6.0606060606060608E-2"/>
    <s v="High"/>
    <n v="1"/>
    <d v="2021-06-01T00:00:00"/>
    <s v="25+ months"/>
    <s v="2–3 tickets"/>
    <s v="46+ min"/>
    <s v="701–1000"/>
    <n v="31552"/>
    <n v="-98.599999999998545"/>
  </r>
  <r>
    <n v="11221"/>
    <n v="47"/>
    <s v="Male"/>
    <s v="Mumbai"/>
    <d v="2022-05-29T00:00:00"/>
    <d v="2023-01-26T00:00:00"/>
    <x v="0"/>
    <n v="812"/>
    <x v="6"/>
    <n v="3"/>
    <n v="97.73"/>
    <n v="10"/>
    <x v="0"/>
    <x v="1"/>
    <n v="16970.8"/>
    <b v="1"/>
    <n v="1.75"/>
    <n v="808.13333333333333"/>
    <n v="24.432500000000001"/>
    <d v="2022-05-01T00:00:00"/>
    <s v="Middle-aged"/>
    <n v="0"/>
    <s v="Yes"/>
    <n v="242"/>
    <s v="High"/>
    <s v="Low"/>
    <n v="0.13636363636363635"/>
    <s v="Medium"/>
    <n v="1"/>
    <d v="2022-05-01T00:00:00"/>
    <s v="13–24 months"/>
    <s v="2–3 tickets"/>
    <s v="46+ min"/>
    <s v="701–1000"/>
    <n v="17052"/>
    <n v="-81.200000000000728"/>
  </r>
  <r>
    <n v="11222"/>
    <n v="46"/>
    <s v="Male"/>
    <s v="Hyderabad"/>
    <d v="2022-05-18T00:00:00"/>
    <d v="2023-08-21T00:00:00"/>
    <x v="0"/>
    <n v="1289"/>
    <x v="7"/>
    <n v="3"/>
    <n v="62.59"/>
    <n v="20"/>
    <x v="1"/>
    <x v="1"/>
    <n v="1031.2"/>
    <b v="1"/>
    <n v="8.3333333333333329E-2"/>
    <n v="1031.2"/>
    <n v="15.647500000000001"/>
    <d v="2022-05-01T00:00:00"/>
    <s v="Middle-aged"/>
    <n v="0"/>
    <s v="No"/>
    <n v="460"/>
    <s v="High"/>
    <s v="Medium"/>
    <n v="1.5"/>
    <s v="Low"/>
    <n v="1"/>
    <d v="2022-05-01T00:00:00"/>
    <s v="0–6 months"/>
    <s v="2–3 tickets"/>
    <s v="46+ min"/>
    <s v="1000+"/>
    <n v="1289"/>
    <n v="-257.79999999999995"/>
  </r>
  <r>
    <n v="11223"/>
    <n v="62"/>
    <s v="Male"/>
    <s v="Delhi"/>
    <d v="2023-05-04T00:00:00"/>
    <d v="2021-10-11T00:00:00"/>
    <x v="0"/>
    <n v="740"/>
    <x v="20"/>
    <n v="2"/>
    <n v="98.39"/>
    <n v="20"/>
    <x v="1"/>
    <x v="1"/>
    <n v="4292"/>
    <b v="0"/>
    <n v="0.5"/>
    <n v="715.33333333333337"/>
    <n v="32.796666666666667"/>
    <d v="2023-05-01T00:00:00"/>
    <s v="Older"/>
    <n v="0"/>
    <s v="No"/>
    <m/>
    <s v="High"/>
    <s v="Medium"/>
    <n v="0.2857142857142857"/>
    <s v="Low"/>
    <n v="1"/>
    <d v="2023-05-01T00:00:00"/>
    <s v="0–6 months"/>
    <s v="2–3 tickets"/>
    <s v="46+ min"/>
    <s v="701–1000"/>
    <n v="4440"/>
    <n v="-148"/>
  </r>
  <r>
    <n v="11224"/>
    <n v="46"/>
    <s v="Male"/>
    <s v="Pune"/>
    <d v="2023-02-11T00:00:00"/>
    <d v="2021-07-25T00:00:00"/>
    <x v="2"/>
    <n v="1361"/>
    <x v="26"/>
    <n v="5"/>
    <n v="111.14"/>
    <n v="5"/>
    <x v="3"/>
    <x v="1"/>
    <n v="36678.949999999997"/>
    <b v="0"/>
    <n v="2.25"/>
    <n v="1358.4796296296295"/>
    <n v="18.523333333333333"/>
    <d v="2023-02-01T00:00:00"/>
    <s v="Middle-aged"/>
    <n v="0"/>
    <s v="Yes"/>
    <m/>
    <s v="High"/>
    <s v="Low"/>
    <n v="0.17857142857142858"/>
    <s v="High"/>
    <n v="2"/>
    <d v="2023-02-01T00:00:00"/>
    <s v="25+ months"/>
    <s v="4–5 tickets"/>
    <s v="46+ min"/>
    <s v="1000+"/>
    <n v="36747"/>
    <n v="-68.05000000000291"/>
  </r>
  <r>
    <n v="11225"/>
    <n v="47"/>
    <s v="Other"/>
    <s v="Pune"/>
    <d v="2022-11-07T00:00:00"/>
    <d v="2022-10-23T00:00:00"/>
    <x v="1"/>
    <n v="1001"/>
    <x v="31"/>
    <n v="3"/>
    <n v="113.91"/>
    <n v="10"/>
    <x v="0"/>
    <x v="0"/>
    <n v="22922.9"/>
    <b v="0"/>
    <n v="1.9166666666666667"/>
    <n v="996.64782608695657"/>
    <n v="28.477499999999999"/>
    <d v="2022-11-01T00:00:00"/>
    <s v="Middle-aged"/>
    <n v="1"/>
    <s v="Yes"/>
    <m/>
    <s v="High"/>
    <s v="Low"/>
    <n v="0.125"/>
    <s v="High"/>
    <n v="3"/>
    <d v="2022-11-01T00:00:00"/>
    <s v="13–24 months"/>
    <s v="2–3 tickets"/>
    <s v="46+ min"/>
    <s v="1000+"/>
    <n v="23023"/>
    <n v="-100.09999999999854"/>
  </r>
  <r>
    <n v="11226"/>
    <n v="33"/>
    <s v="Male"/>
    <s v="Mumbai"/>
    <d v="2021-01-06T00:00:00"/>
    <d v="2023-04-01T00:00:00"/>
    <x v="0"/>
    <n v="890"/>
    <x v="27"/>
    <n v="0"/>
    <n v="83.57"/>
    <n v="15"/>
    <x v="0"/>
    <x v="1"/>
    <n v="27456.5"/>
    <b v="1"/>
    <n v="2.5833333333333335"/>
    <n v="885.69354838709683"/>
    <n v="83.57"/>
    <d v="2021-01-01T00:00:00"/>
    <s v="Adult"/>
    <n v="0"/>
    <s v="Yes"/>
    <n v="815"/>
    <s v="High"/>
    <s v="Low"/>
    <n v="0"/>
    <s v="High"/>
    <n v="1"/>
    <d v="2021-01-01T00:00:00"/>
    <s v="25+ months"/>
    <s v="0–1 tickets"/>
    <s v="46+ min"/>
    <s v="701–1000"/>
    <n v="27590"/>
    <n v="-133.5"/>
  </r>
  <r>
    <n v="11227"/>
    <n v="57"/>
    <s v="Male"/>
    <s v="Chennai"/>
    <d v="2022-05-15T00:00:00"/>
    <d v="2022-11-23T00:00:00"/>
    <x v="1"/>
    <n v="366"/>
    <x v="34"/>
    <n v="5"/>
    <n v="29.31"/>
    <n v="20"/>
    <x v="3"/>
    <x v="0"/>
    <n v="4318.8"/>
    <b v="1"/>
    <n v="1"/>
    <n v="359.90000000000003"/>
    <n v="4.8849999999999998"/>
    <d v="2022-05-01T00:00:00"/>
    <s v="Older"/>
    <n v="1"/>
    <s v="No"/>
    <n v="192"/>
    <s v="Medium"/>
    <s v="Medium"/>
    <n v="0.38461538461538464"/>
    <s v="Low"/>
    <n v="3"/>
    <d v="2022-05-01T00:00:00"/>
    <s v="7–12 months"/>
    <s v="4–5 tickets"/>
    <s v="21–30 min"/>
    <s v="301–500"/>
    <n v="4392"/>
    <n v="-73.199999999999818"/>
  </r>
  <r>
    <n v="11228"/>
    <n v="36"/>
    <s v="Female"/>
    <s v="Pune"/>
    <d v="2022-10-23T00:00:00"/>
    <d v="2022-07-15T00:00:00"/>
    <x v="0"/>
    <n v="316"/>
    <x v="6"/>
    <n v="2"/>
    <n v="9.57"/>
    <n v="15"/>
    <x v="0"/>
    <x v="1"/>
    <n v="6588.6"/>
    <b v="0"/>
    <n v="1.75"/>
    <n v="313.74285714285713"/>
    <n v="3.19"/>
    <d v="2022-10-01T00:00:00"/>
    <s v="Middle-aged"/>
    <n v="0"/>
    <s v="No"/>
    <m/>
    <s v="Low"/>
    <s v="Low"/>
    <n v="9.0909090909090912E-2"/>
    <s v="Low"/>
    <n v="1"/>
    <d v="2022-10-01T00:00:00"/>
    <s v="13–24 months"/>
    <s v="2–3 tickets"/>
    <s v="0–10 min"/>
    <s v="301–500"/>
    <n v="6636"/>
    <n v="-47.399999999999636"/>
  </r>
  <r>
    <n v="11229"/>
    <n v="35"/>
    <s v="Female"/>
    <s v="Chennai"/>
    <d v="2022-12-18T00:00:00"/>
    <d v="2021-12-28T00:00:00"/>
    <x v="0"/>
    <n v="667"/>
    <x v="4"/>
    <n v="3"/>
    <n v="62.59"/>
    <n v="0"/>
    <x v="2"/>
    <x v="1"/>
    <n v="1334"/>
    <b v="0"/>
    <n v="0.16666666666666666"/>
    <n v="667"/>
    <n v="15.647500000000001"/>
    <d v="2022-12-01T00:00:00"/>
    <s v="Adult"/>
    <n v="0"/>
    <s v="No"/>
    <m/>
    <s v="High"/>
    <s v="Low"/>
    <n v="1"/>
    <s v="Low"/>
    <n v="1"/>
    <d v="2022-12-01T00:00:00"/>
    <s v="0–6 months"/>
    <s v="2–3 tickets"/>
    <s v="46+ min"/>
    <s v="501–700"/>
    <n v="1334"/>
    <n v="0"/>
  </r>
  <r>
    <n v="11230"/>
    <n v="18"/>
    <s v="Male"/>
    <s v="Pune"/>
    <d v="2021-04-28T00:00:00"/>
    <d v="2023-03-28T00:00:00"/>
    <x v="0"/>
    <n v="1203"/>
    <x v="21"/>
    <n v="1"/>
    <n v="116.04"/>
    <n v="0"/>
    <x v="3"/>
    <x v="0"/>
    <n v="6015"/>
    <b v="1"/>
    <n v="0.41666666666666669"/>
    <n v="1203"/>
    <n v="58.02"/>
    <d v="2021-04-01T00:00:00"/>
    <s v="Young"/>
    <n v="1"/>
    <s v="No"/>
    <n v="699"/>
    <s v="High"/>
    <s v="Low"/>
    <n v="0.16666666666666666"/>
    <s v="Low"/>
    <n v="1"/>
    <d v="2021-04-01T00:00:00"/>
    <s v="0–6 months"/>
    <s v="0–1 tickets"/>
    <s v="46+ min"/>
    <s v="1000+"/>
    <n v="6015"/>
    <n v="0"/>
  </r>
  <r>
    <n v="11231"/>
    <n v="31"/>
    <s v="Male"/>
    <s v="Mumbai"/>
    <d v="2022-04-30T00:00:00"/>
    <d v="2022-03-20T00:00:00"/>
    <x v="0"/>
    <n v="1020"/>
    <x v="9"/>
    <n v="2"/>
    <n v="58.14"/>
    <n v="15"/>
    <x v="3"/>
    <x v="1"/>
    <n v="9027"/>
    <b v="0"/>
    <n v="0.75"/>
    <n v="1003"/>
    <n v="19.38"/>
    <d v="2022-04-01T00:00:00"/>
    <s v="Adult"/>
    <n v="0"/>
    <s v="No"/>
    <m/>
    <s v="Medium"/>
    <s v="Low"/>
    <n v="0.2"/>
    <s v="Medium"/>
    <n v="1"/>
    <d v="2022-04-01T00:00:00"/>
    <s v="7–12 months"/>
    <s v="2–3 tickets"/>
    <s v="46+ min"/>
    <s v="1000+"/>
    <n v="9180"/>
    <n v="-153"/>
  </r>
  <r>
    <n v="11232"/>
    <n v="64"/>
    <s v="Male"/>
    <s v="Bangalore"/>
    <d v="2022-08-24T00:00:00"/>
    <d v="2023-06-04T00:00:00"/>
    <x v="1"/>
    <n v="1257"/>
    <x v="28"/>
    <n v="0"/>
    <n v="103.32"/>
    <n v="0"/>
    <x v="3"/>
    <x v="1"/>
    <n v="25140"/>
    <b v="1"/>
    <n v="1.6666666666666667"/>
    <n v="1257"/>
    <n v="103.32"/>
    <d v="2022-08-01T00:00:00"/>
    <s v="Older"/>
    <n v="0"/>
    <s v="Yes"/>
    <n v="284"/>
    <s v="High"/>
    <s v="Low"/>
    <n v="0"/>
    <s v="High"/>
    <n v="3"/>
    <d v="2022-08-01T00:00:00"/>
    <s v="13–24 months"/>
    <s v="0–1 tickets"/>
    <s v="46+ min"/>
    <s v="1000+"/>
    <n v="25140"/>
    <n v="0"/>
  </r>
  <r>
    <n v="11233"/>
    <n v="19"/>
    <s v="Female"/>
    <s v="Mumbai"/>
    <d v="2022-10-28T00:00:00"/>
    <d v="2021-09-23T00:00:00"/>
    <x v="0"/>
    <n v="1207"/>
    <x v="10"/>
    <n v="2"/>
    <n v="58.48"/>
    <n v="15"/>
    <x v="2"/>
    <x v="0"/>
    <n v="21544.95"/>
    <b v="0"/>
    <n v="1.5"/>
    <n v="1196.9416666666666"/>
    <n v="19.493333333333332"/>
    <d v="2022-10-01T00:00:00"/>
    <s v="Young"/>
    <n v="1"/>
    <s v="Yes"/>
    <m/>
    <s v="Medium"/>
    <s v="Low"/>
    <n v="0.10526315789473684"/>
    <s v="High"/>
    <n v="1"/>
    <d v="2022-10-01T00:00:00"/>
    <s v="13–24 months"/>
    <s v="2–3 tickets"/>
    <s v="46+ min"/>
    <s v="1000+"/>
    <n v="21726"/>
    <n v="-181.04999999999927"/>
  </r>
  <r>
    <n v="11234"/>
    <n v="45"/>
    <s v="Male"/>
    <s v="Mumbai"/>
    <d v="2022-11-10T00:00:00"/>
    <d v="2023-04-01T00:00:00"/>
    <x v="2"/>
    <n v="1288"/>
    <x v="1"/>
    <n v="1"/>
    <n v="80.989999999999995"/>
    <n v="5"/>
    <x v="0"/>
    <x v="1"/>
    <n v="28271.599999999999"/>
    <b v="1"/>
    <n v="1.8333333333333333"/>
    <n v="1285.0727272727272"/>
    <n v="40.494999999999997"/>
    <d v="2022-11-01T00:00:00"/>
    <s v="Middle-aged"/>
    <n v="0"/>
    <s v="Yes"/>
    <n v="142"/>
    <s v="High"/>
    <s v="Low"/>
    <n v="4.3478260869565216E-2"/>
    <s v="High"/>
    <n v="2"/>
    <d v="2022-11-01T00:00:00"/>
    <s v="13–24 months"/>
    <s v="0–1 tickets"/>
    <s v="46+ min"/>
    <s v="1000+"/>
    <n v="28336"/>
    <n v="-64.400000000001455"/>
  </r>
  <r>
    <n v="11235"/>
    <n v="47"/>
    <s v="Male"/>
    <s v="Bangalore"/>
    <d v="2022-04-13T00:00:00"/>
    <d v="2022-02-14T00:00:00"/>
    <x v="2"/>
    <n v="772"/>
    <x v="14"/>
    <n v="2"/>
    <n v="7.78"/>
    <n v="5"/>
    <x v="2"/>
    <x v="1"/>
    <n v="6137.4"/>
    <b v="0"/>
    <n v="0.66666666666666663"/>
    <n v="767.17499999999995"/>
    <n v="2.5933333333333333"/>
    <d v="2022-04-01T00:00:00"/>
    <s v="Middle-aged"/>
    <n v="0"/>
    <s v="No"/>
    <m/>
    <s v="Low"/>
    <s v="Low"/>
    <n v="0.22222222222222221"/>
    <s v="Low"/>
    <n v="2"/>
    <d v="2022-04-01T00:00:00"/>
    <s v="7–12 months"/>
    <s v="2–3 tickets"/>
    <s v="0–10 min"/>
    <s v="701–1000"/>
    <n v="6176"/>
    <n v="-38.600000000000364"/>
  </r>
  <r>
    <n v="11236"/>
    <n v="55"/>
    <s v="Female"/>
    <s v="Bangalore"/>
    <d v="2021-06-10T00:00:00"/>
    <d v="2023-07-03T00:00:00"/>
    <x v="1"/>
    <n v="414"/>
    <x v="22"/>
    <n v="3"/>
    <n v="33.729999999999997"/>
    <n v="0"/>
    <x v="2"/>
    <x v="0"/>
    <n v="14076"/>
    <b v="1"/>
    <n v="2.8333333333333335"/>
    <n v="414"/>
    <n v="8.4324999999999992"/>
    <d v="2021-06-01T00:00:00"/>
    <s v="Older"/>
    <n v="1"/>
    <s v="Yes"/>
    <n v="753"/>
    <s v="Medium"/>
    <s v="Low"/>
    <n v="8.5714285714285715E-2"/>
    <s v="Medium"/>
    <n v="3"/>
    <d v="2021-06-01T00:00:00"/>
    <s v="25+ months"/>
    <s v="2–3 tickets"/>
    <s v="31–45 min"/>
    <s v="301–500"/>
    <n v="14076"/>
    <n v="0"/>
  </r>
  <r>
    <n v="11237"/>
    <n v="21"/>
    <s v="Male"/>
    <s v="Delhi"/>
    <d v="2021-09-27T00:00:00"/>
    <d v="2021-09-30T00:00:00"/>
    <x v="0"/>
    <n v="399"/>
    <x v="9"/>
    <n v="2"/>
    <n v="55.17"/>
    <n v="15"/>
    <x v="2"/>
    <x v="1"/>
    <n v="3531.15"/>
    <b v="1"/>
    <n v="0.75"/>
    <n v="392.35"/>
    <n v="18.39"/>
    <d v="2021-09-01T00:00:00"/>
    <s v="Young"/>
    <n v="0"/>
    <s v="No"/>
    <n v="3"/>
    <s v="Medium"/>
    <s v="Low"/>
    <n v="0.2"/>
    <s v="Low"/>
    <n v="1"/>
    <d v="2021-09-01T00:00:00"/>
    <s v="7–12 months"/>
    <s v="2–3 tickets"/>
    <s v="46+ min"/>
    <s v="301–500"/>
    <n v="3591"/>
    <n v="-59.849999999999909"/>
  </r>
  <r>
    <n v="11238"/>
    <n v="18"/>
    <s v="Female"/>
    <s v="Pune"/>
    <d v="2021-02-25T00:00:00"/>
    <d v="2022-03-26T00:00:00"/>
    <x v="0"/>
    <n v="737"/>
    <x v="16"/>
    <n v="2"/>
    <n v="77.52"/>
    <n v="15"/>
    <x v="1"/>
    <x v="0"/>
    <n v="5048.45"/>
    <b v="1"/>
    <n v="0.58333333333333337"/>
    <n v="721.2071428571428"/>
    <n v="25.84"/>
    <d v="2021-02-01T00:00:00"/>
    <s v="Young"/>
    <n v="1"/>
    <s v="No"/>
    <n v="394"/>
    <s v="High"/>
    <s v="Low"/>
    <n v="0.25"/>
    <s v="Low"/>
    <n v="1"/>
    <d v="2021-02-01T00:00:00"/>
    <s v="7–12 months"/>
    <s v="2–3 tickets"/>
    <s v="46+ min"/>
    <s v="701–1000"/>
    <n v="5159"/>
    <n v="-110.55000000000018"/>
  </r>
  <r>
    <n v="11239"/>
    <n v="25"/>
    <s v="Female"/>
    <s v="Delhi"/>
    <d v="2021-08-16T00:00:00"/>
    <d v="2023-07-15T00:00:00"/>
    <x v="0"/>
    <n v="648"/>
    <x v="3"/>
    <n v="1"/>
    <n v="24.72"/>
    <n v="15"/>
    <x v="0"/>
    <x v="0"/>
    <n v="19342.8"/>
    <b v="1"/>
    <n v="2.5"/>
    <n v="644.76"/>
    <n v="12.36"/>
    <d v="2021-08-01T00:00:00"/>
    <s v="Young"/>
    <n v="1"/>
    <s v="Yes"/>
    <n v="698"/>
    <s v="Medium"/>
    <s v="Low"/>
    <n v="3.2258064516129031E-2"/>
    <s v="Medium"/>
    <n v="1"/>
    <d v="2021-08-01T00:00:00"/>
    <s v="25+ months"/>
    <s v="0–1 tickets"/>
    <s v="21–30 min"/>
    <s v="501–700"/>
    <n v="19440"/>
    <n v="-97.200000000000728"/>
  </r>
  <r>
    <n v="11240"/>
    <n v="46"/>
    <s v="Male"/>
    <s v="Bangalore"/>
    <d v="2023-04-29T00:00:00"/>
    <d v="2022-06-16T00:00:00"/>
    <x v="0"/>
    <n v="438"/>
    <x v="10"/>
    <n v="2"/>
    <n v="92.92"/>
    <n v="0"/>
    <x v="0"/>
    <x v="1"/>
    <n v="7884"/>
    <b v="0"/>
    <n v="1.5"/>
    <n v="438"/>
    <n v="30.973333333333333"/>
    <d v="2023-04-01T00:00:00"/>
    <s v="Middle-aged"/>
    <n v="0"/>
    <s v="No"/>
    <m/>
    <s v="High"/>
    <s v="Low"/>
    <n v="0.10526315789473684"/>
    <s v="Low"/>
    <n v="1"/>
    <d v="2023-04-01T00:00:00"/>
    <s v="13–24 months"/>
    <s v="2–3 tickets"/>
    <s v="46+ min"/>
    <s v="301–500"/>
    <n v="7884"/>
    <n v="0"/>
  </r>
  <r>
    <n v="11241"/>
    <n v="56"/>
    <s v="Female"/>
    <s v="unknown"/>
    <d v="2021-05-29T00:00:00"/>
    <d v="2022-12-13T00:00:00"/>
    <x v="0"/>
    <n v="1127"/>
    <x v="26"/>
    <n v="2"/>
    <n v="46.91"/>
    <n v="15"/>
    <x v="3"/>
    <x v="1"/>
    <n v="30259.95"/>
    <b v="1"/>
    <n v="2.25"/>
    <n v="1120.7388888888888"/>
    <n v="15.636666666666665"/>
    <d v="2021-05-01T00:00:00"/>
    <s v="Older"/>
    <n v="0"/>
    <s v="Yes"/>
    <n v="563"/>
    <s v="Medium"/>
    <s v="Low"/>
    <n v="7.1428571428571425E-2"/>
    <s v="High"/>
    <n v="1"/>
    <d v="2021-05-01T00:00:00"/>
    <s v="25+ months"/>
    <s v="2–3 tickets"/>
    <s v="46+ min"/>
    <s v="1000+"/>
    <n v="30429"/>
    <n v="-169.04999999999927"/>
  </r>
  <r>
    <n v="11242"/>
    <n v="20"/>
    <s v="Female"/>
    <s v="Chennai"/>
    <d v="2021-02-15T00:00:00"/>
    <d v="2023-11-06T00:00:00"/>
    <x v="1"/>
    <n v="623"/>
    <x v="24"/>
    <n v="4"/>
    <n v="99.01"/>
    <n v="20"/>
    <x v="3"/>
    <x v="1"/>
    <n v="9843.4"/>
    <b v="1"/>
    <n v="1.3333333333333333"/>
    <n v="615.21249999999998"/>
    <n v="19.802"/>
    <d v="2021-02-01T00:00:00"/>
    <s v="Young"/>
    <n v="0"/>
    <s v="No"/>
    <n v="994"/>
    <s v="High"/>
    <s v="Medium"/>
    <n v="0.23529411764705882"/>
    <s v="Medium"/>
    <n v="3"/>
    <d v="2021-02-01T00:00:00"/>
    <s v="13–24 months"/>
    <s v="4–5 tickets"/>
    <s v="46+ min"/>
    <s v="501–700"/>
    <n v="9968"/>
    <n v="-124.60000000000036"/>
  </r>
  <r>
    <n v="11243"/>
    <n v="49"/>
    <s v="Male"/>
    <s v="Mumbai"/>
    <d v="2021-05-24T00:00:00"/>
    <d v="2023-09-19T00:00:00"/>
    <x v="2"/>
    <n v="1145"/>
    <x v="6"/>
    <n v="1"/>
    <n v="16.27"/>
    <n v="15"/>
    <x v="1"/>
    <x v="1"/>
    <n v="23873.25"/>
    <b v="1"/>
    <n v="1.75"/>
    <n v="1136.8214285714287"/>
    <n v="8.1349999999999998"/>
    <d v="2021-05-01T00:00:00"/>
    <s v="Middle-aged"/>
    <n v="0"/>
    <s v="Yes"/>
    <n v="848"/>
    <s v="Low"/>
    <s v="Low"/>
    <n v="4.5454545454545456E-2"/>
    <s v="High"/>
    <n v="2"/>
    <d v="2021-05-01T00:00:00"/>
    <s v="13–24 months"/>
    <s v="0–1 tickets"/>
    <s v="11–20 min"/>
    <s v="1000+"/>
    <n v="24045"/>
    <n v="-171.75"/>
  </r>
  <r>
    <n v="11244"/>
    <n v="27"/>
    <s v="Female"/>
    <s v="Hyderabad"/>
    <d v="2023-01-20T00:00:00"/>
    <d v="2022-10-14T00:00:00"/>
    <x v="2"/>
    <n v="593"/>
    <x v="21"/>
    <n v="3"/>
    <n v="83.17"/>
    <n v="20"/>
    <x v="2"/>
    <x v="0"/>
    <n v="2846.4"/>
    <b v="0"/>
    <n v="0.41666666666666669"/>
    <n v="569.28"/>
    <n v="20.7925"/>
    <d v="2023-01-01T00:00:00"/>
    <s v="Adult"/>
    <n v="1"/>
    <s v="No"/>
    <m/>
    <s v="High"/>
    <s v="Medium"/>
    <n v="0.5"/>
    <s v="Low"/>
    <n v="2"/>
    <d v="2023-01-01T00:00:00"/>
    <s v="0–6 months"/>
    <s v="2–3 tickets"/>
    <s v="46+ min"/>
    <s v="501–700"/>
    <n v="2965"/>
    <n v="-118.59999999999991"/>
  </r>
  <r>
    <n v="11245"/>
    <n v="27"/>
    <s v="Female"/>
    <s v="Mumbai"/>
    <d v="2023-02-23T00:00:00"/>
    <d v="2022-03-24T00:00:00"/>
    <x v="2"/>
    <n v="1267"/>
    <x v="5"/>
    <n v="1"/>
    <n v="38.729999999999997"/>
    <n v="5"/>
    <x v="3"/>
    <x v="1"/>
    <n v="36679.65"/>
    <b v="0"/>
    <n v="2.4166666666666665"/>
    <n v="1264.8155172413794"/>
    <n v="19.364999999999998"/>
    <d v="2023-02-01T00:00:00"/>
    <s v="Adult"/>
    <n v="0"/>
    <s v="Yes"/>
    <m/>
    <s v="Medium"/>
    <s v="Low"/>
    <n v="3.3333333333333333E-2"/>
    <s v="High"/>
    <n v="2"/>
    <d v="2023-02-01T00:00:00"/>
    <s v="25+ months"/>
    <s v="0–1 tickets"/>
    <s v="31–45 min"/>
    <s v="1000+"/>
    <n v="36743"/>
    <n v="-63.349999999998545"/>
  </r>
  <r>
    <n v="11246"/>
    <n v="36"/>
    <s v="Female"/>
    <s v="Mumbai"/>
    <d v="2022-09-24T00:00:00"/>
    <d v="2022-05-28T00:00:00"/>
    <x v="0"/>
    <n v="373"/>
    <x v="1"/>
    <n v="2"/>
    <n v="96.47"/>
    <n v="20"/>
    <x v="0"/>
    <x v="1"/>
    <n v="8131.4"/>
    <b v="0"/>
    <n v="1.8333333333333333"/>
    <n v="369.60909090909087"/>
    <n v="32.156666666666666"/>
    <d v="2022-09-01T00:00:00"/>
    <s v="Middle-aged"/>
    <n v="0"/>
    <s v="No"/>
    <m/>
    <s v="High"/>
    <s v="Medium"/>
    <n v="8.6956521739130432E-2"/>
    <s v="Low"/>
    <n v="1"/>
    <d v="2022-09-01T00:00:00"/>
    <s v="13–24 months"/>
    <s v="2–3 tickets"/>
    <s v="46+ min"/>
    <s v="301–500"/>
    <n v="8206"/>
    <n v="-74.600000000000364"/>
  </r>
  <r>
    <n v="11247"/>
    <n v="63"/>
    <s v="Male"/>
    <s v="unknown"/>
    <d v="2021-12-06T00:00:00"/>
    <d v="2023-01-10T00:00:00"/>
    <x v="0"/>
    <n v="783"/>
    <x v="25"/>
    <n v="2"/>
    <n v="51.25"/>
    <n v="5"/>
    <x v="3"/>
    <x v="1"/>
    <n v="10922.85"/>
    <b v="1"/>
    <n v="1.1666666666666667"/>
    <n v="780.20357142857142"/>
    <n v="17.083333333333332"/>
    <d v="2021-12-01T00:00:00"/>
    <s v="Older"/>
    <n v="0"/>
    <s v="No"/>
    <n v="400"/>
    <s v="Medium"/>
    <s v="Low"/>
    <n v="0.13333333333333333"/>
    <s v="Medium"/>
    <n v="1"/>
    <d v="2021-12-01T00:00:00"/>
    <s v="13–24 months"/>
    <s v="2–3 tickets"/>
    <s v="46+ min"/>
    <s v="701–1000"/>
    <n v="10962"/>
    <n v="-39.149999999999636"/>
  </r>
  <r>
    <n v="11248"/>
    <n v="41"/>
    <s v="Other"/>
    <s v="Pune"/>
    <d v="2022-02-17T00:00:00"/>
    <d v="2022-09-06T00:00:00"/>
    <x v="1"/>
    <n v="315"/>
    <x v="17"/>
    <n v="0"/>
    <n v="81.52"/>
    <n v="0"/>
    <x v="2"/>
    <x v="0"/>
    <n v="5985"/>
    <b v="1"/>
    <n v="1.5833333333333333"/>
    <n v="315"/>
    <n v="81.52"/>
    <d v="2022-02-01T00:00:00"/>
    <s v="Middle-aged"/>
    <n v="1"/>
    <s v="No"/>
    <n v="201"/>
    <s v="High"/>
    <s v="Low"/>
    <n v="0"/>
    <s v="Low"/>
    <n v="3"/>
    <d v="2022-02-01T00:00:00"/>
    <s v="13–24 months"/>
    <s v="0–1 tickets"/>
    <s v="46+ min"/>
    <s v="301–500"/>
    <n v="5985"/>
    <n v="0"/>
  </r>
  <r>
    <n v="11249"/>
    <n v="50"/>
    <s v="Male"/>
    <s v="Bangalore"/>
    <d v="2023-01-02T00:00:00"/>
    <d v="2022-08-12T00:00:00"/>
    <x v="1"/>
    <n v="1092"/>
    <x v="12"/>
    <n v="1"/>
    <n v="112.45"/>
    <n v="5"/>
    <x v="1"/>
    <x v="1"/>
    <n v="38165.4"/>
    <b v="0"/>
    <n v="2.9166666666666665"/>
    <n v="1090.44"/>
    <n v="56.225000000000001"/>
    <d v="2023-01-01T00:00:00"/>
    <s v="Middle-aged"/>
    <n v="0"/>
    <s v="Yes"/>
    <m/>
    <s v="High"/>
    <s v="Low"/>
    <n v="2.7777777777777776E-2"/>
    <s v="High"/>
    <n v="3"/>
    <d v="2023-01-01T00:00:00"/>
    <s v="25+ months"/>
    <s v="0–1 tickets"/>
    <s v="46+ min"/>
    <s v="1000+"/>
    <n v="38220"/>
    <n v="-54.599999999998545"/>
  </r>
  <r>
    <n v="11250"/>
    <n v="40"/>
    <s v="Male"/>
    <s v="Chennai"/>
    <d v="2022-06-04T00:00:00"/>
    <d v="2021-10-05T00:00:00"/>
    <x v="1"/>
    <n v="815"/>
    <x v="30"/>
    <n v="3"/>
    <n v="7.37"/>
    <n v="5"/>
    <x v="2"/>
    <x v="0"/>
    <n v="19519.25"/>
    <b v="0"/>
    <n v="2"/>
    <n v="813.30208333333337"/>
    <n v="1.8425"/>
    <d v="2022-06-01T00:00:00"/>
    <s v="Middle-aged"/>
    <n v="1"/>
    <s v="Yes"/>
    <m/>
    <s v="Low"/>
    <s v="Low"/>
    <n v="0.12"/>
    <s v="High"/>
    <n v="3"/>
    <d v="2022-06-01T00:00:00"/>
    <s v="13–24 months"/>
    <s v="2–3 tickets"/>
    <s v="0–10 min"/>
    <s v="701–1000"/>
    <n v="19560"/>
    <n v="-40.75"/>
  </r>
  <r>
    <n v="11251"/>
    <n v="45"/>
    <s v="Male"/>
    <s v="Mumbai"/>
    <d v="2021-12-10T00:00:00"/>
    <d v="2021-12-14T00:00:00"/>
    <x v="1"/>
    <n v="1224"/>
    <x v="20"/>
    <n v="3"/>
    <n v="6.28"/>
    <n v="15"/>
    <x v="3"/>
    <x v="1"/>
    <n v="7160.4"/>
    <b v="1"/>
    <n v="0.5"/>
    <n v="1193.3999999999999"/>
    <n v="1.57"/>
    <d v="2021-12-01T00:00:00"/>
    <s v="Middle-aged"/>
    <n v="0"/>
    <s v="No"/>
    <n v="4"/>
    <s v="Low"/>
    <s v="Low"/>
    <n v="0.42857142857142855"/>
    <s v="Low"/>
    <n v="3"/>
    <d v="2021-12-01T00:00:00"/>
    <s v="0–6 months"/>
    <s v="2–3 tickets"/>
    <s v="0–10 min"/>
    <s v="1000+"/>
    <n v="7344"/>
    <n v="-183.60000000000036"/>
  </r>
  <r>
    <n v="11252"/>
    <n v="49"/>
    <s v="Male"/>
    <s v="Hyderabad"/>
    <d v="2022-01-22T00:00:00"/>
    <d v="2022-01-07T00:00:00"/>
    <x v="0"/>
    <n v="1450"/>
    <x v="13"/>
    <n v="2"/>
    <n v="62.59"/>
    <n v="10"/>
    <x v="1"/>
    <x v="1"/>
    <n v="4205"/>
    <b v="0"/>
    <n v="0.25"/>
    <n v="1401.6666666666667"/>
    <n v="20.863333333333333"/>
    <d v="2022-01-01T00:00:00"/>
    <s v="Middle-aged"/>
    <n v="0"/>
    <s v="No"/>
    <m/>
    <s v="High"/>
    <s v="Low"/>
    <n v="0.5"/>
    <s v="Low"/>
    <n v="1"/>
    <d v="2022-01-01T00:00:00"/>
    <s v="0–6 months"/>
    <s v="2–3 tickets"/>
    <s v="46+ min"/>
    <s v="1000+"/>
    <n v="4350"/>
    <n v="-145"/>
  </r>
  <r>
    <n v="11253"/>
    <n v="24"/>
    <s v="Female"/>
    <s v="Delhi"/>
    <d v="2022-04-18T00:00:00"/>
    <d v="2021-08-30T00:00:00"/>
    <x v="0"/>
    <n v="1123"/>
    <x v="22"/>
    <n v="1"/>
    <n v="79.34"/>
    <n v="5"/>
    <x v="1"/>
    <x v="0"/>
    <n v="38125.85"/>
    <b v="0"/>
    <n v="2.8333333333333335"/>
    <n v="1121.3485294117647"/>
    <n v="39.67"/>
    <d v="2022-04-01T00:00:00"/>
    <s v="Young"/>
    <n v="1"/>
    <s v="Yes"/>
    <m/>
    <s v="High"/>
    <s v="Low"/>
    <n v="2.8571428571428571E-2"/>
    <s v="High"/>
    <n v="1"/>
    <d v="2022-04-01T00:00:00"/>
    <s v="25+ months"/>
    <s v="0–1 tickets"/>
    <s v="46+ min"/>
    <s v="1000+"/>
    <n v="38182"/>
    <n v="-56.150000000001455"/>
  </r>
  <r>
    <n v="11254"/>
    <n v="46"/>
    <s v="Male"/>
    <s v="Mumbai"/>
    <d v="2021-10-02T00:00:00"/>
    <d v="2022-07-16T00:00:00"/>
    <x v="0"/>
    <n v="817"/>
    <x v="4"/>
    <n v="1"/>
    <n v="38.69"/>
    <n v="20"/>
    <x v="2"/>
    <x v="0"/>
    <n v="1470.6"/>
    <b v="1"/>
    <n v="0.16666666666666666"/>
    <n v="735.3"/>
    <n v="19.344999999999999"/>
    <d v="2021-10-01T00:00:00"/>
    <s v="Middle-aged"/>
    <n v="1"/>
    <s v="No"/>
    <n v="287"/>
    <s v="Medium"/>
    <s v="Medium"/>
    <n v="0.33333333333333331"/>
    <s v="Low"/>
    <n v="1"/>
    <d v="2021-10-01T00:00:00"/>
    <s v="0–6 months"/>
    <s v="0–1 tickets"/>
    <s v="31–45 min"/>
    <s v="701–1000"/>
    <n v="1634"/>
    <n v="-163.40000000000009"/>
  </r>
  <r>
    <n v="11255"/>
    <n v="25"/>
    <s v="Male"/>
    <s v="Chennai"/>
    <d v="2021-12-19T00:00:00"/>
    <d v="2021-06-08T00:00:00"/>
    <x v="0"/>
    <n v="428"/>
    <x v="15"/>
    <n v="0"/>
    <n v="61.86"/>
    <n v="0"/>
    <x v="3"/>
    <x v="1"/>
    <n v="6420"/>
    <b v="0"/>
    <n v="1.25"/>
    <n v="428"/>
    <n v="61.86"/>
    <d v="2021-12-01T00:00:00"/>
    <s v="Young"/>
    <n v="0"/>
    <s v="No"/>
    <m/>
    <s v="High"/>
    <s v="Low"/>
    <n v="0"/>
    <s v="Low"/>
    <n v="1"/>
    <d v="2021-12-01T00:00:00"/>
    <s v="13–24 months"/>
    <s v="0–1 tickets"/>
    <s v="46+ min"/>
    <s v="301–500"/>
    <n v="6420"/>
    <n v="0"/>
  </r>
  <r>
    <n v="11256"/>
    <n v="18"/>
    <s v="Female"/>
    <s v="Bangalore"/>
    <d v="2021-03-07T00:00:00"/>
    <d v="2022-11-26T00:00:00"/>
    <x v="0"/>
    <n v="810"/>
    <x v="15"/>
    <n v="1"/>
    <n v="9.82"/>
    <n v="20"/>
    <x v="2"/>
    <x v="1"/>
    <n v="11988"/>
    <b v="1"/>
    <n v="1.25"/>
    <n v="799.2"/>
    <n v="4.91"/>
    <d v="2021-03-01T00:00:00"/>
    <s v="Young"/>
    <n v="0"/>
    <s v="No"/>
    <n v="629"/>
    <s v="Low"/>
    <s v="Medium"/>
    <n v="6.25E-2"/>
    <s v="Medium"/>
    <n v="1"/>
    <d v="2021-03-01T00:00:00"/>
    <s v="13–24 months"/>
    <s v="0–1 tickets"/>
    <s v="0–10 min"/>
    <s v="701–1000"/>
    <n v="12150"/>
    <n v="-162"/>
  </r>
  <r>
    <n v="11257"/>
    <n v="20"/>
    <s v="Male"/>
    <s v="Mumbai"/>
    <d v="2021-03-20T00:00:00"/>
    <d v="2022-09-11T00:00:00"/>
    <x v="2"/>
    <n v="722"/>
    <x v="23"/>
    <n v="2"/>
    <n v="27.13"/>
    <n v="0"/>
    <x v="3"/>
    <x v="1"/>
    <n v="23104"/>
    <b v="1"/>
    <n v="2.6666666666666665"/>
    <n v="722"/>
    <n v="9.043333333333333"/>
    <d v="2021-03-01T00:00:00"/>
    <s v="Young"/>
    <n v="0"/>
    <s v="Yes"/>
    <n v="540"/>
    <s v="Medium"/>
    <s v="Low"/>
    <n v="6.0606060606060608E-2"/>
    <s v="High"/>
    <n v="2"/>
    <d v="2021-03-01T00:00:00"/>
    <s v="25+ months"/>
    <s v="2–3 tickets"/>
    <s v="21–30 min"/>
    <s v="701–1000"/>
    <n v="23104"/>
    <n v="0"/>
  </r>
  <r>
    <n v="11258"/>
    <n v="41"/>
    <s v="Male"/>
    <s v="Mumbai"/>
    <d v="2022-08-21T00:00:00"/>
    <d v="2022-04-16T00:00:00"/>
    <x v="2"/>
    <n v="684"/>
    <x v="6"/>
    <n v="0"/>
    <n v="53.82"/>
    <n v="20"/>
    <x v="3"/>
    <x v="0"/>
    <n v="14227.2"/>
    <b v="0"/>
    <n v="1.75"/>
    <n v="677.48571428571427"/>
    <n v="53.82"/>
    <d v="2022-08-01T00:00:00"/>
    <s v="Middle-aged"/>
    <n v="1"/>
    <s v="Yes"/>
    <m/>
    <s v="Medium"/>
    <s v="Medium"/>
    <n v="0"/>
    <s v="Medium"/>
    <n v="2"/>
    <d v="2022-08-01T00:00:00"/>
    <s v="13–24 months"/>
    <s v="0–1 tickets"/>
    <s v="46+ min"/>
    <s v="501–700"/>
    <n v="14364"/>
    <n v="-136.79999999999927"/>
  </r>
  <r>
    <n v="11259"/>
    <n v="40"/>
    <s v="Male"/>
    <s v="Pune"/>
    <d v="2022-09-28T00:00:00"/>
    <d v="2022-06-29T00:00:00"/>
    <x v="1"/>
    <n v="531"/>
    <x v="18"/>
    <n v="3"/>
    <n v="100.92"/>
    <n v="5"/>
    <x v="0"/>
    <x v="1"/>
    <n v="9000.4500000000007"/>
    <b v="0"/>
    <n v="1.4166666666666667"/>
    <n v="529.4382352941177"/>
    <n v="25.23"/>
    <d v="2022-09-01T00:00:00"/>
    <s v="Middle-aged"/>
    <n v="0"/>
    <s v="No"/>
    <m/>
    <s v="High"/>
    <s v="Low"/>
    <n v="0.16666666666666666"/>
    <s v="Medium"/>
    <n v="3"/>
    <d v="2022-09-01T00:00:00"/>
    <s v="13–24 months"/>
    <s v="2–3 tickets"/>
    <s v="46+ min"/>
    <s v="501–700"/>
    <n v="9027"/>
    <n v="-26.549999999999272"/>
  </r>
  <r>
    <n v="11260"/>
    <n v="25"/>
    <s v="Male"/>
    <s v="Hyderabad"/>
    <d v="2021-07-21T00:00:00"/>
    <d v="2022-02-24T00:00:00"/>
    <x v="2"/>
    <n v="1258"/>
    <x v="22"/>
    <n v="2"/>
    <n v="60.16"/>
    <n v="10"/>
    <x v="1"/>
    <x v="1"/>
    <n v="42646.2"/>
    <b v="1"/>
    <n v="2.8333333333333335"/>
    <n v="1254.3"/>
    <n v="20.053333333333331"/>
    <d v="2021-07-01T00:00:00"/>
    <s v="Young"/>
    <n v="0"/>
    <s v="Yes"/>
    <n v="218"/>
    <s v="High"/>
    <s v="Low"/>
    <n v="5.7142857142857141E-2"/>
    <s v="High"/>
    <n v="2"/>
    <d v="2021-07-01T00:00:00"/>
    <s v="25+ months"/>
    <s v="2–3 tickets"/>
    <s v="46+ min"/>
    <s v="1000+"/>
    <n v="42772"/>
    <n v="-125.80000000000291"/>
  </r>
  <r>
    <n v="11261"/>
    <n v="64"/>
    <s v="Male"/>
    <s v="Delhi"/>
    <d v="2022-10-24T00:00:00"/>
    <d v="2021-12-08T00:00:00"/>
    <x v="1"/>
    <n v="1124"/>
    <x v="23"/>
    <n v="4"/>
    <n v="72.430000000000007"/>
    <n v="5"/>
    <x v="3"/>
    <x v="1"/>
    <n v="35911.800000000003"/>
    <b v="0"/>
    <n v="2.6666666666666665"/>
    <n v="1122.2437500000001"/>
    <n v="14.486000000000001"/>
    <d v="2022-10-01T00:00:00"/>
    <s v="Older"/>
    <n v="0"/>
    <s v="Yes"/>
    <m/>
    <s v="High"/>
    <s v="Low"/>
    <n v="0.12121212121212122"/>
    <s v="High"/>
    <n v="3"/>
    <d v="2022-10-01T00:00:00"/>
    <s v="25+ months"/>
    <s v="4–5 tickets"/>
    <s v="46+ min"/>
    <s v="1000+"/>
    <n v="35968"/>
    <n v="-56.19999999999709"/>
  </r>
  <r>
    <n v="11262"/>
    <n v="54"/>
    <s v="Female"/>
    <s v="Delhi"/>
    <d v="2022-07-12T00:00:00"/>
    <d v="2023-10-09T00:00:00"/>
    <x v="0"/>
    <n v="364"/>
    <x v="31"/>
    <n v="1"/>
    <n v="105.48"/>
    <n v="15"/>
    <x v="2"/>
    <x v="1"/>
    <n v="8317.4"/>
    <b v="1"/>
    <n v="1.9166666666666667"/>
    <n v="361.6260869565217"/>
    <n v="52.74"/>
    <d v="2022-07-01T00:00:00"/>
    <s v="Older"/>
    <n v="0"/>
    <s v="No"/>
    <n v="454"/>
    <s v="High"/>
    <s v="Low"/>
    <n v="4.1666666666666664E-2"/>
    <s v="Low"/>
    <n v="1"/>
    <d v="2022-07-01T00:00:00"/>
    <s v="13–24 months"/>
    <s v="0–1 tickets"/>
    <s v="46+ min"/>
    <s v="301–500"/>
    <n v="8372"/>
    <n v="-54.600000000000364"/>
  </r>
  <r>
    <n v="11263"/>
    <n v="20"/>
    <s v="Male"/>
    <s v="Bangalore"/>
    <d v="2021-04-23T00:00:00"/>
    <d v="2023-04-06T00:00:00"/>
    <x v="0"/>
    <n v="1132"/>
    <x v="12"/>
    <n v="4"/>
    <n v="40.51"/>
    <n v="20"/>
    <x v="2"/>
    <x v="1"/>
    <n v="39393.599999999999"/>
    <b v="1"/>
    <n v="2.9166666666666665"/>
    <n v="1125.5314285714285"/>
    <n v="8.1020000000000003"/>
    <d v="2021-04-01T00:00:00"/>
    <s v="Young"/>
    <n v="0"/>
    <s v="Yes"/>
    <n v="713"/>
    <s v="Medium"/>
    <s v="Medium"/>
    <n v="0.1111111111111111"/>
    <s v="High"/>
    <n v="1"/>
    <d v="2021-04-01T00:00:00"/>
    <s v="25+ months"/>
    <s v="4–5 tickets"/>
    <s v="31–45 min"/>
    <s v="1000+"/>
    <n v="39620"/>
    <n v="-226.40000000000146"/>
  </r>
  <r>
    <n v="11264"/>
    <n v="50"/>
    <s v="Male"/>
    <s v="Chennai"/>
    <d v="2021-04-01T00:00:00"/>
    <d v="2021-07-31T00:00:00"/>
    <x v="2"/>
    <n v="914"/>
    <x v="33"/>
    <n v="2"/>
    <n v="62.59"/>
    <n v="10"/>
    <x v="0"/>
    <x v="1"/>
    <n v="30070.6"/>
    <b v="1"/>
    <n v="2.75"/>
    <n v="911.23030303030293"/>
    <n v="20.863333333333333"/>
    <d v="2021-04-01T00:00:00"/>
    <s v="Middle-aged"/>
    <n v="0"/>
    <s v="Yes"/>
    <n v="121"/>
    <s v="High"/>
    <s v="Low"/>
    <n v="5.8823529411764705E-2"/>
    <s v="High"/>
    <n v="2"/>
    <d v="2021-04-01T00:00:00"/>
    <s v="25+ months"/>
    <s v="2–3 tickets"/>
    <s v="46+ min"/>
    <s v="701–1000"/>
    <n v="30162"/>
    <n v="-91.400000000001455"/>
  </r>
  <r>
    <n v="11265"/>
    <n v="45"/>
    <s v="Female"/>
    <s v="Bangalore"/>
    <d v="2021-05-21T00:00:00"/>
    <d v="2022-08-12T00:00:00"/>
    <x v="0"/>
    <n v="1100"/>
    <x v="0"/>
    <n v="1"/>
    <n v="104.09"/>
    <n v="20"/>
    <x v="0"/>
    <x v="0"/>
    <n v="27280"/>
    <b v="1"/>
    <n v="2.0833333333333335"/>
    <n v="1091.2"/>
    <n v="52.045000000000002"/>
    <d v="2021-05-01T00:00:00"/>
    <s v="Middle-aged"/>
    <n v="1"/>
    <s v="Yes"/>
    <n v="448"/>
    <s v="High"/>
    <s v="Medium"/>
    <n v="3.8461538461538464E-2"/>
    <s v="High"/>
    <n v="1"/>
    <d v="2021-05-01T00:00:00"/>
    <s v="25+ months"/>
    <s v="0–1 tickets"/>
    <s v="46+ min"/>
    <s v="1000+"/>
    <n v="27500"/>
    <n v="-220"/>
  </r>
  <r>
    <n v="11266"/>
    <n v="64"/>
    <s v="Female"/>
    <s v="Mumbai"/>
    <d v="2021-10-16T00:00:00"/>
    <d v="2022-02-19T00:00:00"/>
    <x v="0"/>
    <n v="577"/>
    <x v="6"/>
    <n v="5"/>
    <n v="28.3"/>
    <n v="15"/>
    <x v="0"/>
    <x v="1"/>
    <n v="12030.45"/>
    <b v="1"/>
    <n v="1.75"/>
    <n v="572.87857142857149"/>
    <n v="4.7166666666666668"/>
    <d v="2021-10-01T00:00:00"/>
    <s v="Older"/>
    <n v="0"/>
    <s v="No"/>
    <n v="126"/>
    <s v="Medium"/>
    <s v="Low"/>
    <n v="0.22727272727272727"/>
    <s v="Medium"/>
    <n v="1"/>
    <d v="2021-10-01T00:00:00"/>
    <s v="13–24 months"/>
    <s v="4–5 tickets"/>
    <s v="21–30 min"/>
    <s v="501–700"/>
    <n v="12117"/>
    <n v="-86.549999999999272"/>
  </r>
  <r>
    <n v="11267"/>
    <n v="25"/>
    <s v="Male"/>
    <s v="Mumbai"/>
    <d v="2022-12-31T00:00:00"/>
    <d v="2023-08-06T00:00:00"/>
    <x v="0"/>
    <n v="665"/>
    <x v="22"/>
    <n v="5"/>
    <n v="45.99"/>
    <n v="15"/>
    <x v="1"/>
    <x v="1"/>
    <n v="22510.25"/>
    <b v="1"/>
    <n v="2.8333333333333335"/>
    <n v="662.06617647058829"/>
    <n v="7.665"/>
    <d v="2022-12-01T00:00:00"/>
    <s v="Young"/>
    <n v="0"/>
    <s v="Yes"/>
    <n v="218"/>
    <s v="Medium"/>
    <s v="Low"/>
    <n v="0.14285714285714285"/>
    <s v="High"/>
    <n v="1"/>
    <d v="2022-12-01T00:00:00"/>
    <s v="25+ months"/>
    <s v="4–5 tickets"/>
    <s v="46+ min"/>
    <s v="501–700"/>
    <n v="22610"/>
    <n v="-99.75"/>
  </r>
  <r>
    <n v="11268"/>
    <n v="51"/>
    <s v="Female"/>
    <s v="Delhi"/>
    <d v="2022-08-12T00:00:00"/>
    <d v="2021-09-03T00:00:00"/>
    <x v="0"/>
    <n v="815"/>
    <x v="17"/>
    <n v="2"/>
    <n v="117.68"/>
    <n v="15"/>
    <x v="0"/>
    <x v="1"/>
    <n v="15362.75"/>
    <b v="0"/>
    <n v="1.5833333333333333"/>
    <n v="808.56578947368416"/>
    <n v="39.226666666666667"/>
    <d v="2022-08-01T00:00:00"/>
    <s v="Older"/>
    <n v="0"/>
    <s v="Yes"/>
    <m/>
    <s v="High"/>
    <s v="Low"/>
    <n v="0.1"/>
    <s v="Medium"/>
    <n v="1"/>
    <d v="2022-08-01T00:00:00"/>
    <s v="13–24 months"/>
    <s v="2–3 tickets"/>
    <s v="46+ min"/>
    <s v="701–1000"/>
    <n v="15485"/>
    <n v="-122.25"/>
  </r>
  <r>
    <n v="11269"/>
    <n v="52"/>
    <s v="Male"/>
    <s v="Chennai"/>
    <d v="2022-02-15T00:00:00"/>
    <d v="2022-12-05T00:00:00"/>
    <x v="2"/>
    <n v="738"/>
    <x v="26"/>
    <n v="2"/>
    <n v="118.07"/>
    <n v="10"/>
    <x v="1"/>
    <x v="1"/>
    <n v="19889.099999999999"/>
    <b v="1"/>
    <n v="2.25"/>
    <n v="736.63333333333333"/>
    <n v="39.356666666666662"/>
    <d v="2022-02-01T00:00:00"/>
    <s v="Older"/>
    <n v="0"/>
    <s v="Yes"/>
    <n v="293"/>
    <s v="High"/>
    <s v="Low"/>
    <n v="7.1428571428571425E-2"/>
    <s v="High"/>
    <n v="2"/>
    <d v="2022-02-01T00:00:00"/>
    <s v="25+ months"/>
    <s v="2–3 tickets"/>
    <s v="46+ min"/>
    <s v="701–1000"/>
    <n v="19926"/>
    <n v="-36.900000000001455"/>
  </r>
  <r>
    <n v="11270"/>
    <n v="49"/>
    <s v="Female"/>
    <s v="Hyderabad"/>
    <d v="2022-01-12T00:00:00"/>
    <d v="2022-09-13T00:00:00"/>
    <x v="0"/>
    <n v="727"/>
    <x v="9"/>
    <n v="3"/>
    <n v="30.67"/>
    <n v="5"/>
    <x v="0"/>
    <x v="0"/>
    <n v="6506.65"/>
    <b v="1"/>
    <n v="0.75"/>
    <n v="722.96111111111111"/>
    <n v="7.6675000000000004"/>
    <d v="2022-01-01T00:00:00"/>
    <s v="Middle-aged"/>
    <n v="1"/>
    <s v="No"/>
    <n v="244"/>
    <s v="Medium"/>
    <s v="Low"/>
    <n v="0.3"/>
    <s v="Low"/>
    <n v="1"/>
    <d v="2022-01-01T00:00:00"/>
    <s v="7–12 months"/>
    <s v="2–3 tickets"/>
    <s v="31–45 min"/>
    <s v="701–1000"/>
    <n v="6543"/>
    <n v="-36.350000000000364"/>
  </r>
  <r>
    <n v="11271"/>
    <n v="41"/>
    <s v="Female"/>
    <s v="Chennai"/>
    <d v="2022-01-19T00:00:00"/>
    <d v="2023-03-23T00:00:00"/>
    <x v="2"/>
    <n v="1028"/>
    <x v="21"/>
    <n v="3"/>
    <n v="12.64"/>
    <n v="10"/>
    <x v="1"/>
    <x v="1"/>
    <n v="5037.2"/>
    <b v="1"/>
    <n v="0.41666666666666669"/>
    <n v="1007.4399999999999"/>
    <n v="3.16"/>
    <d v="2022-01-01T00:00:00"/>
    <s v="Middle-aged"/>
    <n v="0"/>
    <s v="No"/>
    <n v="428"/>
    <s v="Low"/>
    <s v="Low"/>
    <n v="0.5"/>
    <s v="Low"/>
    <n v="2"/>
    <d v="2022-01-01T00:00:00"/>
    <s v="0–6 months"/>
    <s v="2–3 tickets"/>
    <s v="11–20 min"/>
    <s v="1000+"/>
    <n v="5140"/>
    <n v="-102.80000000000018"/>
  </r>
  <r>
    <n v="11272"/>
    <n v="31"/>
    <s v="Male"/>
    <s v="Mumbai"/>
    <d v="2023-04-26T00:00:00"/>
    <d v="2023-05-17T00:00:00"/>
    <x v="2"/>
    <n v="695"/>
    <x v="21"/>
    <n v="2"/>
    <n v="36.159999999999997"/>
    <n v="15"/>
    <x v="3"/>
    <x v="1"/>
    <n v="3370.75"/>
    <b v="1"/>
    <n v="0.41666666666666669"/>
    <n v="674.15"/>
    <n v="12.053333333333333"/>
    <d v="2023-04-01T00:00:00"/>
    <s v="Adult"/>
    <n v="0"/>
    <s v="No"/>
    <n v="21"/>
    <s v="Medium"/>
    <s v="Low"/>
    <n v="0.33333333333333331"/>
    <s v="Low"/>
    <n v="2"/>
    <d v="2023-04-01T00:00:00"/>
    <s v="0–6 months"/>
    <s v="2–3 tickets"/>
    <s v="31–45 min"/>
    <s v="501–700"/>
    <n v="3475"/>
    <n v="-104.25"/>
  </r>
  <r>
    <n v="11273"/>
    <n v="49"/>
    <s v="Female"/>
    <s v="Hyderabad"/>
    <d v="2021-06-01T00:00:00"/>
    <d v="2023-07-19T00:00:00"/>
    <x v="0"/>
    <n v="885"/>
    <x v="0"/>
    <n v="3"/>
    <n v="50.74"/>
    <n v="5"/>
    <x v="0"/>
    <x v="1"/>
    <n v="22080.75"/>
    <b v="1"/>
    <n v="2.0833333333333335"/>
    <n v="883.23"/>
    <n v="12.685"/>
    <d v="2021-06-01T00:00:00"/>
    <s v="Middle-aged"/>
    <n v="0"/>
    <s v="Yes"/>
    <n v="778"/>
    <s v="Medium"/>
    <s v="Low"/>
    <n v="0.11538461538461539"/>
    <s v="High"/>
    <n v="1"/>
    <d v="2021-06-01T00:00:00"/>
    <s v="25+ months"/>
    <s v="2–3 tickets"/>
    <s v="46+ min"/>
    <s v="701–1000"/>
    <n v="22125"/>
    <n v="-44.25"/>
  </r>
  <r>
    <n v="11274"/>
    <n v="63"/>
    <s v="Male"/>
    <s v="Chennai"/>
    <d v="2023-04-15T00:00:00"/>
    <d v="2022-10-27T00:00:00"/>
    <x v="0"/>
    <n v="674"/>
    <x v="8"/>
    <n v="2"/>
    <n v="55.72"/>
    <n v="0"/>
    <x v="1"/>
    <x v="1"/>
    <n v="17524"/>
    <b v="0"/>
    <n v="2.1666666666666665"/>
    <n v="674"/>
    <n v="18.573333333333334"/>
    <d v="2023-04-01T00:00:00"/>
    <s v="Older"/>
    <n v="0"/>
    <s v="Yes"/>
    <m/>
    <s v="Medium"/>
    <s v="Low"/>
    <n v="7.407407407407407E-2"/>
    <s v="Medium"/>
    <n v="1"/>
    <d v="2023-04-01T00:00:00"/>
    <s v="25+ months"/>
    <s v="2–3 tickets"/>
    <s v="46+ min"/>
    <s v="501–700"/>
    <n v="17524"/>
    <n v="0"/>
  </r>
  <r>
    <n v="11275"/>
    <n v="60"/>
    <s v="Female"/>
    <s v="unknown"/>
    <d v="2023-01-21T00:00:00"/>
    <d v="2023-04-21T00:00:00"/>
    <x v="0"/>
    <n v="1247"/>
    <x v="17"/>
    <n v="0"/>
    <n v="76.16"/>
    <n v="0"/>
    <x v="3"/>
    <x v="1"/>
    <n v="23693"/>
    <b v="1"/>
    <n v="1.5833333333333333"/>
    <n v="1247"/>
    <n v="76.16"/>
    <d v="2023-01-01T00:00:00"/>
    <s v="Older"/>
    <n v="0"/>
    <s v="Yes"/>
    <n v="90"/>
    <s v="High"/>
    <s v="Low"/>
    <n v="0"/>
    <s v="High"/>
    <n v="1"/>
    <d v="2023-01-01T00:00:00"/>
    <s v="13–24 months"/>
    <s v="0–1 tickets"/>
    <s v="46+ min"/>
    <s v="1000+"/>
    <n v="23693"/>
    <n v="0"/>
  </r>
  <r>
    <n v="11276"/>
    <n v="33"/>
    <s v="Male"/>
    <s v="Hyderabad"/>
    <d v="2022-09-19T00:00:00"/>
    <d v="2021-12-11T00:00:00"/>
    <x v="0"/>
    <n v="392"/>
    <x v="3"/>
    <n v="2"/>
    <n v="108.44"/>
    <n v="5"/>
    <x v="0"/>
    <x v="1"/>
    <n v="11740.4"/>
    <b v="0"/>
    <n v="2.5"/>
    <n v="391.34666666666664"/>
    <n v="36.146666666666668"/>
    <d v="2022-09-01T00:00:00"/>
    <s v="Adult"/>
    <n v="0"/>
    <s v="No"/>
    <m/>
    <s v="High"/>
    <s v="Low"/>
    <n v="6.4516129032258063E-2"/>
    <s v="Medium"/>
    <n v="1"/>
    <d v="2022-09-01T00:00:00"/>
    <s v="25+ months"/>
    <s v="2–3 tickets"/>
    <s v="46+ min"/>
    <s v="301–500"/>
    <n v="11760"/>
    <n v="-19.600000000000364"/>
  </r>
  <r>
    <n v="11277"/>
    <n v="21"/>
    <s v="Female"/>
    <s v="Mumbai"/>
    <d v="2021-11-15T00:00:00"/>
    <d v="2022-09-25T00:00:00"/>
    <x v="2"/>
    <n v="620"/>
    <x v="24"/>
    <n v="4"/>
    <n v="42.99"/>
    <n v="10"/>
    <x v="3"/>
    <x v="1"/>
    <n v="9858"/>
    <b v="1"/>
    <n v="1.3333333333333333"/>
    <n v="616.125"/>
    <n v="8.5980000000000008"/>
    <d v="2021-11-01T00:00:00"/>
    <s v="Young"/>
    <n v="0"/>
    <s v="No"/>
    <n v="314"/>
    <s v="Medium"/>
    <s v="Low"/>
    <n v="0.23529411764705882"/>
    <s v="Medium"/>
    <n v="2"/>
    <d v="2021-11-01T00:00:00"/>
    <s v="13–24 months"/>
    <s v="4–5 tickets"/>
    <s v="31–45 min"/>
    <s v="501–700"/>
    <n v="9920"/>
    <n v="-62"/>
  </r>
  <r>
    <n v="11278"/>
    <n v="54"/>
    <s v="Female"/>
    <s v="Chennai"/>
    <d v="2022-01-04T00:00:00"/>
    <d v="2023-11-16T00:00:00"/>
    <x v="2"/>
    <n v="1333"/>
    <x v="16"/>
    <n v="0"/>
    <n v="102.75"/>
    <n v="20"/>
    <x v="0"/>
    <x v="1"/>
    <n v="9064.4"/>
    <b v="1"/>
    <n v="0.58333333333333337"/>
    <n v="1294.9142857142856"/>
    <n v="102.75"/>
    <d v="2022-01-01T00:00:00"/>
    <s v="Older"/>
    <n v="0"/>
    <s v="No"/>
    <n v="681"/>
    <s v="High"/>
    <s v="Medium"/>
    <n v="0"/>
    <s v="Medium"/>
    <n v="2"/>
    <d v="2022-01-01T00:00:00"/>
    <s v="7–12 months"/>
    <s v="0–1 tickets"/>
    <s v="46+ min"/>
    <s v="1000+"/>
    <n v="9331"/>
    <n v="-266.60000000000036"/>
  </r>
  <r>
    <n v="11279"/>
    <n v="38"/>
    <s v="Female"/>
    <s v="Hyderabad"/>
    <d v="2022-08-29T00:00:00"/>
    <d v="2022-05-02T00:00:00"/>
    <x v="2"/>
    <n v="1213"/>
    <x v="10"/>
    <n v="4"/>
    <n v="15.75"/>
    <n v="15"/>
    <x v="2"/>
    <x v="1"/>
    <n v="21652.05"/>
    <b v="0"/>
    <n v="1.5"/>
    <n v="1202.8916666666667"/>
    <n v="3.15"/>
    <d v="2022-08-01T00:00:00"/>
    <s v="Middle-aged"/>
    <n v="0"/>
    <s v="Yes"/>
    <m/>
    <s v="Low"/>
    <s v="Low"/>
    <n v="0.21052631578947367"/>
    <s v="High"/>
    <n v="2"/>
    <d v="2022-08-01T00:00:00"/>
    <s v="13–24 months"/>
    <s v="4–5 tickets"/>
    <s v="11–20 min"/>
    <s v="1000+"/>
    <n v="21834"/>
    <n v="-181.95000000000073"/>
  </r>
  <r>
    <n v="11280"/>
    <n v="31"/>
    <s v="Male"/>
    <s v="Pune"/>
    <d v="2022-07-14T00:00:00"/>
    <d v="2022-08-09T00:00:00"/>
    <x v="0"/>
    <n v="1216"/>
    <x v="6"/>
    <n v="0"/>
    <n v="9.82"/>
    <n v="5"/>
    <x v="1"/>
    <x v="1"/>
    <n v="25475.200000000001"/>
    <b v="1"/>
    <n v="1.75"/>
    <n v="1213.104761904762"/>
    <n v="9.82"/>
    <d v="2022-07-01T00:00:00"/>
    <s v="Adult"/>
    <n v="0"/>
    <s v="Yes"/>
    <n v="26"/>
    <s v="Low"/>
    <s v="Low"/>
    <n v="0"/>
    <s v="High"/>
    <n v="1"/>
    <d v="2022-07-01T00:00:00"/>
    <s v="13–24 months"/>
    <s v="0–1 tickets"/>
    <s v="0–10 min"/>
    <s v="1000+"/>
    <n v="25536"/>
    <n v="-60.799999999999272"/>
  </r>
  <r>
    <n v="11281"/>
    <n v="48"/>
    <s v="Female"/>
    <s v="Pune"/>
    <d v="2022-12-04T00:00:00"/>
    <d v="2021-12-13T00:00:00"/>
    <x v="2"/>
    <n v="394"/>
    <x v="27"/>
    <n v="2"/>
    <n v="62.97"/>
    <n v="10"/>
    <x v="2"/>
    <x v="1"/>
    <n v="12174.6"/>
    <b v="0"/>
    <n v="2.5833333333333335"/>
    <n v="392.72903225806454"/>
    <n v="20.99"/>
    <d v="2022-12-01T00:00:00"/>
    <s v="Middle-aged"/>
    <n v="0"/>
    <s v="No"/>
    <m/>
    <s v="High"/>
    <s v="Low"/>
    <n v="6.25E-2"/>
    <s v="Medium"/>
    <n v="2"/>
    <d v="2022-12-01T00:00:00"/>
    <s v="25+ months"/>
    <s v="2–3 tickets"/>
    <s v="46+ min"/>
    <s v="301–500"/>
    <n v="12214"/>
    <n v="-39.399999999999636"/>
  </r>
  <r>
    <n v="11282"/>
    <n v="35"/>
    <s v="Female"/>
    <s v="Mumbai"/>
    <d v="2022-04-07T00:00:00"/>
    <d v="2023-10-03T00:00:00"/>
    <x v="2"/>
    <n v="1258"/>
    <x v="7"/>
    <n v="0"/>
    <n v="11.86"/>
    <n v="20"/>
    <x v="1"/>
    <x v="1"/>
    <n v="1006.4"/>
    <b v="1"/>
    <n v="8.3333333333333329E-2"/>
    <n v="1006.4"/>
    <n v="11.86"/>
    <d v="2022-04-01T00:00:00"/>
    <s v="Adult"/>
    <n v="0"/>
    <s v="No"/>
    <n v="544"/>
    <s v="Low"/>
    <s v="Medium"/>
    <n v="0"/>
    <s v="Low"/>
    <n v="2"/>
    <d v="2022-04-01T00:00:00"/>
    <s v="0–6 months"/>
    <s v="0–1 tickets"/>
    <s v="11–20 min"/>
    <s v="1000+"/>
    <n v="1258"/>
    <n v="-251.60000000000002"/>
  </r>
  <r>
    <n v="11283"/>
    <n v="24"/>
    <s v="Female"/>
    <s v="Hyderabad"/>
    <d v="2021-01-12T00:00:00"/>
    <d v="2022-02-04T00:00:00"/>
    <x v="2"/>
    <n v="1430"/>
    <x v="13"/>
    <n v="1"/>
    <n v="50.14"/>
    <n v="10"/>
    <x v="2"/>
    <x v="1"/>
    <n v="4147"/>
    <b v="1"/>
    <n v="0.25"/>
    <n v="1382.3333333333333"/>
    <n v="25.07"/>
    <d v="2021-01-01T00:00:00"/>
    <s v="Young"/>
    <n v="0"/>
    <s v="No"/>
    <n v="388"/>
    <s v="Medium"/>
    <s v="Low"/>
    <n v="0.25"/>
    <s v="Low"/>
    <n v="2"/>
    <d v="2021-01-01T00:00:00"/>
    <s v="0–6 months"/>
    <s v="0–1 tickets"/>
    <s v="46+ min"/>
    <s v="1000+"/>
    <n v="4290"/>
    <n v="-143"/>
  </r>
  <r>
    <n v="11284"/>
    <n v="27"/>
    <s v="Female"/>
    <s v="Pune"/>
    <d v="2021-06-05T00:00:00"/>
    <d v="2022-10-11T00:00:00"/>
    <x v="2"/>
    <n v="370"/>
    <x v="27"/>
    <n v="2"/>
    <n v="108.13"/>
    <n v="20"/>
    <x v="0"/>
    <x v="1"/>
    <n v="11396"/>
    <b v="1"/>
    <n v="2.5833333333333335"/>
    <n v="367.61290322580646"/>
    <n v="36.043333333333329"/>
    <d v="2021-06-01T00:00:00"/>
    <s v="Adult"/>
    <n v="0"/>
    <s v="No"/>
    <n v="493"/>
    <s v="High"/>
    <s v="Medium"/>
    <n v="6.25E-2"/>
    <s v="Medium"/>
    <n v="2"/>
    <d v="2021-06-01T00:00:00"/>
    <s v="25+ months"/>
    <s v="2–3 tickets"/>
    <s v="46+ min"/>
    <s v="301–500"/>
    <n v="11470"/>
    <n v="-74"/>
  </r>
  <r>
    <n v="11285"/>
    <n v="24"/>
    <s v="Female"/>
    <s v="Hyderabad"/>
    <d v="2022-11-15T00:00:00"/>
    <d v="2021-12-29T00:00:00"/>
    <x v="2"/>
    <n v="963"/>
    <x v="0"/>
    <n v="1"/>
    <n v="32.770000000000003"/>
    <n v="10"/>
    <x v="2"/>
    <x v="1"/>
    <n v="24075"/>
    <b v="0"/>
    <n v="2.0833333333333335"/>
    <n v="963"/>
    <n v="16.385000000000002"/>
    <d v="2022-11-01T00:00:00"/>
    <s v="Young"/>
    <n v="0"/>
    <s v="Yes"/>
    <m/>
    <s v="Medium"/>
    <s v="Low"/>
    <n v="3.8461538461538464E-2"/>
    <s v="High"/>
    <n v="2"/>
    <d v="2022-11-01T00:00:00"/>
    <s v="25+ months"/>
    <s v="0–1 tickets"/>
    <s v="31–45 min"/>
    <s v="701–1000"/>
    <n v="24075"/>
    <n v="0"/>
  </r>
  <r>
    <n v="11286"/>
    <n v="50"/>
    <s v="Male"/>
    <s v="Chennai"/>
    <d v="2022-04-22T00:00:00"/>
    <d v="2023-03-27T00:00:00"/>
    <x v="2"/>
    <n v="1268"/>
    <x v="14"/>
    <n v="4"/>
    <n v="86.19"/>
    <n v="20"/>
    <x v="0"/>
    <x v="1"/>
    <n v="9890.4"/>
    <b v="1"/>
    <n v="0.66666666666666663"/>
    <n v="1236.3"/>
    <n v="17.238"/>
    <d v="2022-04-01T00:00:00"/>
    <s v="Middle-aged"/>
    <n v="0"/>
    <s v="No"/>
    <n v="339"/>
    <s v="High"/>
    <s v="Medium"/>
    <n v="0.44444444444444442"/>
    <s v="Medium"/>
    <n v="2"/>
    <d v="2022-04-01T00:00:00"/>
    <s v="7–12 months"/>
    <s v="4–5 tickets"/>
    <s v="46+ min"/>
    <s v="1000+"/>
    <n v="10144"/>
    <n v="-253.60000000000036"/>
  </r>
  <r>
    <n v="11287"/>
    <n v="40"/>
    <s v="Male"/>
    <s v="Mumbai"/>
    <d v="2022-02-05T00:00:00"/>
    <d v="2023-04-01T00:00:00"/>
    <x v="2"/>
    <n v="886"/>
    <x v="7"/>
    <n v="2"/>
    <n v="39.770000000000003"/>
    <n v="0"/>
    <x v="1"/>
    <x v="0"/>
    <n v="886"/>
    <b v="1"/>
    <n v="8.3333333333333329E-2"/>
    <n v="886"/>
    <n v="13.256666666666668"/>
    <d v="2022-02-01T00:00:00"/>
    <s v="Middle-aged"/>
    <n v="1"/>
    <s v="No"/>
    <n v="420"/>
    <s v="Medium"/>
    <s v="Low"/>
    <n v="1"/>
    <s v="Low"/>
    <n v="2"/>
    <d v="2022-02-01T00:00:00"/>
    <s v="0–6 months"/>
    <s v="2–3 tickets"/>
    <s v="31–45 min"/>
    <s v="701–1000"/>
    <n v="886"/>
    <n v="0"/>
  </r>
  <r>
    <n v="11288"/>
    <n v="38"/>
    <s v="Female"/>
    <s v="Pune"/>
    <d v="2023-03-19T00:00:00"/>
    <d v="2022-09-09T00:00:00"/>
    <x v="0"/>
    <n v="1026"/>
    <x v="16"/>
    <n v="0"/>
    <n v="10.17"/>
    <n v="10"/>
    <x v="0"/>
    <x v="1"/>
    <n v="7028.1"/>
    <b v="0"/>
    <n v="0.58333333333333337"/>
    <n v="1004.0142857142857"/>
    <n v="10.17"/>
    <d v="2023-03-01T00:00:00"/>
    <s v="Middle-aged"/>
    <n v="0"/>
    <s v="No"/>
    <m/>
    <s v="Low"/>
    <s v="Low"/>
    <n v="0"/>
    <s v="Low"/>
    <n v="1"/>
    <d v="2023-03-01T00:00:00"/>
    <s v="7–12 months"/>
    <s v="0–1 tickets"/>
    <s v="11–20 min"/>
    <s v="1000+"/>
    <n v="7182"/>
    <n v="-153.89999999999964"/>
  </r>
  <r>
    <n v="11289"/>
    <n v="36"/>
    <s v="Male"/>
    <s v="Chennai"/>
    <d v="2021-06-26T00:00:00"/>
    <d v="2023-10-22T00:00:00"/>
    <x v="2"/>
    <n v="667"/>
    <x v="16"/>
    <n v="1"/>
    <n v="69.02"/>
    <n v="5"/>
    <x v="2"/>
    <x v="1"/>
    <n v="4635.6499999999996"/>
    <b v="1"/>
    <n v="0.58333333333333337"/>
    <n v="662.23571428571427"/>
    <n v="34.51"/>
    <d v="2021-06-01T00:00:00"/>
    <s v="Middle-aged"/>
    <n v="0"/>
    <s v="No"/>
    <n v="848"/>
    <s v="High"/>
    <s v="Low"/>
    <n v="0.125"/>
    <s v="Low"/>
    <n v="2"/>
    <d v="2021-06-01T00:00:00"/>
    <s v="7–12 months"/>
    <s v="0–1 tickets"/>
    <s v="46+ min"/>
    <s v="501–700"/>
    <n v="4669"/>
    <n v="-33.350000000000364"/>
  </r>
  <r>
    <n v="11290"/>
    <n v="36"/>
    <s v="Other"/>
    <s v="Bangalore"/>
    <d v="2021-12-07T00:00:00"/>
    <d v="2023-03-13T00:00:00"/>
    <x v="0"/>
    <n v="350"/>
    <x v="14"/>
    <n v="4"/>
    <n v="101.01"/>
    <n v="10"/>
    <x v="3"/>
    <x v="0"/>
    <n v="2800"/>
    <b v="1"/>
    <n v="0.66666666666666663"/>
    <n v="350"/>
    <n v="20.202000000000002"/>
    <d v="2021-12-01T00:00:00"/>
    <s v="Middle-aged"/>
    <n v="1"/>
    <s v="No"/>
    <n v="461"/>
    <s v="High"/>
    <s v="Low"/>
    <n v="0.44444444444444442"/>
    <s v="Low"/>
    <n v="1"/>
    <d v="2021-12-01T00:00:00"/>
    <s v="7–12 months"/>
    <s v="4–5 tickets"/>
    <s v="46+ min"/>
    <s v="301–500"/>
    <n v="2800"/>
    <n v="0"/>
  </r>
  <r>
    <n v="11291"/>
    <n v="53"/>
    <s v="Female"/>
    <s v="Bangalore"/>
    <d v="2021-02-26T00:00:00"/>
    <d v="2022-01-07T00:00:00"/>
    <x v="0"/>
    <n v="1466"/>
    <x v="17"/>
    <n v="6"/>
    <n v="52.09"/>
    <n v="10"/>
    <x v="1"/>
    <x v="1"/>
    <n v="27707.4"/>
    <b v="1"/>
    <n v="1.5833333333333333"/>
    <n v="1458.284210526316"/>
    <n v="7.4414285714285722"/>
    <d v="2021-02-01T00:00:00"/>
    <s v="Older"/>
    <n v="0"/>
    <s v="Yes"/>
    <n v="315"/>
    <s v="Medium"/>
    <s v="Low"/>
    <n v="0.3"/>
    <s v="High"/>
    <n v="1"/>
    <d v="2021-02-01T00:00:00"/>
    <s v="13–24 months"/>
    <s v="6+ tickets"/>
    <s v="46+ min"/>
    <s v="1000+"/>
    <n v="27854"/>
    <n v="-146.59999999999854"/>
  </r>
  <r>
    <n v="11292"/>
    <n v="46"/>
    <s v="Female"/>
    <s v="Mumbai"/>
    <d v="2023-05-05T00:00:00"/>
    <d v="2022-02-28T00:00:00"/>
    <x v="1"/>
    <n v="1287"/>
    <x v="18"/>
    <n v="1"/>
    <n v="75.989999999999995"/>
    <n v="20"/>
    <x v="3"/>
    <x v="1"/>
    <n v="21621.599999999999"/>
    <b v="0"/>
    <n v="1.4166666666666667"/>
    <n v="1271.8588235294117"/>
    <n v="37.994999999999997"/>
    <d v="2023-05-01T00:00:00"/>
    <s v="Middle-aged"/>
    <n v="0"/>
    <s v="Yes"/>
    <m/>
    <s v="High"/>
    <s v="Medium"/>
    <n v="5.5555555555555552E-2"/>
    <s v="High"/>
    <n v="3"/>
    <d v="2023-05-01T00:00:00"/>
    <s v="13–24 months"/>
    <s v="0–1 tickets"/>
    <s v="46+ min"/>
    <s v="1000+"/>
    <n v="21879"/>
    <n v="-257.40000000000146"/>
  </r>
  <r>
    <n v="11293"/>
    <n v="35"/>
    <s v="Male"/>
    <s v="Pune"/>
    <d v="2023-05-02T00:00:00"/>
    <d v="2021-11-01T00:00:00"/>
    <x v="1"/>
    <n v="1490"/>
    <x v="11"/>
    <n v="3"/>
    <n v="108.5"/>
    <n v="10"/>
    <x v="3"/>
    <x v="0"/>
    <n v="16241"/>
    <b v="0"/>
    <n v="0.91666666666666663"/>
    <n v="1476.4545454545455"/>
    <n v="27.125"/>
    <d v="2023-05-01T00:00:00"/>
    <s v="Adult"/>
    <n v="1"/>
    <s v="Yes"/>
    <m/>
    <s v="High"/>
    <s v="Low"/>
    <n v="0.25"/>
    <s v="Medium"/>
    <n v="3"/>
    <d v="2023-05-01T00:00:00"/>
    <s v="7–12 months"/>
    <s v="2–3 tickets"/>
    <s v="46+ min"/>
    <s v="1000+"/>
    <n v="16390"/>
    <n v="-149"/>
  </r>
  <r>
    <n v="11294"/>
    <n v="19"/>
    <s v="Female"/>
    <s v="Pune"/>
    <d v="2022-03-24T00:00:00"/>
    <d v="2022-02-04T00:00:00"/>
    <x v="0"/>
    <n v="559"/>
    <x v="11"/>
    <n v="2"/>
    <n v="62.59"/>
    <n v="0"/>
    <x v="3"/>
    <x v="0"/>
    <n v="6149"/>
    <b v="0"/>
    <n v="0.91666666666666663"/>
    <n v="559"/>
    <n v="20.863333333333333"/>
    <d v="2022-03-01T00:00:00"/>
    <s v="Young"/>
    <n v="1"/>
    <s v="No"/>
    <m/>
    <s v="High"/>
    <s v="Low"/>
    <n v="0.16666666666666666"/>
    <s v="Low"/>
    <n v="1"/>
    <d v="2022-03-01T00:00:00"/>
    <s v="7–12 months"/>
    <s v="2–3 tickets"/>
    <s v="46+ min"/>
    <s v="501–700"/>
    <n v="6149"/>
    <n v="0"/>
  </r>
  <r>
    <n v="11295"/>
    <n v="18"/>
    <s v="Female"/>
    <s v="Pune"/>
    <d v="2021-07-22T00:00:00"/>
    <d v="2022-03-06T00:00:00"/>
    <x v="0"/>
    <n v="457"/>
    <x v="4"/>
    <n v="0"/>
    <n v="27.3"/>
    <n v="10"/>
    <x v="3"/>
    <x v="1"/>
    <n v="868.3"/>
    <b v="1"/>
    <n v="0.16666666666666666"/>
    <n v="434.15"/>
    <n v="27.3"/>
    <d v="2021-07-01T00:00:00"/>
    <s v="Young"/>
    <n v="0"/>
    <s v="No"/>
    <n v="227"/>
    <s v="Medium"/>
    <s v="Low"/>
    <n v="0"/>
    <s v="Low"/>
    <n v="1"/>
    <d v="2021-07-01T00:00:00"/>
    <s v="0–6 months"/>
    <s v="0–1 tickets"/>
    <s v="21–30 min"/>
    <s v="301–500"/>
    <n v="914"/>
    <n v="-45.700000000000045"/>
  </r>
  <r>
    <n v="11296"/>
    <n v="64"/>
    <s v="Female"/>
    <s v="Hyderabad"/>
    <d v="2022-11-28T00:00:00"/>
    <d v="2022-08-14T00:00:00"/>
    <x v="0"/>
    <n v="398"/>
    <x v="2"/>
    <n v="4"/>
    <n v="89.34"/>
    <n v="20"/>
    <x v="3"/>
    <x v="1"/>
    <n v="1512.4"/>
    <b v="0"/>
    <n v="0.33333333333333331"/>
    <n v="378.1"/>
    <n v="17.868000000000002"/>
    <d v="2022-11-01T00:00:00"/>
    <s v="Older"/>
    <n v="0"/>
    <s v="No"/>
    <m/>
    <s v="High"/>
    <s v="Medium"/>
    <n v="0.8"/>
    <s v="Low"/>
    <n v="1"/>
    <d v="2022-11-01T00:00:00"/>
    <s v="0–6 months"/>
    <s v="4–5 tickets"/>
    <s v="46+ min"/>
    <s v="301–500"/>
    <n v="1592"/>
    <n v="-79.599999999999909"/>
  </r>
  <r>
    <n v="11297"/>
    <n v="22"/>
    <s v="Female"/>
    <s v="Chennai"/>
    <d v="2022-09-25T00:00:00"/>
    <d v="2023-08-25T00:00:00"/>
    <x v="2"/>
    <n v="540"/>
    <x v="29"/>
    <n v="3"/>
    <n v="62.72"/>
    <n v="5"/>
    <x v="2"/>
    <x v="1"/>
    <n v="15093"/>
    <b v="1"/>
    <n v="2.3333333333333335"/>
    <n v="539.03571428571433"/>
    <n v="15.68"/>
    <d v="2022-09-01T00:00:00"/>
    <s v="Young"/>
    <n v="0"/>
    <s v="Yes"/>
    <n v="334"/>
    <s v="High"/>
    <s v="Low"/>
    <n v="0.10344827586206896"/>
    <s v="Medium"/>
    <n v="2"/>
    <d v="2022-09-01T00:00:00"/>
    <s v="25+ months"/>
    <s v="2–3 tickets"/>
    <s v="46+ min"/>
    <s v="501–700"/>
    <n v="15120"/>
    <n v="-27"/>
  </r>
  <r>
    <n v="11298"/>
    <n v="37"/>
    <s v="Male"/>
    <s v="Pune"/>
    <d v="2023-01-08T00:00:00"/>
    <d v="2022-03-03T00:00:00"/>
    <x v="1"/>
    <n v="501"/>
    <x v="33"/>
    <n v="0"/>
    <n v="90.79"/>
    <n v="10"/>
    <x v="0"/>
    <x v="1"/>
    <n v="16482.900000000001"/>
    <b v="0"/>
    <n v="2.75"/>
    <n v="499.4818181818182"/>
    <n v="90.79"/>
    <d v="2023-01-01T00:00:00"/>
    <s v="Middle-aged"/>
    <n v="0"/>
    <s v="Yes"/>
    <m/>
    <s v="High"/>
    <s v="Low"/>
    <n v="0"/>
    <s v="Medium"/>
    <n v="3"/>
    <d v="2023-01-01T00:00:00"/>
    <s v="25+ months"/>
    <s v="0–1 tickets"/>
    <s v="46+ min"/>
    <s v="501–700"/>
    <n v="16533"/>
    <n v="-50.099999999998545"/>
  </r>
  <r>
    <n v="11299"/>
    <n v="28"/>
    <s v="Female"/>
    <s v="Chennai"/>
    <d v="2021-07-21T00:00:00"/>
    <d v="2022-10-27T00:00:00"/>
    <x v="1"/>
    <n v="933"/>
    <x v="11"/>
    <n v="0"/>
    <n v="61.87"/>
    <n v="15"/>
    <x v="0"/>
    <x v="1"/>
    <n v="10123.049999999999"/>
    <b v="1"/>
    <n v="0.91666666666666663"/>
    <n v="920.2772727272727"/>
    <n v="61.87"/>
    <d v="2021-07-01T00:00:00"/>
    <s v="Adult"/>
    <n v="0"/>
    <s v="No"/>
    <n v="463"/>
    <s v="High"/>
    <s v="Low"/>
    <n v="0"/>
    <s v="Medium"/>
    <n v="3"/>
    <d v="2021-07-01T00:00:00"/>
    <s v="7–12 months"/>
    <s v="0–1 tickets"/>
    <s v="46+ min"/>
    <s v="701–1000"/>
    <n v="10263"/>
    <n v="-139.95000000000073"/>
  </r>
  <r>
    <n v="11300"/>
    <n v="59"/>
    <s v="Female"/>
    <s v="unknown"/>
    <d v="2021-11-26T00:00:00"/>
    <d v="2021-08-27T00:00:00"/>
    <x v="2"/>
    <n v="1419"/>
    <x v="13"/>
    <n v="2"/>
    <n v="19.72"/>
    <n v="20"/>
    <x v="3"/>
    <x v="0"/>
    <n v="3973.2"/>
    <b v="0"/>
    <n v="0.25"/>
    <n v="1324.3999999999999"/>
    <n v="6.5733333333333333"/>
    <d v="2021-11-01T00:00:00"/>
    <s v="Older"/>
    <n v="1"/>
    <s v="No"/>
    <m/>
    <s v="Low"/>
    <s v="Medium"/>
    <n v="0.5"/>
    <s v="Low"/>
    <n v="2"/>
    <d v="2021-11-01T00:00:00"/>
    <s v="0–6 months"/>
    <s v="2–3 tickets"/>
    <s v="11–20 min"/>
    <s v="1000+"/>
    <n v="4257"/>
    <n v="-283.80000000000018"/>
  </r>
  <r>
    <n v="11301"/>
    <n v="19"/>
    <s v="Male"/>
    <s v="Pune"/>
    <d v="2021-12-29T00:00:00"/>
    <d v="2023-08-08T00:00:00"/>
    <x v="0"/>
    <n v="1045"/>
    <x v="21"/>
    <n v="3"/>
    <n v="62.59"/>
    <n v="20"/>
    <x v="2"/>
    <x v="1"/>
    <n v="5016"/>
    <b v="1"/>
    <n v="0.41666666666666669"/>
    <n v="1003.2"/>
    <n v="15.647500000000001"/>
    <d v="2021-12-01T00:00:00"/>
    <s v="Young"/>
    <n v="0"/>
    <s v="No"/>
    <n v="587"/>
    <s v="High"/>
    <s v="Medium"/>
    <n v="0.5"/>
    <s v="Low"/>
    <n v="1"/>
    <d v="2021-12-01T00:00:00"/>
    <s v="0–6 months"/>
    <s v="2–3 tickets"/>
    <s v="46+ min"/>
    <s v="1000+"/>
    <n v="5225"/>
    <n v="-209"/>
  </r>
  <r>
    <n v="11302"/>
    <n v="20"/>
    <s v="Male"/>
    <s v="Mumbai"/>
    <d v="2023-06-11T00:00:00"/>
    <d v="2023-03-04T00:00:00"/>
    <x v="2"/>
    <n v="789"/>
    <x v="6"/>
    <n v="2"/>
    <n v="61.6"/>
    <n v="15"/>
    <x v="3"/>
    <x v="1"/>
    <n v="16450.650000000001"/>
    <b v="0"/>
    <n v="1.75"/>
    <n v="783.36428571428576"/>
    <n v="20.533333333333335"/>
    <d v="2023-06-01T00:00:00"/>
    <s v="Young"/>
    <n v="0"/>
    <s v="Yes"/>
    <m/>
    <s v="High"/>
    <s v="Low"/>
    <n v="9.0909090909090912E-2"/>
    <s v="Medium"/>
    <n v="2"/>
    <d v="2023-06-01T00:00:00"/>
    <s v="13–24 months"/>
    <s v="2–3 tickets"/>
    <s v="46+ min"/>
    <s v="701–1000"/>
    <n v="16569"/>
    <n v="-118.34999999999854"/>
  </r>
  <r>
    <n v="11303"/>
    <n v="40"/>
    <s v="Female"/>
    <s v="Pune"/>
    <d v="2022-03-30T00:00:00"/>
    <d v="2022-10-18T00:00:00"/>
    <x v="0"/>
    <n v="878"/>
    <x v="1"/>
    <n v="2"/>
    <n v="64.56"/>
    <n v="0"/>
    <x v="3"/>
    <x v="0"/>
    <n v="19316"/>
    <b v="1"/>
    <n v="1.8333333333333333"/>
    <n v="878"/>
    <n v="21.52"/>
    <d v="2022-03-01T00:00:00"/>
    <s v="Middle-aged"/>
    <n v="1"/>
    <s v="Yes"/>
    <n v="202"/>
    <s v="High"/>
    <s v="Low"/>
    <n v="8.6956521739130432E-2"/>
    <s v="Medium"/>
    <n v="1"/>
    <d v="2022-03-01T00:00:00"/>
    <s v="13–24 months"/>
    <s v="2–3 tickets"/>
    <s v="46+ min"/>
    <s v="701–1000"/>
    <n v="19316"/>
    <n v="0"/>
  </r>
  <r>
    <n v="11304"/>
    <n v="29"/>
    <s v="Female"/>
    <s v="Bangalore"/>
    <d v="2021-12-22T00:00:00"/>
    <d v="2023-01-11T00:00:00"/>
    <x v="1"/>
    <n v="826"/>
    <x v="11"/>
    <n v="1"/>
    <n v="106.07"/>
    <n v="15"/>
    <x v="1"/>
    <x v="1"/>
    <n v="8962.1"/>
    <b v="1"/>
    <n v="0.91666666666666663"/>
    <n v="814.73636363636365"/>
    <n v="53.034999999999997"/>
    <d v="2021-12-01T00:00:00"/>
    <s v="Adult"/>
    <n v="0"/>
    <s v="No"/>
    <n v="385"/>
    <s v="High"/>
    <s v="Low"/>
    <n v="8.3333333333333329E-2"/>
    <s v="Medium"/>
    <n v="3"/>
    <d v="2021-12-01T00:00:00"/>
    <s v="7–12 months"/>
    <s v="0–1 tickets"/>
    <s v="46+ min"/>
    <s v="701–1000"/>
    <n v="9086"/>
    <n v="-123.89999999999964"/>
  </r>
  <r>
    <n v="11305"/>
    <n v="37"/>
    <s v="Other"/>
    <s v="Delhi"/>
    <d v="2021-08-04T00:00:00"/>
    <d v="2023-07-12T00:00:00"/>
    <x v="1"/>
    <n v="572"/>
    <x v="1"/>
    <n v="3"/>
    <n v="107.91"/>
    <n v="0"/>
    <x v="2"/>
    <x v="1"/>
    <n v="12584"/>
    <b v="1"/>
    <n v="1.8333333333333333"/>
    <n v="572"/>
    <n v="26.977499999999999"/>
    <d v="2021-08-01T00:00:00"/>
    <s v="Middle-aged"/>
    <n v="0"/>
    <s v="No"/>
    <n v="707"/>
    <s v="High"/>
    <s v="Low"/>
    <n v="0.13043478260869565"/>
    <s v="Medium"/>
    <n v="3"/>
    <d v="2021-08-01T00:00:00"/>
    <s v="13–24 months"/>
    <s v="2–3 tickets"/>
    <s v="46+ min"/>
    <s v="501–700"/>
    <n v="12584"/>
    <n v="0"/>
  </r>
  <r>
    <n v="11306"/>
    <n v="22"/>
    <s v="Female"/>
    <s v="unknown"/>
    <d v="2022-07-09T00:00:00"/>
    <d v="2022-01-27T00:00:00"/>
    <x v="2"/>
    <n v="1085"/>
    <x v="19"/>
    <n v="3"/>
    <n v="57.16"/>
    <n v="5"/>
    <x v="3"/>
    <x v="0"/>
    <n v="14050.75"/>
    <b v="0"/>
    <n v="1.0833333333333333"/>
    <n v="1080.8269230769231"/>
    <n v="14.29"/>
    <d v="2022-07-01T00:00:00"/>
    <s v="Young"/>
    <n v="1"/>
    <s v="Yes"/>
    <m/>
    <s v="Medium"/>
    <s v="Low"/>
    <n v="0.21428571428571427"/>
    <s v="Medium"/>
    <n v="2"/>
    <d v="2022-07-01T00:00:00"/>
    <s v="13–24 months"/>
    <s v="2–3 tickets"/>
    <s v="46+ min"/>
    <s v="1000+"/>
    <n v="14105"/>
    <n v="-54.25"/>
  </r>
  <r>
    <n v="11307"/>
    <n v="54"/>
    <s v="Male"/>
    <s v="Pune"/>
    <d v="2023-06-06T00:00:00"/>
    <d v="2023-03-15T00:00:00"/>
    <x v="0"/>
    <n v="752"/>
    <x v="13"/>
    <n v="1"/>
    <n v="57.41"/>
    <n v="0"/>
    <x v="0"/>
    <x v="1"/>
    <n v="2256"/>
    <b v="0"/>
    <n v="0.25"/>
    <n v="752"/>
    <n v="28.704999999999998"/>
    <d v="2023-06-01T00:00:00"/>
    <s v="Older"/>
    <n v="0"/>
    <s v="No"/>
    <m/>
    <s v="Medium"/>
    <s v="Low"/>
    <n v="0.25"/>
    <s v="Low"/>
    <n v="1"/>
    <d v="2023-06-01T00:00:00"/>
    <s v="0–6 months"/>
    <s v="0–1 tickets"/>
    <s v="46+ min"/>
    <s v="701–1000"/>
    <n v="2256"/>
    <n v="0"/>
  </r>
  <r>
    <n v="11308"/>
    <n v="55"/>
    <s v="Male"/>
    <s v="Delhi"/>
    <d v="2021-01-23T00:00:00"/>
    <d v="2023-06-10T00:00:00"/>
    <x v="0"/>
    <n v="1475"/>
    <x v="19"/>
    <n v="1"/>
    <n v="64.25"/>
    <n v="5"/>
    <x v="1"/>
    <x v="1"/>
    <n v="19101.25"/>
    <b v="1"/>
    <n v="1.0833333333333333"/>
    <n v="1469.3269230769231"/>
    <n v="32.125"/>
    <d v="2021-01-01T00:00:00"/>
    <s v="Older"/>
    <n v="0"/>
    <s v="Yes"/>
    <n v="868"/>
    <s v="High"/>
    <s v="Low"/>
    <n v="7.1428571428571425E-2"/>
    <s v="Medium"/>
    <n v="1"/>
    <d v="2021-01-01T00:00:00"/>
    <s v="13–24 months"/>
    <s v="0–1 tickets"/>
    <s v="46+ min"/>
    <s v="1000+"/>
    <n v="19175"/>
    <n v="-73.75"/>
  </r>
  <r>
    <n v="11309"/>
    <n v="47"/>
    <s v="Male"/>
    <s v="Mumbai"/>
    <d v="2021-06-04T00:00:00"/>
    <d v="2023-04-06T00:00:00"/>
    <x v="0"/>
    <n v="646"/>
    <x v="29"/>
    <n v="2"/>
    <n v="64.75"/>
    <n v="5"/>
    <x v="3"/>
    <x v="0"/>
    <n v="18055.7"/>
    <b v="1"/>
    <n v="2.3333333333333335"/>
    <n v="644.84642857142865"/>
    <n v="21.583333333333332"/>
    <d v="2021-06-01T00:00:00"/>
    <s v="Middle-aged"/>
    <n v="1"/>
    <s v="Yes"/>
    <n v="671"/>
    <s v="High"/>
    <s v="Low"/>
    <n v="6.8965517241379309E-2"/>
    <s v="Medium"/>
    <n v="1"/>
    <d v="2021-06-01T00:00:00"/>
    <s v="25+ months"/>
    <s v="2–3 tickets"/>
    <s v="46+ min"/>
    <s v="501–700"/>
    <n v="18088"/>
    <n v="-32.299999999999272"/>
  </r>
  <r>
    <n v="11310"/>
    <n v="26"/>
    <s v="Male"/>
    <s v="Hyderabad"/>
    <d v="2021-07-05T00:00:00"/>
    <d v="2022-01-22T00:00:00"/>
    <x v="1"/>
    <n v="1115"/>
    <x v="11"/>
    <n v="3"/>
    <n v="114.29"/>
    <n v="15"/>
    <x v="3"/>
    <x v="1"/>
    <n v="12097.75"/>
    <b v="1"/>
    <n v="0.91666666666666663"/>
    <n v="1099.7954545454545"/>
    <n v="28.572500000000002"/>
    <d v="2021-07-01T00:00:00"/>
    <s v="Adult"/>
    <n v="0"/>
    <s v="No"/>
    <n v="201"/>
    <s v="High"/>
    <s v="Low"/>
    <n v="0.25"/>
    <s v="Medium"/>
    <n v="3"/>
    <d v="2021-07-01T00:00:00"/>
    <s v="7–12 months"/>
    <s v="2–3 tickets"/>
    <s v="46+ min"/>
    <s v="1000+"/>
    <n v="12265"/>
    <n v="-167.25"/>
  </r>
  <r>
    <n v="11311"/>
    <n v="51"/>
    <s v="Male"/>
    <s v="Pune"/>
    <d v="2021-09-06T00:00:00"/>
    <d v="2021-10-06T00:00:00"/>
    <x v="2"/>
    <n v="713"/>
    <x v="11"/>
    <n v="2"/>
    <n v="62.59"/>
    <n v="5"/>
    <x v="3"/>
    <x v="1"/>
    <n v="7807.35"/>
    <b v="1"/>
    <n v="0.91666666666666663"/>
    <n v="709.7590909090909"/>
    <n v="20.863333333333333"/>
    <d v="2021-09-01T00:00:00"/>
    <s v="Older"/>
    <n v="0"/>
    <s v="No"/>
    <n v="30"/>
    <s v="High"/>
    <s v="Low"/>
    <n v="0.16666666666666666"/>
    <s v="Low"/>
    <n v="2"/>
    <d v="2021-09-01T00:00:00"/>
    <s v="7–12 months"/>
    <s v="2–3 tickets"/>
    <s v="46+ min"/>
    <s v="701–1000"/>
    <n v="7843"/>
    <n v="-35.649999999999636"/>
  </r>
  <r>
    <n v="11312"/>
    <n v="61"/>
    <s v="Male"/>
    <s v="Hyderabad"/>
    <d v="2023-01-19T00:00:00"/>
    <d v="2022-10-16T00:00:00"/>
    <x v="0"/>
    <n v="730"/>
    <x v="6"/>
    <n v="2"/>
    <n v="36.909999999999997"/>
    <n v="0"/>
    <x v="2"/>
    <x v="0"/>
    <n v="15330"/>
    <b v="0"/>
    <n v="1.75"/>
    <n v="730"/>
    <n v="12.303333333333333"/>
    <d v="2023-01-01T00:00:00"/>
    <s v="Older"/>
    <n v="1"/>
    <s v="Yes"/>
    <m/>
    <s v="Medium"/>
    <s v="Low"/>
    <n v="9.0909090909090912E-2"/>
    <s v="Medium"/>
    <n v="1"/>
    <d v="2023-01-01T00:00:00"/>
    <s v="13–24 months"/>
    <s v="2–3 tickets"/>
    <s v="31–45 min"/>
    <s v="701–1000"/>
    <n v="15330"/>
    <n v="0"/>
  </r>
  <r>
    <n v="11313"/>
    <n v="52"/>
    <s v="Male"/>
    <s v="Bangalore"/>
    <d v="2023-03-16T00:00:00"/>
    <d v="2021-12-17T00:00:00"/>
    <x v="2"/>
    <n v="678"/>
    <x v="6"/>
    <n v="1"/>
    <n v="66.13"/>
    <n v="10"/>
    <x v="3"/>
    <x v="0"/>
    <n v="14170.2"/>
    <b v="0"/>
    <n v="1.75"/>
    <n v="674.7714285714286"/>
    <n v="33.064999999999998"/>
    <d v="2023-03-01T00:00:00"/>
    <s v="Older"/>
    <n v="1"/>
    <s v="Yes"/>
    <m/>
    <s v="High"/>
    <s v="Low"/>
    <n v="4.5454545454545456E-2"/>
    <s v="Medium"/>
    <n v="2"/>
    <d v="2023-03-01T00:00:00"/>
    <s v="13–24 months"/>
    <s v="0–1 tickets"/>
    <s v="46+ min"/>
    <s v="501–700"/>
    <n v="14238"/>
    <n v="-67.799999999999272"/>
  </r>
  <r>
    <n v="11314"/>
    <n v="39"/>
    <s v="Female"/>
    <s v="Pune"/>
    <d v="2021-05-14T00:00:00"/>
    <d v="2022-11-25T00:00:00"/>
    <x v="1"/>
    <n v="1297"/>
    <x v="16"/>
    <n v="4"/>
    <n v="77.13"/>
    <n v="20"/>
    <x v="0"/>
    <x v="0"/>
    <n v="8819.6"/>
    <b v="1"/>
    <n v="0.58333333333333337"/>
    <n v="1259.9428571428573"/>
    <n v="15.425999999999998"/>
    <d v="2021-05-01T00:00:00"/>
    <s v="Middle-aged"/>
    <n v="1"/>
    <s v="No"/>
    <n v="560"/>
    <s v="High"/>
    <s v="Medium"/>
    <n v="0.5"/>
    <s v="Medium"/>
    <n v="3"/>
    <d v="2021-05-01T00:00:00"/>
    <s v="7–12 months"/>
    <s v="4–5 tickets"/>
    <s v="46+ min"/>
    <s v="1000+"/>
    <n v="9079"/>
    <n v="-259.39999999999964"/>
  </r>
  <r>
    <n v="11315"/>
    <n v="61"/>
    <s v="Male"/>
    <s v="Bangalore"/>
    <d v="2021-11-17T00:00:00"/>
    <d v="2022-10-15T00:00:00"/>
    <x v="0"/>
    <n v="1194"/>
    <x v="18"/>
    <n v="1"/>
    <n v="78.569999999999993"/>
    <n v="20"/>
    <x v="1"/>
    <x v="1"/>
    <n v="20059.2"/>
    <b v="1"/>
    <n v="1.4166666666666667"/>
    <n v="1179.9529411764706"/>
    <n v="39.284999999999997"/>
    <d v="2021-11-01T00:00:00"/>
    <s v="Older"/>
    <n v="0"/>
    <s v="Yes"/>
    <n v="332"/>
    <s v="High"/>
    <s v="Medium"/>
    <n v="5.5555555555555552E-2"/>
    <s v="High"/>
    <n v="1"/>
    <d v="2021-11-01T00:00:00"/>
    <s v="13–24 months"/>
    <s v="0–1 tickets"/>
    <s v="46+ min"/>
    <s v="1000+"/>
    <n v="20298"/>
    <n v="-238.79999999999927"/>
  </r>
  <r>
    <n v="11316"/>
    <n v="41"/>
    <s v="Female"/>
    <s v="Delhi"/>
    <d v="2022-01-25T00:00:00"/>
    <d v="2023-03-12T00:00:00"/>
    <x v="1"/>
    <n v="727"/>
    <x v="25"/>
    <n v="0"/>
    <n v="72.3"/>
    <n v="0"/>
    <x v="2"/>
    <x v="1"/>
    <n v="10178"/>
    <b v="1"/>
    <n v="1.1666666666666667"/>
    <n v="727"/>
    <n v="72.3"/>
    <d v="2022-01-01T00:00:00"/>
    <s v="Middle-aged"/>
    <n v="0"/>
    <s v="No"/>
    <n v="411"/>
    <s v="High"/>
    <s v="Low"/>
    <n v="0"/>
    <s v="Medium"/>
    <n v="3"/>
    <d v="2022-01-01T00:00:00"/>
    <s v="13–24 months"/>
    <s v="0–1 tickets"/>
    <s v="46+ min"/>
    <s v="701–1000"/>
    <n v="10178"/>
    <n v="0"/>
  </r>
  <r>
    <n v="11317"/>
    <n v="34"/>
    <s v="Female"/>
    <s v="Mumbai"/>
    <d v="2022-03-10T00:00:00"/>
    <d v="2022-10-05T00:00:00"/>
    <x v="1"/>
    <n v="1407"/>
    <x v="33"/>
    <n v="3"/>
    <n v="25.44"/>
    <n v="10"/>
    <x v="1"/>
    <x v="1"/>
    <n v="46290.3"/>
    <b v="1"/>
    <n v="2.75"/>
    <n v="1402.7363636363636"/>
    <n v="6.36"/>
    <d v="2022-03-01T00:00:00"/>
    <s v="Adult"/>
    <n v="0"/>
    <s v="Yes"/>
    <n v="209"/>
    <s v="Medium"/>
    <s v="Low"/>
    <n v="8.8235294117647065E-2"/>
    <s v="High"/>
    <n v="3"/>
    <d v="2022-03-01T00:00:00"/>
    <s v="25+ months"/>
    <s v="2–3 tickets"/>
    <s v="21–30 min"/>
    <s v="1000+"/>
    <n v="46431"/>
    <n v="-140.69999999999709"/>
  </r>
  <r>
    <n v="11318"/>
    <n v="27"/>
    <s v="Male"/>
    <s v="Chennai"/>
    <d v="2021-01-22T00:00:00"/>
    <d v="2021-06-21T00:00:00"/>
    <x v="1"/>
    <n v="491"/>
    <x v="11"/>
    <n v="0"/>
    <n v="8.86"/>
    <n v="5"/>
    <x v="0"/>
    <x v="1"/>
    <n v="5376.45"/>
    <b v="1"/>
    <n v="0.91666666666666663"/>
    <n v="488.7681818181818"/>
    <n v="8.86"/>
    <d v="2021-01-01T00:00:00"/>
    <s v="Adult"/>
    <n v="0"/>
    <s v="No"/>
    <n v="150"/>
    <s v="Low"/>
    <s v="Low"/>
    <n v="0"/>
    <s v="Low"/>
    <n v="3"/>
    <d v="2021-01-01T00:00:00"/>
    <s v="7–12 months"/>
    <s v="0–1 tickets"/>
    <s v="0–10 min"/>
    <s v="301–500"/>
    <n v="5401"/>
    <n v="-24.550000000000182"/>
  </r>
  <r>
    <n v="11319"/>
    <n v="47"/>
    <s v="Male"/>
    <s v="Bangalore"/>
    <d v="2023-05-23T00:00:00"/>
    <d v="2022-01-20T00:00:00"/>
    <x v="0"/>
    <n v="340"/>
    <x v="19"/>
    <n v="2"/>
    <n v="43.85"/>
    <n v="0"/>
    <x v="3"/>
    <x v="1"/>
    <n v="4420"/>
    <b v="0"/>
    <n v="1.0833333333333333"/>
    <n v="340"/>
    <n v="14.616666666666667"/>
    <d v="2023-05-01T00:00:00"/>
    <s v="Middle-aged"/>
    <n v="0"/>
    <s v="No"/>
    <m/>
    <s v="Medium"/>
    <s v="Low"/>
    <n v="0.14285714285714285"/>
    <s v="Low"/>
    <n v="1"/>
    <d v="2023-05-01T00:00:00"/>
    <s v="13–24 months"/>
    <s v="2–3 tickets"/>
    <s v="31–45 min"/>
    <s v="301–500"/>
    <n v="4420"/>
    <n v="0"/>
  </r>
  <r>
    <n v="11320"/>
    <n v="63"/>
    <s v="Male"/>
    <s v="Chennai"/>
    <d v="2022-08-23T00:00:00"/>
    <d v="2023-05-15T00:00:00"/>
    <x v="0"/>
    <n v="435"/>
    <x v="7"/>
    <n v="3"/>
    <n v="54.17"/>
    <n v="5"/>
    <x v="2"/>
    <x v="1"/>
    <n v="413.25"/>
    <b v="1"/>
    <n v="8.3333333333333329E-2"/>
    <n v="413.25"/>
    <n v="13.5425"/>
    <d v="2022-08-01T00:00:00"/>
    <s v="Older"/>
    <n v="0"/>
    <s v="No"/>
    <n v="265"/>
    <s v="Medium"/>
    <s v="Low"/>
    <n v="1.5"/>
    <s v="Low"/>
    <n v="1"/>
    <d v="2022-08-01T00:00:00"/>
    <s v="0–6 months"/>
    <s v="2–3 tickets"/>
    <s v="46+ min"/>
    <s v="301–500"/>
    <n v="435"/>
    <n v="-21.75"/>
  </r>
  <r>
    <n v="11321"/>
    <n v="40"/>
    <s v="Male"/>
    <s v="Chennai"/>
    <d v="2022-10-27T00:00:00"/>
    <d v="2023-07-31T00:00:00"/>
    <x v="0"/>
    <n v="405"/>
    <x v="22"/>
    <n v="3"/>
    <n v="12.11"/>
    <n v="15"/>
    <x v="3"/>
    <x v="1"/>
    <n v="13709.25"/>
    <b v="1"/>
    <n v="2.8333333333333335"/>
    <n v="403.21323529411762"/>
    <n v="3.0274999999999999"/>
    <d v="2022-10-01T00:00:00"/>
    <s v="Middle-aged"/>
    <n v="0"/>
    <s v="Yes"/>
    <n v="277"/>
    <s v="Low"/>
    <s v="Low"/>
    <n v="8.5714285714285715E-2"/>
    <s v="Medium"/>
    <n v="1"/>
    <d v="2022-10-01T00:00:00"/>
    <s v="25+ months"/>
    <s v="2–3 tickets"/>
    <s v="11–20 min"/>
    <s v="301–500"/>
    <n v="13770"/>
    <n v="-60.75"/>
  </r>
  <r>
    <n v="11322"/>
    <n v="49"/>
    <s v="Female"/>
    <s v="Mumbai"/>
    <d v="2021-05-05T00:00:00"/>
    <d v="2023-03-05T00:00:00"/>
    <x v="0"/>
    <n v="818"/>
    <x v="9"/>
    <n v="3"/>
    <n v="98.72"/>
    <n v="10"/>
    <x v="2"/>
    <x v="1"/>
    <n v="7280.2"/>
    <b v="1"/>
    <n v="0.75"/>
    <n v="808.91111111111104"/>
    <n v="24.68"/>
    <d v="2021-05-01T00:00:00"/>
    <s v="Middle-aged"/>
    <n v="0"/>
    <s v="No"/>
    <n v="669"/>
    <s v="High"/>
    <s v="Low"/>
    <n v="0.3"/>
    <s v="Low"/>
    <n v="1"/>
    <d v="2021-05-01T00:00:00"/>
    <s v="7–12 months"/>
    <s v="2–3 tickets"/>
    <s v="46+ min"/>
    <s v="701–1000"/>
    <n v="7362"/>
    <n v="-81.800000000000182"/>
  </r>
  <r>
    <n v="11323"/>
    <n v="34"/>
    <s v="Male"/>
    <s v="Delhi"/>
    <d v="2021-03-20T00:00:00"/>
    <d v="2022-07-21T00:00:00"/>
    <x v="0"/>
    <n v="1113"/>
    <x v="19"/>
    <n v="1"/>
    <n v="44.57"/>
    <n v="20"/>
    <x v="3"/>
    <x v="1"/>
    <n v="14246.4"/>
    <b v="1"/>
    <n v="1.0833333333333333"/>
    <n v="1095.876923076923"/>
    <n v="22.285"/>
    <d v="2021-03-01T00:00:00"/>
    <s v="Adult"/>
    <n v="0"/>
    <s v="Yes"/>
    <n v="488"/>
    <s v="Medium"/>
    <s v="Medium"/>
    <n v="7.1428571428571425E-2"/>
    <s v="Medium"/>
    <n v="1"/>
    <d v="2021-03-01T00:00:00"/>
    <s v="13–24 months"/>
    <s v="0–1 tickets"/>
    <s v="31–45 min"/>
    <s v="1000+"/>
    <n v="14469"/>
    <n v="-222.60000000000036"/>
  </r>
  <r>
    <n v="11324"/>
    <n v="34"/>
    <s v="Male"/>
    <s v="Mumbai"/>
    <d v="2023-05-08T00:00:00"/>
    <d v="2021-10-26T00:00:00"/>
    <x v="2"/>
    <n v="425"/>
    <x v="3"/>
    <n v="2"/>
    <n v="110.07"/>
    <n v="0"/>
    <x v="0"/>
    <x v="1"/>
    <n v="12750"/>
    <b v="0"/>
    <n v="2.5"/>
    <n v="425"/>
    <n v="36.69"/>
    <d v="2023-05-01T00:00:00"/>
    <s v="Adult"/>
    <n v="0"/>
    <s v="No"/>
    <m/>
    <s v="High"/>
    <s v="Low"/>
    <n v="6.4516129032258063E-2"/>
    <s v="Medium"/>
    <n v="2"/>
    <d v="2023-05-01T00:00:00"/>
    <s v="25+ months"/>
    <s v="2–3 tickets"/>
    <s v="46+ min"/>
    <s v="301–500"/>
    <n v="12750"/>
    <n v="0"/>
  </r>
  <r>
    <n v="11325"/>
    <n v="31"/>
    <s v="Male"/>
    <s v="Pune"/>
    <d v="2021-02-20T00:00:00"/>
    <d v="2021-06-29T00:00:00"/>
    <x v="2"/>
    <n v="699"/>
    <x v="16"/>
    <n v="2"/>
    <n v="22.76"/>
    <n v="20"/>
    <x v="0"/>
    <x v="1"/>
    <n v="4753.2"/>
    <b v="1"/>
    <n v="0.58333333333333337"/>
    <n v="679.02857142857135"/>
    <n v="7.5866666666666669"/>
    <d v="2021-02-01T00:00:00"/>
    <s v="Adult"/>
    <n v="0"/>
    <s v="No"/>
    <n v="129"/>
    <s v="Medium"/>
    <s v="Medium"/>
    <n v="0.25"/>
    <s v="Low"/>
    <n v="2"/>
    <d v="2021-02-01T00:00:00"/>
    <s v="7–12 months"/>
    <s v="2–3 tickets"/>
    <s v="21–30 min"/>
    <s v="501–700"/>
    <n v="4893"/>
    <n v="-139.80000000000018"/>
  </r>
  <r>
    <n v="11326"/>
    <n v="26"/>
    <s v="Other"/>
    <s v="Bangalore"/>
    <d v="2022-12-29T00:00:00"/>
    <d v="2022-05-27T00:00:00"/>
    <x v="1"/>
    <n v="378"/>
    <x v="25"/>
    <n v="0"/>
    <n v="11.55"/>
    <n v="5"/>
    <x v="3"/>
    <x v="1"/>
    <n v="5273.1"/>
    <b v="0"/>
    <n v="1.1666666666666667"/>
    <n v="376.65000000000003"/>
    <n v="11.55"/>
    <d v="2022-12-01T00:00:00"/>
    <s v="Adult"/>
    <n v="0"/>
    <s v="No"/>
    <m/>
    <s v="Low"/>
    <s v="Low"/>
    <n v="0"/>
    <s v="Low"/>
    <n v="3"/>
    <d v="2022-12-01T00:00:00"/>
    <s v="13–24 months"/>
    <s v="0–1 tickets"/>
    <s v="11–20 min"/>
    <s v="301–500"/>
    <n v="5292"/>
    <n v="-18.899999999999636"/>
  </r>
  <r>
    <n v="11327"/>
    <n v="57"/>
    <s v="Female"/>
    <s v="Chennai"/>
    <d v="2021-06-25T00:00:00"/>
    <d v="2022-04-04T00:00:00"/>
    <x v="0"/>
    <n v="688"/>
    <x v="20"/>
    <n v="0"/>
    <n v="62.59"/>
    <n v="5"/>
    <x v="0"/>
    <x v="1"/>
    <n v="4093.6"/>
    <b v="1"/>
    <n v="0.5"/>
    <n v="682.26666666666665"/>
    <n v="62.59"/>
    <d v="2021-06-01T00:00:00"/>
    <s v="Older"/>
    <n v="0"/>
    <s v="No"/>
    <n v="283"/>
    <s v="High"/>
    <s v="Low"/>
    <n v="0"/>
    <s v="Low"/>
    <n v="1"/>
    <d v="2021-06-01T00:00:00"/>
    <s v="0–6 months"/>
    <s v="0–1 tickets"/>
    <s v="46+ min"/>
    <s v="501–700"/>
    <n v="4128"/>
    <n v="-34.400000000000091"/>
  </r>
  <r>
    <n v="11328"/>
    <n v="19"/>
    <s v="Female"/>
    <s v="Mumbai"/>
    <d v="2023-05-20T00:00:00"/>
    <d v="2023-10-31T00:00:00"/>
    <x v="2"/>
    <n v="373"/>
    <x v="22"/>
    <n v="2"/>
    <n v="26.75"/>
    <n v="15"/>
    <x v="3"/>
    <x v="1"/>
    <n v="12626.05"/>
    <b v="1"/>
    <n v="2.8333333333333335"/>
    <n v="371.35441176470584"/>
    <n v="8.9166666666666661"/>
    <d v="2023-05-01T00:00:00"/>
    <s v="Young"/>
    <n v="0"/>
    <s v="No"/>
    <n v="164"/>
    <s v="Medium"/>
    <s v="Low"/>
    <n v="5.7142857142857141E-2"/>
    <s v="Medium"/>
    <n v="2"/>
    <d v="2023-05-01T00:00:00"/>
    <s v="25+ months"/>
    <s v="2–3 tickets"/>
    <s v="21–30 min"/>
    <s v="301–500"/>
    <n v="12682"/>
    <n v="-55.950000000000728"/>
  </r>
  <r>
    <n v="11329"/>
    <n v="62"/>
    <s v="Male"/>
    <s v="Mumbai"/>
    <d v="2021-09-10T00:00:00"/>
    <d v="2021-11-09T00:00:00"/>
    <x v="2"/>
    <n v="1328"/>
    <x v="24"/>
    <n v="2"/>
    <n v="112.8"/>
    <n v="5"/>
    <x v="2"/>
    <x v="0"/>
    <n v="21181.599999999999"/>
    <b v="1"/>
    <n v="1.3333333333333333"/>
    <n v="1323.85"/>
    <n v="37.6"/>
    <d v="2021-09-01T00:00:00"/>
    <s v="Older"/>
    <n v="1"/>
    <s v="Yes"/>
    <n v="60"/>
    <s v="High"/>
    <s v="Low"/>
    <n v="0.11764705882352941"/>
    <s v="High"/>
    <n v="2"/>
    <d v="2021-09-01T00:00:00"/>
    <s v="13–24 months"/>
    <s v="2–3 tickets"/>
    <s v="46+ min"/>
    <s v="1000+"/>
    <n v="21248"/>
    <n v="-66.400000000001455"/>
  </r>
  <r>
    <n v="11330"/>
    <n v="41"/>
    <s v="Female"/>
    <s v="Mumbai"/>
    <d v="2021-09-03T00:00:00"/>
    <d v="2023-10-17T00:00:00"/>
    <x v="2"/>
    <n v="381"/>
    <x v="20"/>
    <n v="3"/>
    <n v="6.18"/>
    <n v="5"/>
    <x v="0"/>
    <x v="1"/>
    <n v="2266.9499999999998"/>
    <b v="1"/>
    <n v="0.5"/>
    <n v="377.82499999999999"/>
    <n v="1.5449999999999999"/>
    <d v="2021-09-01T00:00:00"/>
    <s v="Middle-aged"/>
    <n v="0"/>
    <s v="No"/>
    <n v="774"/>
    <s v="Low"/>
    <s v="Low"/>
    <n v="0.42857142857142855"/>
    <s v="Low"/>
    <n v="2"/>
    <d v="2021-09-01T00:00:00"/>
    <s v="0–6 months"/>
    <s v="2–3 tickets"/>
    <s v="0–10 min"/>
    <s v="301–500"/>
    <n v="2286"/>
    <n v="-19.050000000000182"/>
  </r>
  <r>
    <n v="11331"/>
    <n v="56"/>
    <s v="Female"/>
    <s v="Bangalore"/>
    <d v="2023-01-09T00:00:00"/>
    <d v="2023-09-30T00:00:00"/>
    <x v="1"/>
    <n v="1075"/>
    <x v="14"/>
    <n v="3"/>
    <n v="52.45"/>
    <n v="20"/>
    <x v="2"/>
    <x v="1"/>
    <n v="8385"/>
    <b v="1"/>
    <n v="0.66666666666666663"/>
    <n v="1048.125"/>
    <n v="13.112500000000001"/>
    <d v="2023-01-01T00:00:00"/>
    <s v="Older"/>
    <n v="0"/>
    <s v="No"/>
    <n v="264"/>
    <s v="Medium"/>
    <s v="Medium"/>
    <n v="0.33333333333333331"/>
    <s v="Low"/>
    <n v="3"/>
    <d v="2023-01-01T00:00:00"/>
    <s v="7–12 months"/>
    <s v="2–3 tickets"/>
    <s v="46+ min"/>
    <s v="1000+"/>
    <n v="8600"/>
    <n v="-215"/>
  </r>
  <r>
    <n v="11332"/>
    <n v="26"/>
    <s v="Female"/>
    <s v="Delhi"/>
    <d v="2021-04-16T00:00:00"/>
    <d v="2021-07-31T00:00:00"/>
    <x v="2"/>
    <n v="1290"/>
    <x v="30"/>
    <n v="1"/>
    <n v="111.58"/>
    <n v="20"/>
    <x v="3"/>
    <x v="1"/>
    <n v="30702"/>
    <b v="1"/>
    <n v="2"/>
    <n v="1279.25"/>
    <n v="55.79"/>
    <d v="2021-04-01T00:00:00"/>
    <s v="Adult"/>
    <n v="0"/>
    <s v="Yes"/>
    <n v="106"/>
    <s v="High"/>
    <s v="Medium"/>
    <n v="0.04"/>
    <s v="High"/>
    <n v="2"/>
    <d v="2021-04-01T00:00:00"/>
    <s v="13–24 months"/>
    <s v="0–1 tickets"/>
    <s v="46+ min"/>
    <s v="1000+"/>
    <n v="30960"/>
    <n v="-258"/>
  </r>
  <r>
    <n v="11333"/>
    <n v="41"/>
    <s v="Other"/>
    <s v="Mumbai"/>
    <d v="2021-07-12T00:00:00"/>
    <d v="2021-10-03T00:00:00"/>
    <x v="1"/>
    <n v="577"/>
    <x v="13"/>
    <n v="2"/>
    <n v="49.21"/>
    <n v="0"/>
    <x v="2"/>
    <x v="1"/>
    <n v="1731"/>
    <b v="1"/>
    <n v="0.25"/>
    <n v="577"/>
    <n v="16.403333333333332"/>
    <d v="2021-07-01T00:00:00"/>
    <s v="Middle-aged"/>
    <n v="0"/>
    <s v="No"/>
    <n v="83"/>
    <s v="Medium"/>
    <s v="Low"/>
    <n v="0.5"/>
    <s v="Low"/>
    <n v="3"/>
    <d v="2021-07-01T00:00:00"/>
    <s v="0–6 months"/>
    <s v="2–3 tickets"/>
    <s v="46+ min"/>
    <s v="501–700"/>
    <n v="1731"/>
    <n v="0"/>
  </r>
  <r>
    <n v="11334"/>
    <n v="60"/>
    <s v="Male"/>
    <s v="Bangalore"/>
    <d v="2021-11-12T00:00:00"/>
    <d v="2022-08-30T00:00:00"/>
    <x v="0"/>
    <n v="1139"/>
    <x v="2"/>
    <n v="1"/>
    <n v="15.71"/>
    <n v="0"/>
    <x v="1"/>
    <x v="0"/>
    <n v="4556"/>
    <b v="1"/>
    <n v="0.33333333333333331"/>
    <n v="1139"/>
    <n v="7.8550000000000004"/>
    <d v="2021-11-01T00:00:00"/>
    <s v="Older"/>
    <n v="1"/>
    <s v="No"/>
    <n v="291"/>
    <s v="Low"/>
    <s v="Low"/>
    <n v="0.2"/>
    <s v="Low"/>
    <n v="1"/>
    <d v="2021-11-01T00:00:00"/>
    <s v="0–6 months"/>
    <s v="0–1 tickets"/>
    <s v="11–20 min"/>
    <s v="1000+"/>
    <n v="4556"/>
    <n v="0"/>
  </r>
  <r>
    <n v="11335"/>
    <n v="63"/>
    <s v="Female"/>
    <s v="Chennai"/>
    <d v="2021-10-29T00:00:00"/>
    <d v="2021-08-10T00:00:00"/>
    <x v="2"/>
    <n v="523"/>
    <x v="23"/>
    <n v="1"/>
    <n v="39.83"/>
    <n v="5"/>
    <x v="3"/>
    <x v="0"/>
    <n v="16709.849999999999"/>
    <b v="0"/>
    <n v="2.6666666666666665"/>
    <n v="522.18281249999995"/>
    <n v="19.914999999999999"/>
    <d v="2021-10-01T00:00:00"/>
    <s v="Older"/>
    <n v="1"/>
    <s v="Yes"/>
    <m/>
    <s v="Medium"/>
    <s v="Low"/>
    <n v="3.0303030303030304E-2"/>
    <s v="Medium"/>
    <n v="2"/>
    <d v="2021-10-01T00:00:00"/>
    <s v="25+ months"/>
    <s v="0–1 tickets"/>
    <s v="31–45 min"/>
    <s v="501–700"/>
    <n v="16736"/>
    <n v="-26.150000000001455"/>
  </r>
  <r>
    <n v="11336"/>
    <n v="41"/>
    <s v="Female"/>
    <s v="Pune"/>
    <d v="2022-07-02T00:00:00"/>
    <d v="2023-09-16T00:00:00"/>
    <x v="0"/>
    <n v="1391"/>
    <x v="7"/>
    <n v="0"/>
    <n v="62.27"/>
    <n v="10"/>
    <x v="0"/>
    <x v="1"/>
    <n v="1251.9000000000001"/>
    <b v="1"/>
    <n v="8.3333333333333329E-2"/>
    <n v="1251.9000000000001"/>
    <n v="62.27"/>
    <d v="2022-07-01T00:00:00"/>
    <s v="Middle-aged"/>
    <n v="0"/>
    <s v="No"/>
    <n v="441"/>
    <s v="High"/>
    <s v="Low"/>
    <n v="0"/>
    <s v="Low"/>
    <n v="1"/>
    <d v="2022-07-01T00:00:00"/>
    <s v="0–6 months"/>
    <s v="0–1 tickets"/>
    <s v="46+ min"/>
    <s v="1000+"/>
    <n v="1391"/>
    <n v="-139.09999999999991"/>
  </r>
  <r>
    <n v="11337"/>
    <n v="43"/>
    <s v="Male"/>
    <s v="Hyderabad"/>
    <d v="2022-12-17T00:00:00"/>
    <d v="2023-10-24T00:00:00"/>
    <x v="0"/>
    <n v="905"/>
    <x v="22"/>
    <n v="3"/>
    <n v="26.29"/>
    <n v="0"/>
    <x v="0"/>
    <x v="0"/>
    <n v="30770"/>
    <b v="1"/>
    <n v="2.8333333333333335"/>
    <n v="905"/>
    <n v="6.5724999999999998"/>
    <d v="2022-12-01T00:00:00"/>
    <s v="Middle-aged"/>
    <n v="1"/>
    <s v="Yes"/>
    <n v="311"/>
    <s v="Medium"/>
    <s v="Low"/>
    <n v="8.5714285714285715E-2"/>
    <s v="High"/>
    <n v="1"/>
    <d v="2022-12-01T00:00:00"/>
    <s v="25+ months"/>
    <s v="2–3 tickets"/>
    <s v="21–30 min"/>
    <s v="701–1000"/>
    <n v="30770"/>
    <n v="0"/>
  </r>
  <r>
    <n v="11338"/>
    <n v="46"/>
    <s v="Male"/>
    <s v="Bangalore"/>
    <d v="2023-02-18T00:00:00"/>
    <d v="2022-09-09T00:00:00"/>
    <x v="0"/>
    <n v="318"/>
    <x v="9"/>
    <n v="2"/>
    <n v="58.65"/>
    <n v="5"/>
    <x v="1"/>
    <x v="1"/>
    <n v="2846.1"/>
    <b v="0"/>
    <n v="0.75"/>
    <n v="316.23333333333335"/>
    <n v="19.55"/>
    <d v="2023-02-01T00:00:00"/>
    <s v="Middle-aged"/>
    <n v="0"/>
    <s v="No"/>
    <m/>
    <s v="Medium"/>
    <s v="Low"/>
    <n v="0.2"/>
    <s v="Low"/>
    <n v="1"/>
    <d v="2023-02-01T00:00:00"/>
    <s v="7–12 months"/>
    <s v="2–3 tickets"/>
    <s v="46+ min"/>
    <s v="301–500"/>
    <n v="2862"/>
    <n v="-15.900000000000091"/>
  </r>
  <r>
    <n v="11339"/>
    <n v="62"/>
    <s v="Other"/>
    <s v="Hyderabad"/>
    <d v="2021-09-25T00:00:00"/>
    <d v="2022-01-29T00:00:00"/>
    <x v="0"/>
    <n v="939"/>
    <x v="34"/>
    <n v="2"/>
    <n v="101.18"/>
    <n v="20"/>
    <x v="3"/>
    <x v="1"/>
    <n v="11080.2"/>
    <b v="1"/>
    <n v="1"/>
    <n v="923.35"/>
    <n v="33.726666666666667"/>
    <d v="2021-09-01T00:00:00"/>
    <s v="Older"/>
    <n v="0"/>
    <s v="No"/>
    <n v="126"/>
    <s v="High"/>
    <s v="Medium"/>
    <n v="0.15384615384615385"/>
    <s v="Medium"/>
    <n v="1"/>
    <d v="2021-09-01T00:00:00"/>
    <s v="7–12 months"/>
    <s v="2–3 tickets"/>
    <s v="46+ min"/>
    <s v="701–1000"/>
    <n v="11268"/>
    <n v="-187.79999999999927"/>
  </r>
  <r>
    <n v="11340"/>
    <n v="51"/>
    <s v="Male"/>
    <s v="Mumbai"/>
    <d v="2021-06-19T00:00:00"/>
    <d v="2022-10-03T00:00:00"/>
    <x v="0"/>
    <n v="396"/>
    <x v="32"/>
    <n v="0"/>
    <n v="105.35"/>
    <n v="15"/>
    <x v="3"/>
    <x v="1"/>
    <n v="3900.6"/>
    <b v="1"/>
    <n v="0.83333333333333337"/>
    <n v="390.06"/>
    <n v="105.35"/>
    <d v="2021-06-01T00:00:00"/>
    <s v="Older"/>
    <n v="0"/>
    <s v="No"/>
    <n v="471"/>
    <s v="High"/>
    <s v="Low"/>
    <n v="0"/>
    <s v="Low"/>
    <n v="1"/>
    <d v="2021-06-01T00:00:00"/>
    <s v="7–12 months"/>
    <s v="0–1 tickets"/>
    <s v="46+ min"/>
    <s v="301–500"/>
    <n v="3960"/>
    <n v="-59.400000000000091"/>
  </r>
  <r>
    <n v="11341"/>
    <n v="40"/>
    <s v="Female"/>
    <s v="Mumbai"/>
    <d v="2022-07-05T00:00:00"/>
    <d v="2023-07-01T00:00:00"/>
    <x v="0"/>
    <n v="1375"/>
    <x v="32"/>
    <n v="3"/>
    <n v="10.66"/>
    <n v="20"/>
    <x v="3"/>
    <x v="1"/>
    <n v="13475"/>
    <b v="1"/>
    <n v="0.83333333333333337"/>
    <n v="1347.5"/>
    <n v="2.665"/>
    <d v="2022-07-01T00:00:00"/>
    <s v="Middle-aged"/>
    <n v="0"/>
    <s v="Yes"/>
    <n v="361"/>
    <s v="Low"/>
    <s v="Medium"/>
    <n v="0.27272727272727271"/>
    <s v="Medium"/>
    <n v="1"/>
    <d v="2022-07-01T00:00:00"/>
    <s v="7–12 months"/>
    <s v="2–3 tickets"/>
    <s v="11–20 min"/>
    <s v="1000+"/>
    <n v="13750"/>
    <n v="-275"/>
  </r>
  <r>
    <n v="11342"/>
    <n v="54"/>
    <s v="Other"/>
    <s v="Bangalore"/>
    <d v="2022-03-31T00:00:00"/>
    <d v="2022-01-07T00:00:00"/>
    <x v="0"/>
    <n v="474"/>
    <x v="31"/>
    <n v="2"/>
    <n v="23.5"/>
    <n v="20"/>
    <x v="3"/>
    <x v="1"/>
    <n v="10807.2"/>
    <b v="0"/>
    <n v="1.9166666666666667"/>
    <n v="469.87826086956522"/>
    <n v="7.833333333333333"/>
    <d v="2022-03-01T00:00:00"/>
    <s v="Older"/>
    <n v="0"/>
    <s v="No"/>
    <m/>
    <s v="Medium"/>
    <s v="Medium"/>
    <n v="8.3333333333333329E-2"/>
    <s v="Medium"/>
    <n v="1"/>
    <d v="2022-03-01T00:00:00"/>
    <s v="13–24 months"/>
    <s v="2–3 tickets"/>
    <s v="21–30 min"/>
    <s v="301–500"/>
    <n v="10902"/>
    <n v="-94.799999999999272"/>
  </r>
  <r>
    <n v="11343"/>
    <n v="28"/>
    <s v="Female"/>
    <s v="Hyderabad"/>
    <d v="2022-10-13T00:00:00"/>
    <d v="2022-09-16T00:00:00"/>
    <x v="1"/>
    <n v="1438"/>
    <x v="20"/>
    <n v="3"/>
    <n v="36.659999999999997"/>
    <n v="15"/>
    <x v="2"/>
    <x v="1"/>
    <n v="8412.2999999999993"/>
    <b v="0"/>
    <n v="0.5"/>
    <n v="1402.05"/>
    <n v="9.1649999999999991"/>
    <d v="2022-10-01T00:00:00"/>
    <s v="Adult"/>
    <n v="0"/>
    <s v="No"/>
    <m/>
    <s v="Medium"/>
    <s v="Low"/>
    <n v="0.42857142857142855"/>
    <s v="Low"/>
    <n v="3"/>
    <d v="2022-10-01T00:00:00"/>
    <s v="0–6 months"/>
    <s v="2–3 tickets"/>
    <s v="31–45 min"/>
    <s v="1000+"/>
    <n v="8628"/>
    <n v="-215.70000000000073"/>
  </r>
  <r>
    <n v="11344"/>
    <n v="23"/>
    <s v="Male"/>
    <s v="Mumbai"/>
    <d v="2021-10-19T00:00:00"/>
    <d v="2022-11-15T00:00:00"/>
    <x v="0"/>
    <n v="647"/>
    <x v="30"/>
    <n v="2"/>
    <n v="73.41"/>
    <n v="20"/>
    <x v="3"/>
    <x v="1"/>
    <n v="15398.6"/>
    <b v="1"/>
    <n v="2"/>
    <n v="641.60833333333335"/>
    <n v="24.47"/>
    <d v="2021-10-01T00:00:00"/>
    <s v="Young"/>
    <n v="0"/>
    <s v="Yes"/>
    <n v="392"/>
    <s v="High"/>
    <s v="Medium"/>
    <n v="0.08"/>
    <s v="Medium"/>
    <n v="1"/>
    <d v="2021-10-01T00:00:00"/>
    <s v="13–24 months"/>
    <s v="2–3 tickets"/>
    <s v="46+ min"/>
    <s v="501–700"/>
    <n v="15528"/>
    <n v="-129.39999999999964"/>
  </r>
  <r>
    <n v="11345"/>
    <n v="35"/>
    <s v="Female"/>
    <s v="Chennai"/>
    <d v="2022-07-18T00:00:00"/>
    <d v="2022-10-07T00:00:00"/>
    <x v="2"/>
    <n v="300"/>
    <x v="30"/>
    <n v="5"/>
    <n v="46.51"/>
    <n v="0"/>
    <x v="2"/>
    <x v="1"/>
    <n v="7200"/>
    <b v="1"/>
    <n v="2"/>
    <n v="300"/>
    <n v="7.751666666666666"/>
    <d v="2022-07-01T00:00:00"/>
    <s v="Adult"/>
    <n v="0"/>
    <s v="No"/>
    <n v="81"/>
    <s v="Medium"/>
    <s v="Low"/>
    <n v="0.2"/>
    <s v="Low"/>
    <n v="2"/>
    <d v="2022-07-01T00:00:00"/>
    <s v="13–24 months"/>
    <s v="4–5 tickets"/>
    <s v="46+ min"/>
    <s v="≤300"/>
    <n v="7200"/>
    <n v="0"/>
  </r>
  <r>
    <n v="11346"/>
    <n v="38"/>
    <s v="Male"/>
    <s v="Delhi"/>
    <d v="2023-03-10T00:00:00"/>
    <d v="2023-11-16T00:00:00"/>
    <x v="0"/>
    <n v="362"/>
    <x v="6"/>
    <n v="3"/>
    <n v="102.06"/>
    <n v="20"/>
    <x v="2"/>
    <x v="1"/>
    <n v="7529.6"/>
    <b v="1"/>
    <n v="1.75"/>
    <n v="358.55238095238099"/>
    <n v="25.515000000000001"/>
    <d v="2023-03-01T00:00:00"/>
    <s v="Middle-aged"/>
    <n v="0"/>
    <s v="No"/>
    <n v="251"/>
    <s v="High"/>
    <s v="Medium"/>
    <n v="0.13636363636363635"/>
    <s v="Low"/>
    <n v="1"/>
    <d v="2023-03-01T00:00:00"/>
    <s v="13–24 months"/>
    <s v="2–3 tickets"/>
    <s v="46+ min"/>
    <s v="301–500"/>
    <n v="7602"/>
    <n v="-72.399999999999636"/>
  </r>
  <r>
    <n v="11347"/>
    <n v="59"/>
    <s v="Female"/>
    <s v="Delhi"/>
    <d v="2023-03-12T00:00:00"/>
    <d v="2021-08-21T00:00:00"/>
    <x v="1"/>
    <n v="525"/>
    <x v="27"/>
    <n v="0"/>
    <n v="87.42"/>
    <n v="15"/>
    <x v="0"/>
    <x v="1"/>
    <n v="16196.25"/>
    <b v="0"/>
    <n v="2.5833333333333335"/>
    <n v="522.45967741935488"/>
    <n v="87.42"/>
    <d v="2023-03-01T00:00:00"/>
    <s v="Older"/>
    <n v="0"/>
    <s v="Yes"/>
    <m/>
    <s v="High"/>
    <s v="Low"/>
    <n v="0"/>
    <s v="Medium"/>
    <n v="3"/>
    <d v="2023-03-01T00:00:00"/>
    <s v="25+ months"/>
    <s v="0–1 tickets"/>
    <s v="46+ min"/>
    <s v="501–700"/>
    <n v="16275"/>
    <n v="-78.75"/>
  </r>
  <r>
    <n v="11348"/>
    <n v="53"/>
    <s v="Male"/>
    <s v="Mumbai"/>
    <d v="2021-05-21T00:00:00"/>
    <d v="2023-10-04T00:00:00"/>
    <x v="1"/>
    <n v="722"/>
    <x v="3"/>
    <n v="3"/>
    <n v="16.55"/>
    <n v="5"/>
    <x v="3"/>
    <x v="0"/>
    <n v="21623.9"/>
    <b v="1"/>
    <n v="2.5"/>
    <n v="720.79666666666674"/>
    <n v="4.1375000000000002"/>
    <d v="2021-05-01T00:00:00"/>
    <s v="Older"/>
    <n v="1"/>
    <s v="Yes"/>
    <n v="866"/>
    <s v="Low"/>
    <s v="Low"/>
    <n v="9.6774193548387094E-2"/>
    <s v="High"/>
    <n v="3"/>
    <d v="2021-05-01T00:00:00"/>
    <s v="25+ months"/>
    <s v="2–3 tickets"/>
    <s v="11–20 min"/>
    <s v="701–1000"/>
    <n v="21660"/>
    <n v="-36.099999999998545"/>
  </r>
  <r>
    <n v="11349"/>
    <n v="58"/>
    <s v="Female"/>
    <s v="Hyderabad"/>
    <d v="2021-05-26T00:00:00"/>
    <d v="2023-10-27T00:00:00"/>
    <x v="2"/>
    <n v="1342"/>
    <x v="22"/>
    <n v="2"/>
    <n v="76.819999999999993"/>
    <n v="5"/>
    <x v="2"/>
    <x v="1"/>
    <n v="45560.9"/>
    <b v="1"/>
    <n v="2.8333333333333335"/>
    <n v="1340.0264705882353"/>
    <n v="25.606666666666666"/>
    <d v="2021-05-01T00:00:00"/>
    <s v="Older"/>
    <n v="0"/>
    <s v="Yes"/>
    <n v="884"/>
    <s v="High"/>
    <s v="Low"/>
    <n v="5.7142857142857141E-2"/>
    <s v="High"/>
    <n v="2"/>
    <d v="2021-05-01T00:00:00"/>
    <s v="25+ months"/>
    <s v="2–3 tickets"/>
    <s v="46+ min"/>
    <s v="1000+"/>
    <n v="45628"/>
    <n v="-67.099999999998545"/>
  </r>
  <r>
    <n v="11350"/>
    <n v="55"/>
    <s v="Female"/>
    <s v="Pune"/>
    <d v="2022-03-01T00:00:00"/>
    <d v="2022-11-04T00:00:00"/>
    <x v="2"/>
    <n v="330"/>
    <x v="10"/>
    <n v="4"/>
    <n v="18"/>
    <n v="5"/>
    <x v="3"/>
    <x v="1"/>
    <n v="5923.5"/>
    <b v="1"/>
    <n v="1.5"/>
    <n v="329.08333333333331"/>
    <n v="3.6"/>
    <d v="2022-03-01T00:00:00"/>
    <s v="Older"/>
    <n v="0"/>
    <s v="No"/>
    <n v="248"/>
    <s v="Low"/>
    <s v="Low"/>
    <n v="0.21052631578947367"/>
    <s v="Low"/>
    <n v="2"/>
    <d v="2022-03-01T00:00:00"/>
    <s v="13–24 months"/>
    <s v="4–5 tickets"/>
    <s v="11–20 min"/>
    <s v="301–500"/>
    <n v="5940"/>
    <n v="-16.5"/>
  </r>
  <r>
    <n v="11351"/>
    <n v="51"/>
    <s v="Female"/>
    <s v="Mumbai"/>
    <d v="2021-11-10T00:00:00"/>
    <d v="2021-06-12T00:00:00"/>
    <x v="0"/>
    <n v="1144"/>
    <x v="34"/>
    <n v="2"/>
    <n v="62.59"/>
    <n v="15"/>
    <x v="1"/>
    <x v="1"/>
    <n v="13556.4"/>
    <b v="0"/>
    <n v="1"/>
    <n v="1129.7"/>
    <n v="20.863333333333333"/>
    <d v="2021-11-01T00:00:00"/>
    <s v="Older"/>
    <n v="0"/>
    <s v="Yes"/>
    <m/>
    <s v="High"/>
    <s v="Low"/>
    <n v="0.15384615384615385"/>
    <s v="Medium"/>
    <n v="1"/>
    <d v="2021-11-01T00:00:00"/>
    <s v="7–12 months"/>
    <s v="2–3 tickets"/>
    <s v="46+ min"/>
    <s v="1000+"/>
    <n v="13728"/>
    <n v="-171.60000000000036"/>
  </r>
  <r>
    <n v="11352"/>
    <n v="34"/>
    <s v="Female"/>
    <s v="Pune"/>
    <d v="2021-07-03T00:00:00"/>
    <d v="2022-02-18T00:00:00"/>
    <x v="1"/>
    <n v="932"/>
    <x v="12"/>
    <n v="4"/>
    <n v="25.46"/>
    <n v="15"/>
    <x v="2"/>
    <x v="1"/>
    <n v="32480.2"/>
    <b v="1"/>
    <n v="2.9166666666666665"/>
    <n v="928.00571428571436"/>
    <n v="5.0920000000000005"/>
    <d v="2021-07-01T00:00:00"/>
    <s v="Adult"/>
    <n v="0"/>
    <s v="Yes"/>
    <n v="230"/>
    <s v="Medium"/>
    <s v="Low"/>
    <n v="0.1111111111111111"/>
    <s v="High"/>
    <n v="3"/>
    <d v="2021-07-01T00:00:00"/>
    <s v="25+ months"/>
    <s v="4–5 tickets"/>
    <s v="21–30 min"/>
    <s v="701–1000"/>
    <n v="32620"/>
    <n v="-139.79999999999927"/>
  </r>
  <r>
    <n v="11353"/>
    <n v="54"/>
    <s v="Female"/>
    <s v="Pune"/>
    <d v="2022-10-26T00:00:00"/>
    <d v="2023-03-19T00:00:00"/>
    <x v="1"/>
    <n v="323"/>
    <x v="16"/>
    <n v="4"/>
    <n v="24.9"/>
    <n v="0"/>
    <x v="0"/>
    <x v="1"/>
    <n v="2261"/>
    <b v="1"/>
    <n v="0.58333333333333337"/>
    <n v="323"/>
    <n v="4.9799999999999995"/>
    <d v="2022-10-01T00:00:00"/>
    <s v="Older"/>
    <n v="0"/>
    <s v="No"/>
    <n v="144"/>
    <s v="Medium"/>
    <s v="Low"/>
    <n v="0.5"/>
    <s v="Low"/>
    <n v="3"/>
    <d v="2022-10-01T00:00:00"/>
    <s v="7–12 months"/>
    <s v="4–5 tickets"/>
    <s v="21–30 min"/>
    <s v="301–500"/>
    <n v="2261"/>
    <n v="0"/>
  </r>
  <r>
    <n v="11354"/>
    <n v="41"/>
    <s v="Female"/>
    <s v="Hyderabad"/>
    <d v="2022-12-14T00:00:00"/>
    <d v="2022-08-23T00:00:00"/>
    <x v="1"/>
    <n v="1136"/>
    <x v="0"/>
    <n v="2"/>
    <n v="75.89"/>
    <n v="15"/>
    <x v="3"/>
    <x v="1"/>
    <n v="28229.599999999999"/>
    <b v="0"/>
    <n v="2.0833333333333335"/>
    <n v="1129.184"/>
    <n v="25.296666666666667"/>
    <d v="2022-12-01T00:00:00"/>
    <s v="Middle-aged"/>
    <n v="0"/>
    <s v="Yes"/>
    <m/>
    <s v="High"/>
    <s v="Low"/>
    <n v="7.6923076923076927E-2"/>
    <s v="High"/>
    <n v="3"/>
    <d v="2022-12-01T00:00:00"/>
    <s v="25+ months"/>
    <s v="2–3 tickets"/>
    <s v="46+ min"/>
    <s v="1000+"/>
    <n v="28400"/>
    <n v="-170.40000000000146"/>
  </r>
  <r>
    <n v="11355"/>
    <n v="55"/>
    <s v="Male"/>
    <s v="Pune"/>
    <d v="2021-05-08T00:00:00"/>
    <d v="2021-12-09T00:00:00"/>
    <x v="2"/>
    <n v="1282"/>
    <x v="20"/>
    <n v="2"/>
    <n v="69.81"/>
    <n v="5"/>
    <x v="0"/>
    <x v="0"/>
    <n v="7627.9"/>
    <b v="1"/>
    <n v="0.5"/>
    <n v="1271.3166666666666"/>
    <n v="23.27"/>
    <d v="2021-05-01T00:00:00"/>
    <s v="Older"/>
    <n v="1"/>
    <s v="No"/>
    <n v="215"/>
    <s v="High"/>
    <s v="Low"/>
    <n v="0.2857142857142857"/>
    <s v="Low"/>
    <n v="2"/>
    <d v="2021-05-01T00:00:00"/>
    <s v="0–6 months"/>
    <s v="2–3 tickets"/>
    <s v="46+ min"/>
    <s v="1000+"/>
    <n v="7692"/>
    <n v="-64.100000000000364"/>
  </r>
  <r>
    <n v="11356"/>
    <n v="29"/>
    <s v="Female"/>
    <s v="Chennai"/>
    <d v="2021-10-14T00:00:00"/>
    <d v="2023-07-02T00:00:00"/>
    <x v="0"/>
    <n v="460"/>
    <x v="7"/>
    <n v="3"/>
    <n v="25.24"/>
    <n v="15"/>
    <x v="2"/>
    <x v="1"/>
    <n v="391"/>
    <b v="1"/>
    <n v="8.3333333333333329E-2"/>
    <n v="391"/>
    <n v="6.31"/>
    <d v="2021-10-01T00:00:00"/>
    <s v="Adult"/>
    <n v="0"/>
    <s v="No"/>
    <n v="626"/>
    <s v="Medium"/>
    <s v="Low"/>
    <n v="1.5"/>
    <s v="Low"/>
    <n v="1"/>
    <d v="2021-10-01T00:00:00"/>
    <s v="0–6 months"/>
    <s v="2–3 tickets"/>
    <s v="21–30 min"/>
    <s v="301–500"/>
    <n v="460"/>
    <n v="-69"/>
  </r>
  <r>
    <n v="11357"/>
    <n v="40"/>
    <s v="Male"/>
    <s v="unknown"/>
    <d v="2023-04-03T00:00:00"/>
    <d v="2021-09-22T00:00:00"/>
    <x v="1"/>
    <n v="413"/>
    <x v="24"/>
    <n v="2"/>
    <n v="118.87"/>
    <n v="10"/>
    <x v="2"/>
    <x v="0"/>
    <n v="6566.7"/>
    <b v="0"/>
    <n v="1.3333333333333333"/>
    <n v="410.41874999999999"/>
    <n v="39.623333333333335"/>
    <d v="2023-04-01T00:00:00"/>
    <s v="Middle-aged"/>
    <n v="1"/>
    <s v="No"/>
    <m/>
    <s v="High"/>
    <s v="Low"/>
    <n v="0.11764705882352941"/>
    <s v="Low"/>
    <n v="3"/>
    <d v="2023-04-01T00:00:00"/>
    <s v="13–24 months"/>
    <s v="2–3 tickets"/>
    <s v="46+ min"/>
    <s v="301–500"/>
    <n v="6608"/>
    <n v="-41.300000000000182"/>
  </r>
  <r>
    <n v="11358"/>
    <n v="59"/>
    <s v="Female"/>
    <s v="Mumbai"/>
    <d v="2021-09-10T00:00:00"/>
    <d v="2021-06-26T00:00:00"/>
    <x v="0"/>
    <n v="803"/>
    <x v="2"/>
    <n v="2"/>
    <n v="62.59"/>
    <n v="20"/>
    <x v="0"/>
    <x v="1"/>
    <n v="3051.4"/>
    <b v="0"/>
    <n v="0.33333333333333331"/>
    <n v="762.85"/>
    <n v="20.863333333333333"/>
    <d v="2021-09-01T00:00:00"/>
    <s v="Older"/>
    <n v="0"/>
    <s v="No"/>
    <m/>
    <s v="High"/>
    <s v="Medium"/>
    <n v="0.4"/>
    <s v="Low"/>
    <n v="1"/>
    <d v="2021-09-01T00:00:00"/>
    <s v="0–6 months"/>
    <s v="2–3 tickets"/>
    <s v="46+ min"/>
    <s v="701–1000"/>
    <n v="3212"/>
    <n v="-160.59999999999991"/>
  </r>
  <r>
    <n v="11359"/>
    <n v="39"/>
    <s v="Male"/>
    <s v="Chennai"/>
    <d v="2023-02-17T00:00:00"/>
    <d v="2023-07-23T00:00:00"/>
    <x v="2"/>
    <n v="1254"/>
    <x v="5"/>
    <n v="3"/>
    <n v="16.16"/>
    <n v="0"/>
    <x v="3"/>
    <x v="1"/>
    <n v="36366"/>
    <b v="1"/>
    <n v="2.4166666666666665"/>
    <n v="1254"/>
    <n v="4.04"/>
    <d v="2023-02-01T00:00:00"/>
    <s v="Middle-aged"/>
    <n v="0"/>
    <s v="Yes"/>
    <n v="156"/>
    <s v="Low"/>
    <s v="Low"/>
    <n v="0.1"/>
    <s v="High"/>
    <n v="2"/>
    <d v="2023-02-01T00:00:00"/>
    <s v="25+ months"/>
    <s v="2–3 tickets"/>
    <s v="11–20 min"/>
    <s v="1000+"/>
    <n v="36366"/>
    <n v="0"/>
  </r>
  <r>
    <n v="11360"/>
    <n v="38"/>
    <s v="Male"/>
    <s v="Bangalore"/>
    <d v="2022-12-01T00:00:00"/>
    <d v="2022-10-12T00:00:00"/>
    <x v="0"/>
    <n v="656"/>
    <x v="29"/>
    <n v="3"/>
    <n v="18.87"/>
    <n v="5"/>
    <x v="2"/>
    <x v="0"/>
    <n v="18335.2"/>
    <b v="0"/>
    <n v="2.3333333333333335"/>
    <n v="654.82857142857142"/>
    <n v="4.7175000000000002"/>
    <d v="2022-12-01T00:00:00"/>
    <s v="Middle-aged"/>
    <n v="1"/>
    <s v="Yes"/>
    <m/>
    <s v="Low"/>
    <s v="Low"/>
    <n v="0.10344827586206896"/>
    <s v="Medium"/>
    <n v="1"/>
    <d v="2022-12-01T00:00:00"/>
    <s v="25+ months"/>
    <s v="2–3 tickets"/>
    <s v="11–20 min"/>
    <s v="501–700"/>
    <n v="18368"/>
    <n v="-32.799999999999272"/>
  </r>
  <r>
    <n v="11361"/>
    <n v="44"/>
    <s v="Female"/>
    <s v="Delhi"/>
    <d v="2022-01-21T00:00:00"/>
    <d v="2022-10-21T00:00:00"/>
    <x v="1"/>
    <n v="468"/>
    <x v="1"/>
    <n v="2"/>
    <n v="72.150000000000006"/>
    <n v="5"/>
    <x v="1"/>
    <x v="0"/>
    <n v="10272.6"/>
    <b v="1"/>
    <n v="1.8333333333333333"/>
    <n v="466.93636363636364"/>
    <n v="24.05"/>
    <d v="2022-01-01T00:00:00"/>
    <s v="Middle-aged"/>
    <n v="1"/>
    <s v="No"/>
    <n v="273"/>
    <s v="High"/>
    <s v="Low"/>
    <n v="8.6956521739130432E-2"/>
    <s v="Medium"/>
    <n v="3"/>
    <d v="2022-01-01T00:00:00"/>
    <s v="13–24 months"/>
    <s v="2–3 tickets"/>
    <s v="46+ min"/>
    <s v="301–500"/>
    <n v="10296"/>
    <n v="-23.399999999999636"/>
  </r>
  <r>
    <n v="11362"/>
    <n v="48"/>
    <s v="Male"/>
    <s v="Mumbai"/>
    <d v="2021-08-18T00:00:00"/>
    <d v="2022-11-27T00:00:00"/>
    <x v="0"/>
    <n v="1268"/>
    <x v="14"/>
    <n v="2"/>
    <n v="117.59"/>
    <n v="10"/>
    <x v="0"/>
    <x v="1"/>
    <n v="10017.200000000001"/>
    <b v="1"/>
    <n v="0.66666666666666663"/>
    <n v="1252.1500000000001"/>
    <n v="39.196666666666665"/>
    <d v="2021-08-01T00:00:00"/>
    <s v="Middle-aged"/>
    <n v="0"/>
    <s v="No"/>
    <n v="466"/>
    <s v="High"/>
    <s v="Low"/>
    <n v="0.22222222222222221"/>
    <s v="Medium"/>
    <n v="1"/>
    <d v="2021-08-01T00:00:00"/>
    <s v="7–12 months"/>
    <s v="2–3 tickets"/>
    <s v="46+ min"/>
    <s v="1000+"/>
    <n v="10144"/>
    <n v="-126.79999999999927"/>
  </r>
  <r>
    <n v="11363"/>
    <n v="23"/>
    <s v="Male"/>
    <s v="Mumbai"/>
    <d v="2021-09-28T00:00:00"/>
    <d v="2021-08-01T00:00:00"/>
    <x v="0"/>
    <n v="541"/>
    <x v="23"/>
    <n v="2"/>
    <n v="70.77"/>
    <n v="0"/>
    <x v="2"/>
    <x v="1"/>
    <n v="17312"/>
    <b v="0"/>
    <n v="2.6666666666666665"/>
    <n v="541"/>
    <n v="23.59"/>
    <d v="2021-09-01T00:00:00"/>
    <s v="Young"/>
    <n v="0"/>
    <s v="Yes"/>
    <m/>
    <s v="High"/>
    <s v="Low"/>
    <n v="6.0606060606060608E-2"/>
    <s v="Medium"/>
    <n v="1"/>
    <d v="2021-09-01T00:00:00"/>
    <s v="25+ months"/>
    <s v="2–3 tickets"/>
    <s v="46+ min"/>
    <s v="501–700"/>
    <n v="17312"/>
    <n v="0"/>
  </r>
  <r>
    <n v="11364"/>
    <n v="44"/>
    <s v="Female"/>
    <s v="Mumbai"/>
    <d v="2023-02-10T00:00:00"/>
    <d v="2022-01-15T00:00:00"/>
    <x v="2"/>
    <n v="438"/>
    <x v="33"/>
    <n v="4"/>
    <n v="114.14"/>
    <n v="20"/>
    <x v="3"/>
    <x v="0"/>
    <n v="14366.4"/>
    <b v="0"/>
    <n v="2.75"/>
    <n v="435.34545454545452"/>
    <n v="22.827999999999999"/>
    <d v="2023-02-01T00:00:00"/>
    <s v="Middle-aged"/>
    <n v="1"/>
    <s v="Yes"/>
    <m/>
    <s v="High"/>
    <s v="Medium"/>
    <n v="0.11764705882352941"/>
    <s v="Medium"/>
    <n v="2"/>
    <d v="2023-02-01T00:00:00"/>
    <s v="25+ months"/>
    <s v="4–5 tickets"/>
    <s v="46+ min"/>
    <s v="301–500"/>
    <n v="14454"/>
    <n v="-87.600000000000364"/>
  </r>
  <r>
    <n v="11365"/>
    <n v="57"/>
    <s v="Female"/>
    <s v="Chennai"/>
    <d v="2023-03-22T00:00:00"/>
    <d v="2023-08-24T00:00:00"/>
    <x v="2"/>
    <n v="396"/>
    <x v="19"/>
    <n v="4"/>
    <n v="56.08"/>
    <n v="0"/>
    <x v="2"/>
    <x v="1"/>
    <n v="5148"/>
    <b v="1"/>
    <n v="1.0833333333333333"/>
    <n v="396"/>
    <n v="11.215999999999999"/>
    <d v="2023-03-01T00:00:00"/>
    <s v="Older"/>
    <n v="0"/>
    <s v="No"/>
    <n v="155"/>
    <s v="Medium"/>
    <s v="Low"/>
    <n v="0.2857142857142857"/>
    <s v="Low"/>
    <n v="2"/>
    <d v="2023-03-01T00:00:00"/>
    <s v="13–24 months"/>
    <s v="4–5 tickets"/>
    <s v="46+ min"/>
    <s v="301–500"/>
    <n v="5148"/>
    <n v="0"/>
  </r>
  <r>
    <n v="11366"/>
    <n v="51"/>
    <s v="Female"/>
    <s v="Bangalore"/>
    <d v="2022-02-19T00:00:00"/>
    <d v="2023-01-28T00:00:00"/>
    <x v="2"/>
    <n v="446"/>
    <x v="26"/>
    <n v="3"/>
    <n v="55.12"/>
    <n v="0"/>
    <x v="3"/>
    <x v="1"/>
    <n v="12042"/>
    <b v="1"/>
    <n v="2.25"/>
    <n v="446"/>
    <n v="13.78"/>
    <d v="2022-02-01T00:00:00"/>
    <s v="Older"/>
    <n v="0"/>
    <s v="No"/>
    <n v="343"/>
    <s v="Medium"/>
    <s v="Low"/>
    <n v="0.10714285714285714"/>
    <s v="Medium"/>
    <n v="2"/>
    <d v="2022-02-01T00:00:00"/>
    <s v="25+ months"/>
    <s v="2–3 tickets"/>
    <s v="46+ min"/>
    <s v="301–500"/>
    <n v="12042"/>
    <n v="0"/>
  </r>
  <r>
    <n v="11367"/>
    <n v="29"/>
    <s v="Male"/>
    <s v="Hyderabad"/>
    <d v="2021-07-17T00:00:00"/>
    <d v="2021-07-05T00:00:00"/>
    <x v="0"/>
    <n v="1380"/>
    <x v="10"/>
    <n v="2"/>
    <n v="62.5"/>
    <n v="5"/>
    <x v="3"/>
    <x v="0"/>
    <n v="24771"/>
    <b v="0"/>
    <n v="1.5"/>
    <n v="1376.1666666666667"/>
    <n v="20.833333333333332"/>
    <d v="2021-07-01T00:00:00"/>
    <s v="Adult"/>
    <n v="1"/>
    <s v="Yes"/>
    <m/>
    <s v="High"/>
    <s v="Low"/>
    <n v="0.10526315789473684"/>
    <s v="High"/>
    <n v="1"/>
    <d v="2021-07-01T00:00:00"/>
    <s v="13–24 months"/>
    <s v="2–3 tickets"/>
    <s v="46+ min"/>
    <s v="1000+"/>
    <n v="24840"/>
    <n v="-69"/>
  </r>
  <r>
    <n v="11368"/>
    <n v="62"/>
    <s v="Female"/>
    <s v="Bangalore"/>
    <d v="2021-11-19T00:00:00"/>
    <d v="2023-05-06T00:00:00"/>
    <x v="0"/>
    <n v="1365"/>
    <x v="10"/>
    <n v="4"/>
    <n v="85.2"/>
    <n v="15"/>
    <x v="2"/>
    <x v="1"/>
    <n v="24365.25"/>
    <b v="1"/>
    <n v="1.5"/>
    <n v="1353.625"/>
    <n v="17.04"/>
    <d v="2021-11-01T00:00:00"/>
    <s v="Older"/>
    <n v="0"/>
    <s v="Yes"/>
    <n v="533"/>
    <s v="High"/>
    <s v="Low"/>
    <n v="0.21052631578947367"/>
    <s v="High"/>
    <n v="1"/>
    <d v="2021-11-01T00:00:00"/>
    <s v="13–24 months"/>
    <s v="4–5 tickets"/>
    <s v="46+ min"/>
    <s v="1000+"/>
    <n v="24570"/>
    <n v="-204.75"/>
  </r>
  <r>
    <n v="11369"/>
    <n v="24"/>
    <s v="Male"/>
    <s v="Chennai"/>
    <d v="2021-02-25T00:00:00"/>
    <d v="2022-08-30T00:00:00"/>
    <x v="2"/>
    <n v="1165"/>
    <x v="19"/>
    <n v="2"/>
    <n v="62.59"/>
    <n v="20"/>
    <x v="1"/>
    <x v="1"/>
    <n v="14912"/>
    <b v="1"/>
    <n v="1.0833333333333333"/>
    <n v="1147.0769230769231"/>
    <n v="20.863333333333333"/>
    <d v="2021-02-01T00:00:00"/>
    <s v="Young"/>
    <n v="0"/>
    <s v="Yes"/>
    <n v="551"/>
    <s v="High"/>
    <s v="Medium"/>
    <n v="0.14285714285714285"/>
    <s v="Medium"/>
    <n v="2"/>
    <d v="2021-02-01T00:00:00"/>
    <s v="13–24 months"/>
    <s v="2–3 tickets"/>
    <s v="46+ min"/>
    <s v="1000+"/>
    <n v="15145"/>
    <n v="-233"/>
  </r>
  <r>
    <n v="11370"/>
    <n v="27"/>
    <s v="Female"/>
    <s v="Mumbai"/>
    <d v="2023-04-11T00:00:00"/>
    <d v="2023-01-09T00:00:00"/>
    <x v="1"/>
    <n v="842"/>
    <x v="1"/>
    <n v="2"/>
    <n v="104.35"/>
    <n v="0"/>
    <x v="3"/>
    <x v="1"/>
    <n v="18524"/>
    <b v="0"/>
    <n v="1.8333333333333333"/>
    <n v="842"/>
    <n v="34.783333333333331"/>
    <d v="2023-04-01T00:00:00"/>
    <s v="Adult"/>
    <n v="0"/>
    <s v="Yes"/>
    <m/>
    <s v="High"/>
    <s v="Low"/>
    <n v="8.6956521739130432E-2"/>
    <s v="Medium"/>
    <n v="3"/>
    <d v="2023-04-01T00:00:00"/>
    <s v="13–24 months"/>
    <s v="2–3 tickets"/>
    <s v="46+ min"/>
    <s v="701–1000"/>
    <n v="18524"/>
    <n v="0"/>
  </r>
  <r>
    <n v="11371"/>
    <n v="62"/>
    <s v="Female"/>
    <s v="Delhi"/>
    <d v="2021-07-22T00:00:00"/>
    <d v="2023-11-08T00:00:00"/>
    <x v="1"/>
    <n v="991"/>
    <x v="25"/>
    <n v="6"/>
    <n v="62.59"/>
    <n v="10"/>
    <x v="0"/>
    <x v="1"/>
    <n v="13774.9"/>
    <b v="1"/>
    <n v="1.1666666666666667"/>
    <n v="983.92142857142858"/>
    <n v="8.9414285714285722"/>
    <d v="2021-07-01T00:00:00"/>
    <s v="Older"/>
    <n v="0"/>
    <s v="Yes"/>
    <n v="839"/>
    <s v="High"/>
    <s v="Low"/>
    <n v="0.4"/>
    <s v="Medium"/>
    <n v="3"/>
    <d v="2021-07-01T00:00:00"/>
    <s v="13–24 months"/>
    <s v="6+ tickets"/>
    <s v="46+ min"/>
    <s v="701–1000"/>
    <n v="13874"/>
    <n v="-99.100000000000364"/>
  </r>
  <r>
    <n v="11372"/>
    <n v="34"/>
    <s v="Female"/>
    <s v="Mumbai"/>
    <d v="2023-02-22T00:00:00"/>
    <d v="2022-10-15T00:00:00"/>
    <x v="2"/>
    <n v="1325"/>
    <x v="11"/>
    <n v="1"/>
    <n v="55.57"/>
    <n v="5"/>
    <x v="3"/>
    <x v="1"/>
    <n v="14508.75"/>
    <b v="0"/>
    <n v="0.91666666666666663"/>
    <n v="1318.9772727272727"/>
    <n v="27.785"/>
    <d v="2023-02-01T00:00:00"/>
    <s v="Adult"/>
    <n v="0"/>
    <s v="Yes"/>
    <m/>
    <s v="Medium"/>
    <s v="Low"/>
    <n v="8.3333333333333329E-2"/>
    <s v="Medium"/>
    <n v="2"/>
    <d v="2023-02-01T00:00:00"/>
    <s v="7–12 months"/>
    <s v="0–1 tickets"/>
    <s v="46+ min"/>
    <s v="1000+"/>
    <n v="14575"/>
    <n v="-66.25"/>
  </r>
  <r>
    <n v="11373"/>
    <n v="41"/>
    <s v="Male"/>
    <s v="Hyderabad"/>
    <d v="2022-09-13T00:00:00"/>
    <d v="2023-07-01T00:00:00"/>
    <x v="1"/>
    <n v="1461"/>
    <x v="1"/>
    <n v="0"/>
    <n v="63.76"/>
    <n v="15"/>
    <x v="3"/>
    <x v="1"/>
    <n v="31922.85"/>
    <b v="1"/>
    <n v="1.8333333333333333"/>
    <n v="1451.0386363636362"/>
    <n v="63.76"/>
    <d v="2022-09-01T00:00:00"/>
    <s v="Middle-aged"/>
    <n v="0"/>
    <s v="Yes"/>
    <n v="291"/>
    <s v="High"/>
    <s v="Low"/>
    <n v="0"/>
    <s v="High"/>
    <n v="3"/>
    <d v="2022-09-01T00:00:00"/>
    <s v="13–24 months"/>
    <s v="0–1 tickets"/>
    <s v="46+ min"/>
    <s v="1000+"/>
    <n v="32142"/>
    <n v="-219.15000000000146"/>
  </r>
  <r>
    <n v="11374"/>
    <n v="38"/>
    <s v="Male"/>
    <s v="Pune"/>
    <d v="2022-09-20T00:00:00"/>
    <d v="2023-01-16T00:00:00"/>
    <x v="0"/>
    <n v="1203"/>
    <x v="18"/>
    <n v="1"/>
    <n v="74.81"/>
    <n v="15"/>
    <x v="1"/>
    <x v="0"/>
    <n v="20270.55"/>
    <b v="1"/>
    <n v="1.4166666666666667"/>
    <n v="1192.3852941176469"/>
    <n v="37.405000000000001"/>
    <d v="2022-09-01T00:00:00"/>
    <s v="Middle-aged"/>
    <n v="1"/>
    <s v="Yes"/>
    <n v="118"/>
    <s v="High"/>
    <s v="Low"/>
    <n v="5.5555555555555552E-2"/>
    <s v="High"/>
    <n v="1"/>
    <d v="2022-09-01T00:00:00"/>
    <s v="13–24 months"/>
    <s v="0–1 tickets"/>
    <s v="46+ min"/>
    <s v="1000+"/>
    <n v="20451"/>
    <n v="-180.45000000000073"/>
  </r>
  <r>
    <n v="11375"/>
    <n v="45"/>
    <s v="Male"/>
    <s v="Delhi"/>
    <d v="2022-08-27T00:00:00"/>
    <d v="2021-06-25T00:00:00"/>
    <x v="2"/>
    <n v="1029"/>
    <x v="23"/>
    <n v="1"/>
    <n v="36.75"/>
    <n v="5"/>
    <x v="3"/>
    <x v="1"/>
    <n v="32876.550000000003"/>
    <b v="0"/>
    <n v="2.6666666666666665"/>
    <n v="1027.3921875000001"/>
    <n v="18.375"/>
    <d v="2022-08-01T00:00:00"/>
    <s v="Middle-aged"/>
    <n v="0"/>
    <s v="Yes"/>
    <m/>
    <s v="Medium"/>
    <s v="Low"/>
    <n v="3.0303030303030304E-2"/>
    <s v="High"/>
    <n v="2"/>
    <d v="2022-08-01T00:00:00"/>
    <s v="25+ months"/>
    <s v="0–1 tickets"/>
    <s v="31–45 min"/>
    <s v="1000+"/>
    <n v="32928"/>
    <n v="-51.44999999999709"/>
  </r>
  <r>
    <n v="11376"/>
    <n v="63"/>
    <s v="Male"/>
    <s v="Mumbai"/>
    <d v="2021-05-18T00:00:00"/>
    <d v="2022-12-21T00:00:00"/>
    <x v="2"/>
    <n v="630"/>
    <x v="25"/>
    <n v="2"/>
    <n v="54.16"/>
    <n v="0"/>
    <x v="2"/>
    <x v="1"/>
    <n v="8820"/>
    <b v="1"/>
    <n v="1.1666666666666667"/>
    <n v="630"/>
    <n v="18.053333333333331"/>
    <d v="2021-05-01T00:00:00"/>
    <s v="Older"/>
    <n v="0"/>
    <s v="No"/>
    <n v="582"/>
    <s v="Medium"/>
    <s v="Low"/>
    <n v="0.13333333333333333"/>
    <s v="Medium"/>
    <n v="2"/>
    <d v="2021-05-01T00:00:00"/>
    <s v="13–24 months"/>
    <s v="2–3 tickets"/>
    <s v="46+ min"/>
    <s v="501–700"/>
    <n v="8820"/>
    <n v="0"/>
  </r>
  <r>
    <n v="11377"/>
    <n v="19"/>
    <s v="Male"/>
    <s v="Delhi"/>
    <d v="2022-02-26T00:00:00"/>
    <d v="2021-07-02T00:00:00"/>
    <x v="0"/>
    <n v="916"/>
    <x v="5"/>
    <n v="0"/>
    <n v="62.59"/>
    <n v="5"/>
    <x v="1"/>
    <x v="1"/>
    <n v="26518.2"/>
    <b v="0"/>
    <n v="2.4166666666666665"/>
    <n v="914.4206896551724"/>
    <n v="62.59"/>
    <d v="2022-02-01T00:00:00"/>
    <s v="Young"/>
    <n v="0"/>
    <s v="Yes"/>
    <m/>
    <s v="High"/>
    <s v="Low"/>
    <n v="0"/>
    <s v="High"/>
    <n v="1"/>
    <d v="2022-02-01T00:00:00"/>
    <s v="25+ months"/>
    <s v="0–1 tickets"/>
    <s v="46+ min"/>
    <s v="701–1000"/>
    <n v="26564"/>
    <n v="-45.799999999999272"/>
  </r>
  <r>
    <n v="11378"/>
    <n v="41"/>
    <s v="Female"/>
    <s v="Pune"/>
    <d v="2023-03-26T00:00:00"/>
    <d v="2023-09-09T00:00:00"/>
    <x v="2"/>
    <n v="703"/>
    <x v="20"/>
    <n v="5"/>
    <n v="83.99"/>
    <n v="15"/>
    <x v="3"/>
    <x v="1"/>
    <n v="4112.55"/>
    <b v="1"/>
    <n v="0.5"/>
    <n v="685.42500000000007"/>
    <n v="13.998333333333333"/>
    <d v="2023-03-01T00:00:00"/>
    <s v="Middle-aged"/>
    <n v="0"/>
    <s v="No"/>
    <n v="167"/>
    <s v="High"/>
    <s v="Low"/>
    <n v="0.7142857142857143"/>
    <s v="Low"/>
    <n v="2"/>
    <d v="2023-03-01T00:00:00"/>
    <s v="0–6 months"/>
    <s v="4–5 tickets"/>
    <s v="46+ min"/>
    <s v="701–1000"/>
    <n v="4218"/>
    <n v="-105.44999999999982"/>
  </r>
  <r>
    <n v="11379"/>
    <n v="18"/>
    <s v="Male"/>
    <s v="Bangalore"/>
    <d v="2021-02-26T00:00:00"/>
    <d v="2021-06-12T00:00:00"/>
    <x v="2"/>
    <n v="807"/>
    <x v="2"/>
    <n v="4"/>
    <n v="93.96"/>
    <n v="15"/>
    <x v="2"/>
    <x v="1"/>
    <n v="3106.95"/>
    <b v="1"/>
    <n v="0.33333333333333331"/>
    <n v="776.73749999999995"/>
    <n v="18.791999999999998"/>
    <d v="2021-02-01T00:00:00"/>
    <s v="Young"/>
    <n v="0"/>
    <s v="No"/>
    <n v="106"/>
    <s v="High"/>
    <s v="Low"/>
    <n v="0.8"/>
    <s v="Low"/>
    <n v="2"/>
    <d v="2021-02-01T00:00:00"/>
    <s v="0–6 months"/>
    <s v="4–5 tickets"/>
    <s v="46+ min"/>
    <s v="701–1000"/>
    <n v="3228"/>
    <n v="-121.05000000000018"/>
  </r>
  <r>
    <n v="11380"/>
    <n v="53"/>
    <s v="Female"/>
    <s v="Chennai"/>
    <d v="2022-07-16T00:00:00"/>
    <d v="2022-04-15T00:00:00"/>
    <x v="0"/>
    <n v="1450"/>
    <x v="11"/>
    <n v="3"/>
    <n v="89.85"/>
    <n v="10"/>
    <x v="2"/>
    <x v="1"/>
    <n v="15805"/>
    <b v="0"/>
    <n v="0.91666666666666663"/>
    <n v="1436.8181818181818"/>
    <n v="22.462499999999999"/>
    <d v="2022-07-01T00:00:00"/>
    <s v="Older"/>
    <n v="0"/>
    <s v="Yes"/>
    <m/>
    <s v="High"/>
    <s v="Low"/>
    <n v="0.25"/>
    <s v="Medium"/>
    <n v="1"/>
    <d v="2022-07-01T00:00:00"/>
    <s v="7–12 months"/>
    <s v="2–3 tickets"/>
    <s v="46+ min"/>
    <s v="1000+"/>
    <n v="15950"/>
    <n v="-145"/>
  </r>
  <r>
    <n v="11381"/>
    <n v="43"/>
    <s v="Male"/>
    <s v="Mumbai"/>
    <d v="2021-03-12T00:00:00"/>
    <d v="2023-09-23T00:00:00"/>
    <x v="0"/>
    <n v="1338"/>
    <x v="32"/>
    <n v="2"/>
    <n v="44.28"/>
    <n v="10"/>
    <x v="3"/>
    <x v="1"/>
    <n v="13246.2"/>
    <b v="1"/>
    <n v="0.83333333333333337"/>
    <n v="1324.6200000000001"/>
    <n v="14.76"/>
    <d v="2021-03-01T00:00:00"/>
    <s v="Middle-aged"/>
    <n v="0"/>
    <s v="No"/>
    <n v="925"/>
    <s v="Medium"/>
    <s v="Low"/>
    <n v="0.18181818181818182"/>
    <s v="Medium"/>
    <n v="1"/>
    <d v="2021-03-01T00:00:00"/>
    <s v="7–12 months"/>
    <s v="2–3 tickets"/>
    <s v="31–45 min"/>
    <s v="1000+"/>
    <n v="13380"/>
    <n v="-133.79999999999927"/>
  </r>
  <r>
    <n v="11382"/>
    <n v="46"/>
    <s v="Female"/>
    <s v="Hyderabad"/>
    <d v="2022-08-17T00:00:00"/>
    <d v="2023-01-25T00:00:00"/>
    <x v="0"/>
    <n v="525"/>
    <x v="29"/>
    <n v="1"/>
    <n v="119.94"/>
    <n v="15"/>
    <x v="0"/>
    <x v="1"/>
    <n v="14621.25"/>
    <b v="1"/>
    <n v="2.3333333333333335"/>
    <n v="522.1875"/>
    <n v="59.97"/>
    <d v="2022-08-01T00:00:00"/>
    <s v="Middle-aged"/>
    <n v="0"/>
    <s v="Yes"/>
    <n v="161"/>
    <s v="High"/>
    <s v="Low"/>
    <n v="3.4482758620689655E-2"/>
    <s v="Medium"/>
    <n v="1"/>
    <d v="2022-08-01T00:00:00"/>
    <s v="25+ months"/>
    <s v="0–1 tickets"/>
    <s v="46+ min"/>
    <s v="501–700"/>
    <n v="14700"/>
    <n v="-78.75"/>
  </r>
  <r>
    <n v="11383"/>
    <n v="38"/>
    <s v="Female"/>
    <s v="Bangalore"/>
    <d v="2022-01-07T00:00:00"/>
    <d v="2021-06-01T00:00:00"/>
    <x v="2"/>
    <n v="1283"/>
    <x v="11"/>
    <n v="2"/>
    <n v="62.59"/>
    <n v="10"/>
    <x v="0"/>
    <x v="1"/>
    <n v="13984.7"/>
    <b v="0"/>
    <n v="0.91666666666666663"/>
    <n v="1271.3363636363638"/>
    <n v="20.863333333333333"/>
    <d v="2022-01-01T00:00:00"/>
    <s v="Middle-aged"/>
    <n v="0"/>
    <s v="Yes"/>
    <m/>
    <s v="High"/>
    <s v="Low"/>
    <n v="0.16666666666666666"/>
    <s v="Medium"/>
    <n v="2"/>
    <d v="2022-01-01T00:00:00"/>
    <s v="7–12 months"/>
    <s v="2–3 tickets"/>
    <s v="46+ min"/>
    <s v="1000+"/>
    <n v="14113"/>
    <n v="-128.29999999999927"/>
  </r>
  <r>
    <n v="11384"/>
    <n v="28"/>
    <s v="Male"/>
    <s v="Mumbai"/>
    <d v="2022-09-09T00:00:00"/>
    <d v="2022-08-09T00:00:00"/>
    <x v="0"/>
    <n v="1164"/>
    <x v="12"/>
    <n v="3"/>
    <n v="62.59"/>
    <n v="10"/>
    <x v="3"/>
    <x v="1"/>
    <n v="40623.599999999999"/>
    <b v="0"/>
    <n v="2.9166666666666665"/>
    <n v="1160.6742857142856"/>
    <n v="15.647500000000001"/>
    <d v="2022-09-01T00:00:00"/>
    <s v="Adult"/>
    <n v="0"/>
    <s v="Yes"/>
    <m/>
    <s v="High"/>
    <s v="Low"/>
    <n v="8.3333333333333329E-2"/>
    <s v="High"/>
    <n v="1"/>
    <d v="2022-09-01T00:00:00"/>
    <s v="25+ months"/>
    <s v="2–3 tickets"/>
    <s v="46+ min"/>
    <s v="1000+"/>
    <n v="40740"/>
    <n v="-116.40000000000146"/>
  </r>
  <r>
    <n v="11385"/>
    <n v="57"/>
    <s v="Male"/>
    <s v="Bangalore"/>
    <d v="2022-08-23T00:00:00"/>
    <d v="2023-09-16T00:00:00"/>
    <x v="0"/>
    <n v="1428"/>
    <x v="15"/>
    <n v="4"/>
    <n v="27.44"/>
    <n v="10"/>
    <x v="3"/>
    <x v="1"/>
    <n v="21277.200000000001"/>
    <b v="1"/>
    <n v="1.25"/>
    <n v="1418.48"/>
    <n v="5.4880000000000004"/>
    <d v="2022-08-01T00:00:00"/>
    <s v="Older"/>
    <n v="0"/>
    <s v="Yes"/>
    <n v="389"/>
    <s v="Medium"/>
    <s v="Low"/>
    <n v="0.25"/>
    <s v="High"/>
    <n v="1"/>
    <d v="2022-08-01T00:00:00"/>
    <s v="13–24 months"/>
    <s v="4–5 tickets"/>
    <s v="21–30 min"/>
    <s v="1000+"/>
    <n v="21420"/>
    <n v="-142.79999999999927"/>
  </r>
  <r>
    <n v="11386"/>
    <n v="28"/>
    <s v="Female"/>
    <s v="Hyderabad"/>
    <d v="2022-05-29T00:00:00"/>
    <d v="2021-10-14T00:00:00"/>
    <x v="2"/>
    <n v="1044"/>
    <x v="14"/>
    <n v="1"/>
    <n v="41.11"/>
    <n v="15"/>
    <x v="2"/>
    <x v="1"/>
    <n v="8195.4"/>
    <b v="0"/>
    <n v="0.66666666666666663"/>
    <n v="1024.425"/>
    <n v="20.555"/>
    <d v="2022-05-01T00:00:00"/>
    <s v="Adult"/>
    <n v="0"/>
    <s v="No"/>
    <m/>
    <s v="Medium"/>
    <s v="Low"/>
    <n v="0.1111111111111111"/>
    <s v="Low"/>
    <n v="2"/>
    <d v="2022-05-01T00:00:00"/>
    <s v="7–12 months"/>
    <s v="0–1 tickets"/>
    <s v="31–45 min"/>
    <s v="1000+"/>
    <n v="8352"/>
    <n v="-156.60000000000036"/>
  </r>
  <r>
    <n v="11387"/>
    <n v="41"/>
    <s v="Male"/>
    <s v="Mumbai"/>
    <d v="2023-05-22T00:00:00"/>
    <d v="2021-12-13T00:00:00"/>
    <x v="2"/>
    <n v="792"/>
    <x v="28"/>
    <n v="0"/>
    <n v="57.02"/>
    <n v="0"/>
    <x v="3"/>
    <x v="1"/>
    <n v="15840"/>
    <b v="0"/>
    <n v="1.6666666666666667"/>
    <n v="792"/>
    <n v="57.02"/>
    <d v="2023-05-01T00:00:00"/>
    <s v="Middle-aged"/>
    <n v="0"/>
    <s v="Yes"/>
    <m/>
    <s v="Medium"/>
    <s v="Low"/>
    <n v="0"/>
    <s v="Medium"/>
    <n v="2"/>
    <d v="2023-05-01T00:00:00"/>
    <s v="13–24 months"/>
    <s v="0–1 tickets"/>
    <s v="46+ min"/>
    <s v="701–1000"/>
    <n v="15840"/>
    <n v="0"/>
  </r>
  <r>
    <n v="11388"/>
    <n v="56"/>
    <s v="Female"/>
    <s v="unknown"/>
    <d v="2021-03-25T00:00:00"/>
    <d v="2021-10-11T00:00:00"/>
    <x v="2"/>
    <n v="618"/>
    <x v="6"/>
    <n v="1"/>
    <n v="62.59"/>
    <n v="0"/>
    <x v="3"/>
    <x v="1"/>
    <n v="12978"/>
    <b v="1"/>
    <n v="1.75"/>
    <n v="618"/>
    <n v="31.295000000000002"/>
    <d v="2021-03-01T00:00:00"/>
    <s v="Older"/>
    <n v="0"/>
    <s v="No"/>
    <n v="200"/>
    <s v="High"/>
    <s v="Low"/>
    <n v="4.5454545454545456E-2"/>
    <s v="Medium"/>
    <n v="2"/>
    <d v="2021-03-01T00:00:00"/>
    <s v="13–24 months"/>
    <s v="0–1 tickets"/>
    <s v="46+ min"/>
    <s v="501–700"/>
    <n v="12978"/>
    <n v="0"/>
  </r>
  <r>
    <n v="11389"/>
    <n v="57"/>
    <s v="Female"/>
    <s v="Pune"/>
    <d v="2021-02-12T00:00:00"/>
    <d v="2021-08-25T00:00:00"/>
    <x v="2"/>
    <n v="1072"/>
    <x v="7"/>
    <n v="0"/>
    <n v="94.51"/>
    <n v="20"/>
    <x v="2"/>
    <x v="1"/>
    <n v="857.6"/>
    <b v="1"/>
    <n v="8.3333333333333329E-2"/>
    <n v="857.6"/>
    <n v="94.51"/>
    <d v="2021-02-01T00:00:00"/>
    <s v="Older"/>
    <n v="0"/>
    <s v="No"/>
    <n v="194"/>
    <s v="High"/>
    <s v="Medium"/>
    <n v="0"/>
    <s v="Low"/>
    <n v="2"/>
    <d v="2021-02-01T00:00:00"/>
    <s v="0–6 months"/>
    <s v="0–1 tickets"/>
    <s v="46+ min"/>
    <s v="1000+"/>
    <n v="1072"/>
    <n v="-214.39999999999998"/>
  </r>
  <r>
    <n v="11390"/>
    <n v="52"/>
    <s v="Female"/>
    <s v="Hyderabad"/>
    <d v="2022-10-28T00:00:00"/>
    <d v="2022-09-19T00:00:00"/>
    <x v="1"/>
    <n v="751"/>
    <x v="5"/>
    <n v="2"/>
    <n v="102.89"/>
    <n v="10"/>
    <x v="3"/>
    <x v="0"/>
    <n v="21703.9"/>
    <b v="0"/>
    <n v="2.4166666666666665"/>
    <n v="748.4103448275863"/>
    <n v="34.296666666666667"/>
    <d v="2022-10-01T00:00:00"/>
    <s v="Older"/>
    <n v="1"/>
    <s v="Yes"/>
    <m/>
    <s v="High"/>
    <s v="Low"/>
    <n v="6.6666666666666666E-2"/>
    <s v="High"/>
    <n v="3"/>
    <d v="2022-10-01T00:00:00"/>
    <s v="25+ months"/>
    <s v="2–3 tickets"/>
    <s v="46+ min"/>
    <s v="701–1000"/>
    <n v="21779"/>
    <n v="-75.099999999998545"/>
  </r>
  <r>
    <n v="11391"/>
    <n v="51"/>
    <s v="Male"/>
    <s v="Delhi"/>
    <d v="2023-04-19T00:00:00"/>
    <d v="2023-08-16T00:00:00"/>
    <x v="1"/>
    <n v="1243"/>
    <x v="30"/>
    <n v="2"/>
    <n v="36.28"/>
    <n v="0"/>
    <x v="3"/>
    <x v="1"/>
    <n v="29832"/>
    <b v="1"/>
    <n v="2"/>
    <n v="1243"/>
    <n v="12.093333333333334"/>
    <d v="2023-04-01T00:00:00"/>
    <s v="Older"/>
    <n v="0"/>
    <s v="Yes"/>
    <n v="119"/>
    <s v="Medium"/>
    <s v="Low"/>
    <n v="0.08"/>
    <s v="High"/>
    <n v="3"/>
    <d v="2023-04-01T00:00:00"/>
    <s v="13–24 months"/>
    <s v="2–3 tickets"/>
    <s v="31–45 min"/>
    <s v="1000+"/>
    <n v="29832"/>
    <n v="0"/>
  </r>
  <r>
    <n v="11392"/>
    <n v="64"/>
    <s v="Female"/>
    <s v="Hyderabad"/>
    <d v="2022-08-29T00:00:00"/>
    <d v="2023-07-31T00:00:00"/>
    <x v="1"/>
    <n v="1147"/>
    <x v="3"/>
    <n v="0"/>
    <n v="73.25"/>
    <n v="20"/>
    <x v="3"/>
    <x v="1"/>
    <n v="34180.6"/>
    <b v="1"/>
    <n v="2.5"/>
    <n v="1139.3533333333332"/>
    <n v="73.25"/>
    <d v="2022-08-01T00:00:00"/>
    <s v="Older"/>
    <n v="0"/>
    <s v="Yes"/>
    <n v="336"/>
    <s v="High"/>
    <s v="Medium"/>
    <n v="0"/>
    <s v="High"/>
    <n v="3"/>
    <d v="2022-08-01T00:00:00"/>
    <s v="25+ months"/>
    <s v="0–1 tickets"/>
    <s v="46+ min"/>
    <s v="1000+"/>
    <n v="34410"/>
    <n v="-229.40000000000146"/>
  </r>
  <r>
    <n v="11393"/>
    <n v="41"/>
    <s v="Female"/>
    <s v="Delhi"/>
    <d v="2023-03-21T00:00:00"/>
    <d v="2022-04-20T00:00:00"/>
    <x v="2"/>
    <n v="1316"/>
    <x v="12"/>
    <n v="0"/>
    <n v="37.57"/>
    <n v="5"/>
    <x v="2"/>
    <x v="1"/>
    <n v="45994.2"/>
    <b v="0"/>
    <n v="2.9166666666666665"/>
    <n v="1314.12"/>
    <n v="37.57"/>
    <d v="2023-03-01T00:00:00"/>
    <s v="Middle-aged"/>
    <n v="0"/>
    <s v="Yes"/>
    <m/>
    <s v="Medium"/>
    <s v="Low"/>
    <n v="0"/>
    <s v="High"/>
    <n v="2"/>
    <d v="2023-03-01T00:00:00"/>
    <s v="25+ months"/>
    <s v="0–1 tickets"/>
    <s v="31–45 min"/>
    <s v="1000+"/>
    <n v="46060"/>
    <n v="-65.80000000000291"/>
  </r>
  <r>
    <n v="11394"/>
    <n v="39"/>
    <s v="Female"/>
    <s v="Mumbai"/>
    <d v="2021-05-13T00:00:00"/>
    <d v="2021-11-27T00:00:00"/>
    <x v="0"/>
    <n v="1183"/>
    <x v="33"/>
    <n v="0"/>
    <n v="17.54"/>
    <n v="10"/>
    <x v="3"/>
    <x v="1"/>
    <n v="38920.699999999997"/>
    <b v="1"/>
    <n v="2.75"/>
    <n v="1179.4151515151514"/>
    <n v="17.54"/>
    <d v="2021-05-01T00:00:00"/>
    <s v="Middle-aged"/>
    <n v="0"/>
    <s v="Yes"/>
    <n v="198"/>
    <s v="Low"/>
    <s v="Low"/>
    <n v="0"/>
    <s v="High"/>
    <n v="1"/>
    <d v="2021-05-01T00:00:00"/>
    <s v="25+ months"/>
    <s v="0–1 tickets"/>
    <s v="11–20 min"/>
    <s v="1000+"/>
    <n v="39039"/>
    <n v="-118.30000000000291"/>
  </r>
  <r>
    <n v="11395"/>
    <n v="22"/>
    <s v="Male"/>
    <s v="Delhi"/>
    <d v="2022-01-30T00:00:00"/>
    <d v="2022-10-29T00:00:00"/>
    <x v="1"/>
    <n v="718"/>
    <x v="28"/>
    <n v="0"/>
    <n v="83.68"/>
    <n v="0"/>
    <x v="0"/>
    <x v="1"/>
    <n v="14360"/>
    <b v="1"/>
    <n v="1.6666666666666667"/>
    <n v="718"/>
    <n v="83.68"/>
    <d v="2022-01-01T00:00:00"/>
    <s v="Young"/>
    <n v="0"/>
    <s v="Yes"/>
    <n v="272"/>
    <s v="High"/>
    <s v="Low"/>
    <n v="0"/>
    <s v="Medium"/>
    <n v="3"/>
    <d v="2022-01-01T00:00:00"/>
    <s v="13–24 months"/>
    <s v="0–1 tickets"/>
    <s v="46+ min"/>
    <s v="701–1000"/>
    <n v="14360"/>
    <n v="0"/>
  </r>
  <r>
    <n v="11396"/>
    <n v="50"/>
    <s v="Female"/>
    <s v="Mumbai"/>
    <d v="2021-03-06T00:00:00"/>
    <d v="2023-02-28T00:00:00"/>
    <x v="0"/>
    <n v="1164"/>
    <x v="24"/>
    <n v="2"/>
    <n v="21.44"/>
    <n v="0"/>
    <x v="3"/>
    <x v="0"/>
    <n v="18624"/>
    <b v="1"/>
    <n v="1.3333333333333333"/>
    <n v="1164"/>
    <n v="7.1466666666666674"/>
    <d v="2021-03-01T00:00:00"/>
    <s v="Middle-aged"/>
    <n v="1"/>
    <s v="Yes"/>
    <n v="724"/>
    <s v="Medium"/>
    <s v="Low"/>
    <n v="0.11764705882352941"/>
    <s v="Medium"/>
    <n v="1"/>
    <d v="2021-03-01T00:00:00"/>
    <s v="13–24 months"/>
    <s v="2–3 tickets"/>
    <s v="21–30 min"/>
    <s v="1000+"/>
    <n v="18624"/>
    <n v="0"/>
  </r>
  <r>
    <n v="11397"/>
    <n v="53"/>
    <s v="Female"/>
    <s v="Mumbai"/>
    <d v="2021-10-17T00:00:00"/>
    <d v="2021-11-22T00:00:00"/>
    <x v="0"/>
    <n v="1088"/>
    <x v="9"/>
    <n v="3"/>
    <n v="81.790000000000006"/>
    <n v="0"/>
    <x v="0"/>
    <x v="1"/>
    <n v="9792"/>
    <b v="1"/>
    <n v="0.75"/>
    <n v="1088"/>
    <n v="20.447500000000002"/>
    <d v="2021-10-01T00:00:00"/>
    <s v="Older"/>
    <n v="0"/>
    <s v="No"/>
    <n v="36"/>
    <s v="High"/>
    <s v="Low"/>
    <n v="0.3"/>
    <s v="Medium"/>
    <n v="1"/>
    <d v="2021-10-01T00:00:00"/>
    <s v="7–12 months"/>
    <s v="2–3 tickets"/>
    <s v="46+ min"/>
    <s v="1000+"/>
    <n v="9792"/>
    <n v="0"/>
  </r>
  <r>
    <n v="11398"/>
    <n v="64"/>
    <s v="Female"/>
    <s v="Chennai"/>
    <d v="2022-01-11T00:00:00"/>
    <d v="2023-07-03T00:00:00"/>
    <x v="0"/>
    <n v="794"/>
    <x v="27"/>
    <n v="2"/>
    <n v="79.52"/>
    <n v="20"/>
    <x v="3"/>
    <x v="1"/>
    <n v="24455.200000000001"/>
    <b v="1"/>
    <n v="2.5833333333333335"/>
    <n v="788.87741935483871"/>
    <n v="26.506666666666664"/>
    <d v="2022-01-01T00:00:00"/>
    <s v="Older"/>
    <n v="0"/>
    <s v="Yes"/>
    <n v="538"/>
    <s v="High"/>
    <s v="Medium"/>
    <n v="6.25E-2"/>
    <s v="High"/>
    <n v="1"/>
    <d v="2022-01-01T00:00:00"/>
    <s v="25+ months"/>
    <s v="2–3 tickets"/>
    <s v="46+ min"/>
    <s v="701–1000"/>
    <n v="24614"/>
    <n v="-158.79999999999927"/>
  </r>
  <r>
    <n v="11399"/>
    <n v="37"/>
    <s v="Male"/>
    <s v="Mumbai"/>
    <d v="2023-02-08T00:00:00"/>
    <d v="2021-06-21T00:00:00"/>
    <x v="0"/>
    <n v="1362"/>
    <x v="18"/>
    <n v="2"/>
    <n v="98.18"/>
    <n v="5"/>
    <x v="2"/>
    <x v="1"/>
    <n v="23085.9"/>
    <b v="0"/>
    <n v="1.4166666666666667"/>
    <n v="1357.9941176470588"/>
    <n v="32.726666666666667"/>
    <d v="2023-02-01T00:00:00"/>
    <s v="Middle-aged"/>
    <n v="0"/>
    <s v="Yes"/>
    <m/>
    <s v="High"/>
    <s v="Low"/>
    <n v="0.1111111111111111"/>
    <s v="High"/>
    <n v="1"/>
    <d v="2023-02-01T00:00:00"/>
    <s v="13–24 months"/>
    <s v="2–3 tickets"/>
    <s v="46+ min"/>
    <s v="1000+"/>
    <n v="23154"/>
    <n v="-68.099999999998545"/>
  </r>
  <r>
    <n v="11400"/>
    <n v="36"/>
    <s v="Female"/>
    <s v="Delhi"/>
    <d v="2022-04-12T00:00:00"/>
    <d v="2021-09-13T00:00:00"/>
    <x v="1"/>
    <n v="461"/>
    <x v="27"/>
    <n v="3"/>
    <n v="21.05"/>
    <n v="10"/>
    <x v="0"/>
    <x v="1"/>
    <n v="14244.9"/>
    <b v="0"/>
    <n v="2.5833333333333335"/>
    <n v="459.51290322580644"/>
    <n v="5.2625000000000002"/>
    <d v="2022-04-01T00:00:00"/>
    <s v="Middle-aged"/>
    <n v="0"/>
    <s v="Yes"/>
    <m/>
    <s v="Medium"/>
    <s v="Low"/>
    <n v="9.375E-2"/>
    <s v="Medium"/>
    <n v="3"/>
    <d v="2022-04-01T00:00:00"/>
    <s v="25+ months"/>
    <s v="2–3 tickets"/>
    <s v="21–30 min"/>
    <s v="301–500"/>
    <n v="14291"/>
    <n v="-46.100000000000364"/>
  </r>
  <r>
    <n v="11401"/>
    <n v="52"/>
    <s v="Male"/>
    <s v="Chennai"/>
    <d v="2023-06-17T00:00:00"/>
    <d v="2022-12-30T00:00:00"/>
    <x v="2"/>
    <n v="420"/>
    <x v="31"/>
    <n v="2"/>
    <n v="95.1"/>
    <n v="0"/>
    <x v="3"/>
    <x v="1"/>
    <n v="9660"/>
    <b v="0"/>
    <n v="1.9166666666666667"/>
    <n v="420"/>
    <n v="31.7"/>
    <d v="2023-06-01T00:00:00"/>
    <s v="Older"/>
    <n v="0"/>
    <s v="No"/>
    <m/>
    <s v="High"/>
    <s v="Low"/>
    <n v="8.3333333333333329E-2"/>
    <s v="Medium"/>
    <n v="2"/>
    <d v="2023-06-01T00:00:00"/>
    <s v="13–24 months"/>
    <s v="2–3 tickets"/>
    <s v="46+ min"/>
    <s v="301–500"/>
    <n v="9660"/>
    <n v="0"/>
  </r>
  <r>
    <n v="11402"/>
    <n v="60"/>
    <s v="Female"/>
    <s v="Chennai"/>
    <d v="2021-08-01T00:00:00"/>
    <d v="2022-08-17T00:00:00"/>
    <x v="2"/>
    <n v="698"/>
    <x v="20"/>
    <n v="3"/>
    <n v="119.92"/>
    <n v="15"/>
    <x v="3"/>
    <x v="1"/>
    <n v="4083.3"/>
    <b v="1"/>
    <n v="0.5"/>
    <n v="680.55000000000007"/>
    <n v="29.98"/>
    <d v="2021-08-01T00:00:00"/>
    <s v="Older"/>
    <n v="0"/>
    <s v="No"/>
    <n v="381"/>
    <s v="High"/>
    <s v="Low"/>
    <n v="0.42857142857142855"/>
    <s v="Low"/>
    <n v="2"/>
    <d v="2021-08-01T00:00:00"/>
    <s v="0–6 months"/>
    <s v="2–3 tickets"/>
    <s v="46+ min"/>
    <s v="501–700"/>
    <n v="4188"/>
    <n v="-104.69999999999982"/>
  </r>
  <r>
    <n v="11403"/>
    <n v="34"/>
    <s v="Female"/>
    <s v="Mumbai"/>
    <d v="2021-05-28T00:00:00"/>
    <d v="2023-07-15T00:00:00"/>
    <x v="2"/>
    <n v="1027"/>
    <x v="3"/>
    <n v="3"/>
    <n v="102.87"/>
    <n v="10"/>
    <x v="3"/>
    <x v="1"/>
    <n v="30707.3"/>
    <b v="1"/>
    <n v="2.5"/>
    <n v="1023.5766666666666"/>
    <n v="25.717500000000001"/>
    <d v="2021-05-01T00:00:00"/>
    <s v="Adult"/>
    <n v="0"/>
    <s v="Yes"/>
    <n v="778"/>
    <s v="High"/>
    <s v="Low"/>
    <n v="9.6774193548387094E-2"/>
    <s v="High"/>
    <n v="2"/>
    <d v="2021-05-01T00:00:00"/>
    <s v="25+ months"/>
    <s v="2–3 tickets"/>
    <s v="46+ min"/>
    <s v="1000+"/>
    <n v="30810"/>
    <n v="-102.70000000000073"/>
  </r>
  <r>
    <n v="11404"/>
    <n v="62"/>
    <s v="Female"/>
    <s v="Hyderabad"/>
    <d v="2022-07-27T00:00:00"/>
    <d v="2021-07-19T00:00:00"/>
    <x v="2"/>
    <n v="860"/>
    <x v="16"/>
    <n v="3"/>
    <n v="91.46"/>
    <n v="15"/>
    <x v="3"/>
    <x v="1"/>
    <n v="5891"/>
    <b v="0"/>
    <n v="0.58333333333333337"/>
    <n v="841.57142857142856"/>
    <n v="22.864999999999998"/>
    <d v="2022-07-01T00:00:00"/>
    <s v="Older"/>
    <n v="0"/>
    <s v="No"/>
    <m/>
    <s v="High"/>
    <s v="Low"/>
    <n v="0.375"/>
    <s v="Low"/>
    <n v="2"/>
    <d v="2022-07-01T00:00:00"/>
    <s v="7–12 months"/>
    <s v="2–3 tickets"/>
    <s v="46+ min"/>
    <s v="701–1000"/>
    <n v="6020"/>
    <n v="-129"/>
  </r>
  <r>
    <n v="11405"/>
    <n v="41"/>
    <s v="Female"/>
    <s v="Hyderabad"/>
    <d v="2022-04-16T00:00:00"/>
    <d v="2022-11-10T00:00:00"/>
    <x v="0"/>
    <n v="903"/>
    <x v="11"/>
    <n v="2"/>
    <n v="81.150000000000006"/>
    <n v="20"/>
    <x v="2"/>
    <x v="0"/>
    <n v="9752.4"/>
    <b v="1"/>
    <n v="0.91666666666666663"/>
    <n v="886.58181818181811"/>
    <n v="27.05"/>
    <d v="2022-04-01T00:00:00"/>
    <s v="Middle-aged"/>
    <n v="1"/>
    <s v="No"/>
    <n v="208"/>
    <s v="High"/>
    <s v="Medium"/>
    <n v="0.16666666666666666"/>
    <s v="Medium"/>
    <n v="1"/>
    <d v="2022-04-01T00:00:00"/>
    <s v="7–12 months"/>
    <s v="2–3 tickets"/>
    <s v="46+ min"/>
    <s v="701–1000"/>
    <n v="9933"/>
    <n v="-180.60000000000036"/>
  </r>
  <r>
    <n v="11406"/>
    <n v="51"/>
    <s v="Male"/>
    <s v="unknown"/>
    <d v="2021-05-29T00:00:00"/>
    <d v="2021-10-23T00:00:00"/>
    <x v="2"/>
    <n v="1452"/>
    <x v="22"/>
    <n v="0"/>
    <n v="53.5"/>
    <n v="0"/>
    <x v="1"/>
    <x v="0"/>
    <n v="49368"/>
    <b v="1"/>
    <n v="2.8333333333333335"/>
    <n v="1452"/>
    <n v="53.5"/>
    <d v="2021-05-01T00:00:00"/>
    <s v="Older"/>
    <n v="1"/>
    <s v="Yes"/>
    <n v="147"/>
    <s v="Medium"/>
    <s v="Low"/>
    <n v="0"/>
    <s v="High"/>
    <n v="2"/>
    <d v="2021-05-01T00:00:00"/>
    <s v="25+ months"/>
    <s v="0–1 tickets"/>
    <s v="46+ min"/>
    <s v="1000+"/>
    <n v="49368"/>
    <n v="0"/>
  </r>
  <r>
    <n v="11407"/>
    <n v="26"/>
    <s v="Other"/>
    <s v="Chennai"/>
    <d v="2021-03-29T00:00:00"/>
    <d v="2022-05-06T00:00:00"/>
    <x v="2"/>
    <n v="839"/>
    <x v="34"/>
    <n v="4"/>
    <n v="89.01"/>
    <n v="10"/>
    <x v="0"/>
    <x v="1"/>
    <n v="9984.1"/>
    <b v="1"/>
    <n v="1"/>
    <n v="832.00833333333333"/>
    <n v="17.802"/>
    <d v="2021-03-01T00:00:00"/>
    <s v="Adult"/>
    <n v="0"/>
    <s v="No"/>
    <n v="403"/>
    <s v="High"/>
    <s v="Low"/>
    <n v="0.30769230769230771"/>
    <s v="Medium"/>
    <n v="2"/>
    <d v="2021-03-01T00:00:00"/>
    <s v="7–12 months"/>
    <s v="4–5 tickets"/>
    <s v="46+ min"/>
    <s v="701–1000"/>
    <n v="10068"/>
    <n v="-83.899999999999636"/>
  </r>
  <r>
    <n v="11408"/>
    <n v="43"/>
    <s v="Male"/>
    <s v="Mumbai"/>
    <d v="2021-11-20T00:00:00"/>
    <d v="2023-07-02T00:00:00"/>
    <x v="0"/>
    <n v="655"/>
    <x v="26"/>
    <n v="1"/>
    <n v="88.28"/>
    <n v="10"/>
    <x v="3"/>
    <x v="1"/>
    <n v="17619.5"/>
    <b v="1"/>
    <n v="2.25"/>
    <n v="652.57407407407402"/>
    <n v="44.14"/>
    <d v="2021-11-01T00:00:00"/>
    <s v="Middle-aged"/>
    <n v="0"/>
    <s v="Yes"/>
    <n v="589"/>
    <s v="High"/>
    <s v="Low"/>
    <n v="3.5714285714285712E-2"/>
    <s v="Medium"/>
    <n v="1"/>
    <d v="2021-11-01T00:00:00"/>
    <s v="25+ months"/>
    <s v="0–1 tickets"/>
    <s v="46+ min"/>
    <s v="501–700"/>
    <n v="17685"/>
    <n v="-65.5"/>
  </r>
  <r>
    <n v="11409"/>
    <n v="19"/>
    <s v="Female"/>
    <s v="Hyderabad"/>
    <d v="2023-06-14T00:00:00"/>
    <d v="2023-10-03T00:00:00"/>
    <x v="2"/>
    <n v="959"/>
    <x v="34"/>
    <n v="2"/>
    <n v="77.62"/>
    <n v="0"/>
    <x v="2"/>
    <x v="1"/>
    <n v="11508"/>
    <b v="1"/>
    <n v="1"/>
    <n v="959"/>
    <n v="25.873333333333335"/>
    <d v="2023-06-01T00:00:00"/>
    <s v="Young"/>
    <n v="0"/>
    <s v="No"/>
    <n v="111"/>
    <s v="High"/>
    <s v="Low"/>
    <n v="0.15384615384615385"/>
    <s v="Medium"/>
    <n v="2"/>
    <d v="2023-06-01T00:00:00"/>
    <s v="7–12 months"/>
    <s v="2–3 tickets"/>
    <s v="46+ min"/>
    <s v="701–1000"/>
    <n v="11508"/>
    <n v="0"/>
  </r>
  <r>
    <n v="11410"/>
    <n v="26"/>
    <s v="Female"/>
    <s v="Mumbai"/>
    <d v="2022-01-31T00:00:00"/>
    <d v="2022-05-20T00:00:00"/>
    <x v="0"/>
    <n v="731"/>
    <x v="19"/>
    <n v="3"/>
    <n v="96.57"/>
    <n v="5"/>
    <x v="1"/>
    <x v="1"/>
    <n v="9466.4500000000007"/>
    <b v="1"/>
    <n v="1.0833333333333333"/>
    <n v="728.18846153846164"/>
    <n v="24.142499999999998"/>
    <d v="2022-01-01T00:00:00"/>
    <s v="Adult"/>
    <n v="0"/>
    <s v="No"/>
    <n v="109"/>
    <s v="High"/>
    <s v="Low"/>
    <n v="0.21428571428571427"/>
    <s v="Medium"/>
    <n v="1"/>
    <d v="2022-01-01T00:00:00"/>
    <s v="13–24 months"/>
    <s v="2–3 tickets"/>
    <s v="46+ min"/>
    <s v="701–1000"/>
    <n v="9503"/>
    <n v="-36.549999999999272"/>
  </r>
  <r>
    <n v="11411"/>
    <n v="26"/>
    <s v="Female"/>
    <s v="Mumbai"/>
    <d v="2023-03-01T00:00:00"/>
    <d v="2021-08-14T00:00:00"/>
    <x v="0"/>
    <n v="1388"/>
    <x v="14"/>
    <n v="5"/>
    <n v="56.61"/>
    <n v="20"/>
    <x v="2"/>
    <x v="1"/>
    <n v="10826.4"/>
    <b v="0"/>
    <n v="0.66666666666666663"/>
    <n v="1353.3"/>
    <n v="9.4350000000000005"/>
    <d v="2023-03-01T00:00:00"/>
    <s v="Adult"/>
    <n v="0"/>
    <s v="No"/>
    <m/>
    <s v="Medium"/>
    <s v="Medium"/>
    <n v="0.55555555555555558"/>
    <s v="Medium"/>
    <n v="1"/>
    <d v="2023-03-01T00:00:00"/>
    <s v="7–12 months"/>
    <s v="4–5 tickets"/>
    <s v="46+ min"/>
    <s v="1000+"/>
    <n v="11104"/>
    <n v="-277.60000000000036"/>
  </r>
  <r>
    <n v="11412"/>
    <n v="57"/>
    <s v="Male"/>
    <s v="Chennai"/>
    <d v="2022-02-08T00:00:00"/>
    <d v="2023-08-11T00:00:00"/>
    <x v="0"/>
    <n v="862"/>
    <x v="24"/>
    <n v="1"/>
    <n v="18.940000000000001"/>
    <n v="0"/>
    <x v="3"/>
    <x v="1"/>
    <n v="13792"/>
    <b v="1"/>
    <n v="1.3333333333333333"/>
    <n v="862"/>
    <n v="9.4700000000000006"/>
    <d v="2022-02-01T00:00:00"/>
    <s v="Older"/>
    <n v="0"/>
    <s v="Yes"/>
    <n v="549"/>
    <s v="Low"/>
    <s v="Low"/>
    <n v="5.8823529411764705E-2"/>
    <s v="Medium"/>
    <n v="1"/>
    <d v="2022-02-01T00:00:00"/>
    <s v="13–24 months"/>
    <s v="0–1 tickets"/>
    <s v="11–20 min"/>
    <s v="701–1000"/>
    <n v="13792"/>
    <n v="0"/>
  </r>
  <r>
    <n v="11413"/>
    <n v="34"/>
    <s v="Female"/>
    <s v="Pune"/>
    <d v="2021-03-23T00:00:00"/>
    <d v="2023-08-03T00:00:00"/>
    <x v="0"/>
    <n v="1116"/>
    <x v="5"/>
    <n v="2"/>
    <n v="69.290000000000006"/>
    <n v="10"/>
    <x v="1"/>
    <x v="1"/>
    <n v="32252.400000000001"/>
    <b v="1"/>
    <n v="2.4166666666666665"/>
    <n v="1112.1517241379311"/>
    <n v="23.096666666666668"/>
    <d v="2021-03-01T00:00:00"/>
    <s v="Adult"/>
    <n v="0"/>
    <s v="Yes"/>
    <n v="863"/>
    <s v="High"/>
    <s v="Low"/>
    <n v="6.6666666666666666E-2"/>
    <s v="High"/>
    <n v="1"/>
    <d v="2021-03-01T00:00:00"/>
    <s v="25+ months"/>
    <s v="2–3 tickets"/>
    <s v="46+ min"/>
    <s v="1000+"/>
    <n v="32364"/>
    <n v="-111.59999999999854"/>
  </r>
  <r>
    <n v="11414"/>
    <n v="18"/>
    <s v="Female"/>
    <s v="Chennai"/>
    <d v="2022-10-03T00:00:00"/>
    <d v="2022-12-30T00:00:00"/>
    <x v="1"/>
    <n v="1397"/>
    <x v="12"/>
    <n v="2"/>
    <n v="35.479999999999997"/>
    <n v="5"/>
    <x v="0"/>
    <x v="0"/>
    <n v="48825.15"/>
    <b v="1"/>
    <n v="2.9166666666666665"/>
    <n v="1395.0042857142857"/>
    <n v="11.826666666666666"/>
    <d v="2022-10-01T00:00:00"/>
    <s v="Young"/>
    <n v="1"/>
    <s v="Yes"/>
    <n v="88"/>
    <s v="Medium"/>
    <s v="Low"/>
    <n v="5.5555555555555552E-2"/>
    <s v="High"/>
    <n v="3"/>
    <d v="2022-10-01T00:00:00"/>
    <s v="25+ months"/>
    <s v="2–3 tickets"/>
    <s v="31–45 min"/>
    <s v="1000+"/>
    <n v="48895"/>
    <n v="-69.849999999998545"/>
  </r>
  <r>
    <n v="11415"/>
    <n v="42"/>
    <s v="Male"/>
    <s v="Bangalore"/>
    <d v="2021-10-13T00:00:00"/>
    <d v="2023-02-27T00:00:00"/>
    <x v="1"/>
    <n v="1010"/>
    <x v="5"/>
    <n v="3"/>
    <n v="49.21"/>
    <n v="10"/>
    <x v="0"/>
    <x v="1"/>
    <n v="29189"/>
    <b v="1"/>
    <n v="2.4166666666666665"/>
    <n v="1006.5172413793103"/>
    <n v="12.3025"/>
    <d v="2021-10-01T00:00:00"/>
    <s v="Middle-aged"/>
    <n v="0"/>
    <s v="Yes"/>
    <n v="502"/>
    <s v="Medium"/>
    <s v="Low"/>
    <n v="0.1"/>
    <s v="High"/>
    <n v="3"/>
    <d v="2021-10-01T00:00:00"/>
    <s v="25+ months"/>
    <s v="2–3 tickets"/>
    <s v="46+ min"/>
    <s v="1000+"/>
    <n v="29290"/>
    <n v="-101"/>
  </r>
  <r>
    <n v="11416"/>
    <n v="60"/>
    <s v="Female"/>
    <s v="Hyderabad"/>
    <d v="2022-01-17T00:00:00"/>
    <d v="2022-04-15T00:00:00"/>
    <x v="0"/>
    <n v="311"/>
    <x v="27"/>
    <n v="3"/>
    <n v="7"/>
    <n v="15"/>
    <x v="2"/>
    <x v="1"/>
    <n v="9594.35"/>
    <b v="1"/>
    <n v="2.5833333333333335"/>
    <n v="309.49516129032259"/>
    <n v="1.75"/>
    <d v="2022-01-01T00:00:00"/>
    <s v="Older"/>
    <n v="0"/>
    <s v="No"/>
    <n v="88"/>
    <s v="Low"/>
    <s v="Low"/>
    <n v="9.375E-2"/>
    <s v="Medium"/>
    <n v="1"/>
    <d v="2022-01-01T00:00:00"/>
    <s v="25+ months"/>
    <s v="2–3 tickets"/>
    <s v="0–10 min"/>
    <s v="301–500"/>
    <n v="9641"/>
    <n v="-46.649999999999636"/>
  </r>
  <r>
    <n v="11417"/>
    <n v="57"/>
    <s v="Male"/>
    <s v="Hyderabad"/>
    <d v="2023-05-15T00:00:00"/>
    <d v="2021-08-26T00:00:00"/>
    <x v="2"/>
    <n v="538"/>
    <x v="19"/>
    <n v="1"/>
    <n v="49.02"/>
    <n v="10"/>
    <x v="0"/>
    <x v="1"/>
    <n v="6940.2"/>
    <b v="0"/>
    <n v="1.0833333333333333"/>
    <n v="533.86153846153843"/>
    <n v="24.51"/>
    <d v="2023-05-01T00:00:00"/>
    <s v="Older"/>
    <n v="0"/>
    <s v="No"/>
    <m/>
    <s v="Medium"/>
    <s v="Low"/>
    <n v="7.1428571428571425E-2"/>
    <s v="Low"/>
    <n v="2"/>
    <d v="2023-05-01T00:00:00"/>
    <s v="13–24 months"/>
    <s v="0–1 tickets"/>
    <s v="46+ min"/>
    <s v="501–700"/>
    <n v="6994"/>
    <n v="-53.800000000000182"/>
  </r>
  <r>
    <n v="11418"/>
    <n v="59"/>
    <s v="Male"/>
    <s v="Hyderabad"/>
    <d v="2023-03-03T00:00:00"/>
    <d v="2022-12-05T00:00:00"/>
    <x v="2"/>
    <n v="752"/>
    <x v="34"/>
    <n v="4"/>
    <n v="98.01"/>
    <n v="20"/>
    <x v="0"/>
    <x v="1"/>
    <n v="8873.6"/>
    <b v="0"/>
    <n v="1"/>
    <n v="739.4666666666667"/>
    <n v="19.602"/>
    <d v="2023-03-01T00:00:00"/>
    <s v="Older"/>
    <n v="0"/>
    <s v="No"/>
    <m/>
    <s v="High"/>
    <s v="Medium"/>
    <n v="0.30769230769230771"/>
    <s v="Medium"/>
    <n v="2"/>
    <d v="2023-03-01T00:00:00"/>
    <s v="7–12 months"/>
    <s v="4–5 tickets"/>
    <s v="46+ min"/>
    <s v="701–1000"/>
    <n v="9024"/>
    <n v="-150.39999999999964"/>
  </r>
  <r>
    <n v="11419"/>
    <n v="42"/>
    <s v="Male"/>
    <s v="Delhi"/>
    <d v="2021-09-27T00:00:00"/>
    <d v="2023-04-29T00:00:00"/>
    <x v="0"/>
    <n v="682"/>
    <x v="4"/>
    <n v="2"/>
    <n v="67.41"/>
    <n v="0"/>
    <x v="1"/>
    <x v="0"/>
    <n v="1364"/>
    <b v="1"/>
    <n v="0.16666666666666666"/>
    <n v="682"/>
    <n v="22.47"/>
    <d v="2021-09-01T00:00:00"/>
    <s v="Middle-aged"/>
    <n v="1"/>
    <s v="No"/>
    <n v="579"/>
    <s v="High"/>
    <s v="Low"/>
    <n v="0.66666666666666663"/>
    <s v="Low"/>
    <n v="1"/>
    <d v="2021-09-01T00:00:00"/>
    <s v="0–6 months"/>
    <s v="2–3 tickets"/>
    <s v="46+ min"/>
    <s v="501–700"/>
    <n v="1364"/>
    <n v="0"/>
  </r>
  <r>
    <n v="11420"/>
    <n v="56"/>
    <s v="Male"/>
    <s v="Mumbai"/>
    <d v="2021-10-19T00:00:00"/>
    <d v="2023-10-14T00:00:00"/>
    <x v="0"/>
    <n v="1081"/>
    <x v="33"/>
    <n v="3"/>
    <n v="6.13"/>
    <n v="10"/>
    <x v="0"/>
    <x v="1"/>
    <n v="35564.9"/>
    <b v="1"/>
    <n v="2.75"/>
    <n v="1077.7242424242424"/>
    <n v="1.5325"/>
    <d v="2021-10-01T00:00:00"/>
    <s v="Older"/>
    <n v="0"/>
    <s v="Yes"/>
    <n v="725"/>
    <s v="Low"/>
    <s v="Low"/>
    <n v="8.8235294117647065E-2"/>
    <s v="High"/>
    <n v="1"/>
    <d v="2021-10-01T00:00:00"/>
    <s v="25+ months"/>
    <s v="2–3 tickets"/>
    <s v="0–10 min"/>
    <s v="1000+"/>
    <n v="35673"/>
    <n v="-108.09999999999854"/>
  </r>
  <r>
    <n v="11421"/>
    <n v="52"/>
    <s v="Female"/>
    <s v="Chennai"/>
    <d v="2022-03-29T00:00:00"/>
    <d v="2023-11-09T00:00:00"/>
    <x v="1"/>
    <n v="347"/>
    <x v="14"/>
    <n v="1"/>
    <n v="59.03"/>
    <n v="15"/>
    <x v="1"/>
    <x v="1"/>
    <n v="2723.95"/>
    <b v="1"/>
    <n v="0.66666666666666663"/>
    <n v="340.49374999999998"/>
    <n v="29.515000000000001"/>
    <d v="2022-03-01T00:00:00"/>
    <s v="Older"/>
    <n v="0"/>
    <s v="No"/>
    <n v="590"/>
    <s v="Medium"/>
    <s v="Low"/>
    <n v="0.1111111111111111"/>
    <s v="Low"/>
    <n v="3"/>
    <d v="2022-03-01T00:00:00"/>
    <s v="7–12 months"/>
    <s v="0–1 tickets"/>
    <s v="46+ min"/>
    <s v="301–500"/>
    <n v="2776"/>
    <n v="-52.050000000000182"/>
  </r>
  <r>
    <n v="11422"/>
    <n v="20"/>
    <s v="Male"/>
    <s v="Hyderabad"/>
    <d v="2022-12-16T00:00:00"/>
    <d v="2023-09-25T00:00:00"/>
    <x v="2"/>
    <n v="616"/>
    <x v="23"/>
    <n v="3"/>
    <n v="38.520000000000003"/>
    <n v="15"/>
    <x v="1"/>
    <x v="1"/>
    <n v="19619.599999999999"/>
    <b v="1"/>
    <n v="2.6666666666666665"/>
    <n v="613.11249999999995"/>
    <n v="9.6300000000000008"/>
    <d v="2022-12-01T00:00:00"/>
    <s v="Young"/>
    <n v="0"/>
    <s v="Yes"/>
    <n v="283"/>
    <s v="Medium"/>
    <s v="Low"/>
    <n v="9.0909090909090912E-2"/>
    <s v="High"/>
    <n v="2"/>
    <d v="2022-12-01T00:00:00"/>
    <s v="25+ months"/>
    <s v="2–3 tickets"/>
    <s v="31–45 min"/>
    <s v="501–700"/>
    <n v="19712"/>
    <n v="-92.400000000001455"/>
  </r>
  <r>
    <n v="11423"/>
    <n v="41"/>
    <s v="Male"/>
    <s v="Bangalore"/>
    <d v="2021-01-24T00:00:00"/>
    <d v="2023-07-18T00:00:00"/>
    <x v="1"/>
    <n v="508"/>
    <x v="29"/>
    <n v="1"/>
    <n v="59.92"/>
    <n v="0"/>
    <x v="1"/>
    <x v="1"/>
    <n v="14224"/>
    <b v="1"/>
    <n v="2.3333333333333335"/>
    <n v="508"/>
    <n v="29.96"/>
    <d v="2021-01-01T00:00:00"/>
    <s v="Middle-aged"/>
    <n v="0"/>
    <s v="Yes"/>
    <n v="905"/>
    <s v="Medium"/>
    <s v="Low"/>
    <n v="3.4482758620689655E-2"/>
    <s v="Medium"/>
    <n v="3"/>
    <d v="2021-01-01T00:00:00"/>
    <s v="25+ months"/>
    <s v="0–1 tickets"/>
    <s v="46+ min"/>
    <s v="501–700"/>
    <n v="14224"/>
    <n v="0"/>
  </r>
  <r>
    <n v="11424"/>
    <n v="61"/>
    <s v="Male"/>
    <s v="Hyderabad"/>
    <d v="2023-05-13T00:00:00"/>
    <d v="2023-07-23T00:00:00"/>
    <x v="0"/>
    <n v="1442"/>
    <x v="15"/>
    <n v="1"/>
    <n v="51.54"/>
    <n v="15"/>
    <x v="0"/>
    <x v="1"/>
    <n v="21413.7"/>
    <b v="1"/>
    <n v="1.25"/>
    <n v="1427.5800000000002"/>
    <n v="25.77"/>
    <d v="2023-05-01T00:00:00"/>
    <s v="Older"/>
    <n v="0"/>
    <s v="Yes"/>
    <n v="71"/>
    <s v="Medium"/>
    <s v="Low"/>
    <n v="6.25E-2"/>
    <s v="High"/>
    <n v="1"/>
    <d v="2023-05-01T00:00:00"/>
    <s v="13–24 months"/>
    <s v="0–1 tickets"/>
    <s v="46+ min"/>
    <s v="1000+"/>
    <n v="21630"/>
    <n v="-216.29999999999927"/>
  </r>
  <r>
    <n v="11425"/>
    <n v="61"/>
    <s v="Female"/>
    <s v="Pune"/>
    <d v="2021-11-07T00:00:00"/>
    <d v="2021-07-12T00:00:00"/>
    <x v="2"/>
    <n v="876"/>
    <x v="31"/>
    <n v="1"/>
    <n v="112.18"/>
    <n v="0"/>
    <x v="2"/>
    <x v="0"/>
    <n v="20148"/>
    <b v="0"/>
    <n v="1.9166666666666667"/>
    <n v="876"/>
    <n v="56.09"/>
    <d v="2021-11-01T00:00:00"/>
    <s v="Older"/>
    <n v="1"/>
    <s v="Yes"/>
    <m/>
    <s v="High"/>
    <s v="Low"/>
    <n v="4.1666666666666664E-2"/>
    <s v="High"/>
    <n v="2"/>
    <d v="2021-11-01T00:00:00"/>
    <s v="13–24 months"/>
    <s v="0–1 tickets"/>
    <s v="46+ min"/>
    <s v="701–1000"/>
    <n v="20148"/>
    <n v="0"/>
  </r>
  <r>
    <n v="11426"/>
    <n v="47"/>
    <s v="Female"/>
    <s v="unknown"/>
    <d v="2022-04-06T00:00:00"/>
    <d v="2021-09-01T00:00:00"/>
    <x v="0"/>
    <n v="614"/>
    <x v="30"/>
    <n v="4"/>
    <n v="9.74"/>
    <n v="20"/>
    <x v="2"/>
    <x v="1"/>
    <n v="14613.2"/>
    <b v="0"/>
    <n v="2"/>
    <n v="608.88333333333333"/>
    <n v="1.948"/>
    <d v="2022-04-01T00:00:00"/>
    <s v="Middle-aged"/>
    <n v="0"/>
    <s v="Yes"/>
    <m/>
    <s v="Low"/>
    <s v="Medium"/>
    <n v="0.16"/>
    <s v="Medium"/>
    <n v="1"/>
    <d v="2022-04-01T00:00:00"/>
    <s v="13–24 months"/>
    <s v="4–5 tickets"/>
    <s v="0–10 min"/>
    <s v="501–700"/>
    <n v="14736"/>
    <n v="-122.79999999999927"/>
  </r>
  <r>
    <n v="11427"/>
    <n v="55"/>
    <s v="Male"/>
    <s v="Mumbai"/>
    <d v="2021-07-27T00:00:00"/>
    <d v="2023-04-28T00:00:00"/>
    <x v="0"/>
    <n v="1053"/>
    <x v="19"/>
    <n v="2"/>
    <n v="83.61"/>
    <n v="0"/>
    <x v="0"/>
    <x v="1"/>
    <n v="13689"/>
    <b v="1"/>
    <n v="1.0833333333333333"/>
    <n v="1053"/>
    <n v="27.87"/>
    <d v="2021-07-01T00:00:00"/>
    <s v="Older"/>
    <n v="0"/>
    <s v="Yes"/>
    <n v="640"/>
    <s v="High"/>
    <s v="Low"/>
    <n v="0.14285714285714285"/>
    <s v="Medium"/>
    <n v="1"/>
    <d v="2021-07-01T00:00:00"/>
    <s v="13–24 months"/>
    <s v="2–3 tickets"/>
    <s v="46+ min"/>
    <s v="1000+"/>
    <n v="13689"/>
    <n v="0"/>
  </r>
  <r>
    <n v="11428"/>
    <n v="51"/>
    <s v="Male"/>
    <s v="Chennai"/>
    <d v="2023-03-03T00:00:00"/>
    <d v="2023-05-28T00:00:00"/>
    <x v="2"/>
    <n v="1359"/>
    <x v="6"/>
    <n v="0"/>
    <n v="102.87"/>
    <n v="5"/>
    <x v="1"/>
    <x v="0"/>
    <n v="28471.05"/>
    <b v="1"/>
    <n v="1.75"/>
    <n v="1355.7642857142857"/>
    <n v="102.87"/>
    <d v="2023-03-01T00:00:00"/>
    <s v="Older"/>
    <n v="1"/>
    <s v="Yes"/>
    <n v="86"/>
    <s v="High"/>
    <s v="Low"/>
    <n v="0"/>
    <s v="High"/>
    <n v="2"/>
    <d v="2023-03-01T00:00:00"/>
    <s v="13–24 months"/>
    <s v="0–1 tickets"/>
    <s v="46+ min"/>
    <s v="1000+"/>
    <n v="28539"/>
    <n v="-67.950000000000728"/>
  </r>
  <r>
    <n v="11429"/>
    <n v="29"/>
    <s v="Female"/>
    <s v="Delhi"/>
    <d v="2022-12-18T00:00:00"/>
    <d v="2022-10-20T00:00:00"/>
    <x v="0"/>
    <n v="1214"/>
    <x v="34"/>
    <n v="1"/>
    <n v="115.31"/>
    <n v="15"/>
    <x v="0"/>
    <x v="1"/>
    <n v="14385.9"/>
    <b v="0"/>
    <n v="1"/>
    <n v="1198.825"/>
    <n v="57.655000000000001"/>
    <d v="2022-12-01T00:00:00"/>
    <s v="Adult"/>
    <n v="0"/>
    <s v="Yes"/>
    <m/>
    <s v="High"/>
    <s v="Low"/>
    <n v="7.6923076923076927E-2"/>
    <s v="Medium"/>
    <n v="1"/>
    <d v="2022-12-01T00:00:00"/>
    <s v="7–12 months"/>
    <s v="0–1 tickets"/>
    <s v="46+ min"/>
    <s v="1000+"/>
    <n v="14568"/>
    <n v="-182.10000000000036"/>
  </r>
  <r>
    <n v="11430"/>
    <n v="36"/>
    <s v="Male"/>
    <s v="Chennai"/>
    <d v="2022-10-26T00:00:00"/>
    <d v="2022-11-11T00:00:00"/>
    <x v="0"/>
    <n v="1054"/>
    <x v="19"/>
    <n v="4"/>
    <n v="25.43"/>
    <n v="15"/>
    <x v="3"/>
    <x v="0"/>
    <n v="13543.9"/>
    <b v="1"/>
    <n v="1.0833333333333333"/>
    <n v="1041.8384615384616"/>
    <n v="5.0860000000000003"/>
    <d v="2022-10-01T00:00:00"/>
    <s v="Middle-aged"/>
    <n v="1"/>
    <s v="Yes"/>
    <n v="16"/>
    <s v="Medium"/>
    <s v="Low"/>
    <n v="0.2857142857142857"/>
    <s v="Medium"/>
    <n v="1"/>
    <d v="2022-10-01T00:00:00"/>
    <s v="13–24 months"/>
    <s v="4–5 tickets"/>
    <s v="21–30 min"/>
    <s v="1000+"/>
    <n v="13702"/>
    <n v="-158.10000000000036"/>
  </r>
  <r>
    <n v="11431"/>
    <n v="54"/>
    <s v="Female"/>
    <s v="Hyderabad"/>
    <d v="2022-03-14T00:00:00"/>
    <d v="2022-02-20T00:00:00"/>
    <x v="0"/>
    <n v="853"/>
    <x v="31"/>
    <n v="1"/>
    <n v="66.099999999999994"/>
    <n v="10"/>
    <x v="2"/>
    <x v="1"/>
    <n v="19533.7"/>
    <b v="0"/>
    <n v="1.9166666666666667"/>
    <n v="849.2913043478261"/>
    <n v="33.049999999999997"/>
    <d v="2022-03-01T00:00:00"/>
    <s v="Older"/>
    <n v="0"/>
    <s v="Yes"/>
    <m/>
    <s v="High"/>
    <s v="Low"/>
    <n v="4.1666666666666664E-2"/>
    <s v="High"/>
    <n v="1"/>
    <d v="2022-03-01T00:00:00"/>
    <s v="13–24 months"/>
    <s v="0–1 tickets"/>
    <s v="46+ min"/>
    <s v="701–1000"/>
    <n v="19619"/>
    <n v="-85.299999999999272"/>
  </r>
  <r>
    <n v="11432"/>
    <n v="61"/>
    <s v="Male"/>
    <s v="Pune"/>
    <d v="2022-06-22T00:00:00"/>
    <d v="2023-02-16T00:00:00"/>
    <x v="0"/>
    <n v="702"/>
    <x v="29"/>
    <n v="1"/>
    <n v="10.01"/>
    <n v="5"/>
    <x v="1"/>
    <x v="1"/>
    <n v="19620.900000000001"/>
    <b v="1"/>
    <n v="2.3333333333333335"/>
    <n v="700.74642857142862"/>
    <n v="5.0049999999999999"/>
    <d v="2022-06-01T00:00:00"/>
    <s v="Older"/>
    <n v="0"/>
    <s v="Yes"/>
    <n v="239"/>
    <s v="Low"/>
    <s v="Low"/>
    <n v="3.4482758620689655E-2"/>
    <s v="High"/>
    <n v="1"/>
    <d v="2022-06-01T00:00:00"/>
    <s v="25+ months"/>
    <s v="0–1 tickets"/>
    <s v="11–20 min"/>
    <s v="701–1000"/>
    <n v="19656"/>
    <n v="-35.099999999998545"/>
  </r>
  <r>
    <n v="11433"/>
    <n v="34"/>
    <s v="Female"/>
    <s v="Bangalore"/>
    <d v="2022-12-07T00:00:00"/>
    <d v="2022-03-19T00:00:00"/>
    <x v="2"/>
    <n v="1430"/>
    <x v="25"/>
    <n v="3"/>
    <n v="62.41"/>
    <n v="10"/>
    <x v="0"/>
    <x v="1"/>
    <n v="19877"/>
    <b v="0"/>
    <n v="1.1666666666666667"/>
    <n v="1419.7857142857142"/>
    <n v="15.602499999999999"/>
    <d v="2022-12-01T00:00:00"/>
    <s v="Adult"/>
    <n v="0"/>
    <s v="Yes"/>
    <m/>
    <s v="High"/>
    <s v="Low"/>
    <n v="0.2"/>
    <s v="High"/>
    <n v="2"/>
    <d v="2022-12-01T00:00:00"/>
    <s v="13–24 months"/>
    <s v="2–3 tickets"/>
    <s v="46+ min"/>
    <s v="1000+"/>
    <n v="20020"/>
    <n v="-143"/>
  </r>
  <r>
    <n v="11434"/>
    <n v="27"/>
    <s v="Male"/>
    <s v="Chennai"/>
    <d v="2021-12-02T00:00:00"/>
    <d v="2022-09-07T00:00:00"/>
    <x v="2"/>
    <n v="338"/>
    <x v="18"/>
    <n v="0"/>
    <n v="19.43"/>
    <n v="0"/>
    <x v="1"/>
    <x v="1"/>
    <n v="5746"/>
    <b v="1"/>
    <n v="1.4166666666666667"/>
    <n v="338"/>
    <n v="19.43"/>
    <d v="2021-12-01T00:00:00"/>
    <s v="Adult"/>
    <n v="0"/>
    <s v="No"/>
    <n v="279"/>
    <s v="Low"/>
    <s v="Low"/>
    <n v="0"/>
    <s v="Low"/>
    <n v="2"/>
    <d v="2021-12-01T00:00:00"/>
    <s v="13–24 months"/>
    <s v="0–1 tickets"/>
    <s v="11–20 min"/>
    <s v="301–500"/>
    <n v="5746"/>
    <n v="0"/>
  </r>
  <r>
    <n v="11435"/>
    <n v="64"/>
    <s v="Female"/>
    <s v="Delhi"/>
    <d v="2022-02-26T00:00:00"/>
    <d v="2023-08-13T00:00:00"/>
    <x v="0"/>
    <n v="880"/>
    <x v="30"/>
    <n v="1"/>
    <n v="101.36"/>
    <n v="20"/>
    <x v="3"/>
    <x v="1"/>
    <n v="20944"/>
    <b v="1"/>
    <n v="2"/>
    <n v="872.66666666666663"/>
    <n v="50.68"/>
    <d v="2022-02-01T00:00:00"/>
    <s v="Older"/>
    <n v="0"/>
    <s v="Yes"/>
    <n v="533"/>
    <s v="High"/>
    <s v="Medium"/>
    <n v="0.04"/>
    <s v="High"/>
    <n v="1"/>
    <d v="2022-02-01T00:00:00"/>
    <s v="13–24 months"/>
    <s v="0–1 tickets"/>
    <s v="46+ min"/>
    <s v="701–1000"/>
    <n v="21120"/>
    <n v="-176"/>
  </r>
  <r>
    <n v="11436"/>
    <n v="29"/>
    <s v="Male"/>
    <s v="Chennai"/>
    <d v="2023-01-20T00:00:00"/>
    <d v="2022-12-12T00:00:00"/>
    <x v="0"/>
    <n v="479"/>
    <x v="22"/>
    <n v="1"/>
    <n v="18.100000000000001"/>
    <n v="15"/>
    <x v="1"/>
    <x v="1"/>
    <n v="16214.15"/>
    <b v="0"/>
    <n v="2.8333333333333335"/>
    <n v="476.88676470588234"/>
    <n v="9.0500000000000007"/>
    <d v="2023-01-01T00:00:00"/>
    <s v="Adult"/>
    <n v="0"/>
    <s v="Yes"/>
    <m/>
    <s v="Low"/>
    <s v="Low"/>
    <n v="2.8571428571428571E-2"/>
    <s v="Medium"/>
    <n v="1"/>
    <d v="2023-01-01T00:00:00"/>
    <s v="25+ months"/>
    <s v="0–1 tickets"/>
    <s v="11–20 min"/>
    <s v="301–500"/>
    <n v="16286"/>
    <n v="-71.850000000000364"/>
  </r>
  <r>
    <n v="11437"/>
    <n v="33"/>
    <s v="Other"/>
    <s v="Mumbai"/>
    <d v="2021-11-17T00:00:00"/>
    <d v="2023-08-28T00:00:00"/>
    <x v="0"/>
    <n v="311"/>
    <x v="1"/>
    <n v="2"/>
    <n v="64.03"/>
    <n v="20"/>
    <x v="3"/>
    <x v="0"/>
    <n v="6779.8"/>
    <b v="1"/>
    <n v="1.8333333333333333"/>
    <n v="308.17272727272729"/>
    <n v="21.343333333333334"/>
    <d v="2021-11-01T00:00:00"/>
    <s v="Adult"/>
    <n v="1"/>
    <s v="No"/>
    <n v="649"/>
    <s v="High"/>
    <s v="Medium"/>
    <n v="8.6956521739130432E-2"/>
    <s v="Low"/>
    <n v="1"/>
    <d v="2021-11-01T00:00:00"/>
    <s v="13–24 months"/>
    <s v="2–3 tickets"/>
    <s v="46+ min"/>
    <s v="301–500"/>
    <n v="6842"/>
    <n v="-62.199999999999818"/>
  </r>
  <r>
    <n v="11438"/>
    <n v="41"/>
    <s v="Male"/>
    <s v="Hyderabad"/>
    <d v="2022-05-12T00:00:00"/>
    <d v="2021-09-05T00:00:00"/>
    <x v="2"/>
    <n v="1242"/>
    <x v="32"/>
    <n v="2"/>
    <n v="62.59"/>
    <n v="0"/>
    <x v="2"/>
    <x v="1"/>
    <n v="12420"/>
    <b v="0"/>
    <n v="0.83333333333333337"/>
    <n v="1242"/>
    <n v="20.863333333333333"/>
    <d v="2022-05-01T00:00:00"/>
    <s v="Middle-aged"/>
    <n v="0"/>
    <s v="No"/>
    <m/>
    <s v="High"/>
    <s v="Low"/>
    <n v="0.18181818181818182"/>
    <s v="Medium"/>
    <n v="2"/>
    <d v="2022-05-01T00:00:00"/>
    <s v="7–12 months"/>
    <s v="2–3 tickets"/>
    <s v="46+ min"/>
    <s v="1000+"/>
    <n v="12420"/>
    <n v="0"/>
  </r>
  <r>
    <n v="11439"/>
    <n v="36"/>
    <s v="Female"/>
    <s v="Hyderabad"/>
    <d v="2022-08-10T00:00:00"/>
    <d v="2023-11-04T00:00:00"/>
    <x v="0"/>
    <n v="847"/>
    <x v="14"/>
    <n v="1"/>
    <n v="116.74"/>
    <n v="0"/>
    <x v="1"/>
    <x v="1"/>
    <n v="6776"/>
    <b v="1"/>
    <n v="0.66666666666666663"/>
    <n v="847"/>
    <n v="58.37"/>
    <d v="2022-08-01T00:00:00"/>
    <s v="Middle-aged"/>
    <n v="0"/>
    <s v="No"/>
    <n v="451"/>
    <s v="High"/>
    <s v="Low"/>
    <n v="0.1111111111111111"/>
    <s v="Low"/>
    <n v="1"/>
    <d v="2022-08-01T00:00:00"/>
    <s v="7–12 months"/>
    <s v="0–1 tickets"/>
    <s v="46+ min"/>
    <s v="701–1000"/>
    <n v="6776"/>
    <n v="0"/>
  </r>
  <r>
    <n v="11440"/>
    <n v="25"/>
    <s v="Male"/>
    <s v="unknown"/>
    <d v="2021-06-12T00:00:00"/>
    <d v="2021-09-03T00:00:00"/>
    <x v="2"/>
    <n v="1449"/>
    <x v="6"/>
    <n v="2"/>
    <n v="80.319999999999993"/>
    <n v="5"/>
    <x v="0"/>
    <x v="1"/>
    <n v="30356.55"/>
    <b v="1"/>
    <n v="1.75"/>
    <n v="1445.55"/>
    <n v="26.77333333333333"/>
    <d v="2021-06-01T00:00:00"/>
    <s v="Young"/>
    <n v="0"/>
    <s v="Yes"/>
    <n v="83"/>
    <s v="High"/>
    <s v="Low"/>
    <n v="9.0909090909090912E-2"/>
    <s v="High"/>
    <n v="2"/>
    <d v="2021-06-01T00:00:00"/>
    <s v="13–24 months"/>
    <s v="2–3 tickets"/>
    <s v="46+ min"/>
    <s v="1000+"/>
    <n v="30429"/>
    <n v="-72.450000000000728"/>
  </r>
  <r>
    <n v="11441"/>
    <n v="48"/>
    <s v="Male"/>
    <s v="Hyderabad"/>
    <d v="2023-03-22T00:00:00"/>
    <d v="2022-04-22T00:00:00"/>
    <x v="0"/>
    <n v="362"/>
    <x v="16"/>
    <n v="1"/>
    <n v="38.1"/>
    <n v="10"/>
    <x v="1"/>
    <x v="1"/>
    <n v="2497.8000000000002"/>
    <b v="0"/>
    <n v="0.58333333333333337"/>
    <n v="356.82857142857148"/>
    <n v="19.05"/>
    <d v="2023-03-01T00:00:00"/>
    <s v="Middle-aged"/>
    <n v="0"/>
    <s v="No"/>
    <m/>
    <s v="Medium"/>
    <s v="Low"/>
    <n v="0.125"/>
    <s v="Low"/>
    <n v="1"/>
    <d v="2023-03-01T00:00:00"/>
    <s v="7–12 months"/>
    <s v="0–1 tickets"/>
    <s v="31–45 min"/>
    <s v="301–500"/>
    <n v="2534"/>
    <n v="-36.199999999999818"/>
  </r>
  <r>
    <n v="11442"/>
    <n v="38"/>
    <s v="Female"/>
    <s v="Hyderabad"/>
    <d v="2022-06-25T00:00:00"/>
    <d v="2021-08-13T00:00:00"/>
    <x v="0"/>
    <n v="1143"/>
    <x v="8"/>
    <n v="2"/>
    <n v="32.69"/>
    <n v="15"/>
    <x v="1"/>
    <x v="1"/>
    <n v="29546.55"/>
    <b v="0"/>
    <n v="2.1666666666666665"/>
    <n v="1136.4057692307692"/>
    <n v="10.896666666666667"/>
    <d v="2022-06-01T00:00:00"/>
    <s v="Middle-aged"/>
    <n v="0"/>
    <s v="Yes"/>
    <m/>
    <s v="Medium"/>
    <s v="Low"/>
    <n v="7.407407407407407E-2"/>
    <s v="High"/>
    <n v="1"/>
    <d v="2022-06-01T00:00:00"/>
    <s v="25+ months"/>
    <s v="2–3 tickets"/>
    <s v="31–45 min"/>
    <s v="1000+"/>
    <n v="29718"/>
    <n v="-171.45000000000073"/>
  </r>
  <r>
    <n v="11443"/>
    <n v="34"/>
    <s v="Male"/>
    <s v="Hyderabad"/>
    <d v="2021-06-14T00:00:00"/>
    <d v="2022-05-02T00:00:00"/>
    <x v="1"/>
    <n v="1405"/>
    <x v="19"/>
    <n v="2"/>
    <n v="19.75"/>
    <n v="15"/>
    <x v="3"/>
    <x v="1"/>
    <n v="18054.25"/>
    <b v="1"/>
    <n v="1.0833333333333333"/>
    <n v="1388.7884615384614"/>
    <n v="6.583333333333333"/>
    <d v="2021-06-01T00:00:00"/>
    <s v="Adult"/>
    <n v="0"/>
    <s v="Yes"/>
    <n v="322"/>
    <s v="Low"/>
    <s v="Low"/>
    <n v="0.14285714285714285"/>
    <s v="Medium"/>
    <n v="3"/>
    <d v="2021-06-01T00:00:00"/>
    <s v="13–24 months"/>
    <s v="2–3 tickets"/>
    <s v="11–20 min"/>
    <s v="1000+"/>
    <n v="18265"/>
    <n v="-210.75"/>
  </r>
  <r>
    <n v="11444"/>
    <n v="40"/>
    <s v="Female"/>
    <s v="Bangalore"/>
    <d v="2023-04-29T00:00:00"/>
    <d v="2021-08-07T00:00:00"/>
    <x v="2"/>
    <n v="1308"/>
    <x v="24"/>
    <n v="4"/>
    <n v="92"/>
    <n v="20"/>
    <x v="3"/>
    <x v="1"/>
    <n v="20666.400000000001"/>
    <b v="0"/>
    <n v="1.3333333333333333"/>
    <n v="1291.6500000000001"/>
    <n v="18.399999999999999"/>
    <d v="2023-04-01T00:00:00"/>
    <s v="Middle-aged"/>
    <n v="0"/>
    <s v="Yes"/>
    <m/>
    <s v="High"/>
    <s v="Medium"/>
    <n v="0.23529411764705882"/>
    <s v="High"/>
    <n v="2"/>
    <d v="2023-04-01T00:00:00"/>
    <s v="13–24 months"/>
    <s v="4–5 tickets"/>
    <s v="46+ min"/>
    <s v="1000+"/>
    <n v="20928"/>
    <n v="-261.59999999999854"/>
  </r>
  <r>
    <n v="11445"/>
    <n v="54"/>
    <s v="Female"/>
    <s v="Delhi"/>
    <d v="2022-11-29T00:00:00"/>
    <d v="2023-06-28T00:00:00"/>
    <x v="0"/>
    <n v="333"/>
    <x v="3"/>
    <n v="1"/>
    <n v="84.44"/>
    <n v="5"/>
    <x v="0"/>
    <x v="0"/>
    <n v="9973.35"/>
    <b v="1"/>
    <n v="2.5"/>
    <n v="332.44499999999999"/>
    <n v="42.22"/>
    <d v="2022-11-01T00:00:00"/>
    <s v="Older"/>
    <n v="1"/>
    <s v="No"/>
    <n v="211"/>
    <s v="High"/>
    <s v="Low"/>
    <n v="3.2258064516129031E-2"/>
    <s v="Medium"/>
    <n v="1"/>
    <d v="2022-11-01T00:00:00"/>
    <s v="25+ months"/>
    <s v="0–1 tickets"/>
    <s v="46+ min"/>
    <s v="301–500"/>
    <n v="9990"/>
    <n v="-16.649999999999636"/>
  </r>
  <r>
    <n v="11446"/>
    <n v="33"/>
    <s v="Female"/>
    <s v="unknown"/>
    <d v="2022-07-20T00:00:00"/>
    <d v="2021-08-16T00:00:00"/>
    <x v="1"/>
    <n v="1051"/>
    <x v="27"/>
    <n v="4"/>
    <n v="75.14"/>
    <n v="0"/>
    <x v="2"/>
    <x v="0"/>
    <n v="32581"/>
    <b v="0"/>
    <n v="2.5833333333333335"/>
    <n v="1051"/>
    <n v="15.028"/>
    <d v="2022-07-01T00:00:00"/>
    <s v="Adult"/>
    <n v="1"/>
    <s v="Yes"/>
    <m/>
    <s v="High"/>
    <s v="Low"/>
    <n v="0.125"/>
    <s v="High"/>
    <n v="3"/>
    <d v="2022-07-01T00:00:00"/>
    <s v="25+ months"/>
    <s v="4–5 tickets"/>
    <s v="46+ min"/>
    <s v="1000+"/>
    <n v="32581"/>
    <n v="0"/>
  </r>
  <r>
    <n v="11447"/>
    <n v="23"/>
    <s v="Male"/>
    <s v="Delhi"/>
    <d v="2021-10-22T00:00:00"/>
    <d v="2021-12-25T00:00:00"/>
    <x v="2"/>
    <n v="348"/>
    <x v="21"/>
    <n v="3"/>
    <n v="9.6999999999999993"/>
    <n v="5"/>
    <x v="2"/>
    <x v="1"/>
    <n v="1722.6"/>
    <b v="1"/>
    <n v="0.41666666666666669"/>
    <n v="344.52"/>
    <n v="2.4249999999999998"/>
    <d v="2021-10-01T00:00:00"/>
    <s v="Young"/>
    <n v="0"/>
    <s v="No"/>
    <n v="64"/>
    <s v="Low"/>
    <s v="Low"/>
    <n v="0.5"/>
    <s v="Low"/>
    <n v="2"/>
    <d v="2021-10-01T00:00:00"/>
    <s v="0–6 months"/>
    <s v="2–3 tickets"/>
    <s v="0–10 min"/>
    <s v="301–500"/>
    <n v="1740"/>
    <n v="-17.400000000000091"/>
  </r>
  <r>
    <n v="11448"/>
    <n v="25"/>
    <s v="Female"/>
    <s v="Pune"/>
    <d v="2021-02-11T00:00:00"/>
    <d v="2023-11-01T00:00:00"/>
    <x v="1"/>
    <n v="957"/>
    <x v="23"/>
    <n v="3"/>
    <n v="92.73"/>
    <n v="15"/>
    <x v="3"/>
    <x v="1"/>
    <n v="30480.45"/>
    <b v="1"/>
    <n v="2.6666666666666665"/>
    <n v="952.51406250000002"/>
    <n v="23.182500000000001"/>
    <d v="2021-02-01T00:00:00"/>
    <s v="Young"/>
    <n v="0"/>
    <s v="Yes"/>
    <n v="993"/>
    <s v="High"/>
    <s v="Low"/>
    <n v="9.0909090909090912E-2"/>
    <s v="High"/>
    <n v="3"/>
    <d v="2021-02-01T00:00:00"/>
    <s v="25+ months"/>
    <s v="2–3 tickets"/>
    <s v="46+ min"/>
    <s v="701–1000"/>
    <n v="30624"/>
    <n v="-143.54999999999927"/>
  </r>
  <r>
    <n v="11449"/>
    <n v="42"/>
    <s v="Male"/>
    <s v="Hyderabad"/>
    <d v="2021-10-12T00:00:00"/>
    <d v="2023-07-06T00:00:00"/>
    <x v="2"/>
    <n v="1000"/>
    <x v="24"/>
    <n v="1"/>
    <n v="78.819999999999993"/>
    <n v="10"/>
    <x v="0"/>
    <x v="1"/>
    <n v="15900"/>
    <b v="1"/>
    <n v="1.3333333333333333"/>
    <n v="993.75"/>
    <n v="39.409999999999997"/>
    <d v="2021-10-01T00:00:00"/>
    <s v="Middle-aged"/>
    <n v="0"/>
    <s v="Yes"/>
    <n v="632"/>
    <s v="High"/>
    <s v="Low"/>
    <n v="5.8823529411764705E-2"/>
    <s v="Medium"/>
    <n v="2"/>
    <d v="2021-10-01T00:00:00"/>
    <s v="13–24 months"/>
    <s v="0–1 tickets"/>
    <s v="46+ min"/>
    <s v="701–1000"/>
    <n v="16000"/>
    <n v="-100"/>
  </r>
  <r>
    <n v="11450"/>
    <n v="35"/>
    <s v="Female"/>
    <s v="Chennai"/>
    <d v="2022-01-22T00:00:00"/>
    <d v="2022-01-07T00:00:00"/>
    <x v="2"/>
    <n v="1380"/>
    <x v="9"/>
    <n v="3"/>
    <n v="115.85"/>
    <n v="20"/>
    <x v="1"/>
    <x v="1"/>
    <n v="12144"/>
    <b v="0"/>
    <n v="0.75"/>
    <n v="1349.3333333333333"/>
    <n v="28.962499999999999"/>
    <d v="2022-01-01T00:00:00"/>
    <s v="Adult"/>
    <n v="0"/>
    <s v="No"/>
    <m/>
    <s v="High"/>
    <s v="Medium"/>
    <n v="0.3"/>
    <s v="Medium"/>
    <n v="2"/>
    <d v="2022-01-01T00:00:00"/>
    <s v="7–12 months"/>
    <s v="2–3 tickets"/>
    <s v="46+ min"/>
    <s v="1000+"/>
    <n v="12420"/>
    <n v="-276"/>
  </r>
  <r>
    <n v="11451"/>
    <n v="42"/>
    <s v="Female"/>
    <s v="Hyderabad"/>
    <d v="2021-05-18T00:00:00"/>
    <d v="2022-02-17T00:00:00"/>
    <x v="1"/>
    <n v="408"/>
    <x v="1"/>
    <n v="2"/>
    <n v="72.53"/>
    <n v="0"/>
    <x v="0"/>
    <x v="1"/>
    <n v="8976"/>
    <b v="1"/>
    <n v="1.8333333333333333"/>
    <n v="408"/>
    <n v="24.176666666666666"/>
    <d v="2021-05-01T00:00:00"/>
    <s v="Middle-aged"/>
    <n v="0"/>
    <s v="No"/>
    <n v="275"/>
    <s v="High"/>
    <s v="Low"/>
    <n v="8.6956521739130432E-2"/>
    <s v="Medium"/>
    <n v="3"/>
    <d v="2021-05-01T00:00:00"/>
    <s v="13–24 months"/>
    <s v="2–3 tickets"/>
    <s v="46+ min"/>
    <s v="301–500"/>
    <n v="8976"/>
    <n v="0"/>
  </r>
  <r>
    <n v="11452"/>
    <n v="29"/>
    <s v="Female"/>
    <s v="Mumbai"/>
    <d v="2021-07-06T00:00:00"/>
    <d v="2022-07-15T00:00:00"/>
    <x v="0"/>
    <n v="1284"/>
    <x v="25"/>
    <n v="2"/>
    <n v="39.950000000000003"/>
    <n v="10"/>
    <x v="0"/>
    <x v="1"/>
    <n v="17976"/>
    <b v="1"/>
    <n v="1.1666666666666667"/>
    <n v="1284"/>
    <n v="13.316666666666668"/>
    <d v="2021-07-01T00:00:00"/>
    <s v="Adult"/>
    <n v="0"/>
    <s v="Yes"/>
    <n v="374"/>
    <s v="Medium"/>
    <s v="Low"/>
    <n v="0.13333333333333333"/>
    <s v="Medium"/>
    <n v="1"/>
    <d v="2021-07-01T00:00:00"/>
    <s v="13–24 months"/>
    <s v="2–3 tickets"/>
    <s v="31–45 min"/>
    <s v="1000+"/>
    <n v="17976"/>
    <n v="0"/>
  </r>
  <r>
    <n v="11453"/>
    <n v="32"/>
    <s v="Female"/>
    <s v="Bangalore"/>
    <d v="2022-12-17T00:00:00"/>
    <d v="2022-04-27T00:00:00"/>
    <x v="2"/>
    <n v="323"/>
    <x v="24"/>
    <n v="1"/>
    <n v="48.87"/>
    <n v="0"/>
    <x v="0"/>
    <x v="1"/>
    <n v="5168"/>
    <b v="0"/>
    <n v="1.3333333333333333"/>
    <n v="323"/>
    <n v="24.434999999999999"/>
    <d v="2022-12-01T00:00:00"/>
    <s v="Adult"/>
    <n v="0"/>
    <s v="No"/>
    <m/>
    <s v="Medium"/>
    <s v="Low"/>
    <n v="5.8823529411764705E-2"/>
    <s v="Low"/>
    <n v="2"/>
    <d v="2022-12-01T00:00:00"/>
    <s v="13–24 months"/>
    <s v="0–1 tickets"/>
    <s v="46+ min"/>
    <s v="301–500"/>
    <n v="5168"/>
    <n v="0"/>
  </r>
  <r>
    <n v="11454"/>
    <n v="41"/>
    <s v="Female"/>
    <s v="Chennai"/>
    <d v="2022-03-07T00:00:00"/>
    <d v="2022-05-10T00:00:00"/>
    <x v="2"/>
    <n v="520"/>
    <x v="28"/>
    <n v="1"/>
    <n v="25.22"/>
    <n v="10"/>
    <x v="2"/>
    <x v="1"/>
    <n v="10348"/>
    <b v="1"/>
    <n v="1.6666666666666667"/>
    <n v="517.4"/>
    <n v="12.61"/>
    <d v="2022-03-01T00:00:00"/>
    <s v="Middle-aged"/>
    <n v="0"/>
    <s v="No"/>
    <n v="64"/>
    <s v="Medium"/>
    <s v="Low"/>
    <n v="4.7619047619047616E-2"/>
    <s v="Medium"/>
    <n v="2"/>
    <d v="2022-03-01T00:00:00"/>
    <s v="13–24 months"/>
    <s v="0–1 tickets"/>
    <s v="21–30 min"/>
    <s v="501–700"/>
    <n v="10400"/>
    <n v="-52"/>
  </r>
  <r>
    <n v="11455"/>
    <n v="58"/>
    <s v="Male"/>
    <s v="Chennai"/>
    <d v="2022-07-08T00:00:00"/>
    <d v="2023-07-11T00:00:00"/>
    <x v="0"/>
    <n v="614"/>
    <x v="15"/>
    <n v="0"/>
    <n v="88.14"/>
    <n v="15"/>
    <x v="1"/>
    <x v="1"/>
    <n v="9117.9"/>
    <b v="1"/>
    <n v="1.25"/>
    <n v="607.86"/>
    <n v="88.14"/>
    <d v="2022-07-01T00:00:00"/>
    <s v="Older"/>
    <n v="0"/>
    <s v="No"/>
    <n v="368"/>
    <s v="High"/>
    <s v="Low"/>
    <n v="0"/>
    <s v="Medium"/>
    <n v="1"/>
    <d v="2022-07-01T00:00:00"/>
    <s v="13–24 months"/>
    <s v="0–1 tickets"/>
    <s v="46+ min"/>
    <s v="501–700"/>
    <n v="9210"/>
    <n v="-92.100000000000364"/>
  </r>
  <r>
    <n v="11456"/>
    <n v="62"/>
    <s v="Female"/>
    <s v="Mumbai"/>
    <d v="2023-05-12T00:00:00"/>
    <d v="2023-08-29T00:00:00"/>
    <x v="0"/>
    <n v="593"/>
    <x v="8"/>
    <n v="3"/>
    <n v="86.39"/>
    <n v="15"/>
    <x v="0"/>
    <x v="1"/>
    <n v="15329.05"/>
    <b v="1"/>
    <n v="2.1666666666666665"/>
    <n v="589.57884615384614"/>
    <n v="21.5975"/>
    <d v="2023-05-01T00:00:00"/>
    <s v="Older"/>
    <n v="0"/>
    <s v="Yes"/>
    <n v="109"/>
    <s v="High"/>
    <s v="Low"/>
    <n v="0.1111111111111111"/>
    <s v="Medium"/>
    <n v="1"/>
    <d v="2023-05-01T00:00:00"/>
    <s v="25+ months"/>
    <s v="2–3 tickets"/>
    <s v="46+ min"/>
    <s v="501–700"/>
    <n v="15418"/>
    <n v="-88.950000000000728"/>
  </r>
  <r>
    <n v="11457"/>
    <n v="43"/>
    <s v="Male"/>
    <s v="Hyderabad"/>
    <d v="2022-02-20T00:00:00"/>
    <d v="2021-08-13T00:00:00"/>
    <x v="0"/>
    <n v="1333"/>
    <x v="9"/>
    <n v="3"/>
    <n v="28.07"/>
    <n v="5"/>
    <x v="2"/>
    <x v="0"/>
    <n v="11930.35"/>
    <b v="0"/>
    <n v="0.75"/>
    <n v="1325.5944444444444"/>
    <n v="7.0175000000000001"/>
    <d v="2022-02-01T00:00:00"/>
    <s v="Middle-aged"/>
    <n v="1"/>
    <s v="No"/>
    <m/>
    <s v="Medium"/>
    <s v="Low"/>
    <n v="0.3"/>
    <s v="Medium"/>
    <n v="1"/>
    <d v="2022-02-01T00:00:00"/>
    <s v="7–12 months"/>
    <s v="2–3 tickets"/>
    <s v="21–30 min"/>
    <s v="1000+"/>
    <n v="11997"/>
    <n v="-66.649999999999636"/>
  </r>
  <r>
    <n v="11458"/>
    <n v="64"/>
    <s v="Female"/>
    <s v="unknown"/>
    <d v="2023-03-11T00:00:00"/>
    <d v="2023-02-27T00:00:00"/>
    <x v="2"/>
    <n v="1319"/>
    <x v="7"/>
    <n v="3"/>
    <n v="23.23"/>
    <n v="5"/>
    <x v="2"/>
    <x v="1"/>
    <n v="1253.05"/>
    <b v="0"/>
    <n v="8.3333333333333329E-2"/>
    <n v="1253.05"/>
    <n v="5.8075000000000001"/>
    <d v="2023-03-01T00:00:00"/>
    <s v="Older"/>
    <n v="0"/>
    <s v="No"/>
    <m/>
    <s v="Medium"/>
    <s v="Low"/>
    <n v="1.5"/>
    <s v="Low"/>
    <n v="2"/>
    <d v="2023-03-01T00:00:00"/>
    <s v="0–6 months"/>
    <s v="2–3 tickets"/>
    <s v="21–30 min"/>
    <s v="1000+"/>
    <n v="1319"/>
    <n v="-65.950000000000045"/>
  </r>
  <r>
    <n v="11459"/>
    <n v="49"/>
    <s v="Female"/>
    <s v="Chennai"/>
    <d v="2022-03-02T00:00:00"/>
    <d v="2023-05-01T00:00:00"/>
    <x v="2"/>
    <n v="1317"/>
    <x v="12"/>
    <n v="1"/>
    <n v="13.86"/>
    <n v="10"/>
    <x v="3"/>
    <x v="0"/>
    <n v="45897.45"/>
    <b v="1"/>
    <n v="2.9166666666666665"/>
    <n v="1311.3557142857142"/>
    <n v="6.93"/>
    <d v="2022-03-01T00:00:00"/>
    <s v="Middle-aged"/>
    <n v="1"/>
    <s v="Yes"/>
    <n v="425"/>
    <s v="Low"/>
    <s v="Low"/>
    <n v="2.7777777777777776E-2"/>
    <s v="High"/>
    <n v="2"/>
    <d v="2022-03-01T00:00:00"/>
    <s v="25+ months"/>
    <s v="0–1 tickets"/>
    <s v="11–20 min"/>
    <s v="1000+"/>
    <n v="46095"/>
    <n v="-197.55000000000291"/>
  </r>
  <r>
    <n v="11460"/>
    <n v="27"/>
    <s v="Female"/>
    <s v="Bangalore"/>
    <d v="2022-02-20T00:00:00"/>
    <d v="2022-02-09T00:00:00"/>
    <x v="2"/>
    <n v="937"/>
    <x v="28"/>
    <n v="1"/>
    <n v="109.88"/>
    <n v="0"/>
    <x v="1"/>
    <x v="1"/>
    <n v="18740"/>
    <b v="0"/>
    <n v="1.6666666666666667"/>
    <n v="937"/>
    <n v="54.94"/>
    <d v="2022-02-01T00:00:00"/>
    <s v="Adult"/>
    <n v="0"/>
    <s v="Yes"/>
    <m/>
    <s v="High"/>
    <s v="Low"/>
    <n v="4.7619047619047616E-2"/>
    <s v="Medium"/>
    <n v="2"/>
    <d v="2022-02-01T00:00:00"/>
    <s v="13–24 months"/>
    <s v="0–1 tickets"/>
    <s v="46+ min"/>
    <s v="701–1000"/>
    <n v="18740"/>
    <n v="0"/>
  </r>
  <r>
    <n v="11461"/>
    <n v="33"/>
    <s v="Male"/>
    <s v="Chennai"/>
    <d v="2021-01-26T00:00:00"/>
    <d v="2023-09-11T00:00:00"/>
    <x v="0"/>
    <n v="566"/>
    <x v="20"/>
    <n v="1"/>
    <n v="31.8"/>
    <n v="10"/>
    <x v="0"/>
    <x v="1"/>
    <n v="3339.4"/>
    <b v="1"/>
    <n v="0.5"/>
    <n v="556.56666666666672"/>
    <n v="15.9"/>
    <d v="2021-01-01T00:00:00"/>
    <s v="Adult"/>
    <n v="0"/>
    <s v="No"/>
    <n v="958"/>
    <s v="Medium"/>
    <s v="Low"/>
    <n v="0.14285714285714285"/>
    <s v="Low"/>
    <n v="1"/>
    <d v="2021-01-01T00:00:00"/>
    <s v="0–6 months"/>
    <s v="0–1 tickets"/>
    <s v="31–45 min"/>
    <s v="501–700"/>
    <n v="3396"/>
    <n v="-56.599999999999909"/>
  </r>
  <r>
    <n v="11462"/>
    <n v="24"/>
    <s v="Female"/>
    <s v="Hyderabad"/>
    <d v="2022-01-06T00:00:00"/>
    <d v="2023-08-29T00:00:00"/>
    <x v="2"/>
    <n v="387"/>
    <x v="32"/>
    <n v="6"/>
    <n v="44.58"/>
    <n v="15"/>
    <x v="1"/>
    <x v="0"/>
    <n v="3811.95"/>
    <b v="1"/>
    <n v="0.83333333333333337"/>
    <n v="381.19499999999999"/>
    <n v="6.3685714285714283"/>
    <d v="2022-01-01T00:00:00"/>
    <s v="Young"/>
    <n v="1"/>
    <s v="No"/>
    <n v="600"/>
    <s v="Medium"/>
    <s v="Low"/>
    <n v="0.54545454545454541"/>
    <s v="Low"/>
    <n v="2"/>
    <d v="2022-01-01T00:00:00"/>
    <s v="7–12 months"/>
    <s v="6+ tickets"/>
    <s v="31–45 min"/>
    <s v="301–500"/>
    <n v="3870"/>
    <n v="-58.050000000000182"/>
  </r>
  <r>
    <n v="11463"/>
    <n v="34"/>
    <s v="Male"/>
    <s v="Pune"/>
    <d v="2022-01-20T00:00:00"/>
    <d v="2023-06-17T00:00:00"/>
    <x v="1"/>
    <n v="754"/>
    <x v="33"/>
    <n v="3"/>
    <n v="37.26"/>
    <n v="10"/>
    <x v="3"/>
    <x v="0"/>
    <n v="24806.6"/>
    <b v="1"/>
    <n v="2.75"/>
    <n v="751.71515151515143"/>
    <n v="9.3149999999999995"/>
    <d v="2022-01-01T00:00:00"/>
    <s v="Adult"/>
    <n v="1"/>
    <s v="Yes"/>
    <n v="513"/>
    <s v="Medium"/>
    <s v="Low"/>
    <n v="8.8235294117647065E-2"/>
    <s v="High"/>
    <n v="3"/>
    <d v="2022-01-01T00:00:00"/>
    <s v="25+ months"/>
    <s v="2–3 tickets"/>
    <s v="31–45 min"/>
    <s v="701–1000"/>
    <n v="24882"/>
    <n v="-75.400000000001455"/>
  </r>
  <r>
    <n v="11464"/>
    <n v="40"/>
    <s v="Male"/>
    <s v="Chennai"/>
    <d v="2021-02-25T00:00:00"/>
    <d v="2023-07-02T00:00:00"/>
    <x v="0"/>
    <n v="1471"/>
    <x v="24"/>
    <n v="1"/>
    <n v="52.57"/>
    <n v="20"/>
    <x v="3"/>
    <x v="1"/>
    <n v="23241.8"/>
    <b v="1"/>
    <n v="1.3333333333333333"/>
    <n v="1452.6125"/>
    <n v="26.285"/>
    <d v="2021-02-01T00:00:00"/>
    <s v="Middle-aged"/>
    <n v="0"/>
    <s v="Yes"/>
    <n v="857"/>
    <s v="Medium"/>
    <s v="Medium"/>
    <n v="5.8823529411764705E-2"/>
    <s v="High"/>
    <n v="1"/>
    <d v="2021-02-01T00:00:00"/>
    <s v="13–24 months"/>
    <s v="0–1 tickets"/>
    <s v="46+ min"/>
    <s v="1000+"/>
    <n v="23536"/>
    <n v="-294.20000000000073"/>
  </r>
  <r>
    <n v="11465"/>
    <n v="43"/>
    <s v="Male"/>
    <s v="Pune"/>
    <d v="2021-09-10T00:00:00"/>
    <d v="2022-04-28T00:00:00"/>
    <x v="2"/>
    <n v="1056"/>
    <x v="20"/>
    <n v="4"/>
    <n v="87.12"/>
    <n v="0"/>
    <x v="0"/>
    <x v="0"/>
    <n v="6336"/>
    <b v="1"/>
    <n v="0.5"/>
    <n v="1056"/>
    <n v="17.423999999999999"/>
    <d v="2021-09-01T00:00:00"/>
    <s v="Middle-aged"/>
    <n v="1"/>
    <s v="No"/>
    <n v="230"/>
    <s v="High"/>
    <s v="Low"/>
    <n v="0.5714285714285714"/>
    <s v="Low"/>
    <n v="2"/>
    <d v="2021-09-01T00:00:00"/>
    <s v="0–6 months"/>
    <s v="4–5 tickets"/>
    <s v="46+ min"/>
    <s v="1000+"/>
    <n v="6336"/>
    <n v="0"/>
  </r>
  <r>
    <n v="11466"/>
    <n v="38"/>
    <s v="Male"/>
    <s v="Chennai"/>
    <d v="2022-09-26T00:00:00"/>
    <d v="2022-07-03T00:00:00"/>
    <x v="2"/>
    <n v="730"/>
    <x v="17"/>
    <n v="1"/>
    <n v="105.12"/>
    <n v="20"/>
    <x v="2"/>
    <x v="1"/>
    <n v="13724"/>
    <b v="0"/>
    <n v="1.5833333333333333"/>
    <n v="722.31578947368416"/>
    <n v="52.56"/>
    <d v="2022-09-01T00:00:00"/>
    <s v="Middle-aged"/>
    <n v="0"/>
    <s v="Yes"/>
    <m/>
    <s v="High"/>
    <s v="Medium"/>
    <n v="0.05"/>
    <s v="Medium"/>
    <n v="2"/>
    <d v="2022-09-01T00:00:00"/>
    <s v="13–24 months"/>
    <s v="0–1 tickets"/>
    <s v="46+ min"/>
    <s v="701–1000"/>
    <n v="13870"/>
    <n v="-146"/>
  </r>
  <r>
    <n v="11467"/>
    <n v="39"/>
    <s v="Male"/>
    <s v="Delhi"/>
    <d v="2021-04-16T00:00:00"/>
    <d v="2022-05-11T00:00:00"/>
    <x v="2"/>
    <n v="1210"/>
    <x v="27"/>
    <n v="1"/>
    <n v="26"/>
    <n v="15"/>
    <x v="3"/>
    <x v="1"/>
    <n v="37328.5"/>
    <b v="1"/>
    <n v="2.5833333333333335"/>
    <n v="1204.1451612903227"/>
    <n v="13"/>
    <d v="2021-04-01T00:00:00"/>
    <s v="Middle-aged"/>
    <n v="0"/>
    <s v="Yes"/>
    <n v="390"/>
    <s v="Medium"/>
    <s v="Low"/>
    <n v="3.125E-2"/>
    <s v="High"/>
    <n v="2"/>
    <d v="2021-04-01T00:00:00"/>
    <s v="25+ months"/>
    <s v="0–1 tickets"/>
    <s v="21–30 min"/>
    <s v="1000+"/>
    <n v="37510"/>
    <n v="-181.5"/>
  </r>
  <r>
    <n v="11468"/>
    <n v="24"/>
    <s v="Female"/>
    <s v="Hyderabad"/>
    <d v="2021-05-10T00:00:00"/>
    <d v="2023-01-05T00:00:00"/>
    <x v="2"/>
    <n v="541"/>
    <x v="4"/>
    <n v="2"/>
    <n v="83.94"/>
    <n v="5"/>
    <x v="2"/>
    <x v="1"/>
    <n v="1054.95"/>
    <b v="1"/>
    <n v="0.16666666666666666"/>
    <n v="527.47500000000002"/>
    <n v="27.98"/>
    <d v="2021-05-01T00:00:00"/>
    <s v="Young"/>
    <n v="0"/>
    <s v="No"/>
    <n v="605"/>
    <s v="High"/>
    <s v="Low"/>
    <n v="0.66666666666666663"/>
    <s v="Low"/>
    <n v="2"/>
    <d v="2021-05-01T00:00:00"/>
    <s v="0–6 months"/>
    <s v="2–3 tickets"/>
    <s v="46+ min"/>
    <s v="501–700"/>
    <n v="1082"/>
    <n v="-27.049999999999955"/>
  </r>
  <r>
    <n v="11469"/>
    <n v="31"/>
    <s v="Male"/>
    <s v="Mumbai"/>
    <d v="2023-04-29T00:00:00"/>
    <d v="2023-06-17T00:00:00"/>
    <x v="1"/>
    <n v="1001"/>
    <x v="10"/>
    <n v="0"/>
    <n v="45.54"/>
    <n v="15"/>
    <x v="3"/>
    <x v="1"/>
    <n v="17867.849999999999"/>
    <b v="1"/>
    <n v="1.5"/>
    <n v="992.6583333333333"/>
    <n v="45.54"/>
    <d v="2023-04-01T00:00:00"/>
    <s v="Adult"/>
    <n v="0"/>
    <s v="Yes"/>
    <n v="49"/>
    <s v="Medium"/>
    <s v="Low"/>
    <n v="0"/>
    <s v="Medium"/>
    <n v="3"/>
    <d v="2023-04-01T00:00:00"/>
    <s v="13–24 months"/>
    <s v="0–1 tickets"/>
    <s v="46+ min"/>
    <s v="1000+"/>
    <n v="18018"/>
    <n v="-150.15000000000146"/>
  </r>
  <r>
    <n v="11470"/>
    <n v="32"/>
    <s v="Male"/>
    <s v="Pune"/>
    <d v="2022-11-01T00:00:00"/>
    <d v="2023-09-14T00:00:00"/>
    <x v="0"/>
    <n v="1201"/>
    <x v="29"/>
    <n v="2"/>
    <n v="117.76"/>
    <n v="20"/>
    <x v="1"/>
    <x v="1"/>
    <n v="33387.800000000003"/>
    <b v="1"/>
    <n v="2.3333333333333335"/>
    <n v="1192.4214285714286"/>
    <n v="39.253333333333337"/>
    <d v="2022-11-01T00:00:00"/>
    <s v="Adult"/>
    <n v="0"/>
    <s v="Yes"/>
    <n v="317"/>
    <s v="High"/>
    <s v="Medium"/>
    <n v="6.8965517241379309E-2"/>
    <s v="High"/>
    <n v="1"/>
    <d v="2022-11-01T00:00:00"/>
    <s v="25+ months"/>
    <s v="2–3 tickets"/>
    <s v="46+ min"/>
    <s v="1000+"/>
    <n v="33628"/>
    <n v="-240.19999999999709"/>
  </r>
  <r>
    <n v="11471"/>
    <n v="41"/>
    <s v="Female"/>
    <s v="Mumbai"/>
    <d v="2022-01-11T00:00:00"/>
    <d v="2023-03-30T00:00:00"/>
    <x v="1"/>
    <n v="1040"/>
    <x v="2"/>
    <n v="0"/>
    <n v="39.380000000000003"/>
    <n v="10"/>
    <x v="0"/>
    <x v="1"/>
    <n v="4056"/>
    <b v="1"/>
    <n v="0.33333333333333331"/>
    <n v="1014"/>
    <n v="39.380000000000003"/>
    <d v="2022-01-01T00:00:00"/>
    <s v="Middle-aged"/>
    <n v="0"/>
    <s v="No"/>
    <n v="443"/>
    <s v="Medium"/>
    <s v="Low"/>
    <n v="0"/>
    <s v="Low"/>
    <n v="3"/>
    <d v="2022-01-01T00:00:00"/>
    <s v="0–6 months"/>
    <s v="0–1 tickets"/>
    <s v="31–45 min"/>
    <s v="1000+"/>
    <n v="4160"/>
    <n v="-104"/>
  </r>
  <r>
    <n v="11472"/>
    <n v="26"/>
    <s v="Male"/>
    <s v="Hyderabad"/>
    <d v="2023-01-13T00:00:00"/>
    <d v="2022-08-29T00:00:00"/>
    <x v="0"/>
    <n v="365"/>
    <x v="7"/>
    <n v="1"/>
    <n v="5.83"/>
    <n v="15"/>
    <x v="3"/>
    <x v="0"/>
    <n v="310.25"/>
    <b v="0"/>
    <n v="8.3333333333333329E-2"/>
    <n v="310.25"/>
    <n v="2.915"/>
    <d v="2023-01-01T00:00:00"/>
    <s v="Adult"/>
    <n v="1"/>
    <s v="No"/>
    <m/>
    <s v="Low"/>
    <s v="Low"/>
    <n v="0.5"/>
    <s v="Low"/>
    <n v="1"/>
    <d v="2023-01-01T00:00:00"/>
    <s v="0–6 months"/>
    <s v="0–1 tickets"/>
    <s v="0–10 min"/>
    <s v="301–500"/>
    <n v="365"/>
    <n v="-54.75"/>
  </r>
  <r>
    <n v="11473"/>
    <n v="25"/>
    <s v="Female"/>
    <s v="Mumbai"/>
    <d v="2021-11-04T00:00:00"/>
    <d v="2021-09-23T00:00:00"/>
    <x v="0"/>
    <n v="1271"/>
    <x v="24"/>
    <n v="3"/>
    <n v="64.3"/>
    <n v="5"/>
    <x v="1"/>
    <x v="0"/>
    <n v="20272.45"/>
    <b v="0"/>
    <n v="1.3333333333333333"/>
    <n v="1267.028125"/>
    <n v="16.074999999999999"/>
    <d v="2021-11-01T00:00:00"/>
    <s v="Young"/>
    <n v="1"/>
    <s v="Yes"/>
    <m/>
    <s v="High"/>
    <s v="Low"/>
    <n v="0.17647058823529413"/>
    <s v="High"/>
    <n v="1"/>
    <d v="2021-11-01T00:00:00"/>
    <s v="13–24 months"/>
    <s v="2–3 tickets"/>
    <s v="46+ min"/>
    <s v="1000+"/>
    <n v="20336"/>
    <n v="-63.549999999999272"/>
  </r>
  <r>
    <n v="11474"/>
    <n v="40"/>
    <s v="Female"/>
    <s v="Hyderabad"/>
    <d v="2021-04-01T00:00:00"/>
    <d v="2022-04-09T00:00:00"/>
    <x v="0"/>
    <n v="677"/>
    <x v="4"/>
    <n v="3"/>
    <n v="22.33"/>
    <n v="20"/>
    <x v="3"/>
    <x v="1"/>
    <n v="1218.5999999999999"/>
    <b v="1"/>
    <n v="0.16666666666666666"/>
    <n v="609.29999999999995"/>
    <n v="5.5824999999999996"/>
    <d v="2021-04-01T00:00:00"/>
    <s v="Middle-aged"/>
    <n v="0"/>
    <s v="No"/>
    <n v="373"/>
    <s v="Medium"/>
    <s v="Medium"/>
    <n v="1"/>
    <s v="Low"/>
    <n v="1"/>
    <d v="2021-04-01T00:00:00"/>
    <s v="0–6 months"/>
    <s v="2–3 tickets"/>
    <s v="21–30 min"/>
    <s v="501–700"/>
    <n v="1354"/>
    <n v="-135.40000000000009"/>
  </r>
  <r>
    <n v="11475"/>
    <n v="46"/>
    <s v="Female"/>
    <s v="Mumbai"/>
    <d v="2022-01-28T00:00:00"/>
    <d v="2022-01-14T00:00:00"/>
    <x v="2"/>
    <n v="687"/>
    <x v="7"/>
    <n v="2"/>
    <n v="10.119999999999999"/>
    <n v="15"/>
    <x v="0"/>
    <x v="1"/>
    <n v="583.95000000000005"/>
    <b v="0"/>
    <n v="8.3333333333333329E-2"/>
    <n v="583.95000000000005"/>
    <n v="3.3733333333333331"/>
    <d v="2022-01-01T00:00:00"/>
    <s v="Middle-aged"/>
    <n v="0"/>
    <s v="No"/>
    <m/>
    <s v="Low"/>
    <s v="Low"/>
    <n v="1"/>
    <s v="Low"/>
    <n v="2"/>
    <d v="2022-01-01T00:00:00"/>
    <s v="0–6 months"/>
    <s v="2–3 tickets"/>
    <s v="11–20 min"/>
    <s v="501–700"/>
    <n v="687"/>
    <n v="-103.04999999999995"/>
  </r>
  <r>
    <n v="11476"/>
    <n v="35"/>
    <s v="Female"/>
    <s v="Pune"/>
    <d v="2022-06-18T00:00:00"/>
    <d v="2023-09-12T00:00:00"/>
    <x v="0"/>
    <n v="1080"/>
    <x v="31"/>
    <n v="1"/>
    <n v="62.59"/>
    <n v="20"/>
    <x v="1"/>
    <x v="1"/>
    <n v="24624"/>
    <b v="1"/>
    <n v="1.9166666666666667"/>
    <n v="1070.608695652174"/>
    <n v="31.295000000000002"/>
    <d v="2022-06-01T00:00:00"/>
    <s v="Adult"/>
    <n v="0"/>
    <s v="Yes"/>
    <n v="451"/>
    <s v="High"/>
    <s v="Medium"/>
    <n v="4.1666666666666664E-2"/>
    <s v="High"/>
    <n v="1"/>
    <d v="2022-06-01T00:00:00"/>
    <s v="13–24 months"/>
    <s v="0–1 tickets"/>
    <s v="46+ min"/>
    <s v="1000+"/>
    <n v="24840"/>
    <n v="-216"/>
  </r>
  <r>
    <n v="11477"/>
    <n v="48"/>
    <s v="Female"/>
    <s v="Delhi"/>
    <d v="2023-03-13T00:00:00"/>
    <d v="2023-10-06T00:00:00"/>
    <x v="0"/>
    <n v="508"/>
    <x v="8"/>
    <n v="0"/>
    <n v="89.21"/>
    <n v="20"/>
    <x v="2"/>
    <x v="1"/>
    <n v="13106.4"/>
    <b v="1"/>
    <n v="2.1666666666666665"/>
    <n v="504.09230769230766"/>
    <n v="89.21"/>
    <d v="2023-03-01T00:00:00"/>
    <s v="Middle-aged"/>
    <n v="0"/>
    <s v="No"/>
    <n v="207"/>
    <s v="High"/>
    <s v="Medium"/>
    <n v="0"/>
    <s v="Medium"/>
    <n v="1"/>
    <d v="2023-03-01T00:00:00"/>
    <s v="25+ months"/>
    <s v="0–1 tickets"/>
    <s v="46+ min"/>
    <s v="501–700"/>
    <n v="13208"/>
    <n v="-101.60000000000036"/>
  </r>
  <r>
    <n v="11478"/>
    <n v="41"/>
    <s v="Female"/>
    <s v="unknown"/>
    <d v="2021-04-20T00:00:00"/>
    <d v="2022-01-31T00:00:00"/>
    <x v="0"/>
    <n v="315"/>
    <x v="11"/>
    <n v="2"/>
    <n v="57.98"/>
    <n v="10"/>
    <x v="3"/>
    <x v="0"/>
    <n v="3465"/>
    <b v="1"/>
    <n v="0.91666666666666663"/>
    <n v="315"/>
    <n v="19.326666666666664"/>
    <d v="2021-04-01T00:00:00"/>
    <s v="Middle-aged"/>
    <n v="1"/>
    <s v="No"/>
    <n v="286"/>
    <s v="Medium"/>
    <s v="Low"/>
    <n v="0.16666666666666666"/>
    <s v="Low"/>
    <n v="1"/>
    <d v="2021-04-01T00:00:00"/>
    <s v="7–12 months"/>
    <s v="2–3 tickets"/>
    <s v="46+ min"/>
    <s v="301–500"/>
    <n v="3465"/>
    <n v="0"/>
  </r>
  <r>
    <n v="11479"/>
    <n v="56"/>
    <s v="Male"/>
    <s v="Pune"/>
    <d v="2022-07-15T00:00:00"/>
    <d v="2023-08-27T00:00:00"/>
    <x v="1"/>
    <n v="1285"/>
    <x v="7"/>
    <n v="1"/>
    <n v="82.84"/>
    <n v="10"/>
    <x v="3"/>
    <x v="1"/>
    <n v="1156.5"/>
    <b v="1"/>
    <n v="8.3333333333333329E-2"/>
    <n v="1156.5"/>
    <n v="41.42"/>
    <d v="2022-07-01T00:00:00"/>
    <s v="Older"/>
    <n v="0"/>
    <s v="No"/>
    <n v="408"/>
    <s v="High"/>
    <s v="Low"/>
    <n v="0.5"/>
    <s v="Low"/>
    <n v="3"/>
    <d v="2022-07-01T00:00:00"/>
    <s v="0–6 months"/>
    <s v="0–1 tickets"/>
    <s v="46+ min"/>
    <s v="1000+"/>
    <n v="1285"/>
    <n v="-128.5"/>
  </r>
  <r>
    <n v="11480"/>
    <n v="52"/>
    <s v="Female"/>
    <s v="Chennai"/>
    <d v="2022-10-03T00:00:00"/>
    <d v="2022-11-08T00:00:00"/>
    <x v="1"/>
    <n v="666"/>
    <x v="11"/>
    <n v="2"/>
    <n v="66.900000000000006"/>
    <n v="0"/>
    <x v="1"/>
    <x v="1"/>
    <n v="7326"/>
    <b v="1"/>
    <n v="0.91666666666666663"/>
    <n v="666"/>
    <n v="22.3"/>
    <d v="2022-10-01T00:00:00"/>
    <s v="Older"/>
    <n v="0"/>
    <s v="No"/>
    <n v="36"/>
    <s v="High"/>
    <s v="Low"/>
    <n v="0.16666666666666666"/>
    <s v="Low"/>
    <n v="3"/>
    <d v="2022-10-01T00:00:00"/>
    <s v="7–12 months"/>
    <s v="2–3 tickets"/>
    <s v="46+ min"/>
    <s v="501–700"/>
    <n v="7326"/>
    <n v="0"/>
  </r>
  <r>
    <n v="11481"/>
    <n v="35"/>
    <s v="Male"/>
    <s v="Hyderabad"/>
    <d v="2022-08-08T00:00:00"/>
    <d v="2022-11-10T00:00:00"/>
    <x v="2"/>
    <n v="1079"/>
    <x v="30"/>
    <n v="4"/>
    <n v="77.430000000000007"/>
    <n v="20"/>
    <x v="0"/>
    <x v="1"/>
    <n v="25680.2"/>
    <b v="1"/>
    <n v="2"/>
    <n v="1070.0083333333334"/>
    <n v="15.486000000000001"/>
    <d v="2022-08-01T00:00:00"/>
    <s v="Adult"/>
    <n v="0"/>
    <s v="Yes"/>
    <n v="94"/>
    <s v="High"/>
    <s v="Medium"/>
    <n v="0.16"/>
    <s v="High"/>
    <n v="2"/>
    <d v="2022-08-01T00:00:00"/>
    <s v="13–24 months"/>
    <s v="4–5 tickets"/>
    <s v="46+ min"/>
    <s v="1000+"/>
    <n v="25896"/>
    <n v="-215.79999999999927"/>
  </r>
  <r>
    <n v="11482"/>
    <n v="59"/>
    <s v="Female"/>
    <s v="Bangalore"/>
    <d v="2021-12-06T00:00:00"/>
    <d v="2022-08-01T00:00:00"/>
    <x v="2"/>
    <n v="739"/>
    <x v="32"/>
    <n v="1"/>
    <n v="73.62"/>
    <n v="5"/>
    <x v="3"/>
    <x v="1"/>
    <n v="7353.05"/>
    <b v="1"/>
    <n v="0.83333333333333337"/>
    <n v="735.30500000000006"/>
    <n v="36.81"/>
    <d v="2021-12-01T00:00:00"/>
    <s v="Older"/>
    <n v="0"/>
    <s v="No"/>
    <n v="238"/>
    <s v="High"/>
    <s v="Low"/>
    <n v="9.0909090909090912E-2"/>
    <s v="Low"/>
    <n v="2"/>
    <d v="2021-12-01T00:00:00"/>
    <s v="7–12 months"/>
    <s v="0–1 tickets"/>
    <s v="46+ min"/>
    <s v="701–1000"/>
    <n v="7390"/>
    <n v="-36.949999999999818"/>
  </r>
  <r>
    <n v="11483"/>
    <n v="56"/>
    <s v="Male"/>
    <s v="Bangalore"/>
    <d v="2022-07-19T00:00:00"/>
    <d v="2021-07-12T00:00:00"/>
    <x v="2"/>
    <n v="989"/>
    <x v="25"/>
    <n v="4"/>
    <n v="81.569999999999993"/>
    <n v="5"/>
    <x v="1"/>
    <x v="1"/>
    <n v="13796.55"/>
    <b v="0"/>
    <n v="1.1666666666666667"/>
    <n v="985.46785714285704"/>
    <n v="16.314"/>
    <d v="2022-07-01T00:00:00"/>
    <s v="Older"/>
    <n v="0"/>
    <s v="Yes"/>
    <m/>
    <s v="High"/>
    <s v="Low"/>
    <n v="0.26666666666666666"/>
    <s v="Medium"/>
    <n v="2"/>
    <d v="2022-07-01T00:00:00"/>
    <s v="13–24 months"/>
    <s v="4–5 tickets"/>
    <s v="46+ min"/>
    <s v="701–1000"/>
    <n v="13846"/>
    <n v="-49.450000000000728"/>
  </r>
  <r>
    <n v="11484"/>
    <n v="34"/>
    <s v="Female"/>
    <s v="Hyderabad"/>
    <d v="2021-12-22T00:00:00"/>
    <d v="2022-09-08T00:00:00"/>
    <x v="0"/>
    <n v="1359"/>
    <x v="25"/>
    <n v="0"/>
    <n v="27.96"/>
    <n v="0"/>
    <x v="0"/>
    <x v="1"/>
    <n v="19026"/>
    <b v="1"/>
    <n v="1.1666666666666667"/>
    <n v="1359"/>
    <n v="27.96"/>
    <d v="2021-12-01T00:00:00"/>
    <s v="Adult"/>
    <n v="0"/>
    <s v="Yes"/>
    <n v="260"/>
    <s v="Medium"/>
    <s v="Low"/>
    <n v="0"/>
    <s v="Medium"/>
    <n v="1"/>
    <d v="2021-12-01T00:00:00"/>
    <s v="13–24 months"/>
    <s v="0–1 tickets"/>
    <s v="21–30 min"/>
    <s v="1000+"/>
    <n v="19026"/>
    <n v="0"/>
  </r>
  <r>
    <n v="11485"/>
    <n v="31"/>
    <s v="Male"/>
    <s v="Delhi"/>
    <d v="2023-06-11T00:00:00"/>
    <d v="2023-02-12T00:00:00"/>
    <x v="1"/>
    <n v="1146"/>
    <x v="16"/>
    <n v="1"/>
    <n v="35.9"/>
    <n v="10"/>
    <x v="3"/>
    <x v="0"/>
    <n v="7964.7"/>
    <b v="0"/>
    <n v="0.58333333333333337"/>
    <n v="1137.8142857142857"/>
    <n v="17.95"/>
    <d v="2023-06-01T00:00:00"/>
    <s v="Adult"/>
    <n v="1"/>
    <s v="No"/>
    <m/>
    <s v="Medium"/>
    <s v="Low"/>
    <n v="0.125"/>
    <s v="Low"/>
    <n v="3"/>
    <d v="2023-06-01T00:00:00"/>
    <s v="7–12 months"/>
    <s v="0–1 tickets"/>
    <s v="31–45 min"/>
    <s v="1000+"/>
    <n v="8022"/>
    <n v="-57.300000000000182"/>
  </r>
  <r>
    <n v="11486"/>
    <n v="48"/>
    <s v="Female"/>
    <s v="Mumbai"/>
    <d v="2021-06-17T00:00:00"/>
    <d v="2022-03-05T00:00:00"/>
    <x v="0"/>
    <n v="721"/>
    <x v="31"/>
    <n v="0"/>
    <n v="55.6"/>
    <n v="20"/>
    <x v="1"/>
    <x v="0"/>
    <n v="16438.8"/>
    <b v="1"/>
    <n v="1.9166666666666667"/>
    <n v="714.73043478260865"/>
    <n v="55.6"/>
    <d v="2021-06-01T00:00:00"/>
    <s v="Middle-aged"/>
    <n v="1"/>
    <s v="Yes"/>
    <n v="261"/>
    <s v="Medium"/>
    <s v="Medium"/>
    <n v="0"/>
    <s v="Medium"/>
    <n v="1"/>
    <d v="2021-06-01T00:00:00"/>
    <s v="13–24 months"/>
    <s v="0–1 tickets"/>
    <s v="46+ min"/>
    <s v="701–1000"/>
    <n v="16583"/>
    <n v="-144.20000000000073"/>
  </r>
  <r>
    <n v="11487"/>
    <n v="41"/>
    <s v="Male"/>
    <s v="Delhi"/>
    <d v="2022-07-11T00:00:00"/>
    <d v="2023-09-14T00:00:00"/>
    <x v="0"/>
    <n v="907"/>
    <x v="1"/>
    <n v="1"/>
    <n v="56.3"/>
    <n v="15"/>
    <x v="0"/>
    <x v="1"/>
    <n v="19817.95"/>
    <b v="1"/>
    <n v="1.8333333333333333"/>
    <n v="900.81590909090914"/>
    <n v="28.15"/>
    <d v="2022-07-01T00:00:00"/>
    <s v="Middle-aged"/>
    <n v="0"/>
    <s v="Yes"/>
    <n v="430"/>
    <s v="Medium"/>
    <s v="Low"/>
    <n v="4.3478260869565216E-2"/>
    <s v="High"/>
    <n v="1"/>
    <d v="2022-07-01T00:00:00"/>
    <s v="13–24 months"/>
    <s v="0–1 tickets"/>
    <s v="46+ min"/>
    <s v="701–1000"/>
    <n v="19954"/>
    <n v="-136.04999999999927"/>
  </r>
  <r>
    <n v="11488"/>
    <n v="52"/>
    <s v="Female"/>
    <s v="Bangalore"/>
    <d v="2022-03-28T00:00:00"/>
    <d v="2021-06-19T00:00:00"/>
    <x v="0"/>
    <n v="319"/>
    <x v="26"/>
    <n v="1"/>
    <n v="94.06"/>
    <n v="20"/>
    <x v="3"/>
    <x v="1"/>
    <n v="8549.2000000000007"/>
    <b v="0"/>
    <n v="2.25"/>
    <n v="316.63703703703709"/>
    <n v="47.03"/>
    <d v="2022-03-01T00:00:00"/>
    <s v="Older"/>
    <n v="0"/>
    <s v="No"/>
    <m/>
    <s v="High"/>
    <s v="Medium"/>
    <n v="3.5714285714285712E-2"/>
    <s v="Low"/>
    <n v="1"/>
    <d v="2022-03-01T00:00:00"/>
    <s v="25+ months"/>
    <s v="0–1 tickets"/>
    <s v="46+ min"/>
    <s v="301–500"/>
    <n v="8613"/>
    <n v="-63.799999999999272"/>
  </r>
  <r>
    <n v="11489"/>
    <n v="61"/>
    <s v="Female"/>
    <s v="Pune"/>
    <d v="2021-04-15T00:00:00"/>
    <d v="2021-08-05T00:00:00"/>
    <x v="2"/>
    <n v="975"/>
    <x v="4"/>
    <n v="5"/>
    <n v="47.25"/>
    <n v="15"/>
    <x v="3"/>
    <x v="0"/>
    <n v="1803.75"/>
    <b v="1"/>
    <n v="0.16666666666666666"/>
    <n v="901.875"/>
    <n v="7.875"/>
    <d v="2021-04-01T00:00:00"/>
    <s v="Older"/>
    <n v="1"/>
    <s v="No"/>
    <n v="112"/>
    <s v="Medium"/>
    <s v="Low"/>
    <n v="1.6666666666666667"/>
    <s v="Low"/>
    <n v="2"/>
    <d v="2021-04-01T00:00:00"/>
    <s v="0–6 months"/>
    <s v="4–5 tickets"/>
    <s v="46+ min"/>
    <s v="701–1000"/>
    <n v="1950"/>
    <n v="-146.25"/>
  </r>
  <r>
    <n v="11490"/>
    <n v="62"/>
    <s v="Male"/>
    <s v="Hyderabad"/>
    <d v="2021-05-30T00:00:00"/>
    <d v="2021-11-14T00:00:00"/>
    <x v="2"/>
    <n v="681"/>
    <x v="17"/>
    <n v="1"/>
    <n v="23.69"/>
    <n v="5"/>
    <x v="0"/>
    <x v="1"/>
    <n v="12904.95"/>
    <b v="1"/>
    <n v="1.5833333333333333"/>
    <n v="679.20789473684215"/>
    <n v="11.845000000000001"/>
    <d v="2021-05-01T00:00:00"/>
    <s v="Older"/>
    <n v="0"/>
    <s v="No"/>
    <n v="168"/>
    <s v="Medium"/>
    <s v="Low"/>
    <n v="0.05"/>
    <s v="Medium"/>
    <n v="2"/>
    <d v="2021-05-01T00:00:00"/>
    <s v="13–24 months"/>
    <s v="0–1 tickets"/>
    <s v="21–30 min"/>
    <s v="501–700"/>
    <n v="12939"/>
    <n v="-34.049999999999272"/>
  </r>
  <r>
    <n v="11491"/>
    <n v="51"/>
    <s v="Female"/>
    <s v="Hyderabad"/>
    <d v="2021-05-26T00:00:00"/>
    <d v="2023-01-06T00:00:00"/>
    <x v="2"/>
    <n v="908"/>
    <x v="16"/>
    <n v="1"/>
    <n v="33.92"/>
    <n v="10"/>
    <x v="0"/>
    <x v="1"/>
    <n v="6265.2"/>
    <b v="1"/>
    <n v="0.58333333333333337"/>
    <n v="895.02857142857135"/>
    <n v="16.96"/>
    <d v="2021-05-01T00:00:00"/>
    <s v="Older"/>
    <n v="0"/>
    <s v="No"/>
    <n v="590"/>
    <s v="Medium"/>
    <s v="Low"/>
    <n v="0.125"/>
    <s v="Low"/>
    <n v="2"/>
    <d v="2021-05-01T00:00:00"/>
    <s v="7–12 months"/>
    <s v="0–1 tickets"/>
    <s v="31–45 min"/>
    <s v="701–1000"/>
    <n v="6356"/>
    <n v="-90.800000000000182"/>
  </r>
  <r>
    <n v="11492"/>
    <n v="20"/>
    <s v="Female"/>
    <s v="Delhi"/>
    <d v="2022-12-17T00:00:00"/>
    <d v="2022-07-08T00:00:00"/>
    <x v="0"/>
    <n v="442"/>
    <x v="34"/>
    <n v="0"/>
    <n v="29.69"/>
    <n v="10"/>
    <x v="1"/>
    <x v="1"/>
    <n v="5259.8"/>
    <b v="0"/>
    <n v="1"/>
    <n v="438.31666666666666"/>
    <n v="29.69"/>
    <d v="2022-12-01T00:00:00"/>
    <s v="Young"/>
    <n v="0"/>
    <s v="No"/>
    <m/>
    <s v="Medium"/>
    <s v="Low"/>
    <n v="0"/>
    <s v="Low"/>
    <n v="1"/>
    <d v="2022-12-01T00:00:00"/>
    <s v="7–12 months"/>
    <s v="0–1 tickets"/>
    <s v="21–30 min"/>
    <s v="301–500"/>
    <n v="5304"/>
    <n v="-44.199999999999818"/>
  </r>
  <r>
    <n v="11493"/>
    <n v="54"/>
    <s v="Female"/>
    <s v="Pune"/>
    <d v="2023-05-24T00:00:00"/>
    <d v="2023-08-31T00:00:00"/>
    <x v="2"/>
    <n v="361"/>
    <x v="13"/>
    <n v="3"/>
    <n v="89.14"/>
    <n v="20"/>
    <x v="3"/>
    <x v="1"/>
    <n v="1010.8"/>
    <b v="1"/>
    <n v="0.25"/>
    <n v="336.93333333333334"/>
    <n v="22.285"/>
    <d v="2023-05-01T00:00:00"/>
    <s v="Older"/>
    <n v="0"/>
    <s v="No"/>
    <n v="99"/>
    <s v="High"/>
    <s v="Medium"/>
    <n v="0.75"/>
    <s v="Low"/>
    <n v="2"/>
    <d v="2023-05-01T00:00:00"/>
    <s v="0–6 months"/>
    <s v="2–3 tickets"/>
    <s v="46+ min"/>
    <s v="301–500"/>
    <n v="1083"/>
    <n v="-72.200000000000045"/>
  </r>
  <r>
    <n v="11494"/>
    <n v="60"/>
    <s v="Male"/>
    <s v="Delhi"/>
    <d v="2021-10-26T00:00:00"/>
    <d v="2022-07-14T00:00:00"/>
    <x v="0"/>
    <n v="537"/>
    <x v="21"/>
    <n v="2"/>
    <n v="59.09"/>
    <n v="20"/>
    <x v="3"/>
    <x v="1"/>
    <n v="2577.6"/>
    <b v="1"/>
    <n v="0.41666666666666669"/>
    <n v="515.52"/>
    <n v="19.696666666666669"/>
    <d v="2021-10-01T00:00:00"/>
    <s v="Older"/>
    <n v="0"/>
    <s v="No"/>
    <n v="261"/>
    <s v="Medium"/>
    <s v="Medium"/>
    <n v="0.33333333333333331"/>
    <s v="Low"/>
    <n v="1"/>
    <d v="2021-10-01T00:00:00"/>
    <s v="0–6 months"/>
    <s v="2–3 tickets"/>
    <s v="46+ min"/>
    <s v="501–700"/>
    <n v="2685"/>
    <n v="-107.40000000000009"/>
  </r>
  <r>
    <n v="11495"/>
    <n v="57"/>
    <s v="Male"/>
    <s v="Mumbai"/>
    <d v="2021-06-16T00:00:00"/>
    <d v="2021-09-20T00:00:00"/>
    <x v="0"/>
    <n v="1454"/>
    <x v="14"/>
    <n v="2"/>
    <n v="86.49"/>
    <n v="5"/>
    <x v="1"/>
    <x v="1"/>
    <n v="11559.3"/>
    <b v="1"/>
    <n v="0.66666666666666663"/>
    <n v="1444.9124999999999"/>
    <n v="28.83"/>
    <d v="2021-06-01T00:00:00"/>
    <s v="Older"/>
    <n v="0"/>
    <s v="No"/>
    <n v="96"/>
    <s v="High"/>
    <s v="Low"/>
    <n v="0.22222222222222221"/>
    <s v="Medium"/>
    <n v="1"/>
    <d v="2021-06-01T00:00:00"/>
    <s v="7–12 months"/>
    <s v="2–3 tickets"/>
    <s v="46+ min"/>
    <s v="1000+"/>
    <n v="11632"/>
    <n v="-72.700000000000728"/>
  </r>
  <r>
    <n v="11496"/>
    <n v="43"/>
    <s v="Male"/>
    <s v="Chennai"/>
    <d v="2022-12-14T00:00:00"/>
    <d v="2022-03-01T00:00:00"/>
    <x v="0"/>
    <n v="1446"/>
    <x v="25"/>
    <n v="2"/>
    <n v="52.87"/>
    <n v="10"/>
    <x v="3"/>
    <x v="1"/>
    <n v="20099.400000000001"/>
    <b v="0"/>
    <n v="1.1666666666666667"/>
    <n v="1435.6714285714286"/>
    <n v="17.623333333333331"/>
    <d v="2022-12-01T00:00:00"/>
    <s v="Middle-aged"/>
    <n v="0"/>
    <s v="Yes"/>
    <m/>
    <s v="Medium"/>
    <s v="Low"/>
    <n v="0.13333333333333333"/>
    <s v="High"/>
    <n v="1"/>
    <d v="2022-12-01T00:00:00"/>
    <s v="13–24 months"/>
    <s v="2–3 tickets"/>
    <s v="46+ min"/>
    <s v="1000+"/>
    <n v="20244"/>
    <n v="-144.59999999999854"/>
  </r>
  <r>
    <n v="11497"/>
    <n v="41"/>
    <s v="Male"/>
    <s v="Pune"/>
    <d v="2022-10-08T00:00:00"/>
    <d v="2022-07-12T00:00:00"/>
    <x v="2"/>
    <n v="1226"/>
    <x v="16"/>
    <n v="3"/>
    <n v="107.32"/>
    <n v="10"/>
    <x v="3"/>
    <x v="1"/>
    <n v="8459.4"/>
    <b v="0"/>
    <n v="0.58333333333333337"/>
    <n v="1208.4857142857143"/>
    <n v="26.83"/>
    <d v="2022-10-01T00:00:00"/>
    <s v="Middle-aged"/>
    <n v="0"/>
    <s v="No"/>
    <m/>
    <s v="High"/>
    <s v="Low"/>
    <n v="0.375"/>
    <s v="Low"/>
    <n v="2"/>
    <d v="2022-10-01T00:00:00"/>
    <s v="7–12 months"/>
    <s v="2–3 tickets"/>
    <s v="46+ min"/>
    <s v="1000+"/>
    <n v="8582"/>
    <n v="-122.60000000000036"/>
  </r>
  <r>
    <n v="11498"/>
    <n v="61"/>
    <s v="Female"/>
    <s v="Chennai"/>
    <d v="2022-12-24T00:00:00"/>
    <d v="2022-06-08T00:00:00"/>
    <x v="0"/>
    <n v="641"/>
    <x v="16"/>
    <n v="1"/>
    <n v="118.1"/>
    <n v="20"/>
    <x v="3"/>
    <x v="1"/>
    <n v="4358.8"/>
    <b v="0"/>
    <n v="0.58333333333333337"/>
    <n v="622.68571428571431"/>
    <n v="59.05"/>
    <d v="2022-12-01T00:00:00"/>
    <s v="Older"/>
    <n v="0"/>
    <s v="No"/>
    <m/>
    <s v="High"/>
    <s v="Medium"/>
    <n v="0.125"/>
    <s v="Low"/>
    <n v="1"/>
    <d v="2022-12-01T00:00:00"/>
    <s v="7–12 months"/>
    <s v="0–1 tickets"/>
    <s v="46+ min"/>
    <s v="501–700"/>
    <n v="4487"/>
    <n v="-128.19999999999982"/>
  </r>
  <r>
    <n v="11499"/>
    <n v="56"/>
    <s v="Male"/>
    <s v="Mumbai"/>
    <d v="2021-02-17T00:00:00"/>
    <d v="2023-01-18T00:00:00"/>
    <x v="2"/>
    <n v="754"/>
    <x v="23"/>
    <n v="1"/>
    <n v="82.03"/>
    <n v="10"/>
    <x v="2"/>
    <x v="1"/>
    <n v="24052.6"/>
    <b v="1"/>
    <n v="2.6666666666666665"/>
    <n v="751.64374999999995"/>
    <n v="41.015000000000001"/>
    <d v="2021-02-01T00:00:00"/>
    <s v="Older"/>
    <n v="0"/>
    <s v="Yes"/>
    <n v="700"/>
    <s v="High"/>
    <s v="Low"/>
    <n v="3.0303030303030304E-2"/>
    <s v="High"/>
    <n v="2"/>
    <d v="2021-02-01T00:00:00"/>
    <s v="25+ months"/>
    <s v="0–1 tickets"/>
    <s v="46+ min"/>
    <s v="701–1000"/>
    <n v="24128"/>
    <n v="-75.400000000001455"/>
  </r>
  <r>
    <n v="11500"/>
    <n v="32"/>
    <s v="Female"/>
    <s v="Chennai"/>
    <d v="2022-09-30T00:00:00"/>
    <d v="2023-03-13T00:00:00"/>
    <x v="2"/>
    <n v="581"/>
    <x v="14"/>
    <n v="1"/>
    <n v="104.34"/>
    <n v="20"/>
    <x v="0"/>
    <x v="1"/>
    <n v="4531.8"/>
    <b v="1"/>
    <n v="0.66666666666666663"/>
    <n v="566.47500000000002"/>
    <n v="52.17"/>
    <d v="2022-09-01T00:00:00"/>
    <s v="Adult"/>
    <n v="0"/>
    <s v="No"/>
    <n v="164"/>
    <s v="High"/>
    <s v="Medium"/>
    <n v="0.1111111111111111"/>
    <s v="Low"/>
    <n v="2"/>
    <d v="2022-09-01T00:00:00"/>
    <s v="7–12 months"/>
    <s v="0–1 tickets"/>
    <s v="46+ min"/>
    <s v="501–700"/>
    <n v="4648"/>
    <n v="-116.19999999999982"/>
  </r>
  <r>
    <n v="11501"/>
    <n v="41"/>
    <s v="Male"/>
    <s v="Bangalore"/>
    <d v="2021-08-27T00:00:00"/>
    <d v="2021-07-09T00:00:00"/>
    <x v="2"/>
    <n v="1185"/>
    <x v="34"/>
    <n v="3"/>
    <n v="63.41"/>
    <n v="0"/>
    <x v="2"/>
    <x v="1"/>
    <n v="14220"/>
    <b v="0"/>
    <n v="1"/>
    <n v="1185"/>
    <n v="15.852499999999999"/>
    <d v="2021-08-01T00:00:00"/>
    <s v="Middle-aged"/>
    <n v="0"/>
    <s v="Yes"/>
    <m/>
    <s v="High"/>
    <s v="Low"/>
    <n v="0.23076923076923078"/>
    <s v="Medium"/>
    <n v="2"/>
    <d v="2021-08-01T00:00:00"/>
    <s v="7–12 months"/>
    <s v="2–3 tickets"/>
    <s v="46+ min"/>
    <s v="1000+"/>
    <n v="14220"/>
    <n v="0"/>
  </r>
  <r>
    <n v="11502"/>
    <n v="46"/>
    <s v="Female"/>
    <s v="Chennai"/>
    <d v="2021-01-07T00:00:00"/>
    <d v="2021-09-13T00:00:00"/>
    <x v="2"/>
    <n v="1324"/>
    <x v="32"/>
    <n v="4"/>
    <n v="112.48"/>
    <n v="10"/>
    <x v="2"/>
    <x v="0"/>
    <n v="13107.6"/>
    <b v="1"/>
    <n v="0.83333333333333337"/>
    <n v="1310.76"/>
    <n v="22.496000000000002"/>
    <d v="2021-01-01T00:00:00"/>
    <s v="Middle-aged"/>
    <n v="1"/>
    <s v="No"/>
    <n v="249"/>
    <s v="High"/>
    <s v="Low"/>
    <n v="0.36363636363636365"/>
    <s v="Medium"/>
    <n v="2"/>
    <d v="2021-01-01T00:00:00"/>
    <s v="7–12 months"/>
    <s v="4–5 tickets"/>
    <s v="46+ min"/>
    <s v="1000+"/>
    <n v="13240"/>
    <n v="-132.39999999999964"/>
  </r>
  <r>
    <n v="11503"/>
    <n v="39"/>
    <s v="Female"/>
    <s v="Mumbai"/>
    <d v="2022-04-09T00:00:00"/>
    <d v="2022-04-20T00:00:00"/>
    <x v="0"/>
    <n v="1022"/>
    <x v="25"/>
    <n v="3"/>
    <n v="100.63"/>
    <n v="15"/>
    <x v="0"/>
    <x v="1"/>
    <n v="14154.7"/>
    <b v="1"/>
    <n v="1.1666666666666667"/>
    <n v="1011.0500000000001"/>
    <n v="25.157499999999999"/>
    <d v="2022-04-01T00:00:00"/>
    <s v="Middle-aged"/>
    <n v="0"/>
    <s v="Yes"/>
    <n v="11"/>
    <s v="High"/>
    <s v="Low"/>
    <n v="0.2"/>
    <s v="Medium"/>
    <n v="1"/>
    <d v="2022-04-01T00:00:00"/>
    <s v="13–24 months"/>
    <s v="2–3 tickets"/>
    <s v="46+ min"/>
    <s v="1000+"/>
    <n v="14308"/>
    <n v="-153.29999999999927"/>
  </r>
  <r>
    <n v="11504"/>
    <n v="42"/>
    <s v="Female"/>
    <s v="Chennai"/>
    <d v="2022-03-29T00:00:00"/>
    <d v="2023-08-02T00:00:00"/>
    <x v="0"/>
    <n v="386"/>
    <x v="9"/>
    <n v="0"/>
    <n v="119.05"/>
    <n v="5"/>
    <x v="2"/>
    <x v="1"/>
    <n v="3454.7"/>
    <b v="1"/>
    <n v="0.75"/>
    <n v="383.85555555555555"/>
    <n v="119.05"/>
    <d v="2022-03-01T00:00:00"/>
    <s v="Middle-aged"/>
    <n v="0"/>
    <s v="No"/>
    <n v="491"/>
    <s v="High"/>
    <s v="Low"/>
    <n v="0"/>
    <s v="Low"/>
    <n v="1"/>
    <d v="2022-03-01T00:00:00"/>
    <s v="7–12 months"/>
    <s v="0–1 tickets"/>
    <s v="46+ min"/>
    <s v="301–500"/>
    <n v="3474"/>
    <n v="-19.300000000000182"/>
  </r>
  <r>
    <n v="11505"/>
    <n v="30"/>
    <s v="Male"/>
    <s v="Hyderabad"/>
    <d v="2023-02-23T00:00:00"/>
    <d v="2022-07-19T00:00:00"/>
    <x v="2"/>
    <n v="964"/>
    <x v="3"/>
    <n v="3"/>
    <n v="76.66"/>
    <n v="20"/>
    <x v="1"/>
    <x v="1"/>
    <n v="28727.200000000001"/>
    <b v="0"/>
    <n v="2.5"/>
    <n v="957.57333333333338"/>
    <n v="19.164999999999999"/>
    <d v="2023-02-01T00:00:00"/>
    <s v="Adult"/>
    <n v="0"/>
    <s v="Yes"/>
    <m/>
    <s v="High"/>
    <s v="Medium"/>
    <n v="9.6774193548387094E-2"/>
    <s v="High"/>
    <n v="2"/>
    <d v="2023-02-01T00:00:00"/>
    <s v="25+ months"/>
    <s v="2–3 tickets"/>
    <s v="46+ min"/>
    <s v="701–1000"/>
    <n v="28920"/>
    <n v="-192.79999999999927"/>
  </r>
  <r>
    <n v="11506"/>
    <n v="35"/>
    <s v="Male"/>
    <s v="Delhi"/>
    <d v="2023-06-16T00:00:00"/>
    <d v="2022-08-03T00:00:00"/>
    <x v="2"/>
    <n v="1161"/>
    <x v="21"/>
    <n v="3"/>
    <n v="94.61"/>
    <n v="10"/>
    <x v="2"/>
    <x v="1"/>
    <n v="5688.9"/>
    <b v="0"/>
    <n v="0.41666666666666669"/>
    <n v="1137.78"/>
    <n v="23.6525"/>
    <d v="2023-06-01T00:00:00"/>
    <s v="Adult"/>
    <n v="0"/>
    <s v="No"/>
    <m/>
    <s v="High"/>
    <s v="Low"/>
    <n v="0.5"/>
    <s v="Low"/>
    <n v="2"/>
    <d v="2023-06-01T00:00:00"/>
    <s v="0–6 months"/>
    <s v="2–3 tickets"/>
    <s v="46+ min"/>
    <s v="1000+"/>
    <n v="5805"/>
    <n v="-116.10000000000036"/>
  </r>
  <r>
    <n v="11507"/>
    <n v="50"/>
    <s v="Male"/>
    <s v="Bangalore"/>
    <d v="2022-01-06T00:00:00"/>
    <d v="2023-02-25T00:00:00"/>
    <x v="1"/>
    <n v="360"/>
    <x v="7"/>
    <n v="0"/>
    <n v="67.430000000000007"/>
    <n v="10"/>
    <x v="1"/>
    <x v="0"/>
    <n v="324"/>
    <b v="1"/>
    <n v="8.3333333333333329E-2"/>
    <n v="324"/>
    <n v="67.430000000000007"/>
    <d v="2022-01-01T00:00:00"/>
    <s v="Middle-aged"/>
    <n v="1"/>
    <s v="No"/>
    <n v="415"/>
    <s v="High"/>
    <s v="Low"/>
    <n v="0"/>
    <s v="Low"/>
    <n v="3"/>
    <d v="2022-01-01T00:00:00"/>
    <s v="0–6 months"/>
    <s v="0–1 tickets"/>
    <s v="46+ min"/>
    <s v="301–500"/>
    <n v="360"/>
    <n v="-36"/>
  </r>
  <r>
    <n v="11508"/>
    <n v="33"/>
    <s v="Male"/>
    <s v="Hyderabad"/>
    <d v="2022-07-03T00:00:00"/>
    <d v="2023-05-31T00:00:00"/>
    <x v="1"/>
    <n v="1096"/>
    <x v="7"/>
    <n v="3"/>
    <n v="62.59"/>
    <n v="20"/>
    <x v="0"/>
    <x v="1"/>
    <n v="876.8"/>
    <b v="1"/>
    <n v="8.3333333333333329E-2"/>
    <n v="876.8"/>
    <n v="15.647500000000001"/>
    <d v="2022-07-01T00:00:00"/>
    <s v="Adult"/>
    <n v="0"/>
    <s v="No"/>
    <n v="332"/>
    <s v="High"/>
    <s v="Medium"/>
    <n v="1.5"/>
    <s v="Low"/>
    <n v="3"/>
    <d v="2022-07-01T00:00:00"/>
    <s v="0–6 months"/>
    <s v="2–3 tickets"/>
    <s v="46+ min"/>
    <s v="1000+"/>
    <n v="1096"/>
    <n v="-219.20000000000005"/>
  </r>
  <r>
    <n v="11509"/>
    <n v="62"/>
    <s v="Male"/>
    <s v="Hyderabad"/>
    <d v="2022-05-02T00:00:00"/>
    <d v="2023-11-06T00:00:00"/>
    <x v="0"/>
    <n v="394"/>
    <x v="28"/>
    <n v="4"/>
    <n v="45.8"/>
    <n v="15"/>
    <x v="3"/>
    <x v="0"/>
    <n v="7820.9"/>
    <b v="1"/>
    <n v="1.6666666666666667"/>
    <n v="391.04499999999996"/>
    <n v="9.16"/>
    <d v="2022-05-01T00:00:00"/>
    <s v="Older"/>
    <n v="1"/>
    <s v="No"/>
    <n v="553"/>
    <s v="Medium"/>
    <s v="Low"/>
    <n v="0.19047619047619047"/>
    <s v="Low"/>
    <n v="1"/>
    <d v="2022-05-01T00:00:00"/>
    <s v="13–24 months"/>
    <s v="4–5 tickets"/>
    <s v="46+ min"/>
    <s v="301–500"/>
    <n v="7880"/>
    <n v="-59.100000000000364"/>
  </r>
  <r>
    <n v="11510"/>
    <n v="59"/>
    <s v="Male"/>
    <s v="Mumbai"/>
    <d v="2021-07-30T00:00:00"/>
    <d v="2021-07-31T00:00:00"/>
    <x v="0"/>
    <n v="1085"/>
    <x v="11"/>
    <n v="1"/>
    <n v="107.81"/>
    <n v="10"/>
    <x v="0"/>
    <x v="1"/>
    <n v="11826.5"/>
    <b v="1"/>
    <n v="0.91666666666666663"/>
    <n v="1075.1363636363637"/>
    <n v="53.905000000000001"/>
    <d v="2021-07-01T00:00:00"/>
    <s v="Older"/>
    <n v="0"/>
    <s v="No"/>
    <n v="1"/>
    <s v="High"/>
    <s v="Low"/>
    <n v="8.3333333333333329E-2"/>
    <s v="Medium"/>
    <n v="1"/>
    <d v="2021-07-01T00:00:00"/>
    <s v="7–12 months"/>
    <s v="0–1 tickets"/>
    <s v="46+ min"/>
    <s v="1000+"/>
    <n v="11935"/>
    <n v="-108.5"/>
  </r>
  <r>
    <n v="11511"/>
    <n v="61"/>
    <s v="Male"/>
    <s v="Delhi"/>
    <d v="2021-06-14T00:00:00"/>
    <d v="2023-02-02T00:00:00"/>
    <x v="2"/>
    <n v="1470"/>
    <x v="8"/>
    <n v="3"/>
    <n v="11.43"/>
    <n v="0"/>
    <x v="0"/>
    <x v="0"/>
    <n v="38220"/>
    <b v="1"/>
    <n v="2.1666666666666665"/>
    <n v="1470"/>
    <n v="2.8574999999999999"/>
    <d v="2021-06-01T00:00:00"/>
    <s v="Older"/>
    <n v="1"/>
    <s v="Yes"/>
    <n v="598"/>
    <s v="Low"/>
    <s v="Low"/>
    <n v="0.1111111111111111"/>
    <s v="High"/>
    <n v="2"/>
    <d v="2021-06-01T00:00:00"/>
    <s v="25+ months"/>
    <s v="2–3 tickets"/>
    <s v="11–20 min"/>
    <s v="1000+"/>
    <n v="38220"/>
    <n v="0"/>
  </r>
  <r>
    <n v="11512"/>
    <n v="19"/>
    <s v="Female"/>
    <s v="Delhi"/>
    <d v="2021-05-05T00:00:00"/>
    <d v="2022-04-03T00:00:00"/>
    <x v="0"/>
    <n v="1260"/>
    <x v="13"/>
    <n v="2"/>
    <n v="73.02"/>
    <n v="5"/>
    <x v="2"/>
    <x v="0"/>
    <n v="3717"/>
    <b v="1"/>
    <n v="0.25"/>
    <n v="1239"/>
    <n v="24.34"/>
    <d v="2021-05-01T00:00:00"/>
    <s v="Young"/>
    <n v="1"/>
    <s v="No"/>
    <n v="333"/>
    <s v="High"/>
    <s v="Low"/>
    <n v="0.5"/>
    <s v="Low"/>
    <n v="1"/>
    <d v="2021-05-01T00:00:00"/>
    <s v="0–6 months"/>
    <s v="2–3 tickets"/>
    <s v="46+ min"/>
    <s v="1000+"/>
    <n v="3780"/>
    <n v="-63"/>
  </r>
  <r>
    <n v="11513"/>
    <n v="52"/>
    <s v="Male"/>
    <s v="Pune"/>
    <d v="2021-12-03T00:00:00"/>
    <d v="2022-05-20T00:00:00"/>
    <x v="0"/>
    <n v="596"/>
    <x v="20"/>
    <n v="1"/>
    <n v="47.84"/>
    <n v="20"/>
    <x v="0"/>
    <x v="1"/>
    <n v="3456.8"/>
    <b v="1"/>
    <n v="0.5"/>
    <n v="576.13333333333333"/>
    <n v="23.92"/>
    <d v="2021-12-01T00:00:00"/>
    <s v="Older"/>
    <n v="0"/>
    <s v="No"/>
    <n v="168"/>
    <s v="Medium"/>
    <s v="Medium"/>
    <n v="0.14285714285714285"/>
    <s v="Low"/>
    <n v="1"/>
    <d v="2021-12-01T00:00:00"/>
    <s v="0–6 months"/>
    <s v="0–1 tickets"/>
    <s v="46+ min"/>
    <s v="501–700"/>
    <n v="3576"/>
    <n v="-119.19999999999982"/>
  </r>
  <r>
    <n v="11514"/>
    <n v="41"/>
    <s v="Female"/>
    <s v="Bangalore"/>
    <d v="2021-07-11T00:00:00"/>
    <d v="2022-06-28T00:00:00"/>
    <x v="1"/>
    <n v="1446"/>
    <x v="11"/>
    <n v="5"/>
    <n v="49.47"/>
    <n v="10"/>
    <x v="0"/>
    <x v="1"/>
    <n v="15761.4"/>
    <b v="1"/>
    <n v="0.91666666666666663"/>
    <n v="1432.8545454545454"/>
    <n v="8.2449999999999992"/>
    <d v="2021-07-01T00:00:00"/>
    <s v="Middle-aged"/>
    <n v="0"/>
    <s v="Yes"/>
    <n v="352"/>
    <s v="Medium"/>
    <s v="Low"/>
    <n v="0.41666666666666669"/>
    <s v="Medium"/>
    <n v="3"/>
    <d v="2021-07-01T00:00:00"/>
    <s v="7–12 months"/>
    <s v="4–5 tickets"/>
    <s v="46+ min"/>
    <s v="1000+"/>
    <n v="15906"/>
    <n v="-144.60000000000036"/>
  </r>
  <r>
    <n v="11515"/>
    <n v="51"/>
    <s v="Male"/>
    <s v="Mumbai"/>
    <d v="2022-12-31T00:00:00"/>
    <d v="2021-12-21T00:00:00"/>
    <x v="0"/>
    <n v="993"/>
    <x v="14"/>
    <n v="1"/>
    <n v="106.73"/>
    <n v="5"/>
    <x v="1"/>
    <x v="0"/>
    <n v="7894.35"/>
    <b v="0"/>
    <n v="0.66666666666666663"/>
    <n v="986.79375000000005"/>
    <n v="53.365000000000002"/>
    <d v="2022-12-01T00:00:00"/>
    <s v="Older"/>
    <n v="1"/>
    <s v="No"/>
    <m/>
    <s v="High"/>
    <s v="Low"/>
    <n v="0.1111111111111111"/>
    <s v="Low"/>
    <n v="1"/>
    <d v="2022-12-01T00:00:00"/>
    <s v="7–12 months"/>
    <s v="0–1 tickets"/>
    <s v="46+ min"/>
    <s v="701–1000"/>
    <n v="7944"/>
    <n v="-49.649999999999636"/>
  </r>
  <r>
    <n v="11516"/>
    <n v="47"/>
    <s v="Female"/>
    <s v="Bangalore"/>
    <d v="2021-08-02T00:00:00"/>
    <d v="2022-02-13T00:00:00"/>
    <x v="1"/>
    <n v="698"/>
    <x v="5"/>
    <n v="0"/>
    <n v="103.19"/>
    <n v="20"/>
    <x v="3"/>
    <x v="1"/>
    <n v="20102.400000000001"/>
    <b v="1"/>
    <n v="2.4166666666666665"/>
    <n v="693.18620689655177"/>
    <n v="103.19"/>
    <d v="2021-08-01T00:00:00"/>
    <s v="Middle-aged"/>
    <n v="0"/>
    <s v="Yes"/>
    <n v="195"/>
    <s v="High"/>
    <s v="Medium"/>
    <n v="0"/>
    <s v="High"/>
    <n v="3"/>
    <d v="2021-08-01T00:00:00"/>
    <s v="25+ months"/>
    <s v="0–1 tickets"/>
    <s v="46+ min"/>
    <s v="501–700"/>
    <n v="20242"/>
    <n v="-139.59999999999854"/>
  </r>
  <r>
    <n v="11517"/>
    <n v="30"/>
    <s v="Female"/>
    <s v="Pune"/>
    <d v="2022-07-28T00:00:00"/>
    <d v="2022-09-29T00:00:00"/>
    <x v="2"/>
    <n v="1245"/>
    <x v="32"/>
    <n v="2"/>
    <n v="73.87"/>
    <n v="20"/>
    <x v="2"/>
    <x v="1"/>
    <n v="12201"/>
    <b v="1"/>
    <n v="0.83333333333333337"/>
    <n v="1220.0999999999999"/>
    <n v="24.623333333333335"/>
    <d v="2022-07-01T00:00:00"/>
    <s v="Adult"/>
    <n v="0"/>
    <s v="No"/>
    <n v="63"/>
    <s v="High"/>
    <s v="Medium"/>
    <n v="0.18181818181818182"/>
    <s v="Medium"/>
    <n v="2"/>
    <d v="2022-07-01T00:00:00"/>
    <s v="7–12 months"/>
    <s v="2–3 tickets"/>
    <s v="46+ min"/>
    <s v="1000+"/>
    <n v="12450"/>
    <n v="-249"/>
  </r>
  <r>
    <n v="11518"/>
    <n v="30"/>
    <s v="Female"/>
    <s v="Chennai"/>
    <d v="2021-11-24T00:00:00"/>
    <d v="2022-10-30T00:00:00"/>
    <x v="2"/>
    <n v="833"/>
    <x v="22"/>
    <n v="1"/>
    <n v="36.39"/>
    <n v="20"/>
    <x v="3"/>
    <x v="1"/>
    <n v="28155.4"/>
    <b v="1"/>
    <n v="2.8333333333333335"/>
    <n v="828.1"/>
    <n v="18.195"/>
    <d v="2021-11-01T00:00:00"/>
    <s v="Adult"/>
    <n v="0"/>
    <s v="Yes"/>
    <n v="340"/>
    <s v="Medium"/>
    <s v="Medium"/>
    <n v="2.8571428571428571E-2"/>
    <s v="High"/>
    <n v="2"/>
    <d v="2021-11-01T00:00:00"/>
    <s v="25+ months"/>
    <s v="0–1 tickets"/>
    <s v="31–45 min"/>
    <s v="701–1000"/>
    <n v="28322"/>
    <n v="-166.59999999999854"/>
  </r>
  <r>
    <n v="11519"/>
    <n v="35"/>
    <s v="Female"/>
    <s v="Hyderabad"/>
    <d v="2022-01-16T00:00:00"/>
    <d v="2022-08-20T00:00:00"/>
    <x v="0"/>
    <n v="701"/>
    <x v="30"/>
    <n v="4"/>
    <n v="59.68"/>
    <n v="15"/>
    <x v="3"/>
    <x v="1"/>
    <n v="16718.849999999999"/>
    <b v="1"/>
    <n v="2"/>
    <n v="696.61874999999998"/>
    <n v="11.936"/>
    <d v="2022-01-01T00:00:00"/>
    <s v="Adult"/>
    <n v="0"/>
    <s v="Yes"/>
    <n v="216"/>
    <s v="Medium"/>
    <s v="Low"/>
    <n v="0.16"/>
    <s v="Medium"/>
    <n v="1"/>
    <d v="2022-01-01T00:00:00"/>
    <s v="13–24 months"/>
    <s v="4–5 tickets"/>
    <s v="46+ min"/>
    <s v="701–1000"/>
    <n v="16824"/>
    <n v="-105.15000000000146"/>
  </r>
  <r>
    <n v="11520"/>
    <n v="41"/>
    <s v="Male"/>
    <s v="Bangalore"/>
    <d v="2022-11-04T00:00:00"/>
    <d v="2023-05-10T00:00:00"/>
    <x v="0"/>
    <n v="429"/>
    <x v="18"/>
    <n v="1"/>
    <n v="51.95"/>
    <n v="0"/>
    <x v="3"/>
    <x v="1"/>
    <n v="7293"/>
    <b v="1"/>
    <n v="1.4166666666666667"/>
    <n v="429"/>
    <n v="25.975000000000001"/>
    <d v="2022-11-01T00:00:00"/>
    <s v="Middle-aged"/>
    <n v="0"/>
    <s v="No"/>
    <n v="187"/>
    <s v="Medium"/>
    <s v="Low"/>
    <n v="5.5555555555555552E-2"/>
    <s v="Low"/>
    <n v="1"/>
    <d v="2022-11-01T00:00:00"/>
    <s v="13–24 months"/>
    <s v="0–1 tickets"/>
    <s v="46+ min"/>
    <s v="301–500"/>
    <n v="7293"/>
    <n v="0"/>
  </r>
  <r>
    <n v="11521"/>
    <n v="49"/>
    <s v="Female"/>
    <s v="Hyderabad"/>
    <d v="2022-08-01T00:00:00"/>
    <d v="2021-11-27T00:00:00"/>
    <x v="2"/>
    <n v="591"/>
    <x v="23"/>
    <n v="1"/>
    <n v="45.67"/>
    <n v="20"/>
    <x v="2"/>
    <x v="0"/>
    <n v="18793.8"/>
    <b v="0"/>
    <n v="2.6666666666666665"/>
    <n v="587.30624999999998"/>
    <n v="22.835000000000001"/>
    <d v="2022-08-01T00:00:00"/>
    <s v="Middle-aged"/>
    <n v="1"/>
    <s v="Yes"/>
    <m/>
    <s v="Medium"/>
    <s v="Medium"/>
    <n v="3.0303030303030304E-2"/>
    <s v="Medium"/>
    <n v="2"/>
    <d v="2022-08-01T00:00:00"/>
    <s v="25+ months"/>
    <s v="0–1 tickets"/>
    <s v="46+ min"/>
    <s v="501–700"/>
    <n v="18912"/>
    <n v="-118.20000000000073"/>
  </r>
  <r>
    <n v="11522"/>
    <n v="52"/>
    <s v="Male"/>
    <s v="Mumbai"/>
    <d v="2023-03-09T00:00:00"/>
    <d v="2022-05-08T00:00:00"/>
    <x v="0"/>
    <n v="575"/>
    <x v="11"/>
    <n v="2"/>
    <n v="16.82"/>
    <n v="15"/>
    <x v="0"/>
    <x v="1"/>
    <n v="6238.75"/>
    <b v="0"/>
    <n v="0.91666666666666663"/>
    <n v="567.15909090909088"/>
    <n v="5.6066666666666665"/>
    <d v="2023-03-01T00:00:00"/>
    <s v="Older"/>
    <n v="0"/>
    <s v="No"/>
    <m/>
    <s v="Low"/>
    <s v="Low"/>
    <n v="0.16666666666666666"/>
    <s v="Low"/>
    <n v="1"/>
    <d v="2023-03-01T00:00:00"/>
    <s v="7–12 months"/>
    <s v="2–3 tickets"/>
    <s v="11–20 min"/>
    <s v="501–700"/>
    <n v="6325"/>
    <n v="-86.25"/>
  </r>
  <r>
    <n v="11523"/>
    <n v="56"/>
    <s v="Male"/>
    <s v="Chennai"/>
    <d v="2021-08-27T00:00:00"/>
    <d v="2021-10-11T00:00:00"/>
    <x v="0"/>
    <n v="1211"/>
    <x v="22"/>
    <n v="1"/>
    <n v="67.459999999999994"/>
    <n v="20"/>
    <x v="3"/>
    <x v="0"/>
    <n v="40931.800000000003"/>
    <b v="1"/>
    <n v="2.8333333333333335"/>
    <n v="1203.8764705882354"/>
    <n v="33.729999999999997"/>
    <d v="2021-08-01T00:00:00"/>
    <s v="Older"/>
    <n v="1"/>
    <s v="Yes"/>
    <n v="45"/>
    <s v="High"/>
    <s v="Medium"/>
    <n v="2.8571428571428571E-2"/>
    <s v="High"/>
    <n v="1"/>
    <d v="2021-08-01T00:00:00"/>
    <s v="25+ months"/>
    <s v="0–1 tickets"/>
    <s v="46+ min"/>
    <s v="1000+"/>
    <n v="41174"/>
    <n v="-242.19999999999709"/>
  </r>
  <r>
    <n v="11524"/>
    <n v="63"/>
    <s v="Female"/>
    <s v="Mumbai"/>
    <d v="2022-06-16T00:00:00"/>
    <d v="2022-08-17T00:00:00"/>
    <x v="0"/>
    <n v="1225"/>
    <x v="30"/>
    <n v="3"/>
    <n v="39.71"/>
    <n v="20"/>
    <x v="2"/>
    <x v="0"/>
    <n v="29155"/>
    <b v="1"/>
    <n v="2"/>
    <n v="1214.7916666666667"/>
    <n v="9.9275000000000002"/>
    <d v="2022-06-01T00:00:00"/>
    <s v="Older"/>
    <n v="1"/>
    <s v="Yes"/>
    <n v="62"/>
    <s v="Medium"/>
    <s v="Medium"/>
    <n v="0.12"/>
    <s v="High"/>
    <n v="1"/>
    <d v="2022-06-01T00:00:00"/>
    <s v="13–24 months"/>
    <s v="2–3 tickets"/>
    <s v="31–45 min"/>
    <s v="1000+"/>
    <n v="29400"/>
    <n v="-245"/>
  </r>
  <r>
    <n v="11525"/>
    <n v="46"/>
    <s v="Female"/>
    <s v="Chennai"/>
    <d v="2022-12-01T00:00:00"/>
    <d v="2023-09-14T00:00:00"/>
    <x v="0"/>
    <n v="354"/>
    <x v="21"/>
    <n v="5"/>
    <n v="80.989999999999995"/>
    <n v="15"/>
    <x v="0"/>
    <x v="1"/>
    <n v="1716.9"/>
    <b v="1"/>
    <n v="0.41666666666666669"/>
    <n v="343.38"/>
    <n v="13.498333333333333"/>
    <d v="2022-12-01T00:00:00"/>
    <s v="Middle-aged"/>
    <n v="0"/>
    <s v="No"/>
    <n v="287"/>
    <s v="High"/>
    <s v="Low"/>
    <n v="0.83333333333333337"/>
    <s v="Low"/>
    <n v="1"/>
    <d v="2022-12-01T00:00:00"/>
    <s v="0–6 months"/>
    <s v="4–5 tickets"/>
    <s v="46+ min"/>
    <s v="301–500"/>
    <n v="1770"/>
    <n v="-53.099999999999909"/>
  </r>
  <r>
    <n v="11526"/>
    <n v="46"/>
    <s v="Male"/>
    <s v="Chennai"/>
    <d v="2021-03-23T00:00:00"/>
    <d v="2022-02-08T00:00:00"/>
    <x v="0"/>
    <n v="1038"/>
    <x v="5"/>
    <n v="1"/>
    <n v="41.71"/>
    <n v="0"/>
    <x v="3"/>
    <x v="1"/>
    <n v="30102"/>
    <b v="1"/>
    <n v="2.4166666666666665"/>
    <n v="1038"/>
    <n v="20.855"/>
    <d v="2021-03-01T00:00:00"/>
    <s v="Middle-aged"/>
    <n v="0"/>
    <s v="Yes"/>
    <n v="322"/>
    <s v="Medium"/>
    <s v="Low"/>
    <n v="3.3333333333333333E-2"/>
    <s v="High"/>
    <n v="1"/>
    <d v="2021-03-01T00:00:00"/>
    <s v="25+ months"/>
    <s v="0–1 tickets"/>
    <s v="31–45 min"/>
    <s v="1000+"/>
    <n v="30102"/>
    <n v="0"/>
  </r>
  <r>
    <n v="11527"/>
    <n v="61"/>
    <s v="Female"/>
    <s v="Hyderabad"/>
    <d v="2021-12-29T00:00:00"/>
    <d v="2022-02-20T00:00:00"/>
    <x v="2"/>
    <n v="1349"/>
    <x v="22"/>
    <n v="2"/>
    <n v="54.58"/>
    <n v="5"/>
    <x v="1"/>
    <x v="1"/>
    <n v="45798.55"/>
    <b v="1"/>
    <n v="2.8333333333333335"/>
    <n v="1347.0161764705883"/>
    <n v="18.193333333333332"/>
    <d v="2021-12-01T00:00:00"/>
    <s v="Older"/>
    <n v="0"/>
    <s v="Yes"/>
    <n v="53"/>
    <s v="Medium"/>
    <s v="Low"/>
    <n v="5.7142857142857141E-2"/>
    <s v="High"/>
    <n v="2"/>
    <d v="2021-12-01T00:00:00"/>
    <s v="25+ months"/>
    <s v="2–3 tickets"/>
    <s v="46+ min"/>
    <s v="1000+"/>
    <n v="45866"/>
    <n v="-67.44999999999709"/>
  </r>
  <r>
    <n v="11528"/>
    <n v="33"/>
    <s v="Female"/>
    <s v="Mumbai"/>
    <d v="2022-05-20T00:00:00"/>
    <d v="2021-09-01T00:00:00"/>
    <x v="0"/>
    <n v="1064"/>
    <x v="24"/>
    <n v="3"/>
    <n v="11.02"/>
    <n v="10"/>
    <x v="2"/>
    <x v="0"/>
    <n v="16917.599999999999"/>
    <b v="0"/>
    <n v="1.3333333333333333"/>
    <n v="1057.3499999999999"/>
    <n v="2.7549999999999999"/>
    <d v="2022-05-01T00:00:00"/>
    <s v="Adult"/>
    <n v="1"/>
    <s v="Yes"/>
    <m/>
    <s v="Low"/>
    <s v="Low"/>
    <n v="0.17647058823529413"/>
    <s v="Medium"/>
    <n v="1"/>
    <d v="2022-05-01T00:00:00"/>
    <s v="13–24 months"/>
    <s v="2–3 tickets"/>
    <s v="11–20 min"/>
    <s v="1000+"/>
    <n v="17024"/>
    <n v="-106.40000000000146"/>
  </r>
  <r>
    <n v="11529"/>
    <n v="61"/>
    <s v="Male"/>
    <s v="Mumbai"/>
    <d v="2021-07-21T00:00:00"/>
    <d v="2023-03-24T00:00:00"/>
    <x v="0"/>
    <n v="941"/>
    <x v="0"/>
    <n v="3"/>
    <n v="119.14"/>
    <n v="10"/>
    <x v="3"/>
    <x v="0"/>
    <n v="23336.799999999999"/>
    <b v="1"/>
    <n v="2.0833333333333335"/>
    <n v="933.47199999999998"/>
    <n v="29.785"/>
    <d v="2021-07-01T00:00:00"/>
    <s v="Older"/>
    <n v="1"/>
    <s v="Yes"/>
    <n v="611"/>
    <s v="High"/>
    <s v="Low"/>
    <n v="0.11538461538461539"/>
    <s v="High"/>
    <n v="1"/>
    <d v="2021-07-01T00:00:00"/>
    <s v="25+ months"/>
    <s v="2–3 tickets"/>
    <s v="46+ min"/>
    <s v="701–1000"/>
    <n v="23525"/>
    <n v="-188.20000000000073"/>
  </r>
  <r>
    <n v="11530"/>
    <n v="64"/>
    <s v="Male"/>
    <s v="Bangalore"/>
    <d v="2022-05-19T00:00:00"/>
    <d v="2022-07-16T00:00:00"/>
    <x v="2"/>
    <n v="1023"/>
    <x v="14"/>
    <n v="3"/>
    <n v="63.38"/>
    <n v="0"/>
    <x v="2"/>
    <x v="1"/>
    <n v="8184"/>
    <b v="1"/>
    <n v="0.66666666666666663"/>
    <n v="1023"/>
    <n v="15.845000000000001"/>
    <d v="2022-05-01T00:00:00"/>
    <s v="Older"/>
    <n v="0"/>
    <s v="No"/>
    <n v="58"/>
    <s v="High"/>
    <s v="Low"/>
    <n v="0.33333333333333331"/>
    <s v="Low"/>
    <n v="2"/>
    <d v="2022-05-01T00:00:00"/>
    <s v="7–12 months"/>
    <s v="2–3 tickets"/>
    <s v="46+ min"/>
    <s v="1000+"/>
    <n v="8184"/>
    <n v="0"/>
  </r>
  <r>
    <n v="11531"/>
    <n v="27"/>
    <s v="Male"/>
    <s v="Mumbai"/>
    <d v="2022-10-06T00:00:00"/>
    <d v="2021-10-16T00:00:00"/>
    <x v="1"/>
    <n v="1101"/>
    <x v="5"/>
    <n v="2"/>
    <n v="7.79"/>
    <n v="10"/>
    <x v="1"/>
    <x v="1"/>
    <n v="31818.9"/>
    <b v="0"/>
    <n v="2.4166666666666665"/>
    <n v="1097.2034482758622"/>
    <n v="2.5966666666666667"/>
    <d v="2022-10-01T00:00:00"/>
    <s v="Adult"/>
    <n v="0"/>
    <s v="Yes"/>
    <m/>
    <s v="Low"/>
    <s v="Low"/>
    <n v="6.6666666666666666E-2"/>
    <s v="High"/>
    <n v="3"/>
    <d v="2022-10-01T00:00:00"/>
    <s v="25+ months"/>
    <s v="2–3 tickets"/>
    <s v="0–10 min"/>
    <s v="1000+"/>
    <n v="31929"/>
    <n v="-110.09999999999854"/>
  </r>
  <r>
    <n v="11532"/>
    <n v="47"/>
    <s v="Male"/>
    <s v="Bangalore"/>
    <d v="2021-02-06T00:00:00"/>
    <d v="2021-12-25T00:00:00"/>
    <x v="0"/>
    <n v="1037"/>
    <x v="0"/>
    <n v="0"/>
    <n v="67.239999999999995"/>
    <n v="20"/>
    <x v="2"/>
    <x v="1"/>
    <n v="25717.599999999999"/>
    <b v="1"/>
    <n v="2.0833333333333335"/>
    <n v="1028.704"/>
    <n v="67.239999999999995"/>
    <d v="2021-02-01T00:00:00"/>
    <s v="Middle-aged"/>
    <n v="0"/>
    <s v="Yes"/>
    <n v="322"/>
    <s v="High"/>
    <s v="Medium"/>
    <n v="0"/>
    <s v="High"/>
    <n v="1"/>
    <d v="2021-02-01T00:00:00"/>
    <s v="25+ months"/>
    <s v="0–1 tickets"/>
    <s v="46+ min"/>
    <s v="1000+"/>
    <n v="25925"/>
    <n v="-207.40000000000146"/>
  </r>
  <r>
    <n v="11533"/>
    <n v="42"/>
    <s v="Male"/>
    <s v="Delhi"/>
    <d v="2022-10-06T00:00:00"/>
    <d v="2023-02-27T00:00:00"/>
    <x v="0"/>
    <n v="1057"/>
    <x v="31"/>
    <n v="2"/>
    <n v="105.09"/>
    <n v="10"/>
    <x v="0"/>
    <x v="1"/>
    <n v="24205.3"/>
    <b v="1"/>
    <n v="1.9166666666666667"/>
    <n v="1052.4043478260869"/>
    <n v="35.03"/>
    <d v="2022-10-01T00:00:00"/>
    <s v="Middle-aged"/>
    <n v="0"/>
    <s v="Yes"/>
    <n v="144"/>
    <s v="High"/>
    <s v="Low"/>
    <n v="8.3333333333333329E-2"/>
    <s v="High"/>
    <n v="1"/>
    <d v="2022-10-01T00:00:00"/>
    <s v="13–24 months"/>
    <s v="2–3 tickets"/>
    <s v="46+ min"/>
    <s v="1000+"/>
    <n v="24311"/>
    <n v="-105.70000000000073"/>
  </r>
  <r>
    <n v="11534"/>
    <n v="56"/>
    <s v="Male"/>
    <s v="Delhi"/>
    <d v="2022-08-12T00:00:00"/>
    <d v="2023-06-16T00:00:00"/>
    <x v="2"/>
    <n v="866"/>
    <x v="22"/>
    <n v="3"/>
    <n v="93.84"/>
    <n v="15"/>
    <x v="3"/>
    <x v="1"/>
    <n v="29314.1"/>
    <b v="1"/>
    <n v="2.8333333333333335"/>
    <n v="862.17941176470583"/>
    <n v="23.46"/>
    <d v="2022-08-01T00:00:00"/>
    <s v="Older"/>
    <n v="0"/>
    <s v="Yes"/>
    <n v="308"/>
    <s v="High"/>
    <s v="Low"/>
    <n v="8.5714285714285715E-2"/>
    <s v="High"/>
    <n v="2"/>
    <d v="2022-08-01T00:00:00"/>
    <s v="25+ months"/>
    <s v="2–3 tickets"/>
    <s v="46+ min"/>
    <s v="701–1000"/>
    <n v="29444"/>
    <n v="-129.90000000000146"/>
  </r>
  <r>
    <n v="11535"/>
    <n v="37"/>
    <s v="Male"/>
    <s v="Delhi"/>
    <d v="2022-08-24T00:00:00"/>
    <d v="2022-12-25T00:00:00"/>
    <x v="1"/>
    <n v="639"/>
    <x v="13"/>
    <n v="2"/>
    <n v="85.6"/>
    <n v="0"/>
    <x v="2"/>
    <x v="1"/>
    <n v="1917"/>
    <b v="1"/>
    <n v="0.25"/>
    <n v="639"/>
    <n v="28.533333333333331"/>
    <d v="2022-08-01T00:00:00"/>
    <s v="Middle-aged"/>
    <n v="0"/>
    <s v="No"/>
    <n v="123"/>
    <s v="High"/>
    <s v="Low"/>
    <n v="0.5"/>
    <s v="Low"/>
    <n v="3"/>
    <d v="2022-08-01T00:00:00"/>
    <s v="0–6 months"/>
    <s v="2–3 tickets"/>
    <s v="46+ min"/>
    <s v="501–700"/>
    <n v="1917"/>
    <n v="0"/>
  </r>
  <r>
    <n v="11536"/>
    <n v="22"/>
    <s v="Female"/>
    <s v="unknown"/>
    <d v="2022-02-06T00:00:00"/>
    <d v="2022-04-03T00:00:00"/>
    <x v="2"/>
    <n v="452"/>
    <x v="3"/>
    <n v="0"/>
    <n v="21.04"/>
    <n v="0"/>
    <x v="2"/>
    <x v="1"/>
    <n v="13560"/>
    <b v="1"/>
    <n v="2.5"/>
    <n v="452"/>
    <n v="21.04"/>
    <d v="2022-02-01T00:00:00"/>
    <s v="Young"/>
    <n v="0"/>
    <s v="Yes"/>
    <n v="56"/>
    <s v="Medium"/>
    <s v="Low"/>
    <n v="0"/>
    <s v="Medium"/>
    <n v="2"/>
    <d v="2022-02-01T00:00:00"/>
    <s v="25+ months"/>
    <s v="0–1 tickets"/>
    <s v="21–30 min"/>
    <s v="301–500"/>
    <n v="13560"/>
    <n v="0"/>
  </r>
  <r>
    <n v="11537"/>
    <n v="18"/>
    <s v="Female"/>
    <s v="Mumbai"/>
    <d v="2023-02-04T00:00:00"/>
    <d v="2022-02-21T00:00:00"/>
    <x v="2"/>
    <n v="1303"/>
    <x v="22"/>
    <n v="3"/>
    <n v="80.64"/>
    <n v="5"/>
    <x v="3"/>
    <x v="1"/>
    <n v="44236.85"/>
    <b v="0"/>
    <n v="2.8333333333333335"/>
    <n v="1301.0838235294118"/>
    <n v="20.16"/>
    <d v="2023-02-01T00:00:00"/>
    <s v="Young"/>
    <n v="0"/>
    <s v="Yes"/>
    <m/>
    <s v="High"/>
    <s v="Low"/>
    <n v="8.5714285714285715E-2"/>
    <s v="High"/>
    <n v="2"/>
    <d v="2023-02-01T00:00:00"/>
    <s v="25+ months"/>
    <s v="2–3 tickets"/>
    <s v="46+ min"/>
    <s v="1000+"/>
    <n v="44302"/>
    <n v="-65.150000000001455"/>
  </r>
  <r>
    <n v="11538"/>
    <n v="47"/>
    <s v="Other"/>
    <s v="Pune"/>
    <d v="2023-05-06T00:00:00"/>
    <d v="2023-03-08T00:00:00"/>
    <x v="0"/>
    <n v="726"/>
    <x v="23"/>
    <n v="4"/>
    <n v="93.12"/>
    <n v="5"/>
    <x v="1"/>
    <x v="1"/>
    <n v="23195.7"/>
    <b v="0"/>
    <n v="2.6666666666666665"/>
    <n v="724.86562500000002"/>
    <n v="18.624000000000002"/>
    <d v="2023-05-01T00:00:00"/>
    <s v="Middle-aged"/>
    <n v="0"/>
    <s v="Yes"/>
    <m/>
    <s v="High"/>
    <s v="Low"/>
    <n v="0.12121212121212122"/>
    <s v="High"/>
    <n v="1"/>
    <d v="2023-05-01T00:00:00"/>
    <s v="25+ months"/>
    <s v="4–5 tickets"/>
    <s v="46+ min"/>
    <s v="701–1000"/>
    <n v="23232"/>
    <n v="-36.299999999999272"/>
  </r>
  <r>
    <n v="11539"/>
    <n v="41"/>
    <s v="Male"/>
    <s v="Mumbai"/>
    <d v="2022-12-07T00:00:00"/>
    <d v="2022-04-14T00:00:00"/>
    <x v="2"/>
    <n v="1302"/>
    <x v="5"/>
    <n v="1"/>
    <n v="70.83"/>
    <n v="10"/>
    <x v="1"/>
    <x v="1"/>
    <n v="37627.800000000003"/>
    <b v="0"/>
    <n v="2.4166666666666665"/>
    <n v="1297.5103448275863"/>
    <n v="35.414999999999999"/>
    <d v="2022-12-01T00:00:00"/>
    <s v="Middle-aged"/>
    <n v="0"/>
    <s v="Yes"/>
    <m/>
    <s v="High"/>
    <s v="Low"/>
    <n v="3.3333333333333333E-2"/>
    <s v="High"/>
    <n v="2"/>
    <d v="2022-12-01T00:00:00"/>
    <s v="25+ months"/>
    <s v="0–1 tickets"/>
    <s v="46+ min"/>
    <s v="1000+"/>
    <n v="37758"/>
    <n v="-130.19999999999709"/>
  </r>
  <r>
    <n v="11540"/>
    <n v="62"/>
    <s v="Female"/>
    <s v="Bangalore"/>
    <d v="2021-06-25T00:00:00"/>
    <d v="2021-09-21T00:00:00"/>
    <x v="0"/>
    <n v="503"/>
    <x v="9"/>
    <n v="4"/>
    <n v="107.67"/>
    <n v="15"/>
    <x v="3"/>
    <x v="1"/>
    <n v="4451.55"/>
    <b v="1"/>
    <n v="0.75"/>
    <n v="494.61666666666667"/>
    <n v="21.533999999999999"/>
    <d v="2021-06-01T00:00:00"/>
    <s v="Older"/>
    <n v="0"/>
    <s v="No"/>
    <n v="88"/>
    <s v="High"/>
    <s v="Low"/>
    <n v="0.4"/>
    <s v="Low"/>
    <n v="1"/>
    <d v="2021-06-01T00:00:00"/>
    <s v="7–12 months"/>
    <s v="4–5 tickets"/>
    <s v="46+ min"/>
    <s v="501–700"/>
    <n v="4527"/>
    <n v="-75.449999999999818"/>
  </r>
  <r>
    <n v="11541"/>
    <n v="41"/>
    <s v="Female"/>
    <s v="Pune"/>
    <d v="2022-06-29T00:00:00"/>
    <d v="2022-06-13T00:00:00"/>
    <x v="2"/>
    <n v="1435"/>
    <x v="4"/>
    <n v="0"/>
    <n v="36.85"/>
    <n v="10"/>
    <x v="3"/>
    <x v="1"/>
    <n v="2726.5"/>
    <b v="0"/>
    <n v="0.16666666666666666"/>
    <n v="1363.25"/>
    <n v="36.85"/>
    <d v="2022-06-01T00:00:00"/>
    <s v="Middle-aged"/>
    <n v="0"/>
    <s v="No"/>
    <m/>
    <s v="Medium"/>
    <s v="Low"/>
    <n v="0"/>
    <s v="Low"/>
    <n v="2"/>
    <d v="2022-06-01T00:00:00"/>
    <s v="0–6 months"/>
    <s v="0–1 tickets"/>
    <s v="31–45 min"/>
    <s v="1000+"/>
    <n v="2870"/>
    <n v="-143.5"/>
  </r>
  <r>
    <n v="11542"/>
    <n v="47"/>
    <s v="Female"/>
    <s v="Pune"/>
    <d v="2022-07-24T00:00:00"/>
    <d v="2022-08-28T00:00:00"/>
    <x v="2"/>
    <n v="624"/>
    <x v="16"/>
    <n v="3"/>
    <n v="32.85"/>
    <n v="20"/>
    <x v="0"/>
    <x v="1"/>
    <n v="4243.2"/>
    <b v="1"/>
    <n v="0.58333333333333337"/>
    <n v="606.17142857142858"/>
    <n v="8.2125000000000004"/>
    <d v="2022-07-01T00:00:00"/>
    <s v="Middle-aged"/>
    <n v="0"/>
    <s v="No"/>
    <n v="35"/>
    <s v="Medium"/>
    <s v="Medium"/>
    <n v="0.375"/>
    <s v="Low"/>
    <n v="2"/>
    <d v="2022-07-01T00:00:00"/>
    <s v="7–12 months"/>
    <s v="2–3 tickets"/>
    <s v="31–45 min"/>
    <s v="501–700"/>
    <n v="4368"/>
    <n v="-124.80000000000018"/>
  </r>
  <r>
    <n v="11543"/>
    <n v="21"/>
    <s v="Male"/>
    <s v="Pune"/>
    <d v="2022-04-12T00:00:00"/>
    <d v="2021-12-08T00:00:00"/>
    <x v="1"/>
    <n v="1249"/>
    <x v="21"/>
    <n v="3"/>
    <n v="105"/>
    <n v="0"/>
    <x v="2"/>
    <x v="0"/>
    <n v="6245"/>
    <b v="0"/>
    <n v="0.41666666666666669"/>
    <n v="1249"/>
    <n v="26.25"/>
    <d v="2022-04-01T00:00:00"/>
    <s v="Young"/>
    <n v="1"/>
    <s v="No"/>
    <m/>
    <s v="High"/>
    <s v="Low"/>
    <n v="0.5"/>
    <s v="Low"/>
    <n v="3"/>
    <d v="2022-04-01T00:00:00"/>
    <s v="0–6 months"/>
    <s v="2–3 tickets"/>
    <s v="46+ min"/>
    <s v="1000+"/>
    <n v="6245"/>
    <n v="0"/>
  </r>
  <r>
    <n v="11544"/>
    <n v="35"/>
    <s v="Female"/>
    <s v="Chennai"/>
    <d v="2021-07-20T00:00:00"/>
    <d v="2023-11-08T00:00:00"/>
    <x v="0"/>
    <n v="1250"/>
    <x v="14"/>
    <n v="3"/>
    <n v="76.92"/>
    <n v="10"/>
    <x v="2"/>
    <x v="1"/>
    <n v="9875"/>
    <b v="1"/>
    <n v="0.66666666666666663"/>
    <n v="1234.375"/>
    <n v="19.23"/>
    <d v="2021-07-01T00:00:00"/>
    <s v="Adult"/>
    <n v="0"/>
    <s v="No"/>
    <n v="841"/>
    <s v="High"/>
    <s v="Low"/>
    <n v="0.33333333333333331"/>
    <s v="Medium"/>
    <n v="1"/>
    <d v="2021-07-01T00:00:00"/>
    <s v="7–12 months"/>
    <s v="2–3 tickets"/>
    <s v="46+ min"/>
    <s v="1000+"/>
    <n v="10000"/>
    <n v="-125"/>
  </r>
  <r>
    <n v="11545"/>
    <n v="54"/>
    <s v="Male"/>
    <s v="Bangalore"/>
    <d v="2022-06-24T00:00:00"/>
    <d v="2022-08-14T00:00:00"/>
    <x v="0"/>
    <n v="1238"/>
    <x v="23"/>
    <n v="3"/>
    <n v="5.17"/>
    <n v="10"/>
    <x v="1"/>
    <x v="1"/>
    <n v="39492.199999999997"/>
    <b v="1"/>
    <n v="2.6666666666666665"/>
    <n v="1234.1312499999999"/>
    <n v="1.2925"/>
    <d v="2022-06-01T00:00:00"/>
    <s v="Older"/>
    <n v="0"/>
    <s v="Yes"/>
    <n v="51"/>
    <s v="Low"/>
    <s v="Low"/>
    <n v="9.0909090909090912E-2"/>
    <s v="High"/>
    <n v="1"/>
    <d v="2022-06-01T00:00:00"/>
    <s v="25+ months"/>
    <s v="2–3 tickets"/>
    <s v="0–10 min"/>
    <s v="1000+"/>
    <n v="39616"/>
    <n v="-123.80000000000291"/>
  </r>
  <r>
    <n v="11546"/>
    <n v="42"/>
    <s v="Male"/>
    <s v="Delhi"/>
    <d v="2022-07-01T00:00:00"/>
    <d v="2021-12-04T00:00:00"/>
    <x v="2"/>
    <n v="1256"/>
    <x v="10"/>
    <n v="2"/>
    <n v="45.61"/>
    <n v="10"/>
    <x v="0"/>
    <x v="1"/>
    <n v="22608"/>
    <b v="0"/>
    <n v="1.5"/>
    <n v="1256"/>
    <n v="15.203333333333333"/>
    <d v="2022-07-01T00:00:00"/>
    <s v="Middle-aged"/>
    <n v="0"/>
    <s v="Yes"/>
    <m/>
    <s v="Medium"/>
    <s v="Low"/>
    <n v="0.10526315789473684"/>
    <s v="High"/>
    <n v="2"/>
    <d v="2022-07-01T00:00:00"/>
    <s v="13–24 months"/>
    <s v="2–3 tickets"/>
    <s v="46+ min"/>
    <s v="1000+"/>
    <n v="22608"/>
    <n v="0"/>
  </r>
  <r>
    <n v="11547"/>
    <n v="18"/>
    <s v="Female"/>
    <s v="Bangalore"/>
    <d v="2022-09-29T00:00:00"/>
    <d v="2023-09-09T00:00:00"/>
    <x v="2"/>
    <n v="1193"/>
    <x v="10"/>
    <n v="1"/>
    <n v="103.65"/>
    <n v="0"/>
    <x v="2"/>
    <x v="1"/>
    <n v="21474"/>
    <b v="1"/>
    <n v="1.5"/>
    <n v="1193"/>
    <n v="51.825000000000003"/>
    <d v="2022-09-01T00:00:00"/>
    <s v="Young"/>
    <n v="0"/>
    <s v="Yes"/>
    <n v="345"/>
    <s v="High"/>
    <s v="Low"/>
    <n v="5.2631578947368418E-2"/>
    <s v="High"/>
    <n v="2"/>
    <d v="2022-09-01T00:00:00"/>
    <s v="13–24 months"/>
    <s v="0–1 tickets"/>
    <s v="46+ min"/>
    <s v="1000+"/>
    <n v="21474"/>
    <n v="0"/>
  </r>
  <r>
    <n v="11548"/>
    <n v="63"/>
    <s v="Female"/>
    <s v="Chennai"/>
    <d v="2022-01-29T00:00:00"/>
    <d v="2022-06-02T00:00:00"/>
    <x v="2"/>
    <n v="734"/>
    <x v="24"/>
    <n v="3"/>
    <n v="8.14"/>
    <n v="5"/>
    <x v="0"/>
    <x v="0"/>
    <n v="11707.3"/>
    <b v="1"/>
    <n v="1.3333333333333333"/>
    <n v="731.70624999999995"/>
    <n v="2.0350000000000001"/>
    <d v="2022-01-01T00:00:00"/>
    <s v="Older"/>
    <n v="1"/>
    <s v="No"/>
    <n v="124"/>
    <s v="Low"/>
    <s v="Low"/>
    <n v="0.17647058823529413"/>
    <s v="Medium"/>
    <n v="2"/>
    <d v="2022-01-01T00:00:00"/>
    <s v="13–24 months"/>
    <s v="2–3 tickets"/>
    <s v="0–10 min"/>
    <s v="701–1000"/>
    <n v="11744"/>
    <n v="-36.700000000000728"/>
  </r>
  <r>
    <n v="11549"/>
    <n v="32"/>
    <s v="Male"/>
    <s v="Mumbai"/>
    <d v="2023-04-13T00:00:00"/>
    <d v="2021-08-28T00:00:00"/>
    <x v="0"/>
    <n v="670"/>
    <x v="6"/>
    <n v="1"/>
    <n v="5.37"/>
    <n v="5"/>
    <x v="3"/>
    <x v="1"/>
    <n v="14036.5"/>
    <b v="0"/>
    <n v="1.75"/>
    <n v="668.40476190476193"/>
    <n v="2.6850000000000001"/>
    <d v="2023-04-01T00:00:00"/>
    <s v="Adult"/>
    <n v="0"/>
    <s v="Yes"/>
    <m/>
    <s v="Low"/>
    <s v="Low"/>
    <n v="4.5454545454545456E-2"/>
    <s v="Medium"/>
    <n v="1"/>
    <d v="2023-04-01T00:00:00"/>
    <s v="13–24 months"/>
    <s v="0–1 tickets"/>
    <s v="0–10 min"/>
    <s v="501–700"/>
    <n v="14070"/>
    <n v="-33.5"/>
  </r>
  <r>
    <n v="11550"/>
    <n v="26"/>
    <s v="Female"/>
    <s v="Bangalore"/>
    <d v="2021-02-11T00:00:00"/>
    <d v="2021-12-04T00:00:00"/>
    <x v="0"/>
    <n v="1232"/>
    <x v="32"/>
    <n v="3"/>
    <n v="37.340000000000003"/>
    <n v="0"/>
    <x v="2"/>
    <x v="1"/>
    <n v="12320"/>
    <b v="1"/>
    <n v="0.83333333333333337"/>
    <n v="1232"/>
    <n v="9.3350000000000009"/>
    <d v="2021-02-01T00:00:00"/>
    <s v="Adult"/>
    <n v="0"/>
    <s v="No"/>
    <n v="296"/>
    <s v="Medium"/>
    <s v="Low"/>
    <n v="0.27272727272727271"/>
    <s v="Medium"/>
    <n v="1"/>
    <d v="2021-02-01T00:00:00"/>
    <s v="7–12 months"/>
    <s v="2–3 tickets"/>
    <s v="31–45 min"/>
    <s v="1000+"/>
    <n v="12320"/>
    <n v="0"/>
  </r>
  <r>
    <n v="11551"/>
    <n v="32"/>
    <s v="Female"/>
    <s v="Pune"/>
    <d v="2022-08-20T00:00:00"/>
    <d v="2023-08-28T00:00:00"/>
    <x v="2"/>
    <n v="548"/>
    <x v="2"/>
    <n v="3"/>
    <n v="110.11"/>
    <n v="10"/>
    <x v="3"/>
    <x v="1"/>
    <n v="2137.1999999999998"/>
    <b v="1"/>
    <n v="0.33333333333333331"/>
    <n v="534.29999999999995"/>
    <n v="27.5275"/>
    <d v="2022-08-01T00:00:00"/>
    <s v="Adult"/>
    <n v="0"/>
    <s v="No"/>
    <n v="373"/>
    <s v="High"/>
    <s v="Low"/>
    <n v="0.6"/>
    <s v="Low"/>
    <n v="2"/>
    <d v="2022-08-01T00:00:00"/>
    <s v="0–6 months"/>
    <s v="2–3 tickets"/>
    <s v="46+ min"/>
    <s v="501–700"/>
    <n v="2192"/>
    <n v="-54.800000000000182"/>
  </r>
  <r>
    <n v="11552"/>
    <n v="41"/>
    <s v="Female"/>
    <s v="Delhi"/>
    <d v="2022-01-28T00:00:00"/>
    <d v="2021-10-10T00:00:00"/>
    <x v="0"/>
    <n v="1190"/>
    <x v="14"/>
    <n v="3"/>
    <n v="108.67"/>
    <n v="20"/>
    <x v="1"/>
    <x v="1"/>
    <n v="9282"/>
    <b v="0"/>
    <n v="0.66666666666666663"/>
    <n v="1160.25"/>
    <n v="27.1675"/>
    <d v="2022-01-01T00:00:00"/>
    <s v="Middle-aged"/>
    <n v="0"/>
    <s v="No"/>
    <m/>
    <s v="High"/>
    <s v="Medium"/>
    <n v="0.33333333333333331"/>
    <s v="Medium"/>
    <n v="1"/>
    <d v="2022-01-01T00:00:00"/>
    <s v="7–12 months"/>
    <s v="2–3 tickets"/>
    <s v="46+ min"/>
    <s v="1000+"/>
    <n v="9520"/>
    <n v="-238"/>
  </r>
  <r>
    <n v="11553"/>
    <n v="21"/>
    <s v="Female"/>
    <s v="Delhi"/>
    <d v="2022-12-01T00:00:00"/>
    <d v="2023-10-20T00:00:00"/>
    <x v="1"/>
    <n v="480"/>
    <x v="17"/>
    <n v="2"/>
    <n v="64.66"/>
    <n v="10"/>
    <x v="1"/>
    <x v="0"/>
    <n v="9072"/>
    <b v="1"/>
    <n v="1.5833333333333333"/>
    <n v="477.4736842105263"/>
    <n v="21.553333333333331"/>
    <d v="2022-12-01T00:00:00"/>
    <s v="Young"/>
    <n v="1"/>
    <s v="No"/>
    <n v="323"/>
    <s v="High"/>
    <s v="Low"/>
    <n v="0.1"/>
    <s v="Medium"/>
    <n v="3"/>
    <d v="2022-12-01T00:00:00"/>
    <s v="13–24 months"/>
    <s v="2–3 tickets"/>
    <s v="46+ min"/>
    <s v="301–500"/>
    <n v="9120"/>
    <n v="-48"/>
  </r>
  <r>
    <n v="11554"/>
    <n v="29"/>
    <s v="Male"/>
    <s v="Mumbai"/>
    <d v="2022-09-15T00:00:00"/>
    <d v="2023-02-25T00:00:00"/>
    <x v="2"/>
    <n v="1002"/>
    <x v="9"/>
    <n v="3"/>
    <n v="68.62"/>
    <n v="20"/>
    <x v="3"/>
    <x v="0"/>
    <n v="8817.6"/>
    <b v="1"/>
    <n v="0.75"/>
    <n v="979.73333333333335"/>
    <n v="17.155000000000001"/>
    <d v="2022-09-01T00:00:00"/>
    <s v="Adult"/>
    <n v="1"/>
    <s v="No"/>
    <n v="163"/>
    <s v="High"/>
    <s v="Medium"/>
    <n v="0.3"/>
    <s v="Low"/>
    <n v="2"/>
    <d v="2022-09-01T00:00:00"/>
    <s v="7–12 months"/>
    <s v="2–3 tickets"/>
    <s v="46+ min"/>
    <s v="1000+"/>
    <n v="9018"/>
    <n v="-200.39999999999964"/>
  </r>
  <r>
    <n v="11555"/>
    <n v="54"/>
    <s v="Other"/>
    <s v="unknown"/>
    <d v="2023-02-22T00:00:00"/>
    <d v="2022-12-12T00:00:00"/>
    <x v="2"/>
    <n v="1298"/>
    <x v="3"/>
    <n v="1"/>
    <n v="43.18"/>
    <n v="0"/>
    <x v="1"/>
    <x v="1"/>
    <n v="38940"/>
    <b v="0"/>
    <n v="2.5"/>
    <n v="1298"/>
    <n v="21.59"/>
    <d v="2023-02-01T00:00:00"/>
    <s v="Older"/>
    <n v="0"/>
    <s v="Yes"/>
    <m/>
    <s v="Medium"/>
    <s v="Low"/>
    <n v="3.2258064516129031E-2"/>
    <s v="High"/>
    <n v="2"/>
    <d v="2023-02-01T00:00:00"/>
    <s v="25+ months"/>
    <s v="0–1 tickets"/>
    <s v="31–45 min"/>
    <s v="1000+"/>
    <n v="38940"/>
    <n v="0"/>
  </r>
  <r>
    <n v="11556"/>
    <n v="54"/>
    <s v="Female"/>
    <s v="Chennai"/>
    <d v="2022-03-17T00:00:00"/>
    <d v="2023-08-09T00:00:00"/>
    <x v="2"/>
    <n v="377"/>
    <x v="18"/>
    <n v="2"/>
    <n v="33.03"/>
    <n v="20"/>
    <x v="3"/>
    <x v="1"/>
    <n v="6333.6"/>
    <b v="1"/>
    <n v="1.4166666666666667"/>
    <n v="372.56470588235294"/>
    <n v="11.01"/>
    <d v="2022-03-01T00:00:00"/>
    <s v="Older"/>
    <n v="0"/>
    <s v="No"/>
    <n v="510"/>
    <s v="Medium"/>
    <s v="Medium"/>
    <n v="0.1111111111111111"/>
    <s v="Low"/>
    <n v="2"/>
    <d v="2022-03-01T00:00:00"/>
    <s v="13–24 months"/>
    <s v="2–3 tickets"/>
    <s v="31–45 min"/>
    <s v="301–500"/>
    <n v="6409"/>
    <n v="-75.399999999999636"/>
  </r>
  <r>
    <n v="11557"/>
    <n v="60"/>
    <s v="Male"/>
    <s v="Mumbai"/>
    <d v="2023-04-17T00:00:00"/>
    <d v="2022-06-11T00:00:00"/>
    <x v="2"/>
    <n v="1218"/>
    <x v="15"/>
    <n v="1"/>
    <n v="98.75"/>
    <n v="5"/>
    <x v="3"/>
    <x v="1"/>
    <n v="18209.099999999999"/>
    <b v="0"/>
    <n v="1.25"/>
    <n v="1213.9399999999998"/>
    <n v="49.375"/>
    <d v="2023-04-01T00:00:00"/>
    <s v="Older"/>
    <n v="0"/>
    <s v="Yes"/>
    <m/>
    <s v="High"/>
    <s v="Low"/>
    <n v="6.25E-2"/>
    <s v="Medium"/>
    <n v="2"/>
    <d v="2023-04-01T00:00:00"/>
    <s v="13–24 months"/>
    <s v="0–1 tickets"/>
    <s v="46+ min"/>
    <s v="1000+"/>
    <n v="18270"/>
    <n v="-60.900000000001455"/>
  </r>
  <r>
    <n v="11558"/>
    <n v="23"/>
    <s v="Female"/>
    <s v="Bangalore"/>
    <d v="2022-09-09T00:00:00"/>
    <d v="2023-04-22T00:00:00"/>
    <x v="0"/>
    <n v="1184"/>
    <x v="2"/>
    <n v="4"/>
    <n v="17.22"/>
    <n v="0"/>
    <x v="3"/>
    <x v="1"/>
    <n v="4736"/>
    <b v="1"/>
    <n v="0.33333333333333331"/>
    <n v="1184"/>
    <n v="3.444"/>
    <d v="2022-09-01T00:00:00"/>
    <s v="Young"/>
    <n v="0"/>
    <s v="No"/>
    <n v="225"/>
    <s v="Low"/>
    <s v="Low"/>
    <n v="0.8"/>
    <s v="Low"/>
    <n v="1"/>
    <d v="2022-09-01T00:00:00"/>
    <s v="0–6 months"/>
    <s v="4–5 tickets"/>
    <s v="11–20 min"/>
    <s v="1000+"/>
    <n v="4736"/>
    <n v="0"/>
  </r>
  <r>
    <n v="11559"/>
    <n v="56"/>
    <s v="Female"/>
    <s v="Hyderabad"/>
    <d v="2022-05-21T00:00:00"/>
    <d v="2023-04-23T00:00:00"/>
    <x v="1"/>
    <n v="635"/>
    <x v="20"/>
    <n v="3"/>
    <n v="61.05"/>
    <n v="15"/>
    <x v="1"/>
    <x v="1"/>
    <n v="3714.75"/>
    <b v="1"/>
    <n v="0.5"/>
    <n v="619.125"/>
    <n v="15.262499999999999"/>
    <d v="2022-05-01T00:00:00"/>
    <s v="Older"/>
    <n v="0"/>
    <s v="No"/>
    <n v="337"/>
    <s v="High"/>
    <s v="Low"/>
    <n v="0.42857142857142855"/>
    <s v="Low"/>
    <n v="3"/>
    <d v="2022-05-01T00:00:00"/>
    <s v="0–6 months"/>
    <s v="2–3 tickets"/>
    <s v="46+ min"/>
    <s v="501–700"/>
    <n v="3810"/>
    <n v="-95.25"/>
  </r>
  <r>
    <n v="11560"/>
    <n v="63"/>
    <s v="Female"/>
    <s v="Delhi"/>
    <d v="2021-11-16T00:00:00"/>
    <d v="2021-09-07T00:00:00"/>
    <x v="0"/>
    <n v="349"/>
    <x v="24"/>
    <n v="4"/>
    <n v="77.959999999999994"/>
    <n v="20"/>
    <x v="1"/>
    <x v="1"/>
    <n v="5514.2"/>
    <b v="0"/>
    <n v="1.3333333333333333"/>
    <n v="344.63749999999999"/>
    <n v="15.591999999999999"/>
    <d v="2021-11-01T00:00:00"/>
    <s v="Older"/>
    <n v="0"/>
    <s v="No"/>
    <m/>
    <s v="High"/>
    <s v="Medium"/>
    <n v="0.23529411764705882"/>
    <s v="Low"/>
    <n v="1"/>
    <d v="2021-11-01T00:00:00"/>
    <s v="13–24 months"/>
    <s v="4–5 tickets"/>
    <s v="46+ min"/>
    <s v="301–500"/>
    <n v="5584"/>
    <n v="-69.800000000000182"/>
  </r>
  <r>
    <n v="11561"/>
    <n v="41"/>
    <s v="Female"/>
    <s v="Chennai"/>
    <d v="2022-07-07T00:00:00"/>
    <d v="2023-09-20T00:00:00"/>
    <x v="2"/>
    <n v="384"/>
    <x v="8"/>
    <n v="4"/>
    <n v="16.920000000000002"/>
    <n v="20"/>
    <x v="1"/>
    <x v="1"/>
    <n v="9907.2000000000007"/>
    <b v="1"/>
    <n v="2.1666666666666665"/>
    <n v="381.04615384615386"/>
    <n v="3.3840000000000003"/>
    <d v="2022-07-01T00:00:00"/>
    <s v="Middle-aged"/>
    <n v="0"/>
    <s v="No"/>
    <n v="440"/>
    <s v="Low"/>
    <s v="Medium"/>
    <n v="0.14814814814814814"/>
    <s v="Medium"/>
    <n v="2"/>
    <d v="2022-07-01T00:00:00"/>
    <s v="25+ months"/>
    <s v="4–5 tickets"/>
    <s v="11–20 min"/>
    <s v="301–500"/>
    <n v="9984"/>
    <n v="-76.799999999999272"/>
  </r>
  <r>
    <n v="11562"/>
    <n v="41"/>
    <s v="Female"/>
    <s v="Pune"/>
    <d v="2021-08-03T00:00:00"/>
    <d v="2021-07-04T00:00:00"/>
    <x v="0"/>
    <n v="994"/>
    <x v="31"/>
    <n v="4"/>
    <n v="64.75"/>
    <n v="15"/>
    <x v="3"/>
    <x v="1"/>
    <n v="22712.9"/>
    <b v="0"/>
    <n v="1.9166666666666667"/>
    <n v="987.51739130434794"/>
    <n v="12.95"/>
    <d v="2021-08-01T00:00:00"/>
    <s v="Middle-aged"/>
    <n v="0"/>
    <s v="Yes"/>
    <m/>
    <s v="High"/>
    <s v="Low"/>
    <n v="0.16666666666666666"/>
    <s v="High"/>
    <n v="1"/>
    <d v="2021-08-01T00:00:00"/>
    <s v="13–24 months"/>
    <s v="4–5 tickets"/>
    <s v="46+ min"/>
    <s v="701–1000"/>
    <n v="22862"/>
    <n v="-149.09999999999854"/>
  </r>
  <r>
    <n v="11563"/>
    <n v="30"/>
    <s v="Female"/>
    <s v="Chennai"/>
    <d v="2021-03-12T00:00:00"/>
    <d v="2023-01-03T00:00:00"/>
    <x v="2"/>
    <n v="303"/>
    <x v="19"/>
    <n v="4"/>
    <n v="71.41"/>
    <n v="10"/>
    <x v="0"/>
    <x v="1"/>
    <n v="3893.55"/>
    <b v="1"/>
    <n v="1.0833333333333333"/>
    <n v="299.50384615384615"/>
    <n v="14.282"/>
    <d v="2021-03-01T00:00:00"/>
    <s v="Adult"/>
    <n v="0"/>
    <s v="No"/>
    <n v="662"/>
    <s v="High"/>
    <s v="Low"/>
    <n v="0.2857142857142857"/>
    <s v="Low"/>
    <n v="2"/>
    <d v="2021-03-01T00:00:00"/>
    <s v="13–24 months"/>
    <s v="4–5 tickets"/>
    <s v="46+ min"/>
    <s v="301–500"/>
    <n v="3939"/>
    <n v="-45.449999999999818"/>
  </r>
  <r>
    <n v="11564"/>
    <n v="51"/>
    <s v="Female"/>
    <s v="Pune"/>
    <d v="2022-07-22T00:00:00"/>
    <d v="2021-11-18T00:00:00"/>
    <x v="0"/>
    <n v="1292"/>
    <x v="18"/>
    <n v="1"/>
    <n v="90.39"/>
    <n v="0"/>
    <x v="1"/>
    <x v="1"/>
    <n v="21964"/>
    <b v="0"/>
    <n v="1.4166666666666667"/>
    <n v="1292"/>
    <n v="45.195"/>
    <d v="2022-07-01T00:00:00"/>
    <s v="Older"/>
    <n v="0"/>
    <s v="Yes"/>
    <m/>
    <s v="High"/>
    <s v="Low"/>
    <n v="5.5555555555555552E-2"/>
    <s v="High"/>
    <n v="1"/>
    <d v="2022-07-01T00:00:00"/>
    <s v="13–24 months"/>
    <s v="0–1 tickets"/>
    <s v="46+ min"/>
    <s v="1000+"/>
    <n v="21964"/>
    <n v="0"/>
  </r>
  <r>
    <n v="11565"/>
    <n v="41"/>
    <s v="Female"/>
    <s v="Chennai"/>
    <d v="2021-08-24T00:00:00"/>
    <d v="2022-06-01T00:00:00"/>
    <x v="0"/>
    <n v="616"/>
    <x v="26"/>
    <n v="0"/>
    <n v="32.01"/>
    <n v="10"/>
    <x v="0"/>
    <x v="0"/>
    <n v="16570.400000000001"/>
    <b v="1"/>
    <n v="2.25"/>
    <n v="613.71851851851852"/>
    <n v="32.01"/>
    <d v="2021-08-01T00:00:00"/>
    <s v="Middle-aged"/>
    <n v="1"/>
    <s v="Yes"/>
    <n v="281"/>
    <s v="Medium"/>
    <s v="Low"/>
    <n v="0"/>
    <s v="Medium"/>
    <n v="1"/>
    <d v="2021-08-01T00:00:00"/>
    <s v="25+ months"/>
    <s v="0–1 tickets"/>
    <s v="31–45 min"/>
    <s v="501–700"/>
    <n v="16632"/>
    <n v="-61.599999999998545"/>
  </r>
  <r>
    <n v="11566"/>
    <n v="24"/>
    <s v="Male"/>
    <s v="Delhi"/>
    <d v="2021-10-08T00:00:00"/>
    <d v="2023-07-24T00:00:00"/>
    <x v="1"/>
    <n v="1434"/>
    <x v="1"/>
    <n v="0"/>
    <n v="38.729999999999997"/>
    <n v="15"/>
    <x v="1"/>
    <x v="1"/>
    <n v="31332.9"/>
    <b v="1"/>
    <n v="1.8333333333333333"/>
    <n v="1424.2227272727273"/>
    <n v="38.729999999999997"/>
    <d v="2021-10-01T00:00:00"/>
    <s v="Young"/>
    <n v="0"/>
    <s v="Yes"/>
    <n v="654"/>
    <s v="Medium"/>
    <s v="Low"/>
    <n v="0"/>
    <s v="High"/>
    <n v="3"/>
    <d v="2021-10-01T00:00:00"/>
    <s v="13–24 months"/>
    <s v="0–1 tickets"/>
    <s v="31–45 min"/>
    <s v="1000+"/>
    <n v="31548"/>
    <n v="-215.09999999999854"/>
  </r>
  <r>
    <n v="11567"/>
    <n v="21"/>
    <s v="Female"/>
    <s v="unknown"/>
    <d v="2022-09-09T00:00:00"/>
    <d v="2021-07-29T00:00:00"/>
    <x v="0"/>
    <n v="1062"/>
    <x v="17"/>
    <n v="4"/>
    <n v="70.489999999999995"/>
    <n v="20"/>
    <x v="2"/>
    <x v="0"/>
    <n v="19965.599999999999"/>
    <b v="0"/>
    <n v="1.5833333333333333"/>
    <n v="1050.8210526315788"/>
    <n v="14.097999999999999"/>
    <d v="2022-09-01T00:00:00"/>
    <s v="Young"/>
    <n v="1"/>
    <s v="Yes"/>
    <m/>
    <s v="High"/>
    <s v="Medium"/>
    <n v="0.2"/>
    <s v="High"/>
    <n v="1"/>
    <d v="2022-09-01T00:00:00"/>
    <s v="13–24 months"/>
    <s v="4–5 tickets"/>
    <s v="46+ min"/>
    <s v="1000+"/>
    <n v="20178"/>
    <n v="-212.40000000000146"/>
  </r>
  <r>
    <n v="11568"/>
    <n v="25"/>
    <s v="Male"/>
    <s v="Bangalore"/>
    <d v="2023-06-06T00:00:00"/>
    <d v="2021-11-28T00:00:00"/>
    <x v="2"/>
    <n v="1456"/>
    <x v="12"/>
    <n v="3"/>
    <n v="118.06"/>
    <n v="15"/>
    <x v="2"/>
    <x v="1"/>
    <n v="50741.599999999999"/>
    <b v="0"/>
    <n v="2.9166666666666665"/>
    <n v="1449.76"/>
    <n v="29.515000000000001"/>
    <d v="2023-06-01T00:00:00"/>
    <s v="Young"/>
    <n v="0"/>
    <s v="Yes"/>
    <m/>
    <s v="High"/>
    <s v="Low"/>
    <n v="8.3333333333333329E-2"/>
    <s v="High"/>
    <n v="2"/>
    <d v="2023-06-01T00:00:00"/>
    <s v="25+ months"/>
    <s v="2–3 tickets"/>
    <s v="46+ min"/>
    <s v="1000+"/>
    <n v="50960"/>
    <n v="-218.40000000000146"/>
  </r>
  <r>
    <n v="11569"/>
    <n v="37"/>
    <s v="Female"/>
    <s v="unknown"/>
    <d v="2021-06-11T00:00:00"/>
    <d v="2021-06-19T00:00:00"/>
    <x v="1"/>
    <n v="911"/>
    <x v="19"/>
    <n v="0"/>
    <n v="30.01"/>
    <n v="0"/>
    <x v="2"/>
    <x v="1"/>
    <n v="11843"/>
    <b v="1"/>
    <n v="1.0833333333333333"/>
    <n v="911"/>
    <n v="30.01"/>
    <d v="2021-06-01T00:00:00"/>
    <s v="Middle-aged"/>
    <n v="0"/>
    <s v="No"/>
    <n v="8"/>
    <s v="Medium"/>
    <s v="Low"/>
    <n v="0"/>
    <s v="Medium"/>
    <n v="3"/>
    <d v="2021-06-01T00:00:00"/>
    <s v="13–24 months"/>
    <s v="0–1 tickets"/>
    <s v="31–45 min"/>
    <s v="701–1000"/>
    <n v="11843"/>
    <n v="0"/>
  </r>
  <r>
    <n v="11570"/>
    <n v="46"/>
    <s v="Female"/>
    <s v="Mumbai"/>
    <d v="2021-07-10T00:00:00"/>
    <d v="2022-01-12T00:00:00"/>
    <x v="0"/>
    <n v="1304"/>
    <x v="25"/>
    <n v="1"/>
    <n v="118.38"/>
    <n v="0"/>
    <x v="0"/>
    <x v="1"/>
    <n v="18256"/>
    <b v="1"/>
    <n v="1.1666666666666667"/>
    <n v="1304"/>
    <n v="59.19"/>
    <d v="2021-07-01T00:00:00"/>
    <s v="Middle-aged"/>
    <n v="0"/>
    <s v="Yes"/>
    <n v="186"/>
    <s v="High"/>
    <s v="Low"/>
    <n v="6.6666666666666666E-2"/>
    <s v="Medium"/>
    <n v="1"/>
    <d v="2021-07-01T00:00:00"/>
    <s v="13–24 months"/>
    <s v="0–1 tickets"/>
    <s v="46+ min"/>
    <s v="1000+"/>
    <n v="18256"/>
    <n v="0"/>
  </r>
  <r>
    <n v="11571"/>
    <n v="62"/>
    <s v="Female"/>
    <s v="Bangalore"/>
    <d v="2021-01-09T00:00:00"/>
    <d v="2022-09-16T00:00:00"/>
    <x v="2"/>
    <n v="1213"/>
    <x v="27"/>
    <n v="2"/>
    <n v="87.15"/>
    <n v="20"/>
    <x v="1"/>
    <x v="1"/>
    <n v="37360.400000000001"/>
    <b v="1"/>
    <n v="2.5833333333333335"/>
    <n v="1205.1741935483872"/>
    <n v="29.05"/>
    <d v="2021-01-01T00:00:00"/>
    <s v="Older"/>
    <n v="0"/>
    <s v="Yes"/>
    <n v="615"/>
    <s v="High"/>
    <s v="Medium"/>
    <n v="6.25E-2"/>
    <s v="High"/>
    <n v="2"/>
    <d v="2021-01-01T00:00:00"/>
    <s v="25+ months"/>
    <s v="2–3 tickets"/>
    <s v="46+ min"/>
    <s v="1000+"/>
    <n v="37603"/>
    <n v="-242.59999999999854"/>
  </r>
  <r>
    <n v="11572"/>
    <n v="63"/>
    <s v="Female"/>
    <s v="Mumbai"/>
    <d v="2021-03-01T00:00:00"/>
    <d v="2021-09-03T00:00:00"/>
    <x v="0"/>
    <n v="1098"/>
    <x v="4"/>
    <n v="1"/>
    <n v="100"/>
    <n v="20"/>
    <x v="3"/>
    <x v="1"/>
    <n v="1976.4"/>
    <b v="1"/>
    <n v="0.16666666666666666"/>
    <n v="988.2"/>
    <n v="50"/>
    <d v="2021-03-01T00:00:00"/>
    <s v="Older"/>
    <n v="0"/>
    <s v="No"/>
    <n v="186"/>
    <s v="High"/>
    <s v="Medium"/>
    <n v="0.33333333333333331"/>
    <s v="Low"/>
    <n v="1"/>
    <d v="2021-03-01T00:00:00"/>
    <s v="0–6 months"/>
    <s v="0–1 tickets"/>
    <s v="46+ min"/>
    <s v="1000+"/>
    <n v="2196"/>
    <n v="-219.59999999999991"/>
  </r>
  <r>
    <n v="11573"/>
    <n v="27"/>
    <s v="Female"/>
    <s v="unknown"/>
    <d v="2023-06-12T00:00:00"/>
    <d v="2023-10-29T00:00:00"/>
    <x v="0"/>
    <n v="418"/>
    <x v="25"/>
    <n v="1"/>
    <n v="15.31"/>
    <n v="20"/>
    <x v="0"/>
    <x v="1"/>
    <n v="5768.4"/>
    <b v="1"/>
    <n v="1.1666666666666667"/>
    <n v="412.02857142857141"/>
    <n v="7.6550000000000002"/>
    <d v="2023-06-01T00:00:00"/>
    <s v="Adult"/>
    <n v="0"/>
    <s v="No"/>
    <n v="139"/>
    <s v="Low"/>
    <s v="Medium"/>
    <n v="6.6666666666666666E-2"/>
    <s v="Low"/>
    <n v="1"/>
    <d v="2023-06-01T00:00:00"/>
    <s v="13–24 months"/>
    <s v="0–1 tickets"/>
    <s v="11–20 min"/>
    <s v="301–500"/>
    <n v="5852"/>
    <n v="-83.600000000000364"/>
  </r>
  <r>
    <n v="11574"/>
    <n v="60"/>
    <s v="Male"/>
    <s v="Bangalore"/>
    <d v="2023-03-28T00:00:00"/>
    <d v="2022-03-24T00:00:00"/>
    <x v="0"/>
    <n v="649"/>
    <x v="9"/>
    <n v="6"/>
    <n v="39.549999999999997"/>
    <n v="10"/>
    <x v="1"/>
    <x v="1"/>
    <n v="5776.1"/>
    <b v="0"/>
    <n v="0.75"/>
    <n v="641.78888888888889"/>
    <n v="5.6499999999999995"/>
    <d v="2023-03-01T00:00:00"/>
    <s v="Older"/>
    <n v="0"/>
    <s v="No"/>
    <m/>
    <s v="Medium"/>
    <s v="Low"/>
    <n v="0.6"/>
    <s v="Low"/>
    <n v="1"/>
    <d v="2023-03-01T00:00:00"/>
    <s v="7–12 months"/>
    <s v="6+ tickets"/>
    <s v="31–45 min"/>
    <s v="501–700"/>
    <n v="5841"/>
    <n v="-64.899999999999636"/>
  </r>
  <r>
    <n v="11575"/>
    <n v="51"/>
    <s v="Female"/>
    <s v="Chennai"/>
    <d v="2021-08-13T00:00:00"/>
    <d v="2023-01-14T00:00:00"/>
    <x v="1"/>
    <n v="1216"/>
    <x v="32"/>
    <n v="1"/>
    <n v="11.64"/>
    <n v="20"/>
    <x v="2"/>
    <x v="1"/>
    <n v="11916.8"/>
    <b v="1"/>
    <n v="0.83333333333333337"/>
    <n v="1191.6799999999998"/>
    <n v="5.82"/>
    <d v="2021-08-01T00:00:00"/>
    <s v="Older"/>
    <n v="0"/>
    <s v="No"/>
    <n v="519"/>
    <s v="Low"/>
    <s v="Medium"/>
    <n v="9.0909090909090912E-2"/>
    <s v="Medium"/>
    <n v="3"/>
    <d v="2021-08-01T00:00:00"/>
    <s v="7–12 months"/>
    <s v="0–1 tickets"/>
    <s v="11–20 min"/>
    <s v="1000+"/>
    <n v="12160"/>
    <n v="-243.20000000000073"/>
  </r>
  <r>
    <n v="11576"/>
    <n v="43"/>
    <s v="Male"/>
    <s v="Hyderabad"/>
    <d v="2023-03-30T00:00:00"/>
    <d v="2021-11-22T00:00:00"/>
    <x v="0"/>
    <n v="986"/>
    <x v="16"/>
    <n v="2"/>
    <n v="47.73"/>
    <n v="0"/>
    <x v="0"/>
    <x v="1"/>
    <n v="6902"/>
    <b v="0"/>
    <n v="0.58333333333333337"/>
    <n v="986"/>
    <n v="15.909999999999998"/>
    <d v="2023-03-01T00:00:00"/>
    <s v="Middle-aged"/>
    <n v="0"/>
    <s v="No"/>
    <m/>
    <s v="Medium"/>
    <s v="Low"/>
    <n v="0.25"/>
    <s v="Low"/>
    <n v="1"/>
    <d v="2023-03-01T00:00:00"/>
    <s v="7–12 months"/>
    <s v="2–3 tickets"/>
    <s v="46+ min"/>
    <s v="701–1000"/>
    <n v="6902"/>
    <n v="0"/>
  </r>
  <r>
    <n v="11577"/>
    <n v="58"/>
    <s v="Male"/>
    <s v="Chennai"/>
    <d v="2022-12-01T00:00:00"/>
    <d v="2022-01-08T00:00:00"/>
    <x v="2"/>
    <n v="841"/>
    <x v="29"/>
    <n v="0"/>
    <n v="117.85"/>
    <n v="0"/>
    <x v="1"/>
    <x v="1"/>
    <n v="23548"/>
    <b v="0"/>
    <n v="2.3333333333333335"/>
    <n v="841"/>
    <n v="117.85"/>
    <d v="2022-12-01T00:00:00"/>
    <s v="Older"/>
    <n v="0"/>
    <s v="Yes"/>
    <m/>
    <s v="High"/>
    <s v="Low"/>
    <n v="0"/>
    <s v="High"/>
    <n v="2"/>
    <d v="2022-12-01T00:00:00"/>
    <s v="25+ months"/>
    <s v="0–1 tickets"/>
    <s v="46+ min"/>
    <s v="701–1000"/>
    <n v="23548"/>
    <n v="0"/>
  </r>
  <r>
    <n v="11578"/>
    <n v="20"/>
    <s v="Male"/>
    <s v="Chennai"/>
    <d v="2022-08-05T00:00:00"/>
    <d v="2023-02-05T00:00:00"/>
    <x v="2"/>
    <n v="1378"/>
    <x v="0"/>
    <n v="1"/>
    <n v="17.11"/>
    <n v="15"/>
    <x v="3"/>
    <x v="1"/>
    <n v="34243.300000000003"/>
    <b v="1"/>
    <n v="2.0833333333333335"/>
    <n v="1369.7320000000002"/>
    <n v="8.5549999999999997"/>
    <d v="2022-08-01T00:00:00"/>
    <s v="Young"/>
    <n v="0"/>
    <s v="Yes"/>
    <n v="184"/>
    <s v="Low"/>
    <s v="Low"/>
    <n v="3.8461538461538464E-2"/>
    <s v="High"/>
    <n v="2"/>
    <d v="2022-08-01T00:00:00"/>
    <s v="25+ months"/>
    <s v="0–1 tickets"/>
    <s v="11–20 min"/>
    <s v="1000+"/>
    <n v="34450"/>
    <n v="-206.69999999999709"/>
  </r>
  <r>
    <n v="11579"/>
    <n v="23"/>
    <s v="Female"/>
    <s v="Mumbai"/>
    <d v="2023-03-16T00:00:00"/>
    <d v="2021-07-24T00:00:00"/>
    <x v="1"/>
    <n v="660"/>
    <x v="29"/>
    <n v="1"/>
    <n v="69.67"/>
    <n v="20"/>
    <x v="0"/>
    <x v="1"/>
    <n v="18348"/>
    <b v="0"/>
    <n v="2.3333333333333335"/>
    <n v="655.28571428571433"/>
    <n v="34.835000000000001"/>
    <d v="2023-03-01T00:00:00"/>
    <s v="Young"/>
    <n v="0"/>
    <s v="Yes"/>
    <m/>
    <s v="High"/>
    <s v="Medium"/>
    <n v="3.4482758620689655E-2"/>
    <s v="Medium"/>
    <n v="3"/>
    <d v="2023-03-01T00:00:00"/>
    <s v="25+ months"/>
    <s v="0–1 tickets"/>
    <s v="46+ min"/>
    <s v="501–700"/>
    <n v="18480"/>
    <n v="-132"/>
  </r>
  <r>
    <n v="11580"/>
    <n v="22"/>
    <s v="Female"/>
    <s v="Pune"/>
    <d v="2021-10-14T00:00:00"/>
    <d v="2023-04-26T00:00:00"/>
    <x v="0"/>
    <n v="1007"/>
    <x v="4"/>
    <n v="2"/>
    <n v="5.7"/>
    <n v="10"/>
    <x v="3"/>
    <x v="1"/>
    <n v="1913.3"/>
    <b v="1"/>
    <n v="0.16666666666666666"/>
    <n v="956.65"/>
    <n v="1.9000000000000001"/>
    <d v="2021-10-01T00:00:00"/>
    <s v="Young"/>
    <n v="0"/>
    <s v="No"/>
    <n v="559"/>
    <s v="Low"/>
    <s v="Low"/>
    <n v="0.66666666666666663"/>
    <s v="Low"/>
    <n v="1"/>
    <d v="2021-10-01T00:00:00"/>
    <s v="0–6 months"/>
    <s v="2–3 tickets"/>
    <s v="0–10 min"/>
    <s v="1000+"/>
    <n v="2014"/>
    <n v="-100.70000000000005"/>
  </r>
  <r>
    <n v="11581"/>
    <n v="22"/>
    <s v="Female"/>
    <s v="Hyderabad"/>
    <d v="2021-06-18T00:00:00"/>
    <d v="2023-10-11T00:00:00"/>
    <x v="2"/>
    <n v="984"/>
    <x v="18"/>
    <n v="1"/>
    <n v="86.96"/>
    <n v="5"/>
    <x v="0"/>
    <x v="1"/>
    <n v="16678.8"/>
    <b v="1"/>
    <n v="1.4166666666666667"/>
    <n v="981.10588235294108"/>
    <n v="43.48"/>
    <d v="2021-06-01T00:00:00"/>
    <s v="Young"/>
    <n v="0"/>
    <s v="Yes"/>
    <n v="845"/>
    <s v="High"/>
    <s v="Low"/>
    <n v="5.5555555555555552E-2"/>
    <s v="Medium"/>
    <n v="2"/>
    <d v="2021-06-01T00:00:00"/>
    <s v="13–24 months"/>
    <s v="0–1 tickets"/>
    <s v="46+ min"/>
    <s v="701–1000"/>
    <n v="16728"/>
    <n v="-49.200000000000728"/>
  </r>
  <r>
    <n v="11582"/>
    <n v="64"/>
    <s v="Male"/>
    <s v="Chennai"/>
    <d v="2021-03-03T00:00:00"/>
    <d v="2022-07-08T00:00:00"/>
    <x v="2"/>
    <n v="629"/>
    <x v="2"/>
    <n v="0"/>
    <n v="27.68"/>
    <n v="15"/>
    <x v="2"/>
    <x v="1"/>
    <n v="2421.65"/>
    <b v="1"/>
    <n v="0.33333333333333331"/>
    <n v="605.41250000000002"/>
    <n v="27.68"/>
    <d v="2021-03-01T00:00:00"/>
    <s v="Older"/>
    <n v="0"/>
    <s v="No"/>
    <n v="492"/>
    <s v="Medium"/>
    <s v="Low"/>
    <n v="0"/>
    <s v="Low"/>
    <n v="2"/>
    <d v="2021-03-01T00:00:00"/>
    <s v="0–6 months"/>
    <s v="0–1 tickets"/>
    <s v="21–30 min"/>
    <s v="501–700"/>
    <n v="2516"/>
    <n v="-94.349999999999909"/>
  </r>
  <r>
    <n v="11583"/>
    <n v="40"/>
    <s v="Female"/>
    <s v="Chennai"/>
    <d v="2021-12-15T00:00:00"/>
    <d v="2022-04-14T00:00:00"/>
    <x v="2"/>
    <n v="518"/>
    <x v="19"/>
    <n v="1"/>
    <n v="19.899999999999999"/>
    <n v="10"/>
    <x v="2"/>
    <x v="1"/>
    <n v="6682.2"/>
    <b v="1"/>
    <n v="1.0833333333333333"/>
    <n v="514.01538461538462"/>
    <n v="9.9499999999999993"/>
    <d v="2021-12-01T00:00:00"/>
    <s v="Middle-aged"/>
    <n v="0"/>
    <s v="No"/>
    <n v="120"/>
    <s v="Low"/>
    <s v="Low"/>
    <n v="7.1428571428571425E-2"/>
    <s v="Low"/>
    <n v="2"/>
    <d v="2021-12-01T00:00:00"/>
    <s v="13–24 months"/>
    <s v="0–1 tickets"/>
    <s v="11–20 min"/>
    <s v="501–700"/>
    <n v="6734"/>
    <n v="-51.800000000000182"/>
  </r>
  <r>
    <n v="11584"/>
    <n v="26"/>
    <s v="Male"/>
    <s v="Hyderabad"/>
    <d v="2022-03-18T00:00:00"/>
    <d v="2023-10-15T00:00:00"/>
    <x v="1"/>
    <n v="507"/>
    <x v="10"/>
    <n v="3"/>
    <n v="43.76"/>
    <n v="20"/>
    <x v="2"/>
    <x v="1"/>
    <n v="9024.6"/>
    <b v="1"/>
    <n v="1.5"/>
    <n v="501.36666666666667"/>
    <n v="10.94"/>
    <d v="2022-03-01T00:00:00"/>
    <s v="Adult"/>
    <n v="0"/>
    <s v="No"/>
    <n v="576"/>
    <s v="Medium"/>
    <s v="Medium"/>
    <n v="0.15789473684210525"/>
    <s v="Medium"/>
    <n v="3"/>
    <d v="2022-03-01T00:00:00"/>
    <s v="13–24 months"/>
    <s v="2–3 tickets"/>
    <s v="31–45 min"/>
    <s v="501–700"/>
    <n v="9126"/>
    <n v="-101.39999999999964"/>
  </r>
  <r>
    <n v="11585"/>
    <n v="52"/>
    <s v="Male"/>
    <s v="Hyderabad"/>
    <d v="2021-01-14T00:00:00"/>
    <d v="2022-05-15T00:00:00"/>
    <x v="1"/>
    <n v="1144"/>
    <x v="13"/>
    <n v="1"/>
    <n v="93.67"/>
    <n v="10"/>
    <x v="3"/>
    <x v="1"/>
    <n v="3317.6"/>
    <b v="1"/>
    <n v="0.25"/>
    <n v="1105.8666666666666"/>
    <n v="46.835000000000001"/>
    <d v="2021-01-01T00:00:00"/>
    <s v="Older"/>
    <n v="0"/>
    <s v="No"/>
    <n v="486"/>
    <s v="High"/>
    <s v="Low"/>
    <n v="0.25"/>
    <s v="Low"/>
    <n v="3"/>
    <d v="2021-01-01T00:00:00"/>
    <s v="0–6 months"/>
    <s v="0–1 tickets"/>
    <s v="46+ min"/>
    <s v="1000+"/>
    <n v="3432"/>
    <n v="-114.40000000000009"/>
  </r>
  <r>
    <n v="11586"/>
    <n v="37"/>
    <s v="Female"/>
    <s v="Bangalore"/>
    <d v="2021-06-13T00:00:00"/>
    <d v="2022-08-17T00:00:00"/>
    <x v="0"/>
    <n v="384"/>
    <x v="33"/>
    <n v="1"/>
    <n v="17.260000000000002"/>
    <n v="5"/>
    <x v="2"/>
    <x v="0"/>
    <n v="12652.8"/>
    <b v="1"/>
    <n v="2.75"/>
    <n v="383.41818181818178"/>
    <n v="8.6300000000000008"/>
    <d v="2021-06-01T00:00:00"/>
    <s v="Middle-aged"/>
    <n v="1"/>
    <s v="No"/>
    <n v="430"/>
    <s v="Low"/>
    <s v="Low"/>
    <n v="2.9411764705882353E-2"/>
    <s v="Medium"/>
    <n v="1"/>
    <d v="2021-06-01T00:00:00"/>
    <s v="25+ months"/>
    <s v="0–1 tickets"/>
    <s v="11–20 min"/>
    <s v="301–500"/>
    <n v="12672"/>
    <n v="-19.200000000000728"/>
  </r>
  <r>
    <n v="11587"/>
    <n v="59"/>
    <s v="Male"/>
    <s v="Mumbai"/>
    <d v="2022-02-24T00:00:00"/>
    <d v="2023-09-11T00:00:00"/>
    <x v="2"/>
    <n v="984"/>
    <x v="30"/>
    <n v="3"/>
    <n v="31.43"/>
    <n v="10"/>
    <x v="3"/>
    <x v="1"/>
    <n v="23517.599999999999"/>
    <b v="1"/>
    <n v="2"/>
    <n v="979.9"/>
    <n v="7.8574999999999999"/>
    <d v="2022-02-01T00:00:00"/>
    <s v="Older"/>
    <n v="0"/>
    <s v="Yes"/>
    <n v="564"/>
    <s v="Medium"/>
    <s v="Low"/>
    <n v="0.12"/>
    <s v="High"/>
    <n v="2"/>
    <d v="2022-02-01T00:00:00"/>
    <s v="13–24 months"/>
    <s v="2–3 tickets"/>
    <s v="31–45 min"/>
    <s v="701–1000"/>
    <n v="23616"/>
    <n v="-98.400000000001455"/>
  </r>
  <r>
    <n v="11588"/>
    <n v="52"/>
    <s v="Male"/>
    <s v="Hyderabad"/>
    <d v="2023-01-27T00:00:00"/>
    <d v="2023-01-01T00:00:00"/>
    <x v="0"/>
    <n v="544"/>
    <x v="14"/>
    <n v="3"/>
    <n v="5.97"/>
    <n v="5"/>
    <x v="3"/>
    <x v="1"/>
    <n v="4324.8"/>
    <b v="0"/>
    <n v="0.66666666666666663"/>
    <n v="540.6"/>
    <n v="1.4924999999999999"/>
    <d v="2023-01-01T00:00:00"/>
    <s v="Older"/>
    <n v="0"/>
    <s v="No"/>
    <m/>
    <s v="Low"/>
    <s v="Low"/>
    <n v="0.33333333333333331"/>
    <s v="Low"/>
    <n v="1"/>
    <d v="2023-01-01T00:00:00"/>
    <s v="7–12 months"/>
    <s v="2–3 tickets"/>
    <s v="0–10 min"/>
    <s v="501–700"/>
    <n v="4352"/>
    <n v="-27.199999999999818"/>
  </r>
  <r>
    <n v="11589"/>
    <n v="35"/>
    <s v="Male"/>
    <s v="Hyderabad"/>
    <d v="2023-04-27T00:00:00"/>
    <d v="2022-11-22T00:00:00"/>
    <x v="0"/>
    <n v="1171"/>
    <x v="12"/>
    <n v="1"/>
    <n v="116.37"/>
    <n v="5"/>
    <x v="3"/>
    <x v="1"/>
    <n v="40926.449999999997"/>
    <b v="0"/>
    <n v="2.9166666666666665"/>
    <n v="1169.3271428571427"/>
    <n v="58.185000000000002"/>
    <d v="2023-04-01T00:00:00"/>
    <s v="Adult"/>
    <n v="0"/>
    <s v="Yes"/>
    <m/>
    <s v="High"/>
    <s v="Low"/>
    <n v="2.7777777777777776E-2"/>
    <s v="High"/>
    <n v="1"/>
    <d v="2023-04-01T00:00:00"/>
    <s v="25+ months"/>
    <s v="0–1 tickets"/>
    <s v="46+ min"/>
    <s v="1000+"/>
    <n v="40985"/>
    <n v="-58.55000000000291"/>
  </r>
  <r>
    <n v="11590"/>
    <n v="34"/>
    <s v="Male"/>
    <s v="Delhi"/>
    <d v="2022-06-04T00:00:00"/>
    <d v="2023-07-26T00:00:00"/>
    <x v="2"/>
    <n v="1322"/>
    <x v="4"/>
    <n v="0"/>
    <n v="73.099999999999994"/>
    <n v="5"/>
    <x v="2"/>
    <x v="1"/>
    <n v="2577.9"/>
    <b v="1"/>
    <n v="0.16666666666666666"/>
    <n v="1288.95"/>
    <n v="73.099999999999994"/>
    <d v="2022-06-01T00:00:00"/>
    <s v="Adult"/>
    <n v="0"/>
    <s v="No"/>
    <n v="417"/>
    <s v="High"/>
    <s v="Low"/>
    <n v="0"/>
    <s v="Low"/>
    <n v="2"/>
    <d v="2022-06-01T00:00:00"/>
    <s v="0–6 months"/>
    <s v="0–1 tickets"/>
    <s v="46+ min"/>
    <s v="1000+"/>
    <n v="2644"/>
    <n v="-66.099999999999909"/>
  </r>
  <r>
    <n v="11591"/>
    <n v="41"/>
    <s v="Male"/>
    <s v="Pune"/>
    <d v="2022-10-28T00:00:00"/>
    <d v="2022-03-09T00:00:00"/>
    <x v="0"/>
    <n v="895"/>
    <x v="33"/>
    <n v="4"/>
    <n v="87.79"/>
    <n v="10"/>
    <x v="1"/>
    <x v="1"/>
    <n v="29445.5"/>
    <b v="0"/>
    <n v="2.75"/>
    <n v="892.28787878787875"/>
    <n v="17.558"/>
    <d v="2022-10-01T00:00:00"/>
    <s v="Middle-aged"/>
    <n v="0"/>
    <s v="Yes"/>
    <m/>
    <s v="High"/>
    <s v="Low"/>
    <n v="0.11764705882352941"/>
    <s v="High"/>
    <n v="1"/>
    <d v="2022-10-01T00:00:00"/>
    <s v="25+ months"/>
    <s v="4–5 tickets"/>
    <s v="46+ min"/>
    <s v="701–1000"/>
    <n v="29535"/>
    <n v="-89.5"/>
  </r>
  <r>
    <n v="11592"/>
    <n v="20"/>
    <s v="Male"/>
    <s v="Hyderabad"/>
    <d v="2022-07-02T00:00:00"/>
    <d v="2022-05-26T00:00:00"/>
    <x v="0"/>
    <n v="984"/>
    <x v="34"/>
    <n v="2"/>
    <n v="79.91"/>
    <n v="20"/>
    <x v="3"/>
    <x v="0"/>
    <n v="11611.2"/>
    <b v="0"/>
    <n v="1"/>
    <n v="967.6"/>
    <n v="26.636666666666667"/>
    <d v="2022-07-01T00:00:00"/>
    <s v="Young"/>
    <n v="1"/>
    <s v="No"/>
    <m/>
    <s v="High"/>
    <s v="Medium"/>
    <n v="0.15384615384615385"/>
    <s v="Medium"/>
    <n v="1"/>
    <d v="2022-07-01T00:00:00"/>
    <s v="7–12 months"/>
    <s v="2–3 tickets"/>
    <s v="46+ min"/>
    <s v="701–1000"/>
    <n v="11808"/>
    <n v="-196.79999999999927"/>
  </r>
  <r>
    <n v="11593"/>
    <n v="49"/>
    <s v="Female"/>
    <s v="Mumbai"/>
    <d v="2022-07-14T00:00:00"/>
    <d v="2023-09-01T00:00:00"/>
    <x v="1"/>
    <n v="1456"/>
    <x v="1"/>
    <n v="1"/>
    <n v="21.6"/>
    <n v="0"/>
    <x v="1"/>
    <x v="1"/>
    <n v="32032"/>
    <b v="1"/>
    <n v="1.8333333333333333"/>
    <n v="1456"/>
    <n v="10.8"/>
    <d v="2022-07-01T00:00:00"/>
    <s v="Middle-aged"/>
    <n v="0"/>
    <s v="Yes"/>
    <n v="414"/>
    <s v="Medium"/>
    <s v="Low"/>
    <n v="4.3478260869565216E-2"/>
    <s v="High"/>
    <n v="3"/>
    <d v="2022-07-01T00:00:00"/>
    <s v="13–24 months"/>
    <s v="0–1 tickets"/>
    <s v="21–30 min"/>
    <s v="1000+"/>
    <n v="32032"/>
    <n v="0"/>
  </r>
  <r>
    <n v="11594"/>
    <n v="52"/>
    <s v="Female"/>
    <s v="Pune"/>
    <d v="2022-08-20T00:00:00"/>
    <d v="2023-02-21T00:00:00"/>
    <x v="0"/>
    <n v="1313"/>
    <x v="19"/>
    <n v="3"/>
    <n v="62.59"/>
    <n v="0"/>
    <x v="3"/>
    <x v="1"/>
    <n v="17069"/>
    <b v="1"/>
    <n v="1.0833333333333333"/>
    <n v="1313"/>
    <n v="15.647500000000001"/>
    <d v="2022-08-01T00:00:00"/>
    <s v="Older"/>
    <n v="0"/>
    <s v="Yes"/>
    <n v="185"/>
    <s v="High"/>
    <s v="Low"/>
    <n v="0.21428571428571427"/>
    <s v="Medium"/>
    <n v="1"/>
    <d v="2022-08-01T00:00:00"/>
    <s v="13–24 months"/>
    <s v="2–3 tickets"/>
    <s v="46+ min"/>
    <s v="1000+"/>
    <n v="17069"/>
    <n v="0"/>
  </r>
  <r>
    <n v="11595"/>
    <n v="55"/>
    <s v="Female"/>
    <s v="Pune"/>
    <d v="2021-01-28T00:00:00"/>
    <d v="2023-11-09T00:00:00"/>
    <x v="1"/>
    <n v="1313"/>
    <x v="32"/>
    <n v="1"/>
    <n v="20.11"/>
    <n v="10"/>
    <x v="2"/>
    <x v="1"/>
    <n v="12998.7"/>
    <b v="1"/>
    <n v="0.83333333333333337"/>
    <n v="1299.8700000000001"/>
    <n v="10.055"/>
    <d v="2021-01-01T00:00:00"/>
    <s v="Older"/>
    <n v="0"/>
    <s v="No"/>
    <n v="1015"/>
    <s v="Medium"/>
    <s v="Low"/>
    <n v="9.0909090909090912E-2"/>
    <s v="Medium"/>
    <n v="3"/>
    <d v="2021-01-01T00:00:00"/>
    <s v="7–12 months"/>
    <s v="0–1 tickets"/>
    <s v="21–30 min"/>
    <s v="1000+"/>
    <n v="13130"/>
    <n v="-131.29999999999927"/>
  </r>
  <r>
    <n v="11596"/>
    <n v="30"/>
    <s v="Other"/>
    <s v="Chennai"/>
    <d v="2022-12-09T00:00:00"/>
    <d v="2023-03-08T00:00:00"/>
    <x v="2"/>
    <n v="649"/>
    <x v="18"/>
    <n v="1"/>
    <n v="51.14"/>
    <n v="20"/>
    <x v="2"/>
    <x v="1"/>
    <n v="10903.2"/>
    <b v="1"/>
    <n v="1.4166666666666667"/>
    <n v="641.36470588235295"/>
    <n v="25.57"/>
    <d v="2022-12-01T00:00:00"/>
    <s v="Adult"/>
    <n v="0"/>
    <s v="No"/>
    <n v="89"/>
    <s v="Medium"/>
    <s v="Medium"/>
    <n v="5.5555555555555552E-2"/>
    <s v="Medium"/>
    <n v="2"/>
    <d v="2022-12-01T00:00:00"/>
    <s v="13–24 months"/>
    <s v="0–1 tickets"/>
    <s v="46+ min"/>
    <s v="501–700"/>
    <n v="11033"/>
    <n v="-129.79999999999927"/>
  </r>
  <r>
    <n v="11597"/>
    <n v="64"/>
    <s v="Male"/>
    <s v="Chennai"/>
    <d v="2022-03-22T00:00:00"/>
    <d v="2023-03-03T00:00:00"/>
    <x v="2"/>
    <n v="581"/>
    <x v="21"/>
    <n v="4"/>
    <n v="70.430000000000007"/>
    <n v="0"/>
    <x v="2"/>
    <x v="0"/>
    <n v="2905"/>
    <b v="1"/>
    <n v="0.41666666666666669"/>
    <n v="581"/>
    <n v="14.086000000000002"/>
    <d v="2022-03-01T00:00:00"/>
    <s v="Older"/>
    <n v="1"/>
    <s v="No"/>
    <n v="346"/>
    <s v="High"/>
    <s v="Low"/>
    <n v="0.66666666666666663"/>
    <s v="Low"/>
    <n v="2"/>
    <d v="2022-03-01T00:00:00"/>
    <s v="0–6 months"/>
    <s v="4–5 tickets"/>
    <s v="46+ min"/>
    <s v="501–700"/>
    <n v="2905"/>
    <n v="0"/>
  </r>
  <r>
    <n v="11598"/>
    <n v="42"/>
    <s v="Female"/>
    <s v="Chennai"/>
    <d v="2021-07-27T00:00:00"/>
    <d v="2021-06-08T00:00:00"/>
    <x v="1"/>
    <n v="592"/>
    <x v="9"/>
    <n v="4"/>
    <n v="69.27"/>
    <n v="5"/>
    <x v="0"/>
    <x v="0"/>
    <n v="5298.4"/>
    <b v="0"/>
    <n v="0.75"/>
    <n v="588.71111111111111"/>
    <n v="13.853999999999999"/>
    <d v="2021-07-01T00:00:00"/>
    <s v="Middle-aged"/>
    <n v="1"/>
    <s v="No"/>
    <m/>
    <s v="High"/>
    <s v="Low"/>
    <n v="0.4"/>
    <s v="Low"/>
    <n v="3"/>
    <d v="2021-07-01T00:00:00"/>
    <s v="7–12 months"/>
    <s v="4–5 tickets"/>
    <s v="46+ min"/>
    <s v="501–700"/>
    <n v="5328"/>
    <n v="-29.600000000000364"/>
  </r>
  <r>
    <n v="11599"/>
    <n v="26"/>
    <s v="Other"/>
    <s v="Chennai"/>
    <d v="2022-04-15T00:00:00"/>
    <d v="2022-12-15T00:00:00"/>
    <x v="0"/>
    <n v="1283"/>
    <x v="19"/>
    <n v="1"/>
    <n v="18.690000000000001"/>
    <n v="10"/>
    <x v="2"/>
    <x v="1"/>
    <n v="16550.7"/>
    <b v="1"/>
    <n v="1.0833333333333333"/>
    <n v="1273.1307692307694"/>
    <n v="9.3450000000000006"/>
    <d v="2022-04-01T00:00:00"/>
    <s v="Adult"/>
    <n v="0"/>
    <s v="Yes"/>
    <n v="244"/>
    <s v="Low"/>
    <s v="Low"/>
    <n v="7.1428571428571425E-2"/>
    <s v="Medium"/>
    <n v="1"/>
    <d v="2022-04-01T00:00:00"/>
    <s v="13–24 months"/>
    <s v="0–1 tickets"/>
    <s v="11–20 min"/>
    <s v="1000+"/>
    <n v="16679"/>
    <n v="-128.29999999999927"/>
  </r>
  <r>
    <n v="11600"/>
    <n v="21"/>
    <s v="Male"/>
    <s v="Delhi"/>
    <d v="2022-12-17T00:00:00"/>
    <d v="2022-10-04T00:00:00"/>
    <x v="0"/>
    <n v="319"/>
    <x v="31"/>
    <n v="2"/>
    <n v="8.9600000000000009"/>
    <n v="10"/>
    <x v="1"/>
    <x v="0"/>
    <n v="7305.1"/>
    <b v="0"/>
    <n v="1.9166666666666667"/>
    <n v="317.61304347826086"/>
    <n v="2.9866666666666668"/>
    <d v="2022-12-01T00:00:00"/>
    <s v="Young"/>
    <n v="1"/>
    <s v="No"/>
    <m/>
    <s v="Low"/>
    <s v="Low"/>
    <n v="8.3333333333333329E-2"/>
    <s v="Low"/>
    <n v="1"/>
    <d v="2022-12-01T00:00:00"/>
    <s v="13–24 months"/>
    <s v="2–3 tickets"/>
    <s v="0–10 min"/>
    <s v="301–500"/>
    <n v="7337"/>
    <n v="-31.899999999999636"/>
  </r>
  <r>
    <n v="11601"/>
    <n v="31"/>
    <s v="Female"/>
    <s v="Hyderabad"/>
    <d v="2023-03-30T00:00:00"/>
    <d v="2022-05-07T00:00:00"/>
    <x v="0"/>
    <n v="1058"/>
    <x v="3"/>
    <n v="4"/>
    <n v="96.8"/>
    <n v="15"/>
    <x v="3"/>
    <x v="1"/>
    <n v="31581.3"/>
    <b v="0"/>
    <n v="2.5"/>
    <n v="1052.71"/>
    <n v="19.36"/>
    <d v="2023-03-01T00:00:00"/>
    <s v="Adult"/>
    <n v="0"/>
    <s v="Yes"/>
    <m/>
    <s v="High"/>
    <s v="Low"/>
    <n v="0.12903225806451613"/>
    <s v="High"/>
    <n v="1"/>
    <d v="2023-03-01T00:00:00"/>
    <s v="25+ months"/>
    <s v="4–5 tickets"/>
    <s v="46+ min"/>
    <s v="1000+"/>
    <n v="31740"/>
    <n v="-158.70000000000073"/>
  </r>
  <r>
    <n v="11602"/>
    <n v="54"/>
    <s v="Male"/>
    <s v="Chennai"/>
    <d v="2021-04-14T00:00:00"/>
    <d v="2022-09-15T00:00:00"/>
    <x v="0"/>
    <n v="704"/>
    <x v="2"/>
    <n v="2"/>
    <n v="88.48"/>
    <n v="15"/>
    <x v="1"/>
    <x v="0"/>
    <n v="2710.4"/>
    <b v="1"/>
    <n v="0.33333333333333331"/>
    <n v="677.6"/>
    <n v="29.493333333333336"/>
    <d v="2021-04-01T00:00:00"/>
    <s v="Older"/>
    <n v="1"/>
    <s v="No"/>
    <n v="519"/>
    <s v="High"/>
    <s v="Low"/>
    <n v="0.4"/>
    <s v="Low"/>
    <n v="1"/>
    <d v="2021-04-01T00:00:00"/>
    <s v="0–6 months"/>
    <s v="2–3 tickets"/>
    <s v="46+ min"/>
    <s v="701–1000"/>
    <n v="2816"/>
    <n v="-105.59999999999991"/>
  </r>
  <r>
    <n v="11603"/>
    <n v="51"/>
    <s v="Male"/>
    <s v="Bangalore"/>
    <d v="2023-01-12T00:00:00"/>
    <d v="2023-08-02T00:00:00"/>
    <x v="1"/>
    <n v="1438"/>
    <x v="6"/>
    <n v="2"/>
    <n v="14.41"/>
    <n v="15"/>
    <x v="0"/>
    <x v="1"/>
    <n v="29982.3"/>
    <b v="1"/>
    <n v="1.75"/>
    <n v="1427.7285714285713"/>
    <n v="4.8033333333333337"/>
    <d v="2023-01-01T00:00:00"/>
    <s v="Older"/>
    <n v="0"/>
    <s v="Yes"/>
    <n v="202"/>
    <s v="Low"/>
    <s v="Low"/>
    <n v="9.0909090909090912E-2"/>
    <s v="High"/>
    <n v="3"/>
    <d v="2023-01-01T00:00:00"/>
    <s v="13–24 months"/>
    <s v="2–3 tickets"/>
    <s v="11–20 min"/>
    <s v="1000+"/>
    <n v="30198"/>
    <n v="-215.70000000000073"/>
  </r>
  <r>
    <n v="11604"/>
    <n v="28"/>
    <s v="Male"/>
    <s v="Chennai"/>
    <d v="2022-03-02T00:00:00"/>
    <d v="2023-04-18T00:00:00"/>
    <x v="1"/>
    <n v="1000"/>
    <x v="9"/>
    <n v="1"/>
    <n v="19.649999999999999"/>
    <n v="20"/>
    <x v="1"/>
    <x v="1"/>
    <n v="8800"/>
    <b v="1"/>
    <n v="0.75"/>
    <n v="977.77777777777783"/>
    <n v="9.8249999999999993"/>
    <d v="2022-03-01T00:00:00"/>
    <s v="Adult"/>
    <n v="0"/>
    <s v="No"/>
    <n v="412"/>
    <s v="Low"/>
    <s v="Medium"/>
    <n v="0.1"/>
    <s v="Low"/>
    <n v="3"/>
    <d v="2022-03-01T00:00:00"/>
    <s v="7–12 months"/>
    <s v="0–1 tickets"/>
    <s v="11–20 min"/>
    <s v="701–1000"/>
    <n v="9000"/>
    <n v="-200"/>
  </r>
  <r>
    <n v="11605"/>
    <n v="58"/>
    <s v="Female"/>
    <s v="Hyderabad"/>
    <d v="2021-04-11T00:00:00"/>
    <d v="2023-04-26T00:00:00"/>
    <x v="0"/>
    <n v="1279"/>
    <x v="16"/>
    <n v="2"/>
    <n v="107.65"/>
    <n v="10"/>
    <x v="3"/>
    <x v="0"/>
    <n v="8825.1"/>
    <b v="1"/>
    <n v="0.58333333333333337"/>
    <n v="1260.7285714285715"/>
    <n v="35.883333333333333"/>
    <d v="2021-04-01T00:00:00"/>
    <s v="Older"/>
    <n v="1"/>
    <s v="No"/>
    <n v="745"/>
    <s v="High"/>
    <s v="Low"/>
    <n v="0.25"/>
    <s v="Medium"/>
    <n v="1"/>
    <d v="2021-04-01T00:00:00"/>
    <s v="7–12 months"/>
    <s v="2–3 tickets"/>
    <s v="46+ min"/>
    <s v="1000+"/>
    <n v="8953"/>
    <n v="-127.89999999999964"/>
  </r>
  <r>
    <n v="11606"/>
    <n v="20"/>
    <s v="Female"/>
    <s v="Chennai"/>
    <d v="2022-06-25T00:00:00"/>
    <d v="2023-05-05T00:00:00"/>
    <x v="0"/>
    <n v="325"/>
    <x v="24"/>
    <n v="1"/>
    <n v="93.45"/>
    <n v="15"/>
    <x v="3"/>
    <x v="1"/>
    <n v="5151.25"/>
    <b v="1"/>
    <n v="1.3333333333333333"/>
    <n v="321.953125"/>
    <n v="46.725000000000001"/>
    <d v="2022-06-01T00:00:00"/>
    <s v="Young"/>
    <n v="0"/>
    <s v="No"/>
    <n v="314"/>
    <s v="High"/>
    <s v="Low"/>
    <n v="5.8823529411764705E-2"/>
    <s v="Low"/>
    <n v="1"/>
    <d v="2022-06-01T00:00:00"/>
    <s v="13–24 months"/>
    <s v="0–1 tickets"/>
    <s v="46+ min"/>
    <s v="301–500"/>
    <n v="5200"/>
    <n v="-48.75"/>
  </r>
  <r>
    <n v="11607"/>
    <n v="45"/>
    <s v="Female"/>
    <s v="Delhi"/>
    <d v="2022-10-01T00:00:00"/>
    <d v="2022-02-04T00:00:00"/>
    <x v="0"/>
    <n v="865"/>
    <x v="31"/>
    <n v="3"/>
    <n v="119.56"/>
    <n v="10"/>
    <x v="2"/>
    <x v="1"/>
    <n v="19808.5"/>
    <b v="0"/>
    <n v="1.9166666666666667"/>
    <n v="861.23913043478262"/>
    <n v="29.89"/>
    <d v="2022-10-01T00:00:00"/>
    <s v="Middle-aged"/>
    <n v="0"/>
    <s v="Yes"/>
    <m/>
    <s v="High"/>
    <s v="Low"/>
    <n v="0.125"/>
    <s v="High"/>
    <n v="1"/>
    <d v="2022-10-01T00:00:00"/>
    <s v="13–24 months"/>
    <s v="2–3 tickets"/>
    <s v="46+ min"/>
    <s v="701–1000"/>
    <n v="19895"/>
    <n v="-86.5"/>
  </r>
  <r>
    <n v="11608"/>
    <n v="46"/>
    <s v="Male"/>
    <s v="Mumbai"/>
    <d v="2023-04-30T00:00:00"/>
    <d v="2022-01-21T00:00:00"/>
    <x v="0"/>
    <n v="694"/>
    <x v="31"/>
    <n v="4"/>
    <n v="34.21"/>
    <n v="5"/>
    <x v="0"/>
    <x v="0"/>
    <n v="15927.3"/>
    <b v="0"/>
    <n v="1.9166666666666667"/>
    <n v="692.49130434782603"/>
    <n v="6.8420000000000005"/>
    <d v="2023-04-01T00:00:00"/>
    <s v="Middle-aged"/>
    <n v="1"/>
    <s v="Yes"/>
    <m/>
    <s v="Medium"/>
    <s v="Low"/>
    <n v="0.16666666666666666"/>
    <s v="Medium"/>
    <n v="1"/>
    <d v="2023-04-01T00:00:00"/>
    <s v="13–24 months"/>
    <s v="4–5 tickets"/>
    <s v="31–45 min"/>
    <s v="501–700"/>
    <n v="15962"/>
    <n v="-34.700000000000728"/>
  </r>
  <r>
    <n v="11609"/>
    <n v="26"/>
    <s v="Male"/>
    <s v="Mumbai"/>
    <d v="2022-06-06T00:00:00"/>
    <d v="2021-08-22T00:00:00"/>
    <x v="2"/>
    <n v="1300"/>
    <x v="27"/>
    <n v="3"/>
    <n v="62.59"/>
    <n v="15"/>
    <x v="0"/>
    <x v="1"/>
    <n v="40105"/>
    <b v="0"/>
    <n v="2.5833333333333335"/>
    <n v="1293.7096774193549"/>
    <n v="15.647500000000001"/>
    <d v="2022-06-01T00:00:00"/>
    <s v="Adult"/>
    <n v="0"/>
    <s v="Yes"/>
    <m/>
    <s v="High"/>
    <s v="Low"/>
    <n v="9.375E-2"/>
    <s v="High"/>
    <n v="2"/>
    <d v="2022-06-01T00:00:00"/>
    <s v="25+ months"/>
    <s v="2–3 tickets"/>
    <s v="46+ min"/>
    <s v="1000+"/>
    <n v="40300"/>
    <n v="-195"/>
  </r>
  <r>
    <n v="11610"/>
    <n v="20"/>
    <s v="Male"/>
    <s v="Hyderabad"/>
    <d v="2021-04-16T00:00:00"/>
    <d v="2021-09-01T00:00:00"/>
    <x v="0"/>
    <n v="822"/>
    <x v="21"/>
    <n v="1"/>
    <n v="32.19"/>
    <n v="10"/>
    <x v="1"/>
    <x v="1"/>
    <n v="4027.8"/>
    <b v="1"/>
    <n v="0.41666666666666669"/>
    <n v="805.56000000000006"/>
    <n v="16.094999999999999"/>
    <d v="2021-04-01T00:00:00"/>
    <s v="Young"/>
    <n v="0"/>
    <s v="No"/>
    <n v="138"/>
    <s v="Medium"/>
    <s v="Low"/>
    <n v="0.16666666666666666"/>
    <s v="Low"/>
    <n v="1"/>
    <d v="2021-04-01T00:00:00"/>
    <s v="0–6 months"/>
    <s v="0–1 tickets"/>
    <s v="31–45 min"/>
    <s v="701–1000"/>
    <n v="4110"/>
    <n v="-82.199999999999818"/>
  </r>
  <r>
    <n v="11611"/>
    <n v="42"/>
    <s v="Male"/>
    <s v="Mumbai"/>
    <d v="2022-11-10T00:00:00"/>
    <d v="2023-11-02T00:00:00"/>
    <x v="2"/>
    <n v="1161"/>
    <x v="20"/>
    <n v="0"/>
    <n v="76.62"/>
    <n v="20"/>
    <x v="2"/>
    <x v="1"/>
    <n v="6733.8"/>
    <b v="1"/>
    <n v="0.5"/>
    <n v="1122.3"/>
    <n v="76.62"/>
    <d v="2022-11-01T00:00:00"/>
    <s v="Middle-aged"/>
    <n v="0"/>
    <s v="No"/>
    <n v="357"/>
    <s v="High"/>
    <s v="Medium"/>
    <n v="0"/>
    <s v="Low"/>
    <n v="2"/>
    <d v="2022-11-01T00:00:00"/>
    <s v="0–6 months"/>
    <s v="0–1 tickets"/>
    <s v="46+ min"/>
    <s v="1000+"/>
    <n v="6966"/>
    <n v="-232.19999999999982"/>
  </r>
  <r>
    <n v="11612"/>
    <n v="51"/>
    <s v="Female"/>
    <s v="Mumbai"/>
    <d v="2023-02-08T00:00:00"/>
    <d v="2022-06-29T00:00:00"/>
    <x v="0"/>
    <n v="1406"/>
    <x v="7"/>
    <n v="1"/>
    <n v="18.27"/>
    <n v="20"/>
    <x v="2"/>
    <x v="0"/>
    <n v="1124.8"/>
    <b v="0"/>
    <n v="8.3333333333333329E-2"/>
    <n v="1124.8"/>
    <n v="9.1349999999999998"/>
    <d v="2023-02-01T00:00:00"/>
    <s v="Older"/>
    <n v="1"/>
    <s v="No"/>
    <m/>
    <s v="Low"/>
    <s v="Medium"/>
    <n v="0.5"/>
    <s v="Low"/>
    <n v="1"/>
    <d v="2023-02-01T00:00:00"/>
    <s v="0–6 months"/>
    <s v="0–1 tickets"/>
    <s v="11–20 min"/>
    <s v="1000+"/>
    <n v="1406"/>
    <n v="-281.20000000000005"/>
  </r>
  <r>
    <n v="11613"/>
    <n v="29"/>
    <s v="Male"/>
    <s v="unknown"/>
    <d v="2023-03-18T00:00:00"/>
    <d v="2023-09-02T00:00:00"/>
    <x v="0"/>
    <n v="1101"/>
    <x v="29"/>
    <n v="4"/>
    <n v="19.63"/>
    <n v="10"/>
    <x v="2"/>
    <x v="0"/>
    <n v="30607.8"/>
    <b v="1"/>
    <n v="2.3333333333333335"/>
    <n v="1093.1357142857144"/>
    <n v="3.9259999999999997"/>
    <d v="2023-03-01T00:00:00"/>
    <s v="Adult"/>
    <n v="1"/>
    <s v="Yes"/>
    <n v="168"/>
    <s v="Low"/>
    <s v="Low"/>
    <n v="0.13793103448275862"/>
    <s v="High"/>
    <n v="1"/>
    <d v="2023-03-01T00:00:00"/>
    <s v="25+ months"/>
    <s v="4–5 tickets"/>
    <s v="11–20 min"/>
    <s v="1000+"/>
    <n v="30828"/>
    <n v="-220.20000000000073"/>
  </r>
  <r>
    <n v="11614"/>
    <n v="59"/>
    <s v="Female"/>
    <s v="unknown"/>
    <d v="2021-10-04T00:00:00"/>
    <d v="2022-02-23T00:00:00"/>
    <x v="2"/>
    <n v="849"/>
    <x v="10"/>
    <n v="1"/>
    <n v="13.27"/>
    <n v="15"/>
    <x v="3"/>
    <x v="1"/>
    <n v="15154.65"/>
    <b v="1"/>
    <n v="1.5"/>
    <n v="841.92499999999995"/>
    <n v="6.6349999999999998"/>
    <d v="2021-10-01T00:00:00"/>
    <s v="Older"/>
    <n v="0"/>
    <s v="Yes"/>
    <n v="142"/>
    <s v="Low"/>
    <s v="Low"/>
    <n v="5.2631578947368418E-2"/>
    <s v="Medium"/>
    <n v="2"/>
    <d v="2021-10-01T00:00:00"/>
    <s v="13–24 months"/>
    <s v="0–1 tickets"/>
    <s v="11–20 min"/>
    <s v="701–1000"/>
    <n v="15282"/>
    <n v="-127.35000000000036"/>
  </r>
  <r>
    <n v="11615"/>
    <n v="41"/>
    <s v="Female"/>
    <s v="Hyderabad"/>
    <d v="2021-03-06T00:00:00"/>
    <d v="2022-07-22T00:00:00"/>
    <x v="2"/>
    <n v="386"/>
    <x v="30"/>
    <n v="2"/>
    <n v="84.76"/>
    <n v="20"/>
    <x v="0"/>
    <x v="1"/>
    <n v="9186.7999999999993"/>
    <b v="1"/>
    <n v="2"/>
    <n v="382.7833333333333"/>
    <n v="28.253333333333334"/>
    <d v="2021-03-01T00:00:00"/>
    <s v="Middle-aged"/>
    <n v="0"/>
    <s v="No"/>
    <n v="503"/>
    <s v="High"/>
    <s v="Medium"/>
    <n v="0.08"/>
    <s v="Medium"/>
    <n v="2"/>
    <d v="2021-03-01T00:00:00"/>
    <s v="13–24 months"/>
    <s v="2–3 tickets"/>
    <s v="46+ min"/>
    <s v="301–500"/>
    <n v="9264"/>
    <n v="-77.200000000000728"/>
  </r>
  <r>
    <n v="11616"/>
    <n v="32"/>
    <s v="Male"/>
    <s v="Mumbai"/>
    <d v="2023-02-22T00:00:00"/>
    <d v="2023-02-22T00:00:00"/>
    <x v="1"/>
    <n v="1132"/>
    <x v="19"/>
    <n v="0"/>
    <n v="61.82"/>
    <n v="0"/>
    <x v="1"/>
    <x v="1"/>
    <n v="14716"/>
    <b v="1"/>
    <n v="1.0833333333333333"/>
    <n v="1132"/>
    <n v="61.82"/>
    <d v="2023-02-01T00:00:00"/>
    <s v="Adult"/>
    <n v="0"/>
    <s v="Yes"/>
    <n v="0"/>
    <s v="High"/>
    <s v="Low"/>
    <n v="0"/>
    <s v="Medium"/>
    <n v="3"/>
    <d v="2023-02-01T00:00:00"/>
    <s v="13–24 months"/>
    <s v="0–1 tickets"/>
    <s v="46+ min"/>
    <s v="1000+"/>
    <n v="14716"/>
    <n v="0"/>
  </r>
  <r>
    <n v="11617"/>
    <n v="57"/>
    <s v="Female"/>
    <s v="Mumbai"/>
    <d v="2023-06-19T00:00:00"/>
    <d v="2023-01-04T00:00:00"/>
    <x v="1"/>
    <n v="686"/>
    <x v="33"/>
    <n v="5"/>
    <n v="76.040000000000006"/>
    <n v="5"/>
    <x v="1"/>
    <x v="1"/>
    <n v="22603.7"/>
    <b v="0"/>
    <n v="2.75"/>
    <n v="684.9606060606061"/>
    <n v="12.673333333333334"/>
    <d v="2023-06-01T00:00:00"/>
    <s v="Older"/>
    <n v="0"/>
    <s v="Yes"/>
    <m/>
    <s v="High"/>
    <s v="Low"/>
    <n v="0.14705882352941177"/>
    <s v="High"/>
    <n v="3"/>
    <d v="2023-06-01T00:00:00"/>
    <s v="25+ months"/>
    <s v="4–5 tickets"/>
    <s v="46+ min"/>
    <s v="501–700"/>
    <n v="22638"/>
    <n v="-34.299999999999272"/>
  </r>
  <r>
    <n v="11618"/>
    <n v="42"/>
    <s v="Male"/>
    <s v="Mumbai"/>
    <d v="2021-07-07T00:00:00"/>
    <d v="2022-11-11T00:00:00"/>
    <x v="0"/>
    <n v="1262"/>
    <x v="32"/>
    <n v="2"/>
    <n v="106.12"/>
    <n v="10"/>
    <x v="1"/>
    <x v="0"/>
    <n v="12493.8"/>
    <b v="1"/>
    <n v="0.83333333333333337"/>
    <n v="1249.3799999999999"/>
    <n v="35.373333333333335"/>
    <d v="2021-07-01T00:00:00"/>
    <s v="Middle-aged"/>
    <n v="1"/>
    <s v="No"/>
    <n v="492"/>
    <s v="High"/>
    <s v="Low"/>
    <n v="0.18181818181818182"/>
    <s v="Medium"/>
    <n v="1"/>
    <d v="2021-07-01T00:00:00"/>
    <s v="7–12 months"/>
    <s v="2–3 tickets"/>
    <s v="46+ min"/>
    <s v="1000+"/>
    <n v="12620"/>
    <n v="-126.20000000000073"/>
  </r>
  <r>
    <n v="11619"/>
    <n v="22"/>
    <s v="Male"/>
    <s v="Pune"/>
    <d v="2021-11-13T00:00:00"/>
    <d v="2022-02-08T00:00:00"/>
    <x v="0"/>
    <n v="967"/>
    <x v="16"/>
    <n v="1"/>
    <n v="90.14"/>
    <n v="0"/>
    <x v="2"/>
    <x v="1"/>
    <n v="6769"/>
    <b v="1"/>
    <n v="0.58333333333333337"/>
    <n v="967"/>
    <n v="45.07"/>
    <d v="2021-11-01T00:00:00"/>
    <s v="Young"/>
    <n v="0"/>
    <s v="No"/>
    <n v="87"/>
    <s v="High"/>
    <s v="Low"/>
    <n v="0.125"/>
    <s v="Low"/>
    <n v="1"/>
    <d v="2021-11-01T00:00:00"/>
    <s v="7–12 months"/>
    <s v="0–1 tickets"/>
    <s v="46+ min"/>
    <s v="701–1000"/>
    <n v="6769"/>
    <n v="0"/>
  </r>
  <r>
    <n v="11620"/>
    <n v="41"/>
    <s v="Male"/>
    <s v="Delhi"/>
    <d v="2021-05-18T00:00:00"/>
    <d v="2021-09-30T00:00:00"/>
    <x v="1"/>
    <n v="585"/>
    <x v="23"/>
    <n v="3"/>
    <n v="58.1"/>
    <n v="15"/>
    <x v="0"/>
    <x v="0"/>
    <n v="18632.25"/>
    <b v="1"/>
    <n v="2.6666666666666665"/>
    <n v="582.2578125"/>
    <n v="14.525"/>
    <d v="2021-05-01T00:00:00"/>
    <s v="Middle-aged"/>
    <n v="1"/>
    <s v="Yes"/>
    <n v="135"/>
    <s v="Medium"/>
    <s v="Low"/>
    <n v="9.0909090909090912E-2"/>
    <s v="Medium"/>
    <n v="3"/>
    <d v="2021-05-01T00:00:00"/>
    <s v="25+ months"/>
    <s v="2–3 tickets"/>
    <s v="46+ min"/>
    <s v="501–700"/>
    <n v="18720"/>
    <n v="-87.75"/>
  </r>
  <r>
    <n v="11621"/>
    <n v="51"/>
    <s v="Female"/>
    <s v="Chennai"/>
    <d v="2021-12-09T00:00:00"/>
    <d v="2023-11-09T00:00:00"/>
    <x v="1"/>
    <n v="997"/>
    <x v="1"/>
    <n v="4"/>
    <n v="118.2"/>
    <n v="10"/>
    <x v="0"/>
    <x v="1"/>
    <n v="21834.3"/>
    <b v="1"/>
    <n v="1.8333333333333333"/>
    <n v="992.46818181818173"/>
    <n v="23.64"/>
    <d v="2021-12-01T00:00:00"/>
    <s v="Older"/>
    <n v="0"/>
    <s v="Yes"/>
    <n v="700"/>
    <s v="High"/>
    <s v="Low"/>
    <n v="0.17391304347826086"/>
    <s v="High"/>
    <n v="3"/>
    <d v="2021-12-01T00:00:00"/>
    <s v="13–24 months"/>
    <s v="4–5 tickets"/>
    <s v="46+ min"/>
    <s v="701–1000"/>
    <n v="21934"/>
    <n v="-99.700000000000728"/>
  </r>
  <r>
    <n v="11622"/>
    <n v="41"/>
    <s v="Male"/>
    <s v="Delhi"/>
    <d v="2021-04-15T00:00:00"/>
    <d v="2021-06-10T00:00:00"/>
    <x v="1"/>
    <n v="1264"/>
    <x v="24"/>
    <n v="1"/>
    <n v="57.47"/>
    <n v="10"/>
    <x v="3"/>
    <x v="1"/>
    <n v="20097.599999999999"/>
    <b v="1"/>
    <n v="1.3333333333333333"/>
    <n v="1256.0999999999999"/>
    <n v="28.734999999999999"/>
    <d v="2021-04-01T00:00:00"/>
    <s v="Middle-aged"/>
    <n v="0"/>
    <s v="Yes"/>
    <n v="56"/>
    <s v="Medium"/>
    <s v="Low"/>
    <n v="5.8823529411764705E-2"/>
    <s v="High"/>
    <n v="3"/>
    <d v="2021-04-01T00:00:00"/>
    <s v="13–24 months"/>
    <s v="0–1 tickets"/>
    <s v="46+ min"/>
    <s v="1000+"/>
    <n v="20224"/>
    <n v="-126.40000000000146"/>
  </r>
  <r>
    <n v="11623"/>
    <n v="32"/>
    <s v="Female"/>
    <s v="Hyderabad"/>
    <d v="2022-06-30T00:00:00"/>
    <d v="2023-08-08T00:00:00"/>
    <x v="0"/>
    <n v="668"/>
    <x v="30"/>
    <n v="1"/>
    <n v="17.93"/>
    <n v="20"/>
    <x v="3"/>
    <x v="1"/>
    <n v="15898.4"/>
    <b v="1"/>
    <n v="2"/>
    <n v="662.43333333333328"/>
    <n v="8.9649999999999999"/>
    <d v="2022-06-01T00:00:00"/>
    <s v="Adult"/>
    <n v="0"/>
    <s v="Yes"/>
    <n v="404"/>
    <s v="Low"/>
    <s v="Medium"/>
    <n v="0.04"/>
    <s v="Medium"/>
    <n v="1"/>
    <d v="2022-06-01T00:00:00"/>
    <s v="13–24 months"/>
    <s v="0–1 tickets"/>
    <s v="11–20 min"/>
    <s v="501–700"/>
    <n v="16032"/>
    <n v="-133.60000000000036"/>
  </r>
  <r>
    <n v="11624"/>
    <n v="55"/>
    <s v="Female"/>
    <s v="Bangalore"/>
    <d v="2022-01-15T00:00:00"/>
    <d v="2022-04-12T00:00:00"/>
    <x v="1"/>
    <n v="954"/>
    <x v="25"/>
    <n v="4"/>
    <n v="119.16"/>
    <n v="10"/>
    <x v="3"/>
    <x v="1"/>
    <n v="13260.6"/>
    <b v="1"/>
    <n v="1.1666666666666667"/>
    <n v="947.18571428571431"/>
    <n v="23.832000000000001"/>
    <d v="2022-01-01T00:00:00"/>
    <s v="Older"/>
    <n v="0"/>
    <s v="No"/>
    <n v="87"/>
    <s v="High"/>
    <s v="Low"/>
    <n v="0.26666666666666666"/>
    <s v="Medium"/>
    <n v="3"/>
    <d v="2022-01-01T00:00:00"/>
    <s v="13–24 months"/>
    <s v="4–5 tickets"/>
    <s v="46+ min"/>
    <s v="701–1000"/>
    <n v="13356"/>
    <n v="-95.399999999999636"/>
  </r>
  <r>
    <n v="11625"/>
    <n v="25"/>
    <s v="Male"/>
    <s v="Chennai"/>
    <d v="2021-04-20T00:00:00"/>
    <d v="2023-09-16T00:00:00"/>
    <x v="0"/>
    <n v="953"/>
    <x v="11"/>
    <n v="4"/>
    <n v="7.62"/>
    <n v="10"/>
    <x v="1"/>
    <x v="0"/>
    <n v="10387.700000000001"/>
    <b v="1"/>
    <n v="0.91666666666666663"/>
    <n v="944.33636363636367"/>
    <n v="1.524"/>
    <d v="2021-04-01T00:00:00"/>
    <s v="Young"/>
    <n v="1"/>
    <s v="No"/>
    <n v="879"/>
    <s v="Low"/>
    <s v="Low"/>
    <n v="0.33333333333333331"/>
    <s v="Medium"/>
    <n v="1"/>
    <d v="2021-04-01T00:00:00"/>
    <s v="7–12 months"/>
    <s v="4–5 tickets"/>
    <s v="0–10 min"/>
    <s v="701–1000"/>
    <n v="10483"/>
    <n v="-95.299999999999272"/>
  </r>
  <r>
    <n v="11626"/>
    <n v="22"/>
    <s v="Female"/>
    <s v="Bangalore"/>
    <d v="2022-06-29T00:00:00"/>
    <d v="2022-02-28T00:00:00"/>
    <x v="2"/>
    <n v="996"/>
    <x v="17"/>
    <n v="1"/>
    <n v="68.239999999999995"/>
    <n v="5"/>
    <x v="1"/>
    <x v="0"/>
    <n v="18874.2"/>
    <b v="0"/>
    <n v="1.5833333333333333"/>
    <n v="993.37894736842111"/>
    <n v="34.119999999999997"/>
    <d v="2022-06-01T00:00:00"/>
    <s v="Young"/>
    <n v="1"/>
    <s v="Yes"/>
    <m/>
    <s v="High"/>
    <s v="Low"/>
    <n v="0.05"/>
    <s v="Medium"/>
    <n v="2"/>
    <d v="2022-06-01T00:00:00"/>
    <s v="13–24 months"/>
    <s v="0–1 tickets"/>
    <s v="46+ min"/>
    <s v="701–1000"/>
    <n v="18924"/>
    <n v="-49.799999999999272"/>
  </r>
  <r>
    <n v="11627"/>
    <n v="43"/>
    <s v="Female"/>
    <s v="Pune"/>
    <d v="2021-12-20T00:00:00"/>
    <d v="2022-04-02T00:00:00"/>
    <x v="1"/>
    <n v="1323"/>
    <x v="31"/>
    <n v="2"/>
    <n v="40.549999999999997"/>
    <n v="15"/>
    <x v="0"/>
    <x v="1"/>
    <n v="30230.55"/>
    <b v="1"/>
    <n v="1.9166666666666667"/>
    <n v="1314.3717391304347"/>
    <n v="13.516666666666666"/>
    <d v="2021-12-01T00:00:00"/>
    <s v="Middle-aged"/>
    <n v="0"/>
    <s v="Yes"/>
    <n v="103"/>
    <s v="Medium"/>
    <s v="Low"/>
    <n v="8.3333333333333329E-2"/>
    <s v="High"/>
    <n v="3"/>
    <d v="2021-12-01T00:00:00"/>
    <s v="13–24 months"/>
    <s v="2–3 tickets"/>
    <s v="31–45 min"/>
    <s v="1000+"/>
    <n v="30429"/>
    <n v="-198.45000000000073"/>
  </r>
  <r>
    <n v="11628"/>
    <n v="35"/>
    <s v="Male"/>
    <s v="Hyderabad"/>
    <d v="2023-01-13T00:00:00"/>
    <d v="2023-08-14T00:00:00"/>
    <x v="0"/>
    <n v="1214"/>
    <x v="22"/>
    <n v="3"/>
    <n v="62.91"/>
    <n v="0"/>
    <x v="3"/>
    <x v="1"/>
    <n v="41276"/>
    <b v="1"/>
    <n v="2.8333333333333335"/>
    <n v="1214"/>
    <n v="15.727499999999999"/>
    <d v="2023-01-01T00:00:00"/>
    <s v="Adult"/>
    <n v="0"/>
    <s v="Yes"/>
    <n v="213"/>
    <s v="High"/>
    <s v="Low"/>
    <n v="8.5714285714285715E-2"/>
    <s v="High"/>
    <n v="1"/>
    <d v="2023-01-01T00:00:00"/>
    <s v="25+ months"/>
    <s v="2–3 tickets"/>
    <s v="46+ min"/>
    <s v="1000+"/>
    <n v="41276"/>
    <n v="0"/>
  </r>
  <r>
    <n v="11629"/>
    <n v="23"/>
    <s v="Male"/>
    <s v="Pune"/>
    <d v="2021-11-13T00:00:00"/>
    <d v="2021-12-27T00:00:00"/>
    <x v="1"/>
    <n v="587"/>
    <x v="19"/>
    <n v="2"/>
    <n v="69.25"/>
    <n v="20"/>
    <x v="1"/>
    <x v="1"/>
    <n v="7513.6"/>
    <b v="1"/>
    <n v="1.0833333333333333"/>
    <n v="577.96923076923076"/>
    <n v="23.083333333333332"/>
    <d v="2021-11-01T00:00:00"/>
    <s v="Young"/>
    <n v="0"/>
    <s v="No"/>
    <n v="44"/>
    <s v="High"/>
    <s v="Medium"/>
    <n v="0.14285714285714285"/>
    <s v="Low"/>
    <n v="3"/>
    <d v="2021-11-01T00:00:00"/>
    <s v="13–24 months"/>
    <s v="2–3 tickets"/>
    <s v="46+ min"/>
    <s v="501–700"/>
    <n v="7631"/>
    <n v="-117.39999999999964"/>
  </r>
  <r>
    <n v="11630"/>
    <n v="54"/>
    <s v="Female"/>
    <s v="Hyderabad"/>
    <d v="2021-09-23T00:00:00"/>
    <d v="2023-05-31T00:00:00"/>
    <x v="0"/>
    <n v="394"/>
    <x v="29"/>
    <n v="3"/>
    <n v="32.61"/>
    <n v="5"/>
    <x v="3"/>
    <x v="1"/>
    <n v="11012.3"/>
    <b v="1"/>
    <n v="2.3333333333333335"/>
    <n v="393.29642857142852"/>
    <n v="8.1524999999999999"/>
    <d v="2021-09-01T00:00:00"/>
    <s v="Older"/>
    <n v="0"/>
    <s v="No"/>
    <n v="615"/>
    <s v="Medium"/>
    <s v="Low"/>
    <n v="0.10344827586206896"/>
    <s v="Medium"/>
    <n v="1"/>
    <d v="2021-09-01T00:00:00"/>
    <s v="25+ months"/>
    <s v="2–3 tickets"/>
    <s v="31–45 min"/>
    <s v="301–500"/>
    <n v="11032"/>
    <n v="-19.700000000000728"/>
  </r>
  <r>
    <n v="11631"/>
    <n v="30"/>
    <s v="Male"/>
    <s v="Bangalore"/>
    <d v="2022-11-25T00:00:00"/>
    <d v="2023-06-23T00:00:00"/>
    <x v="1"/>
    <n v="968"/>
    <x v="24"/>
    <n v="2"/>
    <n v="69.040000000000006"/>
    <n v="0"/>
    <x v="3"/>
    <x v="1"/>
    <n v="15488"/>
    <b v="1"/>
    <n v="1.3333333333333333"/>
    <n v="968"/>
    <n v="23.013333333333335"/>
    <d v="2022-11-01T00:00:00"/>
    <s v="Adult"/>
    <n v="0"/>
    <s v="Yes"/>
    <n v="210"/>
    <s v="High"/>
    <s v="Low"/>
    <n v="0.11764705882352941"/>
    <s v="Medium"/>
    <n v="3"/>
    <d v="2022-11-01T00:00:00"/>
    <s v="13–24 months"/>
    <s v="2–3 tickets"/>
    <s v="46+ min"/>
    <s v="701–1000"/>
    <n v="15488"/>
    <n v="0"/>
  </r>
  <r>
    <n v="11632"/>
    <n v="45"/>
    <s v="Female"/>
    <s v="Bangalore"/>
    <d v="2023-05-02T00:00:00"/>
    <d v="2023-11-03T00:00:00"/>
    <x v="0"/>
    <n v="340"/>
    <x v="29"/>
    <n v="8"/>
    <n v="91.95"/>
    <n v="0"/>
    <x v="0"/>
    <x v="1"/>
    <n v="9520"/>
    <b v="1"/>
    <n v="2.3333333333333335"/>
    <n v="340"/>
    <n v="10.216666666666667"/>
    <d v="2023-05-01T00:00:00"/>
    <s v="Middle-aged"/>
    <n v="0"/>
    <s v="No"/>
    <n v="185"/>
    <s v="High"/>
    <s v="Low"/>
    <n v="0.27586206896551724"/>
    <s v="Medium"/>
    <n v="1"/>
    <d v="2023-05-01T00:00:00"/>
    <s v="25+ months"/>
    <s v="6+ tickets"/>
    <s v="46+ min"/>
    <s v="301–500"/>
    <n v="9520"/>
    <n v="0"/>
  </r>
  <r>
    <n v="11633"/>
    <n v="22"/>
    <s v="Male"/>
    <s v="Bangalore"/>
    <d v="2021-03-06T00:00:00"/>
    <d v="2022-09-07T00:00:00"/>
    <x v="1"/>
    <n v="630"/>
    <x v="2"/>
    <n v="2"/>
    <n v="62.59"/>
    <n v="5"/>
    <x v="0"/>
    <x v="0"/>
    <n v="2488.5"/>
    <b v="1"/>
    <n v="0.33333333333333331"/>
    <n v="622.125"/>
    <n v="20.863333333333333"/>
    <d v="2021-03-01T00:00:00"/>
    <s v="Young"/>
    <n v="1"/>
    <s v="No"/>
    <n v="550"/>
    <s v="High"/>
    <s v="Low"/>
    <n v="0.4"/>
    <s v="Low"/>
    <n v="3"/>
    <d v="2021-03-01T00:00:00"/>
    <s v="0–6 months"/>
    <s v="2–3 tickets"/>
    <s v="46+ min"/>
    <s v="501–700"/>
    <n v="2520"/>
    <n v="-31.5"/>
  </r>
  <r>
    <n v="11634"/>
    <n v="30"/>
    <s v="Male"/>
    <s v="Hyderabad"/>
    <d v="2021-11-29T00:00:00"/>
    <d v="2023-05-13T00:00:00"/>
    <x v="0"/>
    <n v="1478"/>
    <x v="29"/>
    <n v="1"/>
    <n v="49.09"/>
    <n v="20"/>
    <x v="1"/>
    <x v="1"/>
    <n v="41088.400000000001"/>
    <b v="1"/>
    <n v="2.3333333333333335"/>
    <n v="1467.4428571428573"/>
    <n v="24.545000000000002"/>
    <d v="2021-11-01T00:00:00"/>
    <s v="Adult"/>
    <n v="0"/>
    <s v="Yes"/>
    <n v="530"/>
    <s v="Medium"/>
    <s v="Medium"/>
    <n v="3.4482758620689655E-2"/>
    <s v="High"/>
    <n v="1"/>
    <d v="2021-11-01T00:00:00"/>
    <s v="25+ months"/>
    <s v="0–1 tickets"/>
    <s v="46+ min"/>
    <s v="1000+"/>
    <n v="41384"/>
    <n v="-295.59999999999854"/>
  </r>
  <r>
    <n v="11635"/>
    <n v="34"/>
    <s v="Male"/>
    <s v="unknown"/>
    <d v="2022-05-28T00:00:00"/>
    <d v="2023-05-29T00:00:00"/>
    <x v="2"/>
    <n v="803"/>
    <x v="34"/>
    <n v="1"/>
    <n v="35.85"/>
    <n v="15"/>
    <x v="0"/>
    <x v="0"/>
    <n v="9515.5499999999993"/>
    <b v="1"/>
    <n v="1"/>
    <n v="792.96249999999998"/>
    <n v="17.925000000000001"/>
    <d v="2022-05-01T00:00:00"/>
    <s v="Adult"/>
    <n v="1"/>
    <s v="No"/>
    <n v="366"/>
    <s v="Medium"/>
    <s v="Low"/>
    <n v="7.6923076923076927E-2"/>
    <s v="Medium"/>
    <n v="2"/>
    <d v="2022-05-01T00:00:00"/>
    <s v="7–12 months"/>
    <s v="0–1 tickets"/>
    <s v="31–45 min"/>
    <s v="701–1000"/>
    <n v="9636"/>
    <n v="-120.45000000000073"/>
  </r>
  <r>
    <n v="11636"/>
    <n v="57"/>
    <s v="Male"/>
    <s v="Bangalore"/>
    <d v="2021-05-13T00:00:00"/>
    <d v="2023-05-18T00:00:00"/>
    <x v="2"/>
    <n v="574"/>
    <x v="24"/>
    <n v="0"/>
    <n v="99.36"/>
    <n v="5"/>
    <x v="3"/>
    <x v="1"/>
    <n v="9155.2999999999993"/>
    <b v="1"/>
    <n v="1.3333333333333333"/>
    <n v="572.20624999999995"/>
    <n v="99.36"/>
    <d v="2021-05-01T00:00:00"/>
    <s v="Older"/>
    <n v="0"/>
    <s v="No"/>
    <n v="735"/>
    <s v="High"/>
    <s v="Low"/>
    <n v="0"/>
    <s v="Medium"/>
    <n v="2"/>
    <d v="2021-05-01T00:00:00"/>
    <s v="13–24 months"/>
    <s v="0–1 tickets"/>
    <s v="46+ min"/>
    <s v="501–700"/>
    <n v="9184"/>
    <n v="-28.700000000000728"/>
  </r>
  <r>
    <n v="11637"/>
    <n v="62"/>
    <s v="Female"/>
    <s v="Pune"/>
    <d v="2022-08-15T00:00:00"/>
    <d v="2022-07-21T00:00:00"/>
    <x v="2"/>
    <n v="478"/>
    <x v="28"/>
    <n v="0"/>
    <n v="88.37"/>
    <n v="5"/>
    <x v="0"/>
    <x v="1"/>
    <n v="9536.1"/>
    <b v="0"/>
    <n v="1.6666666666666667"/>
    <n v="476.80500000000001"/>
    <n v="88.37"/>
    <d v="2022-08-01T00:00:00"/>
    <s v="Older"/>
    <n v="0"/>
    <s v="No"/>
    <m/>
    <s v="High"/>
    <s v="Low"/>
    <n v="0"/>
    <s v="Medium"/>
    <n v="2"/>
    <d v="2022-08-01T00:00:00"/>
    <s v="13–24 months"/>
    <s v="0–1 tickets"/>
    <s v="46+ min"/>
    <s v="301–500"/>
    <n v="9560"/>
    <n v="-23.899999999999636"/>
  </r>
  <r>
    <n v="11638"/>
    <n v="49"/>
    <s v="Male"/>
    <s v="Chennai"/>
    <d v="2023-02-22T00:00:00"/>
    <d v="2022-01-02T00:00:00"/>
    <x v="0"/>
    <n v="436"/>
    <x v="8"/>
    <n v="2"/>
    <n v="105.19"/>
    <n v="10"/>
    <x v="3"/>
    <x v="1"/>
    <n v="11314.2"/>
    <b v="0"/>
    <n v="2.1666666666666665"/>
    <n v="435.1615384615385"/>
    <n v="35.063333333333333"/>
    <d v="2023-02-01T00:00:00"/>
    <s v="Middle-aged"/>
    <n v="0"/>
    <s v="No"/>
    <m/>
    <s v="High"/>
    <s v="Low"/>
    <n v="7.407407407407407E-2"/>
    <s v="Medium"/>
    <n v="1"/>
    <d v="2023-02-01T00:00:00"/>
    <s v="25+ months"/>
    <s v="2–3 tickets"/>
    <s v="46+ min"/>
    <s v="301–500"/>
    <n v="11336"/>
    <n v="-21.799999999999272"/>
  </r>
  <r>
    <n v="11639"/>
    <n v="46"/>
    <s v="Female"/>
    <s v="Hyderabad"/>
    <d v="2023-01-23T00:00:00"/>
    <d v="2021-08-19T00:00:00"/>
    <x v="2"/>
    <n v="1066"/>
    <x v="8"/>
    <n v="1"/>
    <n v="24.56"/>
    <n v="10"/>
    <x v="3"/>
    <x v="1"/>
    <n v="27502.799999999999"/>
    <b v="0"/>
    <n v="2.1666666666666665"/>
    <n v="1057.8"/>
    <n v="12.28"/>
    <d v="2023-01-01T00:00:00"/>
    <s v="Middle-aged"/>
    <n v="0"/>
    <s v="Yes"/>
    <m/>
    <s v="Medium"/>
    <s v="Low"/>
    <n v="3.7037037037037035E-2"/>
    <s v="High"/>
    <n v="2"/>
    <d v="2023-01-01T00:00:00"/>
    <s v="25+ months"/>
    <s v="0–1 tickets"/>
    <s v="21–30 min"/>
    <s v="1000+"/>
    <n v="27716"/>
    <n v="-213.20000000000073"/>
  </r>
  <r>
    <n v="11640"/>
    <n v="20"/>
    <s v="Female"/>
    <s v="Pune"/>
    <d v="2022-06-24T00:00:00"/>
    <d v="2023-07-19T00:00:00"/>
    <x v="0"/>
    <n v="1287"/>
    <x v="1"/>
    <n v="3"/>
    <n v="13.46"/>
    <n v="5"/>
    <x v="1"/>
    <x v="1"/>
    <n v="28249.65"/>
    <b v="1"/>
    <n v="1.8333333333333333"/>
    <n v="1284.075"/>
    <n v="3.3650000000000002"/>
    <d v="2022-06-01T00:00:00"/>
    <s v="Young"/>
    <n v="0"/>
    <s v="Yes"/>
    <n v="390"/>
    <s v="Low"/>
    <s v="Low"/>
    <n v="0.13043478260869565"/>
    <s v="High"/>
    <n v="1"/>
    <d v="2022-06-01T00:00:00"/>
    <s v="13–24 months"/>
    <s v="2–3 tickets"/>
    <s v="11–20 min"/>
    <s v="1000+"/>
    <n v="28314"/>
    <n v="-64.349999999998545"/>
  </r>
  <r>
    <n v="11641"/>
    <n v="57"/>
    <s v="Female"/>
    <s v="Delhi"/>
    <d v="2023-01-05T00:00:00"/>
    <d v="2022-09-23T00:00:00"/>
    <x v="2"/>
    <n v="542"/>
    <x v="9"/>
    <n v="2"/>
    <n v="18.73"/>
    <n v="5"/>
    <x v="1"/>
    <x v="1"/>
    <n v="4850.8999999999996"/>
    <b v="0"/>
    <n v="0.75"/>
    <n v="538.98888888888882"/>
    <n v="6.2433333333333332"/>
    <d v="2023-01-01T00:00:00"/>
    <s v="Older"/>
    <n v="0"/>
    <s v="No"/>
    <m/>
    <s v="Low"/>
    <s v="Low"/>
    <n v="0.2"/>
    <s v="Low"/>
    <n v="2"/>
    <d v="2023-01-01T00:00:00"/>
    <s v="7–12 months"/>
    <s v="2–3 tickets"/>
    <s v="11–20 min"/>
    <s v="501–700"/>
    <n v="4878"/>
    <n v="-27.100000000000364"/>
  </r>
  <r>
    <n v="11642"/>
    <n v="51"/>
    <s v="Female"/>
    <s v="Delhi"/>
    <d v="2022-06-19T00:00:00"/>
    <d v="2023-11-08T00:00:00"/>
    <x v="0"/>
    <n v="1419"/>
    <x v="21"/>
    <n v="1"/>
    <n v="23.52"/>
    <n v="10"/>
    <x v="1"/>
    <x v="1"/>
    <n v="6953.1"/>
    <b v="1"/>
    <n v="0.41666666666666669"/>
    <n v="1390.6200000000001"/>
    <n v="11.76"/>
    <d v="2022-06-01T00:00:00"/>
    <s v="Older"/>
    <n v="0"/>
    <s v="No"/>
    <n v="507"/>
    <s v="Medium"/>
    <s v="Low"/>
    <n v="0.16666666666666666"/>
    <s v="Low"/>
    <n v="1"/>
    <d v="2022-06-01T00:00:00"/>
    <s v="0–6 months"/>
    <s v="0–1 tickets"/>
    <s v="21–30 min"/>
    <s v="1000+"/>
    <n v="7095"/>
    <n v="-141.89999999999964"/>
  </r>
  <r>
    <n v="11643"/>
    <n v="57"/>
    <s v="Male"/>
    <s v="Chennai"/>
    <d v="2022-05-11T00:00:00"/>
    <d v="2022-11-29T00:00:00"/>
    <x v="1"/>
    <n v="496"/>
    <x v="18"/>
    <n v="1"/>
    <n v="66.3"/>
    <n v="10"/>
    <x v="3"/>
    <x v="1"/>
    <n v="8382.4"/>
    <b v="1"/>
    <n v="1.4166666666666667"/>
    <n v="493.08235294117645"/>
    <n v="33.15"/>
    <d v="2022-05-01T00:00:00"/>
    <s v="Older"/>
    <n v="0"/>
    <s v="No"/>
    <n v="202"/>
    <s v="High"/>
    <s v="Low"/>
    <n v="5.5555555555555552E-2"/>
    <s v="Low"/>
    <n v="3"/>
    <d v="2022-05-01T00:00:00"/>
    <s v="13–24 months"/>
    <s v="0–1 tickets"/>
    <s v="46+ min"/>
    <s v="301–500"/>
    <n v="8432"/>
    <n v="-49.600000000000364"/>
  </r>
  <r>
    <n v="11644"/>
    <n v="44"/>
    <s v="Male"/>
    <s v="Mumbai"/>
    <d v="2022-09-13T00:00:00"/>
    <d v="2023-08-10T00:00:00"/>
    <x v="0"/>
    <n v="825"/>
    <x v="22"/>
    <n v="2"/>
    <n v="116.65"/>
    <n v="10"/>
    <x v="0"/>
    <x v="1"/>
    <n v="27967.5"/>
    <b v="1"/>
    <n v="2.8333333333333335"/>
    <n v="822.57352941176475"/>
    <n v="38.883333333333333"/>
    <d v="2022-09-01T00:00:00"/>
    <s v="Middle-aged"/>
    <n v="0"/>
    <s v="Yes"/>
    <n v="331"/>
    <s v="High"/>
    <s v="Low"/>
    <n v="5.7142857142857141E-2"/>
    <s v="High"/>
    <n v="1"/>
    <d v="2022-09-01T00:00:00"/>
    <s v="25+ months"/>
    <s v="2–3 tickets"/>
    <s v="46+ min"/>
    <s v="701–1000"/>
    <n v="28050"/>
    <n v="-82.5"/>
  </r>
  <r>
    <n v="11645"/>
    <n v="30"/>
    <s v="Female"/>
    <s v="Bangalore"/>
    <d v="2022-09-11T00:00:00"/>
    <d v="2021-06-18T00:00:00"/>
    <x v="0"/>
    <n v="931"/>
    <x v="4"/>
    <n v="4"/>
    <n v="46.08"/>
    <n v="10"/>
    <x v="1"/>
    <x v="1"/>
    <n v="1768.9"/>
    <b v="0"/>
    <n v="0.16666666666666666"/>
    <n v="884.45"/>
    <n v="9.2159999999999993"/>
    <d v="2022-09-01T00:00:00"/>
    <s v="Adult"/>
    <n v="0"/>
    <s v="No"/>
    <m/>
    <s v="Medium"/>
    <s v="Low"/>
    <n v="1.3333333333333333"/>
    <s v="Low"/>
    <n v="1"/>
    <d v="2022-09-01T00:00:00"/>
    <s v="0–6 months"/>
    <s v="4–5 tickets"/>
    <s v="46+ min"/>
    <s v="701–1000"/>
    <n v="1862"/>
    <n v="-93.099999999999909"/>
  </r>
  <r>
    <n v="11646"/>
    <n v="62"/>
    <s v="Male"/>
    <s v="Hyderabad"/>
    <d v="2022-10-19T00:00:00"/>
    <d v="2021-11-12T00:00:00"/>
    <x v="0"/>
    <n v="707"/>
    <x v="16"/>
    <n v="2"/>
    <n v="115.23"/>
    <n v="5"/>
    <x v="1"/>
    <x v="1"/>
    <n v="4913.6499999999996"/>
    <b v="0"/>
    <n v="0.58333333333333337"/>
    <n v="701.94999999999993"/>
    <n v="38.410000000000004"/>
    <d v="2022-10-01T00:00:00"/>
    <s v="Older"/>
    <n v="0"/>
    <s v="No"/>
    <m/>
    <s v="High"/>
    <s v="Low"/>
    <n v="0.25"/>
    <s v="Low"/>
    <n v="1"/>
    <d v="2022-10-01T00:00:00"/>
    <s v="7–12 months"/>
    <s v="2–3 tickets"/>
    <s v="46+ min"/>
    <s v="701–1000"/>
    <n v="4949"/>
    <n v="-35.350000000000364"/>
  </r>
  <r>
    <n v="11647"/>
    <n v="50"/>
    <s v="Female"/>
    <s v="Pune"/>
    <d v="2022-01-04T00:00:00"/>
    <d v="2022-11-07T00:00:00"/>
    <x v="0"/>
    <n v="1494"/>
    <x v="19"/>
    <n v="2"/>
    <n v="9.39"/>
    <n v="10"/>
    <x v="0"/>
    <x v="1"/>
    <n v="19272.599999999999"/>
    <b v="1"/>
    <n v="1.0833333333333333"/>
    <n v="1482.5076923076922"/>
    <n v="3.1300000000000003"/>
    <d v="2022-01-01T00:00:00"/>
    <s v="Middle-aged"/>
    <n v="0"/>
    <s v="Yes"/>
    <n v="307"/>
    <s v="Low"/>
    <s v="Low"/>
    <n v="0.14285714285714285"/>
    <s v="Medium"/>
    <n v="1"/>
    <d v="2022-01-01T00:00:00"/>
    <s v="13–24 months"/>
    <s v="2–3 tickets"/>
    <s v="0–10 min"/>
    <s v="1000+"/>
    <n v="19422"/>
    <n v="-149.40000000000146"/>
  </r>
  <r>
    <n v="11648"/>
    <n v="23"/>
    <s v="Male"/>
    <s v="Bangalore"/>
    <d v="2023-05-16T00:00:00"/>
    <d v="2021-12-19T00:00:00"/>
    <x v="0"/>
    <n v="990"/>
    <x v="28"/>
    <n v="1"/>
    <n v="111.59"/>
    <n v="0"/>
    <x v="0"/>
    <x v="0"/>
    <n v="19800"/>
    <b v="0"/>
    <n v="1.6666666666666667"/>
    <n v="990"/>
    <n v="55.795000000000002"/>
    <d v="2023-05-01T00:00:00"/>
    <s v="Young"/>
    <n v="1"/>
    <s v="Yes"/>
    <m/>
    <s v="High"/>
    <s v="Low"/>
    <n v="4.7619047619047616E-2"/>
    <s v="High"/>
    <n v="1"/>
    <d v="2023-05-01T00:00:00"/>
    <s v="13–24 months"/>
    <s v="0–1 tickets"/>
    <s v="46+ min"/>
    <s v="701–1000"/>
    <n v="19800"/>
    <n v="0"/>
  </r>
  <r>
    <n v="11649"/>
    <n v="41"/>
    <s v="Female"/>
    <s v="Pune"/>
    <d v="2022-10-13T00:00:00"/>
    <d v="2023-06-11T00:00:00"/>
    <x v="2"/>
    <n v="469"/>
    <x v="3"/>
    <n v="1"/>
    <n v="25.83"/>
    <n v="15"/>
    <x v="1"/>
    <x v="1"/>
    <n v="13999.65"/>
    <b v="1"/>
    <n v="2.5"/>
    <n v="466.65499999999997"/>
    <n v="12.914999999999999"/>
    <d v="2022-10-01T00:00:00"/>
    <s v="Middle-aged"/>
    <n v="0"/>
    <s v="Yes"/>
    <n v="241"/>
    <s v="Medium"/>
    <s v="Low"/>
    <n v="3.2258064516129031E-2"/>
    <s v="Medium"/>
    <n v="2"/>
    <d v="2022-10-01T00:00:00"/>
    <s v="25+ months"/>
    <s v="0–1 tickets"/>
    <s v="21–30 min"/>
    <s v="301–500"/>
    <n v="14070"/>
    <n v="-70.350000000000364"/>
  </r>
  <r>
    <n v="11650"/>
    <n v="36"/>
    <s v="Female"/>
    <s v="Hyderabad"/>
    <d v="2023-03-07T00:00:00"/>
    <d v="2022-05-12T00:00:00"/>
    <x v="1"/>
    <n v="458"/>
    <x v="3"/>
    <n v="1"/>
    <n v="109.93"/>
    <n v="10"/>
    <x v="3"/>
    <x v="1"/>
    <n v="13694.2"/>
    <b v="0"/>
    <n v="2.5"/>
    <n v="456.47333333333336"/>
    <n v="54.965000000000003"/>
    <d v="2023-03-01T00:00:00"/>
    <s v="Middle-aged"/>
    <n v="0"/>
    <s v="Yes"/>
    <m/>
    <s v="High"/>
    <s v="Low"/>
    <n v="3.2258064516129031E-2"/>
    <s v="Medium"/>
    <n v="3"/>
    <d v="2023-03-01T00:00:00"/>
    <s v="25+ months"/>
    <s v="0–1 tickets"/>
    <s v="46+ min"/>
    <s v="301–500"/>
    <n v="13740"/>
    <n v="-45.799999999999272"/>
  </r>
  <r>
    <n v="11651"/>
    <n v="33"/>
    <s v="Female"/>
    <s v="Delhi"/>
    <d v="2023-03-21T00:00:00"/>
    <d v="2022-06-01T00:00:00"/>
    <x v="2"/>
    <n v="746"/>
    <x v="11"/>
    <n v="1"/>
    <n v="11.47"/>
    <n v="20"/>
    <x v="3"/>
    <x v="0"/>
    <n v="8056.8"/>
    <b v="0"/>
    <n v="0.91666666666666663"/>
    <n v="732.43636363636369"/>
    <n v="5.7350000000000003"/>
    <d v="2023-03-01T00:00:00"/>
    <s v="Adult"/>
    <n v="1"/>
    <s v="No"/>
    <m/>
    <s v="Low"/>
    <s v="Medium"/>
    <n v="8.3333333333333329E-2"/>
    <s v="Low"/>
    <n v="2"/>
    <d v="2023-03-01T00:00:00"/>
    <s v="7–12 months"/>
    <s v="0–1 tickets"/>
    <s v="11–20 min"/>
    <s v="701–1000"/>
    <n v="8206"/>
    <n v="-149.19999999999982"/>
  </r>
  <r>
    <n v="11652"/>
    <n v="57"/>
    <s v="Female"/>
    <s v="Bangalore"/>
    <d v="2021-04-09T00:00:00"/>
    <d v="2022-08-22T00:00:00"/>
    <x v="2"/>
    <n v="1317"/>
    <x v="27"/>
    <n v="2"/>
    <n v="114.05"/>
    <n v="15"/>
    <x v="1"/>
    <x v="1"/>
    <n v="40629.449999999997"/>
    <b v="1"/>
    <n v="2.5833333333333335"/>
    <n v="1310.6274193548386"/>
    <n v="38.016666666666666"/>
    <d v="2021-04-01T00:00:00"/>
    <s v="Older"/>
    <n v="0"/>
    <s v="Yes"/>
    <n v="500"/>
    <s v="High"/>
    <s v="Low"/>
    <n v="6.25E-2"/>
    <s v="High"/>
    <n v="2"/>
    <d v="2021-04-01T00:00:00"/>
    <s v="25+ months"/>
    <s v="2–3 tickets"/>
    <s v="46+ min"/>
    <s v="1000+"/>
    <n v="40827"/>
    <n v="-197.55000000000291"/>
  </r>
  <r>
    <n v="11653"/>
    <n v="45"/>
    <s v="Female"/>
    <s v="Chennai"/>
    <d v="2021-11-13T00:00:00"/>
    <d v="2022-10-26T00:00:00"/>
    <x v="0"/>
    <n v="1405"/>
    <x v="13"/>
    <n v="2"/>
    <n v="28.09"/>
    <n v="0"/>
    <x v="0"/>
    <x v="1"/>
    <n v="4215"/>
    <b v="1"/>
    <n v="0.25"/>
    <n v="1405"/>
    <n v="9.3633333333333333"/>
    <d v="2021-11-01T00:00:00"/>
    <s v="Middle-aged"/>
    <n v="0"/>
    <s v="No"/>
    <n v="347"/>
    <s v="Medium"/>
    <s v="Low"/>
    <n v="0.5"/>
    <s v="Low"/>
    <n v="1"/>
    <d v="2021-11-01T00:00:00"/>
    <s v="0–6 months"/>
    <s v="2–3 tickets"/>
    <s v="21–30 min"/>
    <s v="1000+"/>
    <n v="4215"/>
    <n v="0"/>
  </r>
  <r>
    <n v="11654"/>
    <n v="50"/>
    <s v="Female"/>
    <s v="Mumbai"/>
    <d v="2021-05-03T00:00:00"/>
    <d v="2022-04-15T00:00:00"/>
    <x v="2"/>
    <n v="1380"/>
    <x v="4"/>
    <n v="4"/>
    <n v="39.81"/>
    <n v="15"/>
    <x v="3"/>
    <x v="0"/>
    <n v="2553"/>
    <b v="1"/>
    <n v="0.16666666666666666"/>
    <n v="1276.5"/>
    <n v="7.9620000000000006"/>
    <d v="2021-05-01T00:00:00"/>
    <s v="Middle-aged"/>
    <n v="1"/>
    <s v="No"/>
    <n v="347"/>
    <s v="Medium"/>
    <s v="Low"/>
    <n v="1.3333333333333333"/>
    <s v="Low"/>
    <n v="2"/>
    <d v="2021-05-01T00:00:00"/>
    <s v="0–6 months"/>
    <s v="4–5 tickets"/>
    <s v="31–45 min"/>
    <s v="1000+"/>
    <n v="2760"/>
    <n v="-207"/>
  </r>
  <r>
    <n v="11655"/>
    <n v="58"/>
    <s v="Female"/>
    <s v="Chennai"/>
    <d v="2021-11-16T00:00:00"/>
    <d v="2022-01-03T00:00:00"/>
    <x v="0"/>
    <n v="411"/>
    <x v="13"/>
    <n v="3"/>
    <n v="61.46"/>
    <n v="15"/>
    <x v="0"/>
    <x v="1"/>
    <n v="1171.3499999999999"/>
    <b v="1"/>
    <n v="0.25"/>
    <n v="390.45"/>
    <n v="15.365"/>
    <d v="2021-11-01T00:00:00"/>
    <s v="Older"/>
    <n v="0"/>
    <s v="No"/>
    <n v="48"/>
    <s v="High"/>
    <s v="Low"/>
    <n v="0.75"/>
    <s v="Low"/>
    <n v="1"/>
    <d v="2021-11-01T00:00:00"/>
    <s v="0–6 months"/>
    <s v="2–3 tickets"/>
    <s v="46+ min"/>
    <s v="301–500"/>
    <n v="1233"/>
    <n v="-61.650000000000091"/>
  </r>
  <r>
    <n v="11656"/>
    <n v="30"/>
    <s v="Male"/>
    <s v="Mumbai"/>
    <d v="2023-03-10T00:00:00"/>
    <d v="2021-07-04T00:00:00"/>
    <x v="2"/>
    <n v="347"/>
    <x v="15"/>
    <n v="4"/>
    <n v="48.78"/>
    <n v="0"/>
    <x v="2"/>
    <x v="1"/>
    <n v="5205"/>
    <b v="0"/>
    <n v="1.25"/>
    <n v="347"/>
    <n v="9.7560000000000002"/>
    <d v="2023-03-01T00:00:00"/>
    <s v="Adult"/>
    <n v="0"/>
    <s v="No"/>
    <m/>
    <s v="Medium"/>
    <s v="Low"/>
    <n v="0.25"/>
    <s v="Low"/>
    <n v="2"/>
    <d v="2023-03-01T00:00:00"/>
    <s v="13–24 months"/>
    <s v="4–5 tickets"/>
    <s v="46+ min"/>
    <s v="301–500"/>
    <n v="5205"/>
    <n v="0"/>
  </r>
  <r>
    <n v="11657"/>
    <n v="60"/>
    <s v="Male"/>
    <s v="Pune"/>
    <d v="2022-08-16T00:00:00"/>
    <d v="2023-10-19T00:00:00"/>
    <x v="0"/>
    <n v="675"/>
    <x v="18"/>
    <n v="5"/>
    <n v="81.77"/>
    <n v="10"/>
    <x v="0"/>
    <x v="1"/>
    <n v="11407.5"/>
    <b v="1"/>
    <n v="1.4166666666666667"/>
    <n v="671.02941176470586"/>
    <n v="13.628333333333332"/>
    <d v="2022-08-01T00:00:00"/>
    <s v="Older"/>
    <n v="0"/>
    <s v="No"/>
    <n v="429"/>
    <s v="High"/>
    <s v="Low"/>
    <n v="0.27777777777777779"/>
    <s v="Medium"/>
    <n v="1"/>
    <d v="2022-08-01T00:00:00"/>
    <s v="13–24 months"/>
    <s v="4–5 tickets"/>
    <s v="46+ min"/>
    <s v="501–700"/>
    <n v="11475"/>
    <n v="-67.5"/>
  </r>
  <r>
    <n v="11658"/>
    <n v="62"/>
    <s v="Male"/>
    <s v="Bangalore"/>
    <d v="2022-05-10T00:00:00"/>
    <d v="2022-02-21T00:00:00"/>
    <x v="0"/>
    <n v="1127"/>
    <x v="16"/>
    <n v="3"/>
    <n v="117.1"/>
    <n v="0"/>
    <x v="0"/>
    <x v="1"/>
    <n v="7889"/>
    <b v="0"/>
    <n v="0.58333333333333337"/>
    <n v="1127"/>
    <n v="29.274999999999999"/>
    <d v="2022-05-01T00:00:00"/>
    <s v="Older"/>
    <n v="0"/>
    <s v="No"/>
    <m/>
    <s v="High"/>
    <s v="Low"/>
    <n v="0.375"/>
    <s v="Low"/>
    <n v="1"/>
    <d v="2022-05-01T00:00:00"/>
    <s v="7–12 months"/>
    <s v="2–3 tickets"/>
    <s v="46+ min"/>
    <s v="1000+"/>
    <n v="7889"/>
    <n v="0"/>
  </r>
  <r>
    <n v="11659"/>
    <n v="42"/>
    <s v="Female"/>
    <s v="Bangalore"/>
    <d v="2022-04-02T00:00:00"/>
    <d v="2023-03-02T00:00:00"/>
    <x v="0"/>
    <n v="332"/>
    <x v="21"/>
    <n v="2"/>
    <n v="74.739999999999995"/>
    <n v="20"/>
    <x v="2"/>
    <x v="0"/>
    <n v="1593.6"/>
    <b v="1"/>
    <n v="0.41666666666666669"/>
    <n v="318.71999999999997"/>
    <n v="24.91333333333333"/>
    <d v="2022-04-01T00:00:00"/>
    <s v="Middle-aged"/>
    <n v="1"/>
    <s v="No"/>
    <n v="334"/>
    <s v="High"/>
    <s v="Medium"/>
    <n v="0.33333333333333331"/>
    <s v="Low"/>
    <n v="1"/>
    <d v="2022-04-01T00:00:00"/>
    <s v="0–6 months"/>
    <s v="2–3 tickets"/>
    <s v="46+ min"/>
    <s v="301–500"/>
    <n v="1660"/>
    <n v="-66.400000000000091"/>
  </r>
  <r>
    <n v="11660"/>
    <n v="59"/>
    <s v="Male"/>
    <s v="Mumbai"/>
    <d v="2022-06-06T00:00:00"/>
    <d v="2023-05-25T00:00:00"/>
    <x v="1"/>
    <n v="803"/>
    <x v="22"/>
    <n v="1"/>
    <n v="87.97"/>
    <n v="0"/>
    <x v="3"/>
    <x v="1"/>
    <n v="27302"/>
    <b v="1"/>
    <n v="2.8333333333333335"/>
    <n v="803"/>
    <n v="43.984999999999999"/>
    <d v="2022-06-01T00:00:00"/>
    <s v="Older"/>
    <n v="0"/>
    <s v="Yes"/>
    <n v="353"/>
    <s v="High"/>
    <s v="Low"/>
    <n v="2.8571428571428571E-2"/>
    <s v="High"/>
    <n v="3"/>
    <d v="2022-06-01T00:00:00"/>
    <s v="25+ months"/>
    <s v="0–1 tickets"/>
    <s v="46+ min"/>
    <s v="701–1000"/>
    <n v="27302"/>
    <n v="0"/>
  </r>
  <r>
    <n v="11661"/>
    <n v="53"/>
    <s v="Female"/>
    <s v="Delhi"/>
    <d v="2022-06-04T00:00:00"/>
    <d v="2023-07-15T00:00:00"/>
    <x v="0"/>
    <n v="926"/>
    <x v="33"/>
    <n v="3"/>
    <n v="15.12"/>
    <n v="5"/>
    <x v="3"/>
    <x v="1"/>
    <n v="30511.7"/>
    <b v="1"/>
    <n v="2.75"/>
    <n v="924.59696969696972"/>
    <n v="3.78"/>
    <d v="2022-06-01T00:00:00"/>
    <s v="Older"/>
    <n v="0"/>
    <s v="Yes"/>
    <n v="406"/>
    <s v="Low"/>
    <s v="Low"/>
    <n v="8.8235294117647065E-2"/>
    <s v="High"/>
    <n v="1"/>
    <d v="2022-06-01T00:00:00"/>
    <s v="25+ months"/>
    <s v="2–3 tickets"/>
    <s v="11–20 min"/>
    <s v="701–1000"/>
    <n v="30558"/>
    <n v="-46.299999999999272"/>
  </r>
  <r>
    <n v="11662"/>
    <n v="44"/>
    <s v="Female"/>
    <s v="Hyderabad"/>
    <d v="2022-12-18T00:00:00"/>
    <d v="2023-09-02T00:00:00"/>
    <x v="2"/>
    <n v="1326"/>
    <x v="24"/>
    <n v="2"/>
    <n v="77.2"/>
    <n v="5"/>
    <x v="3"/>
    <x v="1"/>
    <n v="21149.7"/>
    <b v="1"/>
    <n v="1.3333333333333333"/>
    <n v="1321.85625"/>
    <n v="25.733333333333334"/>
    <d v="2022-12-01T00:00:00"/>
    <s v="Middle-aged"/>
    <n v="0"/>
    <s v="Yes"/>
    <n v="258"/>
    <s v="High"/>
    <s v="Low"/>
    <n v="0.11764705882352941"/>
    <s v="High"/>
    <n v="2"/>
    <d v="2022-12-01T00:00:00"/>
    <s v="13–24 months"/>
    <s v="2–3 tickets"/>
    <s v="46+ min"/>
    <s v="1000+"/>
    <n v="21216"/>
    <n v="-66.299999999999272"/>
  </r>
  <r>
    <n v="11663"/>
    <n v="55"/>
    <s v="Female"/>
    <s v="Chennai"/>
    <d v="2021-11-11T00:00:00"/>
    <d v="2021-08-19T00:00:00"/>
    <x v="0"/>
    <n v="341"/>
    <x v="13"/>
    <n v="0"/>
    <n v="57.19"/>
    <n v="15"/>
    <x v="1"/>
    <x v="0"/>
    <n v="971.85"/>
    <b v="0"/>
    <n v="0.25"/>
    <n v="323.95"/>
    <n v="57.19"/>
    <d v="2021-11-01T00:00:00"/>
    <s v="Older"/>
    <n v="1"/>
    <s v="No"/>
    <m/>
    <s v="Medium"/>
    <s v="Low"/>
    <n v="0"/>
    <s v="Low"/>
    <n v="1"/>
    <d v="2021-11-01T00:00:00"/>
    <s v="0–6 months"/>
    <s v="0–1 tickets"/>
    <s v="46+ min"/>
    <s v="301–500"/>
    <n v="1023"/>
    <n v="-51.149999999999977"/>
  </r>
  <r>
    <n v="11664"/>
    <n v="24"/>
    <s v="Female"/>
    <s v="Pune"/>
    <d v="2022-12-10T00:00:00"/>
    <d v="2023-04-08T00:00:00"/>
    <x v="2"/>
    <n v="308"/>
    <x v="6"/>
    <n v="4"/>
    <n v="106.86"/>
    <n v="10"/>
    <x v="2"/>
    <x v="1"/>
    <n v="6437.2"/>
    <b v="1"/>
    <n v="1.75"/>
    <n v="306.5333333333333"/>
    <n v="21.372"/>
    <d v="2022-12-01T00:00:00"/>
    <s v="Young"/>
    <n v="0"/>
    <s v="No"/>
    <n v="119"/>
    <s v="High"/>
    <s v="Low"/>
    <n v="0.18181818181818182"/>
    <s v="Low"/>
    <n v="2"/>
    <d v="2022-12-01T00:00:00"/>
    <s v="13–24 months"/>
    <s v="4–5 tickets"/>
    <s v="46+ min"/>
    <s v="301–500"/>
    <n v="6468"/>
    <n v="-30.800000000000182"/>
  </r>
  <r>
    <n v="11665"/>
    <n v="22"/>
    <s v="Male"/>
    <s v="Chennai"/>
    <d v="2022-12-11T00:00:00"/>
    <d v="2022-07-18T00:00:00"/>
    <x v="1"/>
    <n v="1299"/>
    <x v="14"/>
    <n v="3"/>
    <n v="49.64"/>
    <n v="10"/>
    <x v="0"/>
    <x v="1"/>
    <n v="10262.1"/>
    <b v="0"/>
    <n v="0.66666666666666663"/>
    <n v="1282.7625"/>
    <n v="12.41"/>
    <d v="2022-12-01T00:00:00"/>
    <s v="Young"/>
    <n v="0"/>
    <s v="No"/>
    <m/>
    <s v="Medium"/>
    <s v="Low"/>
    <n v="0.33333333333333331"/>
    <s v="Medium"/>
    <n v="3"/>
    <d v="2022-12-01T00:00:00"/>
    <s v="7–12 months"/>
    <s v="2–3 tickets"/>
    <s v="46+ min"/>
    <s v="1000+"/>
    <n v="10392"/>
    <n v="-129.89999999999964"/>
  </r>
  <r>
    <n v="11666"/>
    <n v="60"/>
    <s v="Female"/>
    <s v="Chennai"/>
    <d v="2022-06-26T00:00:00"/>
    <d v="2022-02-07T00:00:00"/>
    <x v="0"/>
    <n v="1118"/>
    <x v="1"/>
    <n v="2"/>
    <n v="83.14"/>
    <n v="5"/>
    <x v="2"/>
    <x v="0"/>
    <n v="24540.1"/>
    <b v="0"/>
    <n v="1.8333333333333333"/>
    <n v="1115.4590909090909"/>
    <n v="27.713333333333335"/>
    <d v="2022-06-01T00:00:00"/>
    <s v="Older"/>
    <n v="1"/>
    <s v="Yes"/>
    <m/>
    <s v="High"/>
    <s v="Low"/>
    <n v="8.6956521739130432E-2"/>
    <s v="High"/>
    <n v="1"/>
    <d v="2022-06-01T00:00:00"/>
    <s v="13–24 months"/>
    <s v="2–3 tickets"/>
    <s v="46+ min"/>
    <s v="1000+"/>
    <n v="24596"/>
    <n v="-55.900000000001455"/>
  </r>
  <r>
    <n v="11667"/>
    <n v="41"/>
    <s v="Female"/>
    <s v="Pune"/>
    <d v="2022-04-24T00:00:00"/>
    <d v="2021-06-12T00:00:00"/>
    <x v="2"/>
    <n v="956"/>
    <x v="21"/>
    <n v="0"/>
    <n v="31.24"/>
    <n v="20"/>
    <x v="2"/>
    <x v="1"/>
    <n v="4588.8"/>
    <b v="0"/>
    <n v="0.41666666666666669"/>
    <n v="917.76"/>
    <n v="31.24"/>
    <d v="2022-04-01T00:00:00"/>
    <s v="Middle-aged"/>
    <n v="0"/>
    <s v="No"/>
    <m/>
    <s v="Medium"/>
    <s v="Medium"/>
    <n v="0"/>
    <s v="Low"/>
    <n v="2"/>
    <d v="2022-04-01T00:00:00"/>
    <s v="0–6 months"/>
    <s v="0–1 tickets"/>
    <s v="31–45 min"/>
    <s v="701–1000"/>
    <n v="4780"/>
    <n v="-191.19999999999982"/>
  </r>
  <r>
    <n v="11668"/>
    <n v="41"/>
    <s v="Male"/>
    <s v="Pune"/>
    <d v="2021-01-20T00:00:00"/>
    <d v="2022-07-06T00:00:00"/>
    <x v="1"/>
    <n v="1465"/>
    <x v="18"/>
    <n v="1"/>
    <n v="34.83"/>
    <n v="0"/>
    <x v="2"/>
    <x v="1"/>
    <n v="24905"/>
    <b v="1"/>
    <n v="1.4166666666666667"/>
    <n v="1465"/>
    <n v="17.414999999999999"/>
    <d v="2021-01-01T00:00:00"/>
    <s v="Middle-aged"/>
    <n v="0"/>
    <s v="Yes"/>
    <n v="532"/>
    <s v="Medium"/>
    <s v="Low"/>
    <n v="5.5555555555555552E-2"/>
    <s v="High"/>
    <n v="3"/>
    <d v="2021-01-01T00:00:00"/>
    <s v="13–24 months"/>
    <s v="0–1 tickets"/>
    <s v="31–45 min"/>
    <s v="1000+"/>
    <n v="24905"/>
    <n v="0"/>
  </r>
  <r>
    <n v="11669"/>
    <n v="40"/>
    <s v="Male"/>
    <s v="Bangalore"/>
    <d v="2022-07-14T00:00:00"/>
    <d v="2023-08-25T00:00:00"/>
    <x v="2"/>
    <n v="1089"/>
    <x v="25"/>
    <n v="6"/>
    <n v="48.25"/>
    <n v="0"/>
    <x v="2"/>
    <x v="1"/>
    <n v="15246"/>
    <b v="1"/>
    <n v="1.1666666666666667"/>
    <n v="1089"/>
    <n v="6.8928571428571432"/>
    <d v="2022-07-01T00:00:00"/>
    <s v="Middle-aged"/>
    <n v="0"/>
    <s v="Yes"/>
    <n v="407"/>
    <s v="Medium"/>
    <s v="Low"/>
    <n v="0.4"/>
    <s v="Medium"/>
    <n v="2"/>
    <d v="2022-07-01T00:00:00"/>
    <s v="13–24 months"/>
    <s v="6+ tickets"/>
    <s v="46+ min"/>
    <s v="1000+"/>
    <n v="15246"/>
    <n v="0"/>
  </r>
  <r>
    <n v="11670"/>
    <n v="59"/>
    <s v="Female"/>
    <s v="Chennai"/>
    <d v="2021-05-10T00:00:00"/>
    <d v="2023-05-25T00:00:00"/>
    <x v="2"/>
    <n v="1350"/>
    <x v="29"/>
    <n v="1"/>
    <n v="39.97"/>
    <n v="0"/>
    <x v="2"/>
    <x v="1"/>
    <n v="37800"/>
    <b v="1"/>
    <n v="2.3333333333333335"/>
    <n v="1350"/>
    <n v="19.984999999999999"/>
    <d v="2021-05-01T00:00:00"/>
    <s v="Older"/>
    <n v="0"/>
    <s v="Yes"/>
    <n v="745"/>
    <s v="Medium"/>
    <s v="Low"/>
    <n v="3.4482758620689655E-2"/>
    <s v="High"/>
    <n v="2"/>
    <d v="2021-05-01T00:00:00"/>
    <s v="25+ months"/>
    <s v="0–1 tickets"/>
    <s v="31–45 min"/>
    <s v="1000+"/>
    <n v="37800"/>
    <n v="0"/>
  </r>
  <r>
    <n v="11671"/>
    <n v="27"/>
    <s v="Female"/>
    <s v="Hyderabad"/>
    <d v="2021-10-20T00:00:00"/>
    <d v="2022-03-09T00:00:00"/>
    <x v="2"/>
    <n v="1366"/>
    <x v="27"/>
    <n v="3"/>
    <n v="34.200000000000003"/>
    <n v="20"/>
    <x v="2"/>
    <x v="1"/>
    <n v="42072.800000000003"/>
    <b v="1"/>
    <n v="2.5833333333333335"/>
    <n v="1357.1870967741936"/>
    <n v="8.5500000000000007"/>
    <d v="2021-10-01T00:00:00"/>
    <s v="Adult"/>
    <n v="0"/>
    <s v="Yes"/>
    <n v="140"/>
    <s v="Medium"/>
    <s v="Medium"/>
    <n v="9.375E-2"/>
    <s v="High"/>
    <n v="2"/>
    <d v="2021-10-01T00:00:00"/>
    <s v="25+ months"/>
    <s v="2–3 tickets"/>
    <s v="31–45 min"/>
    <s v="1000+"/>
    <n v="42346"/>
    <n v="-273.19999999999709"/>
  </r>
  <r>
    <n v="11672"/>
    <n v="49"/>
    <s v="Male"/>
    <s v="Hyderabad"/>
    <d v="2023-06-16T00:00:00"/>
    <d v="2021-09-20T00:00:00"/>
    <x v="2"/>
    <n v="1454"/>
    <x v="18"/>
    <n v="2"/>
    <n v="10.71"/>
    <n v="20"/>
    <x v="1"/>
    <x v="1"/>
    <n v="24427.200000000001"/>
    <b v="0"/>
    <n v="1.4166666666666667"/>
    <n v="1436.8941176470589"/>
    <n v="3.5700000000000003"/>
    <d v="2023-06-01T00:00:00"/>
    <s v="Middle-aged"/>
    <n v="0"/>
    <s v="Yes"/>
    <m/>
    <s v="Low"/>
    <s v="Medium"/>
    <n v="0.1111111111111111"/>
    <s v="High"/>
    <n v="2"/>
    <d v="2023-06-01T00:00:00"/>
    <s v="13–24 months"/>
    <s v="2–3 tickets"/>
    <s v="11–20 min"/>
    <s v="1000+"/>
    <n v="24718"/>
    <n v="-290.79999999999927"/>
  </r>
  <r>
    <n v="11673"/>
    <n v="60"/>
    <s v="Female"/>
    <s v="Mumbai"/>
    <d v="2021-05-12T00:00:00"/>
    <d v="2023-05-24T00:00:00"/>
    <x v="0"/>
    <n v="897"/>
    <x v="12"/>
    <n v="4"/>
    <n v="101.23"/>
    <n v="0"/>
    <x v="2"/>
    <x v="0"/>
    <n v="31395"/>
    <b v="1"/>
    <n v="2.9166666666666665"/>
    <n v="897"/>
    <n v="20.246000000000002"/>
    <d v="2021-05-01T00:00:00"/>
    <s v="Older"/>
    <n v="1"/>
    <s v="Yes"/>
    <n v="742"/>
    <s v="High"/>
    <s v="Low"/>
    <n v="0.1111111111111111"/>
    <s v="High"/>
    <n v="1"/>
    <d v="2021-05-01T00:00:00"/>
    <s v="25+ months"/>
    <s v="4–5 tickets"/>
    <s v="46+ min"/>
    <s v="701–1000"/>
    <n v="31395"/>
    <n v="0"/>
  </r>
  <r>
    <n v="11674"/>
    <n v="47"/>
    <s v="Female"/>
    <s v="Pune"/>
    <d v="2021-12-22T00:00:00"/>
    <d v="2022-06-13T00:00:00"/>
    <x v="1"/>
    <n v="1235"/>
    <x v="1"/>
    <n v="0"/>
    <n v="12.39"/>
    <n v="0"/>
    <x v="2"/>
    <x v="1"/>
    <n v="27170"/>
    <b v="1"/>
    <n v="1.8333333333333333"/>
    <n v="1235"/>
    <n v="12.39"/>
    <d v="2021-12-01T00:00:00"/>
    <s v="Middle-aged"/>
    <n v="0"/>
    <s v="Yes"/>
    <n v="173"/>
    <s v="Low"/>
    <s v="Low"/>
    <n v="0"/>
    <s v="High"/>
    <n v="3"/>
    <d v="2021-12-01T00:00:00"/>
    <s v="13–24 months"/>
    <s v="0–1 tickets"/>
    <s v="11–20 min"/>
    <s v="1000+"/>
    <n v="27170"/>
    <n v="0"/>
  </r>
  <r>
    <n v="11675"/>
    <n v="56"/>
    <s v="Male"/>
    <s v="Bangalore"/>
    <d v="2021-02-23T00:00:00"/>
    <d v="2023-06-21T00:00:00"/>
    <x v="0"/>
    <n v="1311"/>
    <x v="5"/>
    <n v="2"/>
    <n v="107.05"/>
    <n v="20"/>
    <x v="3"/>
    <x v="1"/>
    <n v="37756.800000000003"/>
    <b v="1"/>
    <n v="2.4166666666666665"/>
    <n v="1301.9586206896552"/>
    <n v="35.68333333333333"/>
    <d v="2021-02-01T00:00:00"/>
    <s v="Older"/>
    <n v="0"/>
    <s v="Yes"/>
    <n v="848"/>
    <s v="High"/>
    <s v="Medium"/>
    <n v="6.6666666666666666E-2"/>
    <s v="High"/>
    <n v="1"/>
    <d v="2021-02-01T00:00:00"/>
    <s v="25+ months"/>
    <s v="2–3 tickets"/>
    <s v="46+ min"/>
    <s v="1000+"/>
    <n v="38019"/>
    <n v="-262.19999999999709"/>
  </r>
  <r>
    <n v="11676"/>
    <n v="48"/>
    <s v="Other"/>
    <s v="Hyderabad"/>
    <d v="2023-06-09T00:00:00"/>
    <d v="2022-02-23T00:00:00"/>
    <x v="0"/>
    <n v="320"/>
    <x v="32"/>
    <n v="3"/>
    <n v="19.43"/>
    <n v="10"/>
    <x v="2"/>
    <x v="1"/>
    <n v="3200"/>
    <b v="0"/>
    <n v="0.83333333333333337"/>
    <n v="320"/>
    <n v="4.8574999999999999"/>
    <d v="2023-06-01T00:00:00"/>
    <s v="Middle-aged"/>
    <n v="0"/>
    <s v="No"/>
    <m/>
    <s v="Low"/>
    <s v="Low"/>
    <n v="0.27272727272727271"/>
    <s v="Low"/>
    <n v="1"/>
    <d v="2023-06-01T00:00:00"/>
    <s v="7–12 months"/>
    <s v="2–3 tickets"/>
    <s v="11–20 min"/>
    <s v="301–500"/>
    <n v="3200"/>
    <n v="0"/>
  </r>
  <r>
    <n v="11677"/>
    <n v="35"/>
    <s v="Female"/>
    <s v="Delhi"/>
    <d v="2023-03-04T00:00:00"/>
    <d v="2022-03-25T00:00:00"/>
    <x v="2"/>
    <n v="1298"/>
    <x v="10"/>
    <n v="1"/>
    <n v="12.51"/>
    <n v="20"/>
    <x v="2"/>
    <x v="0"/>
    <n v="23104.400000000001"/>
    <b v="0"/>
    <n v="1.5"/>
    <n v="1283.5777777777778"/>
    <n v="6.2549999999999999"/>
    <d v="2023-03-01T00:00:00"/>
    <s v="Adult"/>
    <n v="1"/>
    <s v="Yes"/>
    <m/>
    <s v="Low"/>
    <s v="Medium"/>
    <n v="5.2631578947368418E-2"/>
    <s v="High"/>
    <n v="2"/>
    <d v="2023-03-01T00:00:00"/>
    <s v="13–24 months"/>
    <s v="0–1 tickets"/>
    <s v="11–20 min"/>
    <s v="1000+"/>
    <n v="23364"/>
    <n v="-259.59999999999854"/>
  </r>
  <r>
    <n v="11678"/>
    <n v="53"/>
    <s v="Female"/>
    <s v="Bangalore"/>
    <d v="2022-01-22T00:00:00"/>
    <d v="2022-04-13T00:00:00"/>
    <x v="0"/>
    <n v="756"/>
    <x v="12"/>
    <n v="0"/>
    <n v="69.75"/>
    <n v="15"/>
    <x v="3"/>
    <x v="0"/>
    <n v="26346.6"/>
    <b v="1"/>
    <n v="2.9166666666666665"/>
    <n v="752.76"/>
    <n v="69.75"/>
    <d v="2022-01-01T00:00:00"/>
    <s v="Older"/>
    <n v="1"/>
    <s v="Yes"/>
    <n v="81"/>
    <s v="High"/>
    <s v="Low"/>
    <n v="0"/>
    <s v="High"/>
    <n v="1"/>
    <d v="2022-01-01T00:00:00"/>
    <s v="25+ months"/>
    <s v="0–1 tickets"/>
    <s v="46+ min"/>
    <s v="701–1000"/>
    <n v="26460"/>
    <n v="-113.40000000000146"/>
  </r>
  <r>
    <n v="11679"/>
    <n v="19"/>
    <s v="Female"/>
    <s v="Bangalore"/>
    <d v="2021-09-22T00:00:00"/>
    <d v="2022-12-22T00:00:00"/>
    <x v="0"/>
    <n v="1313"/>
    <x v="24"/>
    <n v="1"/>
    <n v="62.78"/>
    <n v="5"/>
    <x v="3"/>
    <x v="1"/>
    <n v="20942.349999999999"/>
    <b v="1"/>
    <n v="1.3333333333333333"/>
    <n v="1308.8968749999999"/>
    <n v="31.39"/>
    <d v="2021-09-01T00:00:00"/>
    <s v="Young"/>
    <n v="0"/>
    <s v="Yes"/>
    <n v="456"/>
    <s v="High"/>
    <s v="Low"/>
    <n v="5.8823529411764705E-2"/>
    <s v="High"/>
    <n v="1"/>
    <d v="2021-09-01T00:00:00"/>
    <s v="13–24 months"/>
    <s v="0–1 tickets"/>
    <s v="46+ min"/>
    <s v="1000+"/>
    <n v="21008"/>
    <n v="-65.650000000001455"/>
  </r>
  <r>
    <n v="11680"/>
    <n v="41"/>
    <s v="Male"/>
    <s v="Hyderabad"/>
    <d v="2021-08-03T00:00:00"/>
    <d v="2022-10-22T00:00:00"/>
    <x v="2"/>
    <n v="564"/>
    <x v="16"/>
    <n v="4"/>
    <n v="61.49"/>
    <n v="5"/>
    <x v="3"/>
    <x v="0"/>
    <n v="3919.8"/>
    <b v="1"/>
    <n v="0.58333333333333337"/>
    <n v="559.97142857142865"/>
    <n v="12.298"/>
    <d v="2021-08-01T00:00:00"/>
    <s v="Middle-aged"/>
    <n v="1"/>
    <s v="No"/>
    <n v="445"/>
    <s v="High"/>
    <s v="Low"/>
    <n v="0.5"/>
    <s v="Low"/>
    <n v="2"/>
    <d v="2021-08-01T00:00:00"/>
    <s v="7–12 months"/>
    <s v="4–5 tickets"/>
    <s v="46+ min"/>
    <s v="501–700"/>
    <n v="3948"/>
    <n v="-28.199999999999818"/>
  </r>
  <r>
    <n v="11681"/>
    <n v="30"/>
    <s v="Male"/>
    <s v="Delhi"/>
    <d v="2022-04-05T00:00:00"/>
    <d v="2022-11-28T00:00:00"/>
    <x v="1"/>
    <n v="483"/>
    <x v="3"/>
    <n v="2"/>
    <n v="71.069999999999993"/>
    <n v="20"/>
    <x v="0"/>
    <x v="1"/>
    <n v="14393.4"/>
    <b v="1"/>
    <n v="2.5"/>
    <n v="479.78"/>
    <n v="23.689999999999998"/>
    <d v="2022-04-01T00:00:00"/>
    <s v="Adult"/>
    <n v="0"/>
    <s v="Yes"/>
    <n v="237"/>
    <s v="High"/>
    <s v="Medium"/>
    <n v="6.4516129032258063E-2"/>
    <s v="Medium"/>
    <n v="3"/>
    <d v="2022-04-01T00:00:00"/>
    <s v="25+ months"/>
    <s v="2–3 tickets"/>
    <s v="46+ min"/>
    <s v="301–500"/>
    <n v="14490"/>
    <n v="-96.600000000000364"/>
  </r>
  <r>
    <n v="11682"/>
    <n v="46"/>
    <s v="Male"/>
    <s v="Mumbai"/>
    <d v="2022-04-03T00:00:00"/>
    <d v="2023-07-15T00:00:00"/>
    <x v="1"/>
    <n v="526"/>
    <x v="17"/>
    <n v="1"/>
    <n v="38.01"/>
    <n v="0"/>
    <x v="2"/>
    <x v="1"/>
    <n v="9994"/>
    <b v="1"/>
    <n v="1.5833333333333333"/>
    <n v="526"/>
    <n v="19.004999999999999"/>
    <d v="2022-04-01T00:00:00"/>
    <s v="Middle-aged"/>
    <n v="0"/>
    <s v="No"/>
    <n v="468"/>
    <s v="Medium"/>
    <s v="Low"/>
    <n v="0.05"/>
    <s v="Medium"/>
    <n v="3"/>
    <d v="2022-04-01T00:00:00"/>
    <s v="13–24 months"/>
    <s v="0–1 tickets"/>
    <s v="31–45 min"/>
    <s v="501–700"/>
    <n v="9994"/>
    <n v="0"/>
  </r>
  <r>
    <n v="11683"/>
    <n v="29"/>
    <s v="Male"/>
    <s v="Hyderabad"/>
    <d v="2023-03-13T00:00:00"/>
    <d v="2022-05-31T00:00:00"/>
    <x v="1"/>
    <n v="1396"/>
    <x v="31"/>
    <n v="1"/>
    <n v="62.59"/>
    <n v="5"/>
    <x v="2"/>
    <x v="1"/>
    <n v="32038.2"/>
    <b v="0"/>
    <n v="1.9166666666666667"/>
    <n v="1392.9652173913043"/>
    <n v="31.295000000000002"/>
    <d v="2023-03-01T00:00:00"/>
    <s v="Adult"/>
    <n v="0"/>
    <s v="Yes"/>
    <m/>
    <s v="High"/>
    <s v="Low"/>
    <n v="4.1666666666666664E-2"/>
    <s v="High"/>
    <n v="3"/>
    <d v="2023-03-01T00:00:00"/>
    <s v="13–24 months"/>
    <s v="0–1 tickets"/>
    <s v="46+ min"/>
    <s v="1000+"/>
    <n v="32108"/>
    <n v="-69.799999999999272"/>
  </r>
  <r>
    <n v="11684"/>
    <n v="56"/>
    <s v="Male"/>
    <s v="Delhi"/>
    <d v="2021-02-12T00:00:00"/>
    <d v="2022-11-29T00:00:00"/>
    <x v="1"/>
    <n v="1473"/>
    <x v="14"/>
    <n v="2"/>
    <n v="62.78"/>
    <n v="10"/>
    <x v="2"/>
    <x v="1"/>
    <n v="11636.7"/>
    <b v="1"/>
    <n v="0.66666666666666663"/>
    <n v="1454.5875000000001"/>
    <n v="20.926666666666666"/>
    <d v="2021-02-01T00:00:00"/>
    <s v="Older"/>
    <n v="0"/>
    <s v="No"/>
    <n v="655"/>
    <s v="High"/>
    <s v="Low"/>
    <n v="0.22222222222222221"/>
    <s v="Medium"/>
    <n v="3"/>
    <d v="2021-02-01T00:00:00"/>
    <s v="7–12 months"/>
    <s v="2–3 tickets"/>
    <s v="46+ min"/>
    <s v="1000+"/>
    <n v="11784"/>
    <n v="-147.29999999999927"/>
  </r>
  <r>
    <n v="11685"/>
    <n v="19"/>
    <s v="Female"/>
    <s v="Bangalore"/>
    <d v="2022-08-09T00:00:00"/>
    <d v="2022-02-26T00:00:00"/>
    <x v="0"/>
    <n v="1392"/>
    <x v="18"/>
    <n v="1"/>
    <n v="43.5"/>
    <n v="0"/>
    <x v="3"/>
    <x v="1"/>
    <n v="23664"/>
    <b v="0"/>
    <n v="1.4166666666666667"/>
    <n v="1392"/>
    <n v="21.75"/>
    <d v="2022-08-01T00:00:00"/>
    <s v="Young"/>
    <n v="0"/>
    <s v="Yes"/>
    <m/>
    <s v="Medium"/>
    <s v="Low"/>
    <n v="5.5555555555555552E-2"/>
    <s v="High"/>
    <n v="1"/>
    <d v="2022-08-01T00:00:00"/>
    <s v="13–24 months"/>
    <s v="0–1 tickets"/>
    <s v="31–45 min"/>
    <s v="1000+"/>
    <n v="23664"/>
    <n v="0"/>
  </r>
  <r>
    <n v="11686"/>
    <n v="49"/>
    <s v="Female"/>
    <s v="Delhi"/>
    <d v="2023-05-12T00:00:00"/>
    <d v="2022-09-17T00:00:00"/>
    <x v="0"/>
    <n v="1268"/>
    <x v="6"/>
    <n v="3"/>
    <n v="100.05"/>
    <n v="20"/>
    <x v="1"/>
    <x v="1"/>
    <n v="26374.400000000001"/>
    <b v="0"/>
    <n v="1.75"/>
    <n v="1255.9238095238095"/>
    <n v="25.012499999999999"/>
    <d v="2023-05-01T00:00:00"/>
    <s v="Middle-aged"/>
    <n v="0"/>
    <s v="Yes"/>
    <m/>
    <s v="High"/>
    <s v="Medium"/>
    <n v="0.13636363636363635"/>
    <s v="High"/>
    <n v="1"/>
    <d v="2023-05-01T00:00:00"/>
    <s v="13–24 months"/>
    <s v="2–3 tickets"/>
    <s v="46+ min"/>
    <s v="1000+"/>
    <n v="26628"/>
    <n v="-253.59999999999854"/>
  </r>
  <r>
    <n v="11687"/>
    <n v="30"/>
    <s v="Female"/>
    <s v="Bangalore"/>
    <d v="2021-10-05T00:00:00"/>
    <d v="2023-06-09T00:00:00"/>
    <x v="1"/>
    <n v="1104"/>
    <x v="8"/>
    <n v="4"/>
    <n v="88.69"/>
    <n v="10"/>
    <x v="2"/>
    <x v="1"/>
    <n v="28593.599999999999"/>
    <b v="1"/>
    <n v="2.1666666666666665"/>
    <n v="1099.7538461538461"/>
    <n v="17.738"/>
    <d v="2021-10-01T00:00:00"/>
    <s v="Adult"/>
    <n v="0"/>
    <s v="Yes"/>
    <n v="612"/>
    <s v="High"/>
    <s v="Low"/>
    <n v="0.14814814814814814"/>
    <s v="High"/>
    <n v="3"/>
    <d v="2021-10-01T00:00:00"/>
    <s v="25+ months"/>
    <s v="4–5 tickets"/>
    <s v="46+ min"/>
    <s v="1000+"/>
    <n v="28704"/>
    <n v="-110.40000000000146"/>
  </r>
  <r>
    <n v="11688"/>
    <n v="63"/>
    <s v="Female"/>
    <s v="Hyderabad"/>
    <d v="2023-04-18T00:00:00"/>
    <d v="2022-11-19T00:00:00"/>
    <x v="0"/>
    <n v="1022"/>
    <x v="29"/>
    <n v="2"/>
    <n v="50.27"/>
    <n v="20"/>
    <x v="3"/>
    <x v="1"/>
    <n v="28411.599999999999"/>
    <b v="0"/>
    <n v="2.3333333333333335"/>
    <n v="1014.6999999999999"/>
    <n v="16.756666666666668"/>
    <d v="2023-04-01T00:00:00"/>
    <s v="Older"/>
    <n v="0"/>
    <s v="Yes"/>
    <m/>
    <s v="Medium"/>
    <s v="Medium"/>
    <n v="6.8965517241379309E-2"/>
    <s v="High"/>
    <n v="1"/>
    <d v="2023-04-01T00:00:00"/>
    <s v="25+ months"/>
    <s v="2–3 tickets"/>
    <s v="46+ min"/>
    <s v="1000+"/>
    <n v="28616"/>
    <n v="-204.40000000000146"/>
  </r>
  <r>
    <n v="11689"/>
    <n v="44"/>
    <s v="Female"/>
    <s v="Pune"/>
    <d v="2023-01-24T00:00:00"/>
    <d v="2022-01-20T00:00:00"/>
    <x v="2"/>
    <n v="1395"/>
    <x v="33"/>
    <n v="2"/>
    <n v="102.48"/>
    <n v="0"/>
    <x v="3"/>
    <x v="1"/>
    <n v="46035"/>
    <b v="0"/>
    <n v="2.75"/>
    <n v="1395"/>
    <n v="34.160000000000004"/>
    <d v="2023-01-01T00:00:00"/>
    <s v="Middle-aged"/>
    <n v="0"/>
    <s v="Yes"/>
    <m/>
    <s v="High"/>
    <s v="Low"/>
    <n v="5.8823529411764705E-2"/>
    <s v="High"/>
    <n v="2"/>
    <d v="2023-01-01T00:00:00"/>
    <s v="25+ months"/>
    <s v="2–3 tickets"/>
    <s v="46+ min"/>
    <s v="1000+"/>
    <n v="46035"/>
    <n v="0"/>
  </r>
  <r>
    <n v="11690"/>
    <n v="58"/>
    <s v="Male"/>
    <s v="Hyderabad"/>
    <d v="2021-05-10T00:00:00"/>
    <d v="2021-07-29T00:00:00"/>
    <x v="2"/>
    <n v="1301"/>
    <x v="17"/>
    <n v="4"/>
    <n v="110.83"/>
    <n v="15"/>
    <x v="3"/>
    <x v="0"/>
    <n v="24523.85"/>
    <b v="1"/>
    <n v="1.5833333333333333"/>
    <n v="1290.7289473684209"/>
    <n v="22.166"/>
    <d v="2021-05-01T00:00:00"/>
    <s v="Older"/>
    <n v="1"/>
    <s v="Yes"/>
    <n v="80"/>
    <s v="High"/>
    <s v="Low"/>
    <n v="0.2"/>
    <s v="High"/>
    <n v="2"/>
    <d v="2021-05-01T00:00:00"/>
    <s v="13–24 months"/>
    <s v="4–5 tickets"/>
    <s v="46+ min"/>
    <s v="1000+"/>
    <n v="24719"/>
    <n v="-195.15000000000146"/>
  </r>
  <r>
    <n v="11691"/>
    <n v="34"/>
    <s v="Male"/>
    <s v="Chennai"/>
    <d v="2021-12-16T00:00:00"/>
    <d v="2022-02-06T00:00:00"/>
    <x v="0"/>
    <n v="1174"/>
    <x v="5"/>
    <n v="1"/>
    <n v="62.59"/>
    <n v="15"/>
    <x v="0"/>
    <x v="1"/>
    <n v="33869.9"/>
    <b v="1"/>
    <n v="2.4166666666666665"/>
    <n v="1167.9275862068966"/>
    <n v="31.295000000000002"/>
    <d v="2021-12-01T00:00:00"/>
    <s v="Adult"/>
    <n v="0"/>
    <s v="Yes"/>
    <n v="52"/>
    <s v="High"/>
    <s v="Low"/>
    <n v="3.3333333333333333E-2"/>
    <s v="High"/>
    <n v="1"/>
    <d v="2021-12-01T00:00:00"/>
    <s v="25+ months"/>
    <s v="0–1 tickets"/>
    <s v="46+ min"/>
    <s v="1000+"/>
    <n v="34046"/>
    <n v="-176.09999999999854"/>
  </r>
  <r>
    <n v="11692"/>
    <n v="57"/>
    <s v="Female"/>
    <s v="unknown"/>
    <d v="2022-12-07T00:00:00"/>
    <d v="2023-09-25T00:00:00"/>
    <x v="1"/>
    <n v="383"/>
    <x v="28"/>
    <n v="1"/>
    <n v="29.72"/>
    <n v="15"/>
    <x v="3"/>
    <x v="1"/>
    <n v="7602.55"/>
    <b v="1"/>
    <n v="1.6666666666666667"/>
    <n v="380.1275"/>
    <n v="14.86"/>
    <d v="2022-12-01T00:00:00"/>
    <s v="Older"/>
    <n v="0"/>
    <s v="No"/>
    <n v="292"/>
    <s v="Medium"/>
    <s v="Low"/>
    <n v="4.7619047619047616E-2"/>
    <s v="Low"/>
    <n v="3"/>
    <d v="2022-12-01T00:00:00"/>
    <s v="13–24 months"/>
    <s v="0–1 tickets"/>
    <s v="21–30 min"/>
    <s v="301–500"/>
    <n v="7660"/>
    <n v="-57.449999999999818"/>
  </r>
  <r>
    <n v="11693"/>
    <n v="48"/>
    <s v="Female"/>
    <s v="Chennai"/>
    <d v="2022-06-28T00:00:00"/>
    <d v="2021-08-25T00:00:00"/>
    <x v="2"/>
    <n v="1039"/>
    <x v="28"/>
    <n v="2"/>
    <n v="110.32"/>
    <n v="0"/>
    <x v="1"/>
    <x v="1"/>
    <n v="20780"/>
    <b v="0"/>
    <n v="1.6666666666666667"/>
    <n v="1039"/>
    <n v="36.773333333333333"/>
    <d v="2022-06-01T00:00:00"/>
    <s v="Middle-aged"/>
    <n v="0"/>
    <s v="Yes"/>
    <m/>
    <s v="High"/>
    <s v="Low"/>
    <n v="9.5238095238095233E-2"/>
    <s v="High"/>
    <n v="2"/>
    <d v="2022-06-01T00:00:00"/>
    <s v="13–24 months"/>
    <s v="2–3 tickets"/>
    <s v="46+ min"/>
    <s v="1000+"/>
    <n v="20780"/>
    <n v="0"/>
  </r>
  <r>
    <n v="11694"/>
    <n v="41"/>
    <s v="Male"/>
    <s v="unknown"/>
    <d v="2021-04-16T00:00:00"/>
    <d v="2023-07-03T00:00:00"/>
    <x v="2"/>
    <n v="522"/>
    <x v="32"/>
    <n v="1"/>
    <n v="26.79"/>
    <n v="0"/>
    <x v="0"/>
    <x v="0"/>
    <n v="5220"/>
    <b v="1"/>
    <n v="0.83333333333333337"/>
    <n v="522"/>
    <n v="13.395"/>
    <d v="2021-04-01T00:00:00"/>
    <s v="Middle-aged"/>
    <n v="1"/>
    <s v="No"/>
    <n v="808"/>
    <s v="Medium"/>
    <s v="Low"/>
    <n v="9.0909090909090912E-2"/>
    <s v="Low"/>
    <n v="2"/>
    <d v="2021-04-01T00:00:00"/>
    <s v="7–12 months"/>
    <s v="0–1 tickets"/>
    <s v="21–30 min"/>
    <s v="501–700"/>
    <n v="5220"/>
    <n v="0"/>
  </r>
  <r>
    <n v="11695"/>
    <n v="41"/>
    <s v="Female"/>
    <s v="Mumbai"/>
    <d v="2022-12-17T00:00:00"/>
    <d v="2022-06-25T00:00:00"/>
    <x v="1"/>
    <n v="1092"/>
    <x v="34"/>
    <n v="1"/>
    <n v="10.57"/>
    <n v="10"/>
    <x v="3"/>
    <x v="1"/>
    <n v="12994.8"/>
    <b v="0"/>
    <n v="1"/>
    <n v="1082.8999999999999"/>
    <n v="5.2850000000000001"/>
    <d v="2022-12-01T00:00:00"/>
    <s v="Middle-aged"/>
    <n v="0"/>
    <s v="No"/>
    <m/>
    <s v="Low"/>
    <s v="Low"/>
    <n v="7.6923076923076927E-2"/>
    <s v="Medium"/>
    <n v="3"/>
    <d v="2022-12-01T00:00:00"/>
    <s v="7–12 months"/>
    <s v="0–1 tickets"/>
    <s v="11–20 min"/>
    <s v="1000+"/>
    <n v="13104"/>
    <n v="-109.20000000000073"/>
  </r>
  <r>
    <n v="11696"/>
    <n v="62"/>
    <s v="Male"/>
    <s v="Hyderabad"/>
    <d v="2021-01-01T00:00:00"/>
    <d v="2021-11-27T00:00:00"/>
    <x v="2"/>
    <n v="1032"/>
    <x v="33"/>
    <n v="3"/>
    <n v="42.66"/>
    <n v="0"/>
    <x v="1"/>
    <x v="1"/>
    <n v="34056"/>
    <b v="1"/>
    <n v="2.75"/>
    <n v="1032"/>
    <n v="10.664999999999999"/>
    <d v="2021-01-01T00:00:00"/>
    <s v="Older"/>
    <n v="0"/>
    <s v="Yes"/>
    <n v="330"/>
    <s v="Medium"/>
    <s v="Low"/>
    <n v="8.8235294117647065E-2"/>
    <s v="High"/>
    <n v="2"/>
    <d v="2021-01-01T00:00:00"/>
    <s v="25+ months"/>
    <s v="2–3 tickets"/>
    <s v="31–45 min"/>
    <s v="1000+"/>
    <n v="34056"/>
    <n v="0"/>
  </r>
  <r>
    <n v="11697"/>
    <n v="52"/>
    <s v="Female"/>
    <s v="Pune"/>
    <d v="2023-01-27T00:00:00"/>
    <d v="2023-05-20T00:00:00"/>
    <x v="0"/>
    <n v="704"/>
    <x v="0"/>
    <n v="5"/>
    <n v="88.6"/>
    <n v="0"/>
    <x v="1"/>
    <x v="0"/>
    <n v="17600"/>
    <b v="1"/>
    <n v="2.0833333333333335"/>
    <n v="704"/>
    <n v="14.766666666666666"/>
    <d v="2023-01-01T00:00:00"/>
    <s v="Older"/>
    <n v="1"/>
    <s v="Yes"/>
    <n v="113"/>
    <s v="High"/>
    <s v="Low"/>
    <n v="0.19230769230769232"/>
    <s v="Medium"/>
    <n v="1"/>
    <d v="2023-01-01T00:00:00"/>
    <s v="25+ months"/>
    <s v="4–5 tickets"/>
    <s v="46+ min"/>
    <s v="701–1000"/>
    <n v="17600"/>
    <n v="0"/>
  </r>
  <r>
    <n v="11698"/>
    <n v="23"/>
    <s v="Female"/>
    <s v="Delhi"/>
    <d v="2022-08-07T00:00:00"/>
    <d v="2023-10-04T00:00:00"/>
    <x v="2"/>
    <n v="1492"/>
    <x v="0"/>
    <n v="3"/>
    <n v="111.18"/>
    <n v="10"/>
    <x v="2"/>
    <x v="1"/>
    <n v="37150.800000000003"/>
    <b v="1"/>
    <n v="2.0833333333333335"/>
    <n v="1486.0320000000002"/>
    <n v="27.795000000000002"/>
    <d v="2022-08-01T00:00:00"/>
    <s v="Young"/>
    <n v="0"/>
    <s v="Yes"/>
    <n v="423"/>
    <s v="High"/>
    <s v="Low"/>
    <n v="0.11538461538461539"/>
    <s v="High"/>
    <n v="2"/>
    <d v="2022-08-01T00:00:00"/>
    <s v="25+ months"/>
    <s v="2–3 tickets"/>
    <s v="46+ min"/>
    <s v="1000+"/>
    <n v="37300"/>
    <n v="-149.19999999999709"/>
  </r>
  <r>
    <n v="11699"/>
    <n v="36"/>
    <s v="Female"/>
    <s v="Hyderabad"/>
    <d v="2022-03-08T00:00:00"/>
    <d v="2021-10-27T00:00:00"/>
    <x v="1"/>
    <n v="628"/>
    <x v="2"/>
    <n v="1"/>
    <n v="78.290000000000006"/>
    <n v="10"/>
    <x v="3"/>
    <x v="1"/>
    <n v="2449.1999999999998"/>
    <b v="0"/>
    <n v="0.33333333333333331"/>
    <n v="612.29999999999995"/>
    <n v="39.145000000000003"/>
    <d v="2022-03-01T00:00:00"/>
    <s v="Middle-aged"/>
    <n v="0"/>
    <s v="No"/>
    <m/>
    <s v="High"/>
    <s v="Low"/>
    <n v="0.2"/>
    <s v="Low"/>
    <n v="3"/>
    <d v="2022-03-01T00:00:00"/>
    <s v="0–6 months"/>
    <s v="0–1 tickets"/>
    <s v="46+ min"/>
    <s v="501–700"/>
    <n v="2512"/>
    <n v="-62.800000000000182"/>
  </r>
  <r>
    <n v="11700"/>
    <n v="47"/>
    <s v="Other"/>
    <s v="Hyderabad"/>
    <d v="2021-11-02T00:00:00"/>
    <d v="2023-01-04T00:00:00"/>
    <x v="2"/>
    <n v="725"/>
    <x v="2"/>
    <n v="2"/>
    <n v="114.46"/>
    <n v="20"/>
    <x v="3"/>
    <x v="0"/>
    <n v="2755"/>
    <b v="1"/>
    <n v="0.33333333333333331"/>
    <n v="688.75"/>
    <n v="38.153333333333329"/>
    <d v="2021-11-01T00:00:00"/>
    <s v="Middle-aged"/>
    <n v="1"/>
    <s v="No"/>
    <n v="428"/>
    <s v="High"/>
    <s v="Medium"/>
    <n v="0.4"/>
    <s v="Low"/>
    <n v="2"/>
    <d v="2021-11-01T00:00:00"/>
    <s v="0–6 months"/>
    <s v="2–3 tickets"/>
    <s v="46+ min"/>
    <s v="701–1000"/>
    <n v="2900"/>
    <n v="-145"/>
  </r>
  <r>
    <n v="11701"/>
    <n v="24"/>
    <s v="Female"/>
    <s v="Bangalore"/>
    <d v="2022-06-11T00:00:00"/>
    <d v="2021-09-29T00:00:00"/>
    <x v="2"/>
    <n v="1069"/>
    <x v="9"/>
    <n v="6"/>
    <n v="15.62"/>
    <n v="5"/>
    <x v="2"/>
    <x v="1"/>
    <n v="9567.5499999999993"/>
    <b v="0"/>
    <n v="0.75"/>
    <n v="1063.0611111111111"/>
    <n v="2.2314285714285713"/>
    <d v="2022-06-01T00:00:00"/>
    <s v="Young"/>
    <n v="0"/>
    <s v="No"/>
    <m/>
    <s v="Low"/>
    <s v="Low"/>
    <n v="0.6"/>
    <s v="Medium"/>
    <n v="2"/>
    <d v="2022-06-01T00:00:00"/>
    <s v="7–12 months"/>
    <s v="6+ tickets"/>
    <s v="11–20 min"/>
    <s v="1000+"/>
    <n v="9621"/>
    <n v="-53.450000000000728"/>
  </r>
  <r>
    <n v="11702"/>
    <n v="27"/>
    <s v="Female"/>
    <s v="Bangalore"/>
    <d v="2021-02-22T00:00:00"/>
    <d v="2023-07-05T00:00:00"/>
    <x v="2"/>
    <n v="907"/>
    <x v="15"/>
    <n v="1"/>
    <n v="11.99"/>
    <n v="5"/>
    <x v="1"/>
    <x v="1"/>
    <n v="13559.65"/>
    <b v="1"/>
    <n v="1.25"/>
    <n v="903.97666666666669"/>
    <n v="5.9950000000000001"/>
    <d v="2021-02-01T00:00:00"/>
    <s v="Adult"/>
    <n v="0"/>
    <s v="Yes"/>
    <n v="863"/>
    <s v="Low"/>
    <s v="Low"/>
    <n v="6.25E-2"/>
    <s v="Medium"/>
    <n v="2"/>
    <d v="2021-02-01T00:00:00"/>
    <s v="13–24 months"/>
    <s v="0–1 tickets"/>
    <s v="11–20 min"/>
    <s v="701–1000"/>
    <n v="13605"/>
    <n v="-45.350000000000364"/>
  </r>
  <r>
    <n v="11703"/>
    <n v="58"/>
    <s v="Female"/>
    <s v="Bangalore"/>
    <d v="2022-06-04T00:00:00"/>
    <d v="2023-01-26T00:00:00"/>
    <x v="0"/>
    <n v="825"/>
    <x v="8"/>
    <n v="2"/>
    <n v="74.48"/>
    <n v="20"/>
    <x v="3"/>
    <x v="0"/>
    <n v="21285"/>
    <b v="1"/>
    <n v="2.1666666666666665"/>
    <n v="818.65384615384619"/>
    <n v="24.826666666666668"/>
    <d v="2022-06-01T00:00:00"/>
    <s v="Older"/>
    <n v="1"/>
    <s v="Yes"/>
    <n v="236"/>
    <s v="High"/>
    <s v="Medium"/>
    <n v="7.407407407407407E-2"/>
    <s v="High"/>
    <n v="1"/>
    <d v="2022-06-01T00:00:00"/>
    <s v="25+ months"/>
    <s v="2–3 tickets"/>
    <s v="46+ min"/>
    <s v="701–1000"/>
    <n v="21450"/>
    <n v="-165"/>
  </r>
  <r>
    <n v="11704"/>
    <n v="49"/>
    <s v="Female"/>
    <s v="Hyderabad"/>
    <d v="2021-11-26T00:00:00"/>
    <d v="2022-02-11T00:00:00"/>
    <x v="1"/>
    <n v="924"/>
    <x v="15"/>
    <n v="4"/>
    <n v="116.1"/>
    <n v="15"/>
    <x v="2"/>
    <x v="1"/>
    <n v="13721.4"/>
    <b v="1"/>
    <n v="1.25"/>
    <n v="914.76"/>
    <n v="23.22"/>
    <d v="2021-11-01T00:00:00"/>
    <s v="Middle-aged"/>
    <n v="0"/>
    <s v="Yes"/>
    <n v="77"/>
    <s v="High"/>
    <s v="Low"/>
    <n v="0.25"/>
    <s v="Medium"/>
    <n v="3"/>
    <d v="2021-11-01T00:00:00"/>
    <s v="13–24 months"/>
    <s v="4–5 tickets"/>
    <s v="46+ min"/>
    <s v="701–1000"/>
    <n v="13860"/>
    <n v="-138.60000000000036"/>
  </r>
  <r>
    <n v="11705"/>
    <n v="51"/>
    <s v="Female"/>
    <s v="Mumbai"/>
    <d v="2022-07-12T00:00:00"/>
    <d v="2023-07-06T00:00:00"/>
    <x v="1"/>
    <n v="376"/>
    <x v="8"/>
    <n v="3"/>
    <n v="62.81"/>
    <n v="0"/>
    <x v="2"/>
    <x v="1"/>
    <n v="9776"/>
    <b v="1"/>
    <n v="2.1666666666666665"/>
    <n v="376"/>
    <n v="15.702500000000001"/>
    <d v="2022-07-01T00:00:00"/>
    <s v="Older"/>
    <n v="0"/>
    <s v="No"/>
    <n v="359"/>
    <s v="High"/>
    <s v="Low"/>
    <n v="0.1111111111111111"/>
    <s v="Medium"/>
    <n v="3"/>
    <d v="2022-07-01T00:00:00"/>
    <s v="25+ months"/>
    <s v="2–3 tickets"/>
    <s v="46+ min"/>
    <s v="301–500"/>
    <n v="9776"/>
    <n v="0"/>
  </r>
  <r>
    <n v="11706"/>
    <n v="45"/>
    <s v="Male"/>
    <s v="Delhi"/>
    <d v="2021-11-21T00:00:00"/>
    <d v="2023-10-12T00:00:00"/>
    <x v="0"/>
    <n v="1219"/>
    <x v="29"/>
    <n v="2"/>
    <n v="10.92"/>
    <n v="10"/>
    <x v="1"/>
    <x v="1"/>
    <n v="34010.1"/>
    <b v="1"/>
    <n v="2.3333333333333335"/>
    <n v="1214.6464285714285"/>
    <n v="3.64"/>
    <d v="2021-11-01T00:00:00"/>
    <s v="Middle-aged"/>
    <n v="0"/>
    <s v="Yes"/>
    <n v="690"/>
    <s v="Low"/>
    <s v="Low"/>
    <n v="6.8965517241379309E-2"/>
    <s v="High"/>
    <n v="1"/>
    <d v="2021-11-01T00:00:00"/>
    <s v="25+ months"/>
    <s v="2–3 tickets"/>
    <s v="11–20 min"/>
    <s v="1000+"/>
    <n v="34132"/>
    <n v="-121.90000000000146"/>
  </r>
  <r>
    <n v="11707"/>
    <n v="32"/>
    <s v="Male"/>
    <s v="Delhi"/>
    <d v="2021-04-24T00:00:00"/>
    <d v="2023-08-09T00:00:00"/>
    <x v="0"/>
    <n v="1245"/>
    <x v="16"/>
    <n v="0"/>
    <n v="62.59"/>
    <n v="10"/>
    <x v="1"/>
    <x v="0"/>
    <n v="8590.5"/>
    <b v="1"/>
    <n v="0.58333333333333337"/>
    <n v="1227.2142857142858"/>
    <n v="62.59"/>
    <d v="2021-04-01T00:00:00"/>
    <s v="Adult"/>
    <n v="1"/>
    <s v="No"/>
    <n v="837"/>
    <s v="High"/>
    <s v="Low"/>
    <n v="0"/>
    <s v="Low"/>
    <n v="1"/>
    <d v="2021-04-01T00:00:00"/>
    <s v="7–12 months"/>
    <s v="0–1 tickets"/>
    <s v="46+ min"/>
    <s v="1000+"/>
    <n v="8715"/>
    <n v="-124.5"/>
  </r>
  <r>
    <n v="11708"/>
    <n v="47"/>
    <s v="Female"/>
    <s v="Pune"/>
    <d v="2021-05-27T00:00:00"/>
    <d v="2022-04-05T00:00:00"/>
    <x v="1"/>
    <n v="765"/>
    <x v="23"/>
    <n v="5"/>
    <n v="33.15"/>
    <n v="15"/>
    <x v="3"/>
    <x v="0"/>
    <n v="24365.25"/>
    <b v="1"/>
    <n v="2.6666666666666665"/>
    <n v="761.4140625"/>
    <n v="5.5249999999999995"/>
    <d v="2021-05-01T00:00:00"/>
    <s v="Middle-aged"/>
    <n v="1"/>
    <s v="Yes"/>
    <n v="313"/>
    <s v="Medium"/>
    <s v="Low"/>
    <n v="0.15151515151515152"/>
    <s v="High"/>
    <n v="3"/>
    <d v="2021-05-01T00:00:00"/>
    <s v="25+ months"/>
    <s v="4–5 tickets"/>
    <s v="31–45 min"/>
    <s v="701–1000"/>
    <n v="24480"/>
    <n v="-114.75"/>
  </r>
  <r>
    <n v="11709"/>
    <n v="54"/>
    <s v="Male"/>
    <s v="Mumbai"/>
    <d v="2021-06-15T00:00:00"/>
    <d v="2021-07-29T00:00:00"/>
    <x v="1"/>
    <n v="1483"/>
    <x v="34"/>
    <n v="0"/>
    <n v="43.85"/>
    <n v="10"/>
    <x v="3"/>
    <x v="1"/>
    <n v="17647.7"/>
    <b v="1"/>
    <n v="1"/>
    <n v="1470.6416666666667"/>
    <n v="43.85"/>
    <d v="2021-06-01T00:00:00"/>
    <s v="Older"/>
    <n v="0"/>
    <s v="Yes"/>
    <n v="44"/>
    <s v="Medium"/>
    <s v="Low"/>
    <n v="0"/>
    <s v="Medium"/>
    <n v="3"/>
    <d v="2021-06-01T00:00:00"/>
    <s v="7–12 months"/>
    <s v="0–1 tickets"/>
    <s v="31–45 min"/>
    <s v="1000+"/>
    <n v="17796"/>
    <n v="-148.29999999999927"/>
  </r>
  <r>
    <n v="11710"/>
    <n v="46"/>
    <s v="Male"/>
    <s v="Mumbai"/>
    <d v="2022-01-14T00:00:00"/>
    <d v="2021-08-08T00:00:00"/>
    <x v="1"/>
    <n v="791"/>
    <x v="12"/>
    <n v="1"/>
    <n v="10.01"/>
    <n v="15"/>
    <x v="0"/>
    <x v="1"/>
    <n v="27566.35"/>
    <b v="0"/>
    <n v="2.9166666666666665"/>
    <n v="787.61"/>
    <n v="5.0049999999999999"/>
    <d v="2022-01-01T00:00:00"/>
    <s v="Middle-aged"/>
    <n v="0"/>
    <s v="Yes"/>
    <m/>
    <s v="Low"/>
    <s v="Low"/>
    <n v="2.7777777777777776E-2"/>
    <s v="High"/>
    <n v="3"/>
    <d v="2022-01-01T00:00:00"/>
    <s v="25+ months"/>
    <s v="0–1 tickets"/>
    <s v="11–20 min"/>
    <s v="701–1000"/>
    <n v="27685"/>
    <n v="-118.65000000000146"/>
  </r>
  <r>
    <n v="11711"/>
    <n v="39"/>
    <s v="Other"/>
    <s v="Delhi"/>
    <d v="2021-05-19T00:00:00"/>
    <d v="2022-08-20T00:00:00"/>
    <x v="1"/>
    <n v="612"/>
    <x v="23"/>
    <n v="2"/>
    <n v="109.06"/>
    <n v="20"/>
    <x v="1"/>
    <x v="1"/>
    <n v="19461.599999999999"/>
    <b v="1"/>
    <n v="2.6666666666666665"/>
    <n v="608.17499999999995"/>
    <n v="36.353333333333332"/>
    <d v="2021-05-01T00:00:00"/>
    <s v="Middle-aged"/>
    <n v="0"/>
    <s v="Yes"/>
    <n v="458"/>
    <s v="High"/>
    <s v="Medium"/>
    <n v="6.0606060606060608E-2"/>
    <s v="High"/>
    <n v="3"/>
    <d v="2021-05-01T00:00:00"/>
    <s v="25+ months"/>
    <s v="2–3 tickets"/>
    <s v="46+ min"/>
    <s v="501–700"/>
    <n v="19584"/>
    <n v="-122.40000000000146"/>
  </r>
  <r>
    <n v="11712"/>
    <n v="21"/>
    <s v="Female"/>
    <s v="Chennai"/>
    <d v="2022-09-21T00:00:00"/>
    <d v="2022-06-23T00:00:00"/>
    <x v="2"/>
    <n v="1484"/>
    <x v="9"/>
    <n v="2"/>
    <n v="64.290000000000006"/>
    <n v="15"/>
    <x v="0"/>
    <x v="1"/>
    <n v="13133.4"/>
    <b v="0"/>
    <n v="0.75"/>
    <n v="1459.2666666666667"/>
    <n v="21.430000000000003"/>
    <d v="2022-09-01T00:00:00"/>
    <s v="Young"/>
    <n v="0"/>
    <s v="No"/>
    <m/>
    <s v="High"/>
    <s v="Low"/>
    <n v="0.2"/>
    <s v="Medium"/>
    <n v="2"/>
    <d v="2022-09-01T00:00:00"/>
    <s v="7–12 months"/>
    <s v="2–3 tickets"/>
    <s v="46+ min"/>
    <s v="1000+"/>
    <n v="13356"/>
    <n v="-222.60000000000036"/>
  </r>
  <r>
    <n v="11713"/>
    <n v="37"/>
    <s v="Female"/>
    <s v="Bangalore"/>
    <d v="2021-10-26T00:00:00"/>
    <d v="2021-08-25T00:00:00"/>
    <x v="2"/>
    <n v="607"/>
    <x v="25"/>
    <n v="4"/>
    <n v="82.16"/>
    <n v="5"/>
    <x v="0"/>
    <x v="0"/>
    <n v="8467.65"/>
    <b v="0"/>
    <n v="1.1666666666666667"/>
    <n v="604.8321428571428"/>
    <n v="16.431999999999999"/>
    <d v="2021-10-01T00:00:00"/>
    <s v="Middle-aged"/>
    <n v="1"/>
    <s v="No"/>
    <m/>
    <s v="High"/>
    <s v="Low"/>
    <n v="0.26666666666666666"/>
    <s v="Low"/>
    <n v="2"/>
    <d v="2021-10-01T00:00:00"/>
    <s v="13–24 months"/>
    <s v="4–5 tickets"/>
    <s v="46+ min"/>
    <s v="501–700"/>
    <n v="8498"/>
    <n v="-30.350000000000364"/>
  </r>
  <r>
    <n v="11714"/>
    <n v="49"/>
    <s v="Male"/>
    <s v="Bangalore"/>
    <d v="2021-10-03T00:00:00"/>
    <d v="2023-07-26T00:00:00"/>
    <x v="2"/>
    <n v="1469"/>
    <x v="19"/>
    <n v="3"/>
    <n v="12.72"/>
    <n v="15"/>
    <x v="2"/>
    <x v="1"/>
    <n v="18876.650000000001"/>
    <b v="1"/>
    <n v="1.0833333333333333"/>
    <n v="1452.0500000000002"/>
    <n v="3.18"/>
    <d v="2021-10-01T00:00:00"/>
    <s v="Middle-aged"/>
    <n v="0"/>
    <s v="Yes"/>
    <n v="661"/>
    <s v="Low"/>
    <s v="Low"/>
    <n v="0.21428571428571427"/>
    <s v="Medium"/>
    <n v="2"/>
    <d v="2021-10-01T00:00:00"/>
    <s v="13–24 months"/>
    <s v="2–3 tickets"/>
    <s v="11–20 min"/>
    <s v="1000+"/>
    <n v="19097"/>
    <n v="-220.34999999999854"/>
  </r>
  <r>
    <n v="11715"/>
    <n v="53"/>
    <s v="Male"/>
    <s v="Delhi"/>
    <d v="2023-02-28T00:00:00"/>
    <d v="2022-01-13T00:00:00"/>
    <x v="0"/>
    <n v="990"/>
    <x v="33"/>
    <n v="2"/>
    <n v="11.22"/>
    <n v="20"/>
    <x v="2"/>
    <x v="0"/>
    <n v="32472"/>
    <b v="0"/>
    <n v="2.75"/>
    <n v="984"/>
    <n v="3.74"/>
    <d v="2023-02-01T00:00:00"/>
    <s v="Older"/>
    <n v="1"/>
    <s v="Yes"/>
    <m/>
    <s v="Low"/>
    <s v="Medium"/>
    <n v="5.8823529411764705E-2"/>
    <s v="High"/>
    <n v="1"/>
    <d v="2023-02-01T00:00:00"/>
    <s v="25+ months"/>
    <s v="2–3 tickets"/>
    <s v="11–20 min"/>
    <s v="701–1000"/>
    <n v="32670"/>
    <n v="-198"/>
  </r>
  <r>
    <n v="11716"/>
    <n v="21"/>
    <s v="Male"/>
    <s v="Mumbai"/>
    <d v="2023-04-30T00:00:00"/>
    <d v="2023-01-14T00:00:00"/>
    <x v="2"/>
    <n v="388"/>
    <x v="23"/>
    <n v="2"/>
    <n v="72.44"/>
    <n v="15"/>
    <x v="3"/>
    <x v="0"/>
    <n v="12357.8"/>
    <b v="0"/>
    <n v="2.6666666666666665"/>
    <n v="386.18124999999998"/>
    <n v="24.146666666666665"/>
    <d v="2023-04-01T00:00:00"/>
    <s v="Young"/>
    <n v="1"/>
    <s v="No"/>
    <m/>
    <s v="High"/>
    <s v="Low"/>
    <n v="6.0606060606060608E-2"/>
    <s v="Medium"/>
    <n v="2"/>
    <d v="2023-04-01T00:00:00"/>
    <s v="25+ months"/>
    <s v="2–3 tickets"/>
    <s v="46+ min"/>
    <s v="301–500"/>
    <n v="12416"/>
    <n v="-58.200000000000728"/>
  </r>
  <r>
    <n v="11717"/>
    <n v="44"/>
    <s v="Male"/>
    <s v="Pune"/>
    <d v="2023-04-05T00:00:00"/>
    <d v="2023-02-16T00:00:00"/>
    <x v="2"/>
    <n v="1034"/>
    <x v="17"/>
    <n v="1"/>
    <n v="107.04"/>
    <n v="20"/>
    <x v="1"/>
    <x v="1"/>
    <n v="19439.2"/>
    <b v="0"/>
    <n v="1.5833333333333333"/>
    <n v="1023.1157894736842"/>
    <n v="53.52"/>
    <d v="2023-04-01T00:00:00"/>
    <s v="Middle-aged"/>
    <n v="0"/>
    <s v="Yes"/>
    <m/>
    <s v="High"/>
    <s v="Medium"/>
    <n v="0.05"/>
    <s v="High"/>
    <n v="2"/>
    <d v="2023-04-01T00:00:00"/>
    <s v="13–24 months"/>
    <s v="0–1 tickets"/>
    <s v="46+ min"/>
    <s v="1000+"/>
    <n v="19646"/>
    <n v="-206.79999999999927"/>
  </r>
  <r>
    <n v="11718"/>
    <n v="34"/>
    <s v="Male"/>
    <s v="Chennai"/>
    <d v="2021-06-27T00:00:00"/>
    <d v="2021-12-01T00:00:00"/>
    <x v="2"/>
    <n v="1077"/>
    <x v="3"/>
    <n v="1"/>
    <n v="65.78"/>
    <n v="5"/>
    <x v="1"/>
    <x v="1"/>
    <n v="32256.15"/>
    <b v="1"/>
    <n v="2.5"/>
    <n v="1075.2050000000002"/>
    <n v="32.89"/>
    <d v="2021-06-01T00:00:00"/>
    <s v="Adult"/>
    <n v="0"/>
    <s v="Yes"/>
    <n v="157"/>
    <s v="High"/>
    <s v="Low"/>
    <n v="3.2258064516129031E-2"/>
    <s v="High"/>
    <n v="2"/>
    <d v="2021-06-01T00:00:00"/>
    <s v="25+ months"/>
    <s v="0–1 tickets"/>
    <s v="46+ min"/>
    <s v="1000+"/>
    <n v="32310"/>
    <n v="-53.849999999998545"/>
  </r>
  <r>
    <n v="11719"/>
    <n v="29"/>
    <s v="Male"/>
    <s v="Delhi"/>
    <d v="2023-04-22T00:00:00"/>
    <d v="2023-08-01T00:00:00"/>
    <x v="2"/>
    <n v="1050"/>
    <x v="24"/>
    <n v="1"/>
    <n v="105.95"/>
    <n v="0"/>
    <x v="0"/>
    <x v="1"/>
    <n v="16800"/>
    <b v="1"/>
    <n v="1.3333333333333333"/>
    <n v="1050"/>
    <n v="52.975000000000001"/>
    <d v="2023-04-01T00:00:00"/>
    <s v="Adult"/>
    <n v="0"/>
    <s v="Yes"/>
    <n v="101"/>
    <s v="High"/>
    <s v="Low"/>
    <n v="5.8823529411764705E-2"/>
    <s v="Medium"/>
    <n v="2"/>
    <d v="2023-04-01T00:00:00"/>
    <s v="13–24 months"/>
    <s v="0–1 tickets"/>
    <s v="46+ min"/>
    <s v="1000+"/>
    <n v="16800"/>
    <n v="0"/>
  </r>
  <r>
    <n v="11720"/>
    <n v="39"/>
    <s v="Female"/>
    <s v="Bangalore"/>
    <d v="2021-12-20T00:00:00"/>
    <d v="2022-04-18T00:00:00"/>
    <x v="2"/>
    <n v="670"/>
    <x v="34"/>
    <n v="6"/>
    <n v="98.26"/>
    <n v="20"/>
    <x v="0"/>
    <x v="1"/>
    <n v="7906"/>
    <b v="1"/>
    <n v="1"/>
    <n v="658.83333333333337"/>
    <n v="14.037142857142857"/>
    <d v="2021-12-01T00:00:00"/>
    <s v="Middle-aged"/>
    <n v="0"/>
    <s v="No"/>
    <n v="119"/>
    <s v="High"/>
    <s v="Medium"/>
    <n v="0.46153846153846156"/>
    <s v="Low"/>
    <n v="2"/>
    <d v="2021-12-01T00:00:00"/>
    <s v="7–12 months"/>
    <s v="6+ tickets"/>
    <s v="46+ min"/>
    <s v="501–700"/>
    <n v="8040"/>
    <n v="-134"/>
  </r>
  <r>
    <n v="11721"/>
    <n v="34"/>
    <s v="Female"/>
    <s v="Hyderabad"/>
    <d v="2021-06-03T00:00:00"/>
    <d v="2022-04-14T00:00:00"/>
    <x v="0"/>
    <n v="750"/>
    <x v="32"/>
    <n v="0"/>
    <n v="62.59"/>
    <n v="0"/>
    <x v="3"/>
    <x v="0"/>
    <n v="7500"/>
    <b v="1"/>
    <n v="0.83333333333333337"/>
    <n v="750"/>
    <n v="62.59"/>
    <d v="2021-06-01T00:00:00"/>
    <s v="Adult"/>
    <n v="1"/>
    <s v="No"/>
    <n v="315"/>
    <s v="High"/>
    <s v="Low"/>
    <n v="0"/>
    <s v="Low"/>
    <n v="1"/>
    <d v="2021-06-01T00:00:00"/>
    <s v="7–12 months"/>
    <s v="0–1 tickets"/>
    <s v="46+ min"/>
    <s v="701–1000"/>
    <n v="7500"/>
    <n v="0"/>
  </r>
  <r>
    <n v="11722"/>
    <n v="27"/>
    <s v="Male"/>
    <s v="Mumbai"/>
    <d v="2021-07-20T00:00:00"/>
    <d v="2022-12-18T00:00:00"/>
    <x v="0"/>
    <n v="466"/>
    <x v="4"/>
    <n v="3"/>
    <n v="28.23"/>
    <n v="20"/>
    <x v="2"/>
    <x v="1"/>
    <n v="838.8"/>
    <b v="1"/>
    <n v="0.16666666666666666"/>
    <n v="419.4"/>
    <n v="7.0575000000000001"/>
    <d v="2021-07-01T00:00:00"/>
    <s v="Adult"/>
    <n v="0"/>
    <s v="No"/>
    <n v="516"/>
    <s v="Medium"/>
    <s v="Medium"/>
    <n v="1"/>
    <s v="Low"/>
    <n v="1"/>
    <d v="2021-07-01T00:00:00"/>
    <s v="0–6 months"/>
    <s v="2–3 tickets"/>
    <s v="21–30 min"/>
    <s v="301–500"/>
    <n v="932"/>
    <n v="-93.200000000000045"/>
  </r>
  <r>
    <n v="11723"/>
    <n v="18"/>
    <s v="Male"/>
    <s v="Hyderabad"/>
    <d v="2023-05-28T00:00:00"/>
    <d v="2022-07-04T00:00:00"/>
    <x v="0"/>
    <n v="691"/>
    <x v="10"/>
    <n v="4"/>
    <n v="80.64"/>
    <n v="15"/>
    <x v="1"/>
    <x v="1"/>
    <n v="12334.35"/>
    <b v="0"/>
    <n v="1.5"/>
    <n v="685.24166666666667"/>
    <n v="16.128"/>
    <d v="2023-05-01T00:00:00"/>
    <s v="Young"/>
    <n v="0"/>
    <s v="No"/>
    <m/>
    <s v="High"/>
    <s v="Low"/>
    <n v="0.21052631578947367"/>
    <s v="Medium"/>
    <n v="1"/>
    <d v="2023-05-01T00:00:00"/>
    <s v="13–24 months"/>
    <s v="4–5 tickets"/>
    <s v="46+ min"/>
    <s v="501–700"/>
    <n v="12438"/>
    <n v="-103.64999999999964"/>
  </r>
  <r>
    <n v="11724"/>
    <n v="39"/>
    <s v="Female"/>
    <s v="Pune"/>
    <d v="2021-04-25T00:00:00"/>
    <d v="2023-05-10T00:00:00"/>
    <x v="0"/>
    <n v="1035"/>
    <x v="19"/>
    <n v="3"/>
    <n v="56"/>
    <n v="0"/>
    <x v="1"/>
    <x v="1"/>
    <n v="13455"/>
    <b v="1"/>
    <n v="1.0833333333333333"/>
    <n v="1035"/>
    <n v="14"/>
    <d v="2021-04-01T00:00:00"/>
    <s v="Middle-aged"/>
    <n v="0"/>
    <s v="No"/>
    <n v="745"/>
    <s v="Medium"/>
    <s v="Low"/>
    <n v="0.21428571428571427"/>
    <s v="Medium"/>
    <n v="1"/>
    <d v="2021-04-01T00:00:00"/>
    <s v="13–24 months"/>
    <s v="2–3 tickets"/>
    <s v="46+ min"/>
    <s v="1000+"/>
    <n v="13455"/>
    <n v="0"/>
  </r>
  <r>
    <n v="11725"/>
    <n v="43"/>
    <s v="Male"/>
    <s v="Delhi"/>
    <d v="2022-11-02T00:00:00"/>
    <d v="2023-11-16T00:00:00"/>
    <x v="1"/>
    <n v="790"/>
    <x v="5"/>
    <n v="3"/>
    <n v="38.43"/>
    <n v="20"/>
    <x v="1"/>
    <x v="1"/>
    <n v="22752"/>
    <b v="1"/>
    <n v="2.4166666666666665"/>
    <n v="784.55172413793105"/>
    <n v="9.6074999999999999"/>
    <d v="2022-11-01T00:00:00"/>
    <s v="Middle-aged"/>
    <n v="0"/>
    <s v="Yes"/>
    <n v="379"/>
    <s v="Medium"/>
    <s v="Medium"/>
    <n v="0.1"/>
    <s v="High"/>
    <n v="3"/>
    <d v="2022-11-01T00:00:00"/>
    <s v="25+ months"/>
    <s v="2–3 tickets"/>
    <s v="31–45 min"/>
    <s v="701–1000"/>
    <n v="22910"/>
    <n v="-158"/>
  </r>
  <r>
    <n v="11726"/>
    <n v="35"/>
    <s v="Female"/>
    <s v="Bangalore"/>
    <d v="2022-07-08T00:00:00"/>
    <d v="2022-03-20T00:00:00"/>
    <x v="0"/>
    <n v="1224"/>
    <x v="30"/>
    <n v="0"/>
    <n v="53.14"/>
    <n v="20"/>
    <x v="1"/>
    <x v="0"/>
    <n v="29131.200000000001"/>
    <b v="0"/>
    <n v="2"/>
    <n v="1213.8"/>
    <n v="53.14"/>
    <d v="2022-07-01T00:00:00"/>
    <s v="Adult"/>
    <n v="1"/>
    <s v="Yes"/>
    <m/>
    <s v="Medium"/>
    <s v="Medium"/>
    <n v="0"/>
    <s v="High"/>
    <n v="1"/>
    <d v="2022-07-01T00:00:00"/>
    <s v="13–24 months"/>
    <s v="0–1 tickets"/>
    <s v="46+ min"/>
    <s v="1000+"/>
    <n v="29376"/>
    <n v="-244.79999999999927"/>
  </r>
  <r>
    <n v="11727"/>
    <n v="31"/>
    <s v="Male"/>
    <s v="Chennai"/>
    <d v="2023-01-29T00:00:00"/>
    <d v="2022-03-20T00:00:00"/>
    <x v="0"/>
    <n v="1473"/>
    <x v="34"/>
    <n v="0"/>
    <n v="56.2"/>
    <n v="0"/>
    <x v="2"/>
    <x v="1"/>
    <n v="17676"/>
    <b v="0"/>
    <n v="1"/>
    <n v="1473"/>
    <n v="56.2"/>
    <d v="2023-01-01T00:00:00"/>
    <s v="Adult"/>
    <n v="0"/>
    <s v="Yes"/>
    <m/>
    <s v="Medium"/>
    <s v="Low"/>
    <n v="0"/>
    <s v="Medium"/>
    <n v="1"/>
    <d v="2023-01-01T00:00:00"/>
    <s v="7–12 months"/>
    <s v="0–1 tickets"/>
    <s v="46+ min"/>
    <s v="1000+"/>
    <n v="17676"/>
    <n v="0"/>
  </r>
  <r>
    <n v="11728"/>
    <n v="41"/>
    <s v="Male"/>
    <s v="unknown"/>
    <d v="2021-03-09T00:00:00"/>
    <d v="2022-09-28T00:00:00"/>
    <x v="2"/>
    <n v="1366"/>
    <x v="5"/>
    <n v="2"/>
    <n v="109.71"/>
    <n v="20"/>
    <x v="3"/>
    <x v="1"/>
    <n v="39340.800000000003"/>
    <b v="1"/>
    <n v="2.4166666666666665"/>
    <n v="1356.5793103448277"/>
    <n v="36.57"/>
    <d v="2021-03-01T00:00:00"/>
    <s v="Middle-aged"/>
    <n v="0"/>
    <s v="Yes"/>
    <n v="568"/>
    <s v="High"/>
    <s v="Medium"/>
    <n v="6.6666666666666666E-2"/>
    <s v="High"/>
    <n v="2"/>
    <d v="2021-03-01T00:00:00"/>
    <s v="25+ months"/>
    <s v="2–3 tickets"/>
    <s v="46+ min"/>
    <s v="1000+"/>
    <n v="39614"/>
    <n v="-273.19999999999709"/>
  </r>
  <r>
    <n v="11729"/>
    <n v="46"/>
    <s v="Male"/>
    <s v="Chennai"/>
    <d v="2022-03-21T00:00:00"/>
    <d v="2023-11-16T00:00:00"/>
    <x v="2"/>
    <n v="1244"/>
    <x v="1"/>
    <n v="2"/>
    <n v="16.899999999999999"/>
    <n v="0"/>
    <x v="3"/>
    <x v="1"/>
    <n v="27368"/>
    <b v="1"/>
    <n v="1.8333333333333333"/>
    <n v="1244"/>
    <n v="5.6333333333333329"/>
    <d v="2022-03-01T00:00:00"/>
    <s v="Middle-aged"/>
    <n v="0"/>
    <s v="Yes"/>
    <n v="605"/>
    <s v="Low"/>
    <s v="Low"/>
    <n v="8.6956521739130432E-2"/>
    <s v="High"/>
    <n v="2"/>
    <d v="2022-03-01T00:00:00"/>
    <s v="13–24 months"/>
    <s v="2–3 tickets"/>
    <s v="11–20 min"/>
    <s v="1000+"/>
    <n v="27368"/>
    <n v="0"/>
  </r>
  <r>
    <n v="11730"/>
    <n v="29"/>
    <s v="Male"/>
    <s v="unknown"/>
    <d v="2022-03-21T00:00:00"/>
    <d v="2022-08-21T00:00:00"/>
    <x v="0"/>
    <n v="328"/>
    <x v="7"/>
    <n v="0"/>
    <n v="37.17"/>
    <n v="5"/>
    <x v="2"/>
    <x v="1"/>
    <n v="311.60000000000002"/>
    <b v="1"/>
    <n v="8.3333333333333329E-2"/>
    <n v="311.60000000000002"/>
    <n v="37.17"/>
    <d v="2022-03-01T00:00:00"/>
    <s v="Adult"/>
    <n v="0"/>
    <s v="No"/>
    <n v="153"/>
    <s v="Medium"/>
    <s v="Low"/>
    <n v="0"/>
    <s v="Low"/>
    <n v="1"/>
    <d v="2022-03-01T00:00:00"/>
    <s v="0–6 months"/>
    <s v="0–1 tickets"/>
    <s v="31–45 min"/>
    <s v="301–500"/>
    <n v="328"/>
    <n v="-16.399999999999977"/>
  </r>
  <r>
    <n v="11731"/>
    <n v="53"/>
    <s v="Female"/>
    <s v="Bangalore"/>
    <d v="2021-11-22T00:00:00"/>
    <d v="2023-08-12T00:00:00"/>
    <x v="2"/>
    <n v="1354"/>
    <x v="22"/>
    <n v="1"/>
    <n v="66.819999999999993"/>
    <n v="10"/>
    <x v="3"/>
    <x v="1"/>
    <n v="45900.6"/>
    <b v="1"/>
    <n v="2.8333333333333335"/>
    <n v="1350.0176470588235"/>
    <n v="33.409999999999997"/>
    <d v="2021-11-01T00:00:00"/>
    <s v="Older"/>
    <n v="0"/>
    <s v="Yes"/>
    <n v="628"/>
    <s v="High"/>
    <s v="Low"/>
    <n v="2.8571428571428571E-2"/>
    <s v="High"/>
    <n v="2"/>
    <d v="2021-11-01T00:00:00"/>
    <s v="25+ months"/>
    <s v="0–1 tickets"/>
    <s v="46+ min"/>
    <s v="1000+"/>
    <n v="46036"/>
    <n v="-135.40000000000146"/>
  </r>
  <r>
    <n v="11732"/>
    <n v="52"/>
    <s v="Female"/>
    <s v="Hyderabad"/>
    <d v="2023-04-26T00:00:00"/>
    <d v="2023-04-23T00:00:00"/>
    <x v="2"/>
    <n v="992"/>
    <x v="22"/>
    <n v="0"/>
    <n v="85.3"/>
    <n v="10"/>
    <x v="3"/>
    <x v="1"/>
    <n v="33678.400000000001"/>
    <b v="0"/>
    <n v="2.8333333333333335"/>
    <n v="990.54117647058831"/>
    <n v="85.3"/>
    <d v="2023-04-01T00:00:00"/>
    <s v="Older"/>
    <n v="0"/>
    <s v="Yes"/>
    <m/>
    <s v="High"/>
    <s v="Low"/>
    <n v="0"/>
    <s v="High"/>
    <n v="2"/>
    <d v="2023-04-01T00:00:00"/>
    <s v="25+ months"/>
    <s v="0–1 tickets"/>
    <s v="46+ min"/>
    <s v="701–1000"/>
    <n v="33728"/>
    <n v="-49.599999999998545"/>
  </r>
  <r>
    <n v="11733"/>
    <n v="29"/>
    <s v="Female"/>
    <s v="Pune"/>
    <d v="2022-12-09T00:00:00"/>
    <d v="2023-11-09T00:00:00"/>
    <x v="0"/>
    <n v="427"/>
    <x v="33"/>
    <n v="6"/>
    <n v="77.52"/>
    <n v="0"/>
    <x v="0"/>
    <x v="0"/>
    <n v="14091"/>
    <b v="1"/>
    <n v="2.75"/>
    <n v="427"/>
    <n v="11.074285714285713"/>
    <d v="2022-12-01T00:00:00"/>
    <s v="Adult"/>
    <n v="1"/>
    <s v="Yes"/>
    <n v="335"/>
    <s v="High"/>
    <s v="Low"/>
    <n v="0.17647058823529413"/>
    <s v="Medium"/>
    <n v="1"/>
    <d v="2022-12-01T00:00:00"/>
    <s v="25+ months"/>
    <s v="6+ tickets"/>
    <s v="46+ min"/>
    <s v="301–500"/>
    <n v="14091"/>
    <n v="0"/>
  </r>
  <r>
    <n v="11734"/>
    <n v="24"/>
    <s v="Male"/>
    <s v="Chennai"/>
    <d v="2022-08-25T00:00:00"/>
    <d v="2022-07-17T00:00:00"/>
    <x v="0"/>
    <n v="1066"/>
    <x v="2"/>
    <n v="2"/>
    <n v="113.29"/>
    <n v="15"/>
    <x v="2"/>
    <x v="0"/>
    <n v="4104.1000000000004"/>
    <b v="0"/>
    <n v="0.33333333333333331"/>
    <n v="1026.0250000000001"/>
    <n v="37.763333333333335"/>
    <d v="2022-08-01T00:00:00"/>
    <s v="Young"/>
    <n v="1"/>
    <s v="No"/>
    <m/>
    <s v="High"/>
    <s v="Low"/>
    <n v="0.4"/>
    <s v="Low"/>
    <n v="1"/>
    <d v="2022-08-01T00:00:00"/>
    <s v="0–6 months"/>
    <s v="2–3 tickets"/>
    <s v="46+ min"/>
    <s v="1000+"/>
    <n v="4264"/>
    <n v="-159.89999999999964"/>
  </r>
  <r>
    <n v="11735"/>
    <n v="46"/>
    <s v="Female"/>
    <s v="Chennai"/>
    <d v="2022-09-15T00:00:00"/>
    <d v="2022-10-21T00:00:00"/>
    <x v="1"/>
    <n v="740"/>
    <x v="3"/>
    <n v="5"/>
    <n v="96.5"/>
    <n v="15"/>
    <x v="3"/>
    <x v="1"/>
    <n v="22089"/>
    <b v="1"/>
    <n v="2.5"/>
    <n v="736.3"/>
    <n v="16.083333333333332"/>
    <d v="2022-09-01T00:00:00"/>
    <s v="Middle-aged"/>
    <n v="0"/>
    <s v="Yes"/>
    <n v="36"/>
    <s v="High"/>
    <s v="Low"/>
    <n v="0.16129032258064516"/>
    <s v="High"/>
    <n v="3"/>
    <d v="2022-09-01T00:00:00"/>
    <s v="25+ months"/>
    <s v="4–5 tickets"/>
    <s v="46+ min"/>
    <s v="701–1000"/>
    <n v="22200"/>
    <n v="-111"/>
  </r>
  <r>
    <n v="11736"/>
    <n v="28"/>
    <s v="Female"/>
    <s v="Hyderabad"/>
    <d v="2023-05-30T00:00:00"/>
    <d v="2023-06-04T00:00:00"/>
    <x v="1"/>
    <n v="1168"/>
    <x v="28"/>
    <n v="4"/>
    <n v="69.06"/>
    <n v="10"/>
    <x v="0"/>
    <x v="0"/>
    <n v="23243.200000000001"/>
    <b v="1"/>
    <n v="1.6666666666666667"/>
    <n v="1162.1600000000001"/>
    <n v="13.812000000000001"/>
    <d v="2023-05-01T00:00:00"/>
    <s v="Adult"/>
    <n v="1"/>
    <s v="Yes"/>
    <n v="5"/>
    <s v="High"/>
    <s v="Low"/>
    <n v="0.19047619047619047"/>
    <s v="High"/>
    <n v="3"/>
    <d v="2023-05-01T00:00:00"/>
    <s v="13–24 months"/>
    <s v="4–5 tickets"/>
    <s v="46+ min"/>
    <s v="1000+"/>
    <n v="23360"/>
    <n v="-116.79999999999927"/>
  </r>
  <r>
    <n v="11737"/>
    <n v="50"/>
    <s v="Female"/>
    <s v="Bangalore"/>
    <d v="2021-12-25T00:00:00"/>
    <d v="2023-07-26T00:00:00"/>
    <x v="2"/>
    <n v="823"/>
    <x v="8"/>
    <n v="1"/>
    <n v="29.69"/>
    <n v="0"/>
    <x v="2"/>
    <x v="1"/>
    <n v="21398"/>
    <b v="1"/>
    <n v="2.1666666666666665"/>
    <n v="823"/>
    <n v="14.845000000000001"/>
    <d v="2021-12-01T00:00:00"/>
    <s v="Middle-aged"/>
    <n v="0"/>
    <s v="Yes"/>
    <n v="578"/>
    <s v="Medium"/>
    <s v="Low"/>
    <n v="3.7037037037037035E-2"/>
    <s v="High"/>
    <n v="2"/>
    <d v="2021-12-01T00:00:00"/>
    <s v="25+ months"/>
    <s v="0–1 tickets"/>
    <s v="21–30 min"/>
    <s v="701–1000"/>
    <n v="21398"/>
    <n v="0"/>
  </r>
  <r>
    <n v="11738"/>
    <n v="23"/>
    <s v="Male"/>
    <s v="Chennai"/>
    <d v="2021-05-25T00:00:00"/>
    <d v="2023-11-07T00:00:00"/>
    <x v="0"/>
    <n v="1059"/>
    <x v="15"/>
    <n v="4"/>
    <n v="56.85"/>
    <n v="20"/>
    <x v="2"/>
    <x v="1"/>
    <n v="15673.2"/>
    <b v="1"/>
    <n v="1.25"/>
    <n v="1044.8800000000001"/>
    <n v="11.370000000000001"/>
    <d v="2021-05-01T00:00:00"/>
    <s v="Young"/>
    <n v="0"/>
    <s v="Yes"/>
    <n v="896"/>
    <s v="Medium"/>
    <s v="Medium"/>
    <n v="0.25"/>
    <s v="Medium"/>
    <n v="1"/>
    <d v="2021-05-01T00:00:00"/>
    <s v="13–24 months"/>
    <s v="4–5 tickets"/>
    <s v="46+ min"/>
    <s v="1000+"/>
    <n v="15885"/>
    <n v="-211.79999999999927"/>
  </r>
  <r>
    <n v="11739"/>
    <n v="64"/>
    <s v="Male"/>
    <s v="unknown"/>
    <d v="2021-10-02T00:00:00"/>
    <d v="2022-01-30T00:00:00"/>
    <x v="0"/>
    <n v="409"/>
    <x v="16"/>
    <n v="4"/>
    <n v="84.74"/>
    <n v="5"/>
    <x v="1"/>
    <x v="1"/>
    <n v="2842.55"/>
    <b v="1"/>
    <n v="0.58333333333333337"/>
    <n v="406.07857142857148"/>
    <n v="16.948"/>
    <d v="2021-10-01T00:00:00"/>
    <s v="Older"/>
    <n v="0"/>
    <s v="No"/>
    <n v="120"/>
    <s v="High"/>
    <s v="Low"/>
    <n v="0.5"/>
    <s v="Low"/>
    <n v="1"/>
    <d v="2021-10-01T00:00:00"/>
    <s v="7–12 months"/>
    <s v="4–5 tickets"/>
    <s v="46+ min"/>
    <s v="301–500"/>
    <n v="2863"/>
    <n v="-20.449999999999818"/>
  </r>
  <r>
    <n v="11740"/>
    <n v="32"/>
    <s v="Female"/>
    <s v="Pune"/>
    <d v="2022-05-24T00:00:00"/>
    <d v="2022-07-25T00:00:00"/>
    <x v="2"/>
    <n v="462"/>
    <x v="16"/>
    <n v="2"/>
    <n v="101.37"/>
    <n v="5"/>
    <x v="0"/>
    <x v="1"/>
    <n v="3210.9"/>
    <b v="1"/>
    <n v="0.58333333333333337"/>
    <n v="458.7"/>
    <n v="33.79"/>
    <d v="2022-05-01T00:00:00"/>
    <s v="Adult"/>
    <n v="0"/>
    <s v="No"/>
    <n v="62"/>
    <s v="High"/>
    <s v="Low"/>
    <n v="0.25"/>
    <s v="Low"/>
    <n v="2"/>
    <d v="2022-05-01T00:00:00"/>
    <s v="7–12 months"/>
    <s v="2–3 tickets"/>
    <s v="46+ min"/>
    <s v="301–500"/>
    <n v="3234"/>
    <n v="-23.099999999999909"/>
  </r>
  <r>
    <n v="11741"/>
    <n v="49"/>
    <s v="Female"/>
    <s v="Hyderabad"/>
    <d v="2021-06-28T00:00:00"/>
    <d v="2021-11-01T00:00:00"/>
    <x v="0"/>
    <n v="859"/>
    <x v="5"/>
    <n v="1"/>
    <n v="115.37"/>
    <n v="10"/>
    <x v="0"/>
    <x v="1"/>
    <n v="24825.1"/>
    <b v="1"/>
    <n v="2.4166666666666665"/>
    <n v="856.03793103448265"/>
    <n v="57.685000000000002"/>
    <d v="2021-06-01T00:00:00"/>
    <s v="Middle-aged"/>
    <n v="0"/>
    <s v="Yes"/>
    <n v="126"/>
    <s v="High"/>
    <s v="Low"/>
    <n v="3.3333333333333333E-2"/>
    <s v="High"/>
    <n v="1"/>
    <d v="2021-06-01T00:00:00"/>
    <s v="25+ months"/>
    <s v="0–1 tickets"/>
    <s v="46+ min"/>
    <s v="701–1000"/>
    <n v="24911"/>
    <n v="-85.900000000001455"/>
  </r>
  <r>
    <n v="11742"/>
    <n v="28"/>
    <s v="Male"/>
    <s v="Mumbai"/>
    <d v="2023-01-23T00:00:00"/>
    <d v="2023-08-25T00:00:00"/>
    <x v="0"/>
    <n v="698"/>
    <x v="31"/>
    <n v="2"/>
    <n v="74.63"/>
    <n v="10"/>
    <x v="0"/>
    <x v="1"/>
    <n v="15984.2"/>
    <b v="1"/>
    <n v="1.9166666666666667"/>
    <n v="694.96521739130435"/>
    <n v="24.876666666666665"/>
    <d v="2023-01-01T00:00:00"/>
    <s v="Adult"/>
    <n v="0"/>
    <s v="Yes"/>
    <n v="214"/>
    <s v="High"/>
    <s v="Low"/>
    <n v="8.3333333333333329E-2"/>
    <s v="Medium"/>
    <n v="1"/>
    <d v="2023-01-01T00:00:00"/>
    <s v="13–24 months"/>
    <s v="2–3 tickets"/>
    <s v="46+ min"/>
    <s v="501–700"/>
    <n v="16054"/>
    <n v="-69.799999999999272"/>
  </r>
  <r>
    <n v="11743"/>
    <n v="40"/>
    <s v="Male"/>
    <s v="Mumbai"/>
    <d v="2023-04-18T00:00:00"/>
    <d v="2022-07-29T00:00:00"/>
    <x v="2"/>
    <n v="882"/>
    <x v="22"/>
    <n v="2"/>
    <n v="65.599999999999994"/>
    <n v="10"/>
    <x v="2"/>
    <x v="1"/>
    <n v="29899.8"/>
    <b v="0"/>
    <n v="2.8333333333333335"/>
    <n v="879.40588235294115"/>
    <n v="21.866666666666664"/>
    <d v="2023-04-01T00:00:00"/>
    <s v="Middle-aged"/>
    <n v="0"/>
    <s v="Yes"/>
    <m/>
    <s v="High"/>
    <s v="Low"/>
    <n v="5.7142857142857141E-2"/>
    <s v="High"/>
    <n v="2"/>
    <d v="2023-04-01T00:00:00"/>
    <s v="25+ months"/>
    <s v="2–3 tickets"/>
    <s v="46+ min"/>
    <s v="701–1000"/>
    <n v="29988"/>
    <n v="-88.200000000000728"/>
  </r>
  <r>
    <n v="11744"/>
    <n v="43"/>
    <s v="Female"/>
    <s v="Bangalore"/>
    <d v="2023-04-11T00:00:00"/>
    <d v="2022-02-28T00:00:00"/>
    <x v="0"/>
    <n v="698"/>
    <x v="28"/>
    <n v="2"/>
    <n v="7.03"/>
    <n v="10"/>
    <x v="1"/>
    <x v="1"/>
    <n v="13890.2"/>
    <b v="0"/>
    <n v="1.6666666666666667"/>
    <n v="694.51"/>
    <n v="2.3433333333333333"/>
    <d v="2023-04-01T00:00:00"/>
    <s v="Middle-aged"/>
    <n v="0"/>
    <s v="Yes"/>
    <m/>
    <s v="Low"/>
    <s v="Low"/>
    <n v="9.5238095238095233E-2"/>
    <s v="Medium"/>
    <n v="1"/>
    <d v="2023-04-01T00:00:00"/>
    <s v="13–24 months"/>
    <s v="2–3 tickets"/>
    <s v="0–10 min"/>
    <s v="501–700"/>
    <n v="13960"/>
    <n v="-69.799999999999272"/>
  </r>
  <r>
    <n v="11745"/>
    <n v="51"/>
    <s v="Female"/>
    <s v="Delhi"/>
    <d v="2022-04-22T00:00:00"/>
    <d v="2023-03-09T00:00:00"/>
    <x v="2"/>
    <n v="538"/>
    <x v="15"/>
    <n v="4"/>
    <n v="13.29"/>
    <n v="10"/>
    <x v="2"/>
    <x v="1"/>
    <n v="8016.2"/>
    <b v="1"/>
    <n v="1.25"/>
    <n v="534.4133333333333"/>
    <n v="2.6579999999999999"/>
    <d v="2022-04-01T00:00:00"/>
    <s v="Older"/>
    <n v="0"/>
    <s v="No"/>
    <n v="321"/>
    <s v="Low"/>
    <s v="Low"/>
    <n v="0.25"/>
    <s v="Low"/>
    <n v="2"/>
    <d v="2022-04-01T00:00:00"/>
    <s v="13–24 months"/>
    <s v="4–5 tickets"/>
    <s v="11–20 min"/>
    <s v="501–700"/>
    <n v="8070"/>
    <n v="-53.800000000000182"/>
  </r>
  <r>
    <n v="11746"/>
    <n v="63"/>
    <s v="Male"/>
    <s v="Chennai"/>
    <d v="2023-04-23T00:00:00"/>
    <d v="2023-09-03T00:00:00"/>
    <x v="1"/>
    <n v="1355"/>
    <x v="33"/>
    <n v="0"/>
    <n v="22.95"/>
    <n v="10"/>
    <x v="3"/>
    <x v="1"/>
    <n v="44579.5"/>
    <b v="1"/>
    <n v="2.75"/>
    <n v="1350.8939393939395"/>
    <n v="22.95"/>
    <d v="2023-04-01T00:00:00"/>
    <s v="Older"/>
    <n v="0"/>
    <s v="Yes"/>
    <n v="133"/>
    <s v="Medium"/>
    <s v="Low"/>
    <n v="0"/>
    <s v="High"/>
    <n v="3"/>
    <d v="2023-04-01T00:00:00"/>
    <s v="25+ months"/>
    <s v="0–1 tickets"/>
    <s v="21–30 min"/>
    <s v="1000+"/>
    <n v="44715"/>
    <n v="-135.5"/>
  </r>
  <r>
    <n v="11747"/>
    <n v="51"/>
    <s v="Female"/>
    <s v="Mumbai"/>
    <d v="2022-02-18T00:00:00"/>
    <d v="2022-11-02T00:00:00"/>
    <x v="0"/>
    <n v="1446"/>
    <x v="18"/>
    <n v="1"/>
    <n v="11.3"/>
    <n v="20"/>
    <x v="3"/>
    <x v="0"/>
    <n v="24292.799999999999"/>
    <b v="1"/>
    <n v="1.4166666666666667"/>
    <n v="1428.9882352941177"/>
    <n v="5.65"/>
    <d v="2022-02-01T00:00:00"/>
    <s v="Older"/>
    <n v="1"/>
    <s v="Yes"/>
    <n v="257"/>
    <s v="Low"/>
    <s v="Medium"/>
    <n v="5.5555555555555552E-2"/>
    <s v="High"/>
    <n v="1"/>
    <d v="2022-02-01T00:00:00"/>
    <s v="13–24 months"/>
    <s v="0–1 tickets"/>
    <s v="11–20 min"/>
    <s v="1000+"/>
    <n v="24582"/>
    <n v="-289.20000000000073"/>
  </r>
  <r>
    <n v="11748"/>
    <n v="46"/>
    <s v="Female"/>
    <s v="Bangalore"/>
    <d v="2021-06-02T00:00:00"/>
    <d v="2021-10-06T00:00:00"/>
    <x v="1"/>
    <n v="409"/>
    <x v="28"/>
    <n v="1"/>
    <n v="51.1"/>
    <n v="20"/>
    <x v="3"/>
    <x v="0"/>
    <n v="8098.2"/>
    <b v="1"/>
    <n v="1.6666666666666667"/>
    <n v="404.90999999999997"/>
    <n v="25.55"/>
    <d v="2021-06-01T00:00:00"/>
    <s v="Middle-aged"/>
    <n v="1"/>
    <s v="No"/>
    <n v="126"/>
    <s v="Medium"/>
    <s v="Medium"/>
    <n v="4.7619047619047616E-2"/>
    <s v="Low"/>
    <n v="3"/>
    <d v="2021-06-01T00:00:00"/>
    <s v="13–24 months"/>
    <s v="0–1 tickets"/>
    <s v="46+ min"/>
    <s v="301–500"/>
    <n v="8180"/>
    <n v="-81.800000000000182"/>
  </r>
  <r>
    <n v="11749"/>
    <n v="21"/>
    <s v="Female"/>
    <s v="Pune"/>
    <d v="2021-04-14T00:00:00"/>
    <d v="2022-06-08T00:00:00"/>
    <x v="0"/>
    <n v="599"/>
    <x v="19"/>
    <n v="2"/>
    <n v="43.74"/>
    <n v="5"/>
    <x v="1"/>
    <x v="1"/>
    <n v="7757.05"/>
    <b v="1"/>
    <n v="1.0833333333333333"/>
    <n v="596.69615384615383"/>
    <n v="14.58"/>
    <d v="2021-04-01T00:00:00"/>
    <s v="Young"/>
    <n v="0"/>
    <s v="No"/>
    <n v="420"/>
    <s v="Medium"/>
    <s v="Low"/>
    <n v="0.14285714285714285"/>
    <s v="Low"/>
    <n v="1"/>
    <d v="2021-04-01T00:00:00"/>
    <s v="13–24 months"/>
    <s v="2–3 tickets"/>
    <s v="31–45 min"/>
    <s v="501–700"/>
    <n v="7787"/>
    <n v="-29.949999999999818"/>
  </r>
  <r>
    <n v="11750"/>
    <n v="34"/>
    <s v="Female"/>
    <s v="Delhi"/>
    <d v="2021-03-16T00:00:00"/>
    <d v="2022-12-20T00:00:00"/>
    <x v="1"/>
    <n v="1301"/>
    <x v="30"/>
    <n v="3"/>
    <n v="78.3"/>
    <n v="5"/>
    <x v="2"/>
    <x v="1"/>
    <n v="31158.95"/>
    <b v="1"/>
    <n v="2"/>
    <n v="1298.2895833333334"/>
    <n v="19.574999999999999"/>
    <d v="2021-03-01T00:00:00"/>
    <s v="Adult"/>
    <n v="0"/>
    <s v="Yes"/>
    <n v="644"/>
    <s v="High"/>
    <s v="Low"/>
    <n v="0.12"/>
    <s v="High"/>
    <n v="3"/>
    <d v="2021-03-01T00:00:00"/>
    <s v="13–24 months"/>
    <s v="2–3 tickets"/>
    <s v="46+ min"/>
    <s v="1000+"/>
    <n v="31224"/>
    <n v="-65.049999999999272"/>
  </r>
  <r>
    <n v="11751"/>
    <n v="52"/>
    <s v="Male"/>
    <s v="Delhi"/>
    <d v="2021-05-08T00:00:00"/>
    <d v="2023-02-28T00:00:00"/>
    <x v="0"/>
    <n v="1063"/>
    <x v="16"/>
    <n v="0"/>
    <n v="66.599999999999994"/>
    <n v="10"/>
    <x v="0"/>
    <x v="1"/>
    <n v="7334.7"/>
    <b v="1"/>
    <n v="0.58333333333333337"/>
    <n v="1047.8142857142857"/>
    <n v="66.599999999999994"/>
    <d v="2021-05-01T00:00:00"/>
    <s v="Older"/>
    <n v="0"/>
    <s v="No"/>
    <n v="661"/>
    <s v="High"/>
    <s v="Low"/>
    <n v="0"/>
    <s v="Low"/>
    <n v="1"/>
    <d v="2021-05-01T00:00:00"/>
    <s v="7–12 months"/>
    <s v="0–1 tickets"/>
    <s v="46+ min"/>
    <s v="1000+"/>
    <n v="7441"/>
    <n v="-106.30000000000018"/>
  </r>
  <r>
    <n v="11752"/>
    <n v="30"/>
    <s v="Female"/>
    <s v="Bangalore"/>
    <d v="2022-12-12T00:00:00"/>
    <d v="2021-11-06T00:00:00"/>
    <x v="0"/>
    <n v="548"/>
    <x v="14"/>
    <n v="1"/>
    <n v="73.540000000000006"/>
    <n v="5"/>
    <x v="3"/>
    <x v="0"/>
    <n v="4356.6000000000004"/>
    <b v="0"/>
    <n v="0.66666666666666663"/>
    <n v="544.57500000000005"/>
    <n v="36.770000000000003"/>
    <d v="2022-12-01T00:00:00"/>
    <s v="Adult"/>
    <n v="1"/>
    <s v="No"/>
    <m/>
    <s v="High"/>
    <s v="Low"/>
    <n v="0.1111111111111111"/>
    <s v="Low"/>
    <n v="1"/>
    <d v="2022-12-01T00:00:00"/>
    <s v="7–12 months"/>
    <s v="0–1 tickets"/>
    <s v="46+ min"/>
    <s v="501–700"/>
    <n v="4384"/>
    <n v="-27.399999999999636"/>
  </r>
  <r>
    <n v="11753"/>
    <n v="58"/>
    <s v="Male"/>
    <s v="Bangalore"/>
    <d v="2022-10-28T00:00:00"/>
    <d v="2022-12-23T00:00:00"/>
    <x v="2"/>
    <n v="820"/>
    <x v="31"/>
    <n v="1"/>
    <n v="59.28"/>
    <n v="10"/>
    <x v="3"/>
    <x v="1"/>
    <n v="18778"/>
    <b v="1"/>
    <n v="1.9166666666666667"/>
    <n v="816.43478260869563"/>
    <n v="29.64"/>
    <d v="2022-10-01T00:00:00"/>
    <s v="Older"/>
    <n v="0"/>
    <s v="Yes"/>
    <n v="56"/>
    <s v="Medium"/>
    <s v="Low"/>
    <n v="4.1666666666666664E-2"/>
    <s v="Medium"/>
    <n v="2"/>
    <d v="2022-10-01T00:00:00"/>
    <s v="13–24 months"/>
    <s v="0–1 tickets"/>
    <s v="46+ min"/>
    <s v="701–1000"/>
    <n v="18860"/>
    <n v="-82"/>
  </r>
  <r>
    <n v="11754"/>
    <n v="56"/>
    <s v="Female"/>
    <s v="Chennai"/>
    <d v="2022-07-22T00:00:00"/>
    <d v="2022-12-22T00:00:00"/>
    <x v="2"/>
    <n v="333"/>
    <x v="25"/>
    <n v="0"/>
    <n v="36.94"/>
    <n v="20"/>
    <x v="2"/>
    <x v="1"/>
    <n v="4595.3999999999996"/>
    <b v="1"/>
    <n v="1.1666666666666667"/>
    <n v="328.24285714285713"/>
    <n v="36.94"/>
    <d v="2022-07-01T00:00:00"/>
    <s v="Older"/>
    <n v="0"/>
    <s v="No"/>
    <n v="153"/>
    <s v="Medium"/>
    <s v="Medium"/>
    <n v="0"/>
    <s v="Low"/>
    <n v="2"/>
    <d v="2022-07-01T00:00:00"/>
    <s v="13–24 months"/>
    <s v="0–1 tickets"/>
    <s v="31–45 min"/>
    <s v="301–500"/>
    <n v="4662"/>
    <n v="-66.600000000000364"/>
  </r>
  <r>
    <n v="11755"/>
    <n v="32"/>
    <s v="Female"/>
    <s v="Bangalore"/>
    <d v="2023-03-01T00:00:00"/>
    <d v="2023-03-14T00:00:00"/>
    <x v="1"/>
    <n v="527"/>
    <x v="2"/>
    <n v="1"/>
    <n v="114.57"/>
    <n v="15"/>
    <x v="0"/>
    <x v="1"/>
    <n v="2028.95"/>
    <b v="1"/>
    <n v="0.33333333333333331"/>
    <n v="507.23750000000001"/>
    <n v="57.284999999999997"/>
    <d v="2023-03-01T00:00:00"/>
    <s v="Adult"/>
    <n v="0"/>
    <s v="No"/>
    <n v="13"/>
    <s v="High"/>
    <s v="Low"/>
    <n v="0.2"/>
    <s v="Low"/>
    <n v="3"/>
    <d v="2023-03-01T00:00:00"/>
    <s v="0–6 months"/>
    <s v="0–1 tickets"/>
    <s v="46+ min"/>
    <s v="501–700"/>
    <n v="2108"/>
    <n v="-79.049999999999955"/>
  </r>
  <r>
    <n v="11756"/>
    <n v="46"/>
    <s v="Male"/>
    <s v="Chennai"/>
    <d v="2021-12-11T00:00:00"/>
    <d v="2021-11-23T00:00:00"/>
    <x v="0"/>
    <n v="884"/>
    <x v="6"/>
    <n v="2"/>
    <n v="14.94"/>
    <n v="20"/>
    <x v="1"/>
    <x v="1"/>
    <n v="18387.2"/>
    <b v="0"/>
    <n v="1.75"/>
    <n v="875.58095238095245"/>
    <n v="4.9799999999999995"/>
    <d v="2021-12-01T00:00:00"/>
    <s v="Middle-aged"/>
    <n v="0"/>
    <s v="Yes"/>
    <m/>
    <s v="Low"/>
    <s v="Medium"/>
    <n v="9.0909090909090912E-2"/>
    <s v="Medium"/>
    <n v="1"/>
    <d v="2021-12-01T00:00:00"/>
    <s v="13–24 months"/>
    <s v="2–3 tickets"/>
    <s v="11–20 min"/>
    <s v="701–1000"/>
    <n v="18564"/>
    <n v="-176.79999999999927"/>
  </r>
  <r>
    <n v="11757"/>
    <n v="46"/>
    <s v="Female"/>
    <s v="Chennai"/>
    <d v="2022-06-15T00:00:00"/>
    <d v="2023-02-10T00:00:00"/>
    <x v="0"/>
    <n v="1257"/>
    <x v="32"/>
    <n v="1"/>
    <n v="112.97"/>
    <n v="0"/>
    <x v="3"/>
    <x v="0"/>
    <n v="12570"/>
    <b v="1"/>
    <n v="0.83333333333333337"/>
    <n v="1257"/>
    <n v="56.484999999999999"/>
    <d v="2022-06-01T00:00:00"/>
    <s v="Middle-aged"/>
    <n v="1"/>
    <s v="No"/>
    <n v="240"/>
    <s v="High"/>
    <s v="Low"/>
    <n v="9.0909090909090912E-2"/>
    <s v="Medium"/>
    <n v="1"/>
    <d v="2022-06-01T00:00:00"/>
    <s v="7–12 months"/>
    <s v="0–1 tickets"/>
    <s v="46+ min"/>
    <s v="1000+"/>
    <n v="12570"/>
    <n v="0"/>
  </r>
  <r>
    <n v="11758"/>
    <n v="28"/>
    <s v="Other"/>
    <s v="Hyderabad"/>
    <d v="2021-06-08T00:00:00"/>
    <d v="2021-12-28T00:00:00"/>
    <x v="2"/>
    <n v="1112"/>
    <x v="1"/>
    <n v="2"/>
    <n v="40.79"/>
    <n v="20"/>
    <x v="3"/>
    <x v="1"/>
    <n v="24241.599999999999"/>
    <b v="1"/>
    <n v="1.8333333333333333"/>
    <n v="1101.890909090909"/>
    <n v="13.596666666666666"/>
    <d v="2021-06-01T00:00:00"/>
    <s v="Adult"/>
    <n v="0"/>
    <s v="Yes"/>
    <n v="203"/>
    <s v="Medium"/>
    <s v="Medium"/>
    <n v="8.6956521739130432E-2"/>
    <s v="High"/>
    <n v="2"/>
    <d v="2021-06-01T00:00:00"/>
    <s v="13–24 months"/>
    <s v="2–3 tickets"/>
    <s v="31–45 min"/>
    <s v="1000+"/>
    <n v="24464"/>
    <n v="-222.40000000000146"/>
  </r>
  <r>
    <n v="11759"/>
    <n v="49"/>
    <s v="Male"/>
    <s v="Delhi"/>
    <d v="2022-06-22T00:00:00"/>
    <d v="2022-08-21T00:00:00"/>
    <x v="2"/>
    <n v="1023"/>
    <x v="3"/>
    <n v="3"/>
    <n v="63.96"/>
    <n v="0"/>
    <x v="3"/>
    <x v="1"/>
    <n v="30690"/>
    <b v="1"/>
    <n v="2.5"/>
    <n v="1023"/>
    <n v="15.99"/>
    <d v="2022-06-01T00:00:00"/>
    <s v="Middle-aged"/>
    <n v="0"/>
    <s v="Yes"/>
    <n v="60"/>
    <s v="High"/>
    <s v="Low"/>
    <n v="9.6774193548387094E-2"/>
    <s v="High"/>
    <n v="2"/>
    <d v="2022-06-01T00:00:00"/>
    <s v="25+ months"/>
    <s v="2–3 tickets"/>
    <s v="46+ min"/>
    <s v="1000+"/>
    <n v="30690"/>
    <n v="0"/>
  </r>
  <r>
    <n v="11760"/>
    <n v="19"/>
    <s v="Female"/>
    <s v="Pune"/>
    <d v="2022-03-02T00:00:00"/>
    <d v="2023-01-07T00:00:00"/>
    <x v="0"/>
    <n v="883"/>
    <x v="3"/>
    <n v="3"/>
    <n v="17.52"/>
    <n v="5"/>
    <x v="0"/>
    <x v="1"/>
    <n v="26445.85"/>
    <b v="1"/>
    <n v="2.5"/>
    <n v="881.52833333333331"/>
    <n v="4.38"/>
    <d v="2022-03-01T00:00:00"/>
    <s v="Young"/>
    <n v="0"/>
    <s v="Yes"/>
    <n v="311"/>
    <s v="Low"/>
    <s v="Low"/>
    <n v="9.6774193548387094E-2"/>
    <s v="High"/>
    <n v="1"/>
    <d v="2022-03-01T00:00:00"/>
    <s v="25+ months"/>
    <s v="2–3 tickets"/>
    <s v="11–20 min"/>
    <s v="701–1000"/>
    <n v="26490"/>
    <n v="-44.150000000001455"/>
  </r>
  <r>
    <n v="11761"/>
    <n v="64"/>
    <s v="Female"/>
    <s v="Delhi"/>
    <d v="2022-11-12T00:00:00"/>
    <d v="2021-11-14T00:00:00"/>
    <x v="2"/>
    <n v="869"/>
    <x v="24"/>
    <n v="2"/>
    <n v="13.16"/>
    <n v="20"/>
    <x v="3"/>
    <x v="0"/>
    <n v="13730.2"/>
    <b v="0"/>
    <n v="1.3333333333333333"/>
    <n v="858.13750000000005"/>
    <n v="4.3866666666666667"/>
    <d v="2022-11-01T00:00:00"/>
    <s v="Older"/>
    <n v="1"/>
    <s v="Yes"/>
    <m/>
    <s v="Low"/>
    <s v="Medium"/>
    <n v="0.11764705882352941"/>
    <s v="Medium"/>
    <n v="2"/>
    <d v="2022-11-01T00:00:00"/>
    <s v="13–24 months"/>
    <s v="2–3 tickets"/>
    <s v="11–20 min"/>
    <s v="701–1000"/>
    <n v="13904"/>
    <n v="-173.79999999999927"/>
  </r>
  <r>
    <n v="11762"/>
    <n v="31"/>
    <s v="Female"/>
    <s v="Delhi"/>
    <d v="2021-01-23T00:00:00"/>
    <d v="2022-09-03T00:00:00"/>
    <x v="2"/>
    <n v="519"/>
    <x v="11"/>
    <n v="2"/>
    <n v="54.4"/>
    <n v="15"/>
    <x v="0"/>
    <x v="1"/>
    <n v="5631.15"/>
    <b v="1"/>
    <n v="0.91666666666666663"/>
    <n v="511.92272727272723"/>
    <n v="18.133333333333333"/>
    <d v="2021-01-01T00:00:00"/>
    <s v="Adult"/>
    <n v="0"/>
    <s v="No"/>
    <n v="588"/>
    <s v="Medium"/>
    <s v="Low"/>
    <n v="0.16666666666666666"/>
    <s v="Low"/>
    <n v="2"/>
    <d v="2021-01-01T00:00:00"/>
    <s v="7–12 months"/>
    <s v="2–3 tickets"/>
    <s v="46+ min"/>
    <s v="501–700"/>
    <n v="5709"/>
    <n v="-77.850000000000364"/>
  </r>
  <r>
    <n v="11763"/>
    <n v="37"/>
    <s v="Male"/>
    <s v="Hyderabad"/>
    <d v="2021-02-16T00:00:00"/>
    <d v="2022-05-23T00:00:00"/>
    <x v="1"/>
    <n v="1086"/>
    <x v="1"/>
    <n v="0"/>
    <n v="90.3"/>
    <n v="20"/>
    <x v="3"/>
    <x v="0"/>
    <n v="23674.799999999999"/>
    <b v="1"/>
    <n v="1.8333333333333333"/>
    <n v="1076.1272727272726"/>
    <n v="90.3"/>
    <d v="2021-02-01T00:00:00"/>
    <s v="Middle-aged"/>
    <n v="1"/>
    <s v="Yes"/>
    <n v="461"/>
    <s v="High"/>
    <s v="Medium"/>
    <n v="0"/>
    <s v="High"/>
    <n v="3"/>
    <d v="2021-02-01T00:00:00"/>
    <s v="13–24 months"/>
    <s v="0–1 tickets"/>
    <s v="46+ min"/>
    <s v="1000+"/>
    <n v="23892"/>
    <n v="-217.20000000000073"/>
  </r>
  <r>
    <n v="11764"/>
    <n v="39"/>
    <s v="Male"/>
    <s v="Chennai"/>
    <d v="2022-06-09T00:00:00"/>
    <d v="2022-03-31T00:00:00"/>
    <x v="1"/>
    <n v="827"/>
    <x v="5"/>
    <n v="1"/>
    <n v="35.979999999999997"/>
    <n v="20"/>
    <x v="3"/>
    <x v="1"/>
    <n v="23817.599999999999"/>
    <b v="0"/>
    <n v="2.4166666666666665"/>
    <n v="821.29655172413788"/>
    <n v="17.989999999999998"/>
    <d v="2022-06-01T00:00:00"/>
    <s v="Middle-aged"/>
    <n v="0"/>
    <s v="Yes"/>
    <m/>
    <s v="Medium"/>
    <s v="Medium"/>
    <n v="3.3333333333333333E-2"/>
    <s v="High"/>
    <n v="3"/>
    <d v="2022-06-01T00:00:00"/>
    <s v="25+ months"/>
    <s v="0–1 tickets"/>
    <s v="31–45 min"/>
    <s v="701–1000"/>
    <n v="23983"/>
    <n v="-165.40000000000146"/>
  </r>
  <r>
    <n v="11765"/>
    <n v="28"/>
    <s v="Male"/>
    <s v="Chennai"/>
    <d v="2022-12-30T00:00:00"/>
    <d v="2022-01-19T00:00:00"/>
    <x v="0"/>
    <n v="374"/>
    <x v="0"/>
    <n v="1"/>
    <n v="69.67"/>
    <n v="20"/>
    <x v="0"/>
    <x v="0"/>
    <n v="9275.2000000000007"/>
    <b v="0"/>
    <n v="2.0833333333333335"/>
    <n v="371.00800000000004"/>
    <n v="34.835000000000001"/>
    <d v="2022-12-01T00:00:00"/>
    <s v="Adult"/>
    <n v="1"/>
    <s v="No"/>
    <m/>
    <s v="High"/>
    <s v="Medium"/>
    <n v="3.8461538461538464E-2"/>
    <s v="Medium"/>
    <n v="1"/>
    <d v="2022-12-01T00:00:00"/>
    <s v="25+ months"/>
    <s v="0–1 tickets"/>
    <s v="46+ min"/>
    <s v="301–500"/>
    <n v="9350"/>
    <n v="-74.799999999999272"/>
  </r>
  <r>
    <n v="11766"/>
    <n v="44"/>
    <s v="Female"/>
    <s v="unknown"/>
    <d v="2023-04-14T00:00:00"/>
    <d v="2022-04-23T00:00:00"/>
    <x v="2"/>
    <n v="435"/>
    <x v="25"/>
    <n v="2"/>
    <n v="37.04"/>
    <n v="10"/>
    <x v="0"/>
    <x v="1"/>
    <n v="6046.5"/>
    <b v="0"/>
    <n v="1.1666666666666667"/>
    <n v="431.89285714285717"/>
    <n v="12.346666666666666"/>
    <d v="2023-04-01T00:00:00"/>
    <s v="Middle-aged"/>
    <n v="0"/>
    <s v="No"/>
    <m/>
    <s v="Medium"/>
    <s v="Low"/>
    <n v="0.13333333333333333"/>
    <s v="Low"/>
    <n v="2"/>
    <d v="2023-04-01T00:00:00"/>
    <s v="13–24 months"/>
    <s v="2–3 tickets"/>
    <s v="31–45 min"/>
    <s v="301–500"/>
    <n v="6090"/>
    <n v="-43.5"/>
  </r>
  <r>
    <n v="11767"/>
    <n v="20"/>
    <s v="Male"/>
    <s v="Hyderabad"/>
    <d v="2022-12-07T00:00:00"/>
    <d v="2023-11-01T00:00:00"/>
    <x v="0"/>
    <n v="373"/>
    <x v="25"/>
    <n v="6"/>
    <n v="49.69"/>
    <n v="20"/>
    <x v="1"/>
    <x v="1"/>
    <n v="5147.3999999999996"/>
    <b v="1"/>
    <n v="1.1666666666666667"/>
    <n v="367.67142857142852"/>
    <n v="7.0985714285714279"/>
    <d v="2022-12-01T00:00:00"/>
    <s v="Young"/>
    <n v="0"/>
    <s v="No"/>
    <n v="329"/>
    <s v="Medium"/>
    <s v="Medium"/>
    <n v="0.4"/>
    <s v="Low"/>
    <n v="1"/>
    <d v="2022-12-01T00:00:00"/>
    <s v="13–24 months"/>
    <s v="6+ tickets"/>
    <s v="46+ min"/>
    <s v="301–500"/>
    <n v="5222"/>
    <n v="-74.600000000000364"/>
  </r>
  <r>
    <n v="11768"/>
    <n v="34"/>
    <s v="Female"/>
    <s v="Bangalore"/>
    <d v="2021-05-24T00:00:00"/>
    <d v="2021-11-29T00:00:00"/>
    <x v="2"/>
    <n v="553"/>
    <x v="4"/>
    <n v="1"/>
    <n v="62.59"/>
    <n v="20"/>
    <x v="2"/>
    <x v="1"/>
    <n v="995.4"/>
    <b v="1"/>
    <n v="0.16666666666666666"/>
    <n v="497.7"/>
    <n v="31.295000000000002"/>
    <d v="2021-05-01T00:00:00"/>
    <s v="Adult"/>
    <n v="0"/>
    <s v="No"/>
    <n v="189"/>
    <s v="High"/>
    <s v="Medium"/>
    <n v="0.33333333333333331"/>
    <s v="Low"/>
    <n v="2"/>
    <d v="2021-05-01T00:00:00"/>
    <s v="0–6 months"/>
    <s v="0–1 tickets"/>
    <s v="46+ min"/>
    <s v="501–700"/>
    <n v="1106"/>
    <n v="-110.60000000000002"/>
  </r>
  <r>
    <n v="11769"/>
    <n v="61"/>
    <s v="Male"/>
    <s v="Hyderabad"/>
    <d v="2022-08-08T00:00:00"/>
    <d v="2023-02-24T00:00:00"/>
    <x v="2"/>
    <n v="1341"/>
    <x v="19"/>
    <n v="1"/>
    <n v="103.42"/>
    <n v="15"/>
    <x v="3"/>
    <x v="1"/>
    <n v="17231.849999999999"/>
    <b v="1"/>
    <n v="1.0833333333333333"/>
    <n v="1325.5269230769229"/>
    <n v="51.71"/>
    <d v="2022-08-01T00:00:00"/>
    <s v="Older"/>
    <n v="0"/>
    <s v="Yes"/>
    <n v="200"/>
    <s v="High"/>
    <s v="Low"/>
    <n v="7.1428571428571425E-2"/>
    <s v="Medium"/>
    <n v="2"/>
    <d v="2022-08-01T00:00:00"/>
    <s v="13–24 months"/>
    <s v="0–1 tickets"/>
    <s v="46+ min"/>
    <s v="1000+"/>
    <n v="17433"/>
    <n v="-201.15000000000146"/>
  </r>
  <r>
    <n v="11770"/>
    <n v="45"/>
    <s v="Female"/>
    <s v="Bangalore"/>
    <d v="2022-10-30T00:00:00"/>
    <d v="2022-04-30T00:00:00"/>
    <x v="1"/>
    <n v="1321"/>
    <x v="13"/>
    <n v="3"/>
    <n v="64.34"/>
    <n v="0"/>
    <x v="3"/>
    <x v="1"/>
    <n v="3963"/>
    <b v="0"/>
    <n v="0.25"/>
    <n v="1321"/>
    <n v="16.085000000000001"/>
    <d v="2022-10-01T00:00:00"/>
    <s v="Middle-aged"/>
    <n v="0"/>
    <s v="No"/>
    <m/>
    <s v="High"/>
    <s v="Low"/>
    <n v="0.75"/>
    <s v="Low"/>
    <n v="3"/>
    <d v="2022-10-01T00:00:00"/>
    <s v="0–6 months"/>
    <s v="2–3 tickets"/>
    <s v="46+ min"/>
    <s v="1000+"/>
    <n v="3963"/>
    <n v="0"/>
  </r>
  <r>
    <n v="11771"/>
    <n v="46"/>
    <s v="Male"/>
    <s v="Mumbai"/>
    <d v="2022-08-12T00:00:00"/>
    <d v="2023-05-16T00:00:00"/>
    <x v="2"/>
    <n v="1366"/>
    <x v="3"/>
    <n v="4"/>
    <n v="32.380000000000003"/>
    <n v="0"/>
    <x v="2"/>
    <x v="0"/>
    <n v="40980"/>
    <b v="1"/>
    <n v="2.5"/>
    <n v="1366"/>
    <n v="6.4760000000000009"/>
    <d v="2022-08-01T00:00:00"/>
    <s v="Middle-aged"/>
    <n v="1"/>
    <s v="Yes"/>
    <n v="277"/>
    <s v="Medium"/>
    <s v="Low"/>
    <n v="0.12903225806451613"/>
    <s v="High"/>
    <n v="2"/>
    <d v="2022-08-01T00:00:00"/>
    <s v="25+ months"/>
    <s v="4–5 tickets"/>
    <s v="31–45 min"/>
    <s v="1000+"/>
    <n v="40980"/>
    <n v="0"/>
  </r>
  <r>
    <n v="11772"/>
    <n v="38"/>
    <s v="Male"/>
    <s v="Delhi"/>
    <d v="2022-02-23T00:00:00"/>
    <d v="2021-06-29T00:00:00"/>
    <x v="1"/>
    <n v="349"/>
    <x v="10"/>
    <n v="1"/>
    <n v="27.22"/>
    <n v="10"/>
    <x v="2"/>
    <x v="0"/>
    <n v="6229.65"/>
    <b v="0"/>
    <n v="1.5"/>
    <n v="346.09166666666664"/>
    <n v="13.61"/>
    <d v="2022-02-01T00:00:00"/>
    <s v="Middle-aged"/>
    <n v="1"/>
    <s v="No"/>
    <m/>
    <s v="Medium"/>
    <s v="Low"/>
    <n v="5.2631578947368418E-2"/>
    <s v="Low"/>
    <n v="3"/>
    <d v="2022-02-01T00:00:00"/>
    <s v="13–24 months"/>
    <s v="0–1 tickets"/>
    <s v="21–30 min"/>
    <s v="301–500"/>
    <n v="6282"/>
    <n v="-52.350000000000364"/>
  </r>
  <r>
    <n v="11773"/>
    <n v="64"/>
    <s v="Male"/>
    <s v="Delhi"/>
    <d v="2022-11-12T00:00:00"/>
    <d v="2023-05-15T00:00:00"/>
    <x v="1"/>
    <n v="814"/>
    <x v="6"/>
    <n v="2"/>
    <n v="114.72"/>
    <n v="5"/>
    <x v="2"/>
    <x v="0"/>
    <n v="17053.3"/>
    <b v="1"/>
    <n v="1.75"/>
    <n v="812.06190476190477"/>
    <n v="38.24"/>
    <d v="2022-11-01T00:00:00"/>
    <s v="Older"/>
    <n v="1"/>
    <s v="Yes"/>
    <n v="184"/>
    <s v="High"/>
    <s v="Low"/>
    <n v="9.0909090909090912E-2"/>
    <s v="Medium"/>
    <n v="3"/>
    <d v="2022-11-01T00:00:00"/>
    <s v="13–24 months"/>
    <s v="2–3 tickets"/>
    <s v="46+ min"/>
    <s v="701–1000"/>
    <n v="17094"/>
    <n v="-40.700000000000728"/>
  </r>
  <r>
    <n v="11774"/>
    <n v="33"/>
    <s v="Male"/>
    <s v="Pune"/>
    <d v="2023-03-10T00:00:00"/>
    <d v="2021-09-01T00:00:00"/>
    <x v="1"/>
    <n v="1043"/>
    <x v="17"/>
    <n v="2"/>
    <n v="28.31"/>
    <n v="20"/>
    <x v="3"/>
    <x v="1"/>
    <n v="19608.400000000001"/>
    <b v="0"/>
    <n v="1.5833333333333333"/>
    <n v="1032.0210526315791"/>
    <n v="9.4366666666666656"/>
    <d v="2023-03-01T00:00:00"/>
    <s v="Adult"/>
    <n v="0"/>
    <s v="Yes"/>
    <m/>
    <s v="Medium"/>
    <s v="Medium"/>
    <n v="0.1"/>
    <s v="High"/>
    <n v="3"/>
    <d v="2023-03-01T00:00:00"/>
    <s v="13–24 months"/>
    <s v="2–3 tickets"/>
    <s v="21–30 min"/>
    <s v="1000+"/>
    <n v="19817"/>
    <n v="-208.59999999999854"/>
  </r>
  <r>
    <n v="11775"/>
    <n v="54"/>
    <s v="Female"/>
    <s v="Chennai"/>
    <d v="2021-03-26T00:00:00"/>
    <d v="2023-09-19T00:00:00"/>
    <x v="1"/>
    <n v="1030"/>
    <x v="24"/>
    <n v="1"/>
    <n v="97.94"/>
    <n v="5"/>
    <x v="3"/>
    <x v="1"/>
    <n v="16428.5"/>
    <b v="1"/>
    <n v="1.3333333333333333"/>
    <n v="1026.78125"/>
    <n v="48.97"/>
    <d v="2021-03-01T00:00:00"/>
    <s v="Older"/>
    <n v="0"/>
    <s v="Yes"/>
    <n v="907"/>
    <s v="High"/>
    <s v="Low"/>
    <n v="5.8823529411764705E-2"/>
    <s v="Medium"/>
    <n v="3"/>
    <d v="2021-03-01T00:00:00"/>
    <s v="13–24 months"/>
    <s v="0–1 tickets"/>
    <s v="46+ min"/>
    <s v="1000+"/>
    <n v="16480"/>
    <n v="-51.5"/>
  </r>
  <r>
    <n v="11776"/>
    <n v="37"/>
    <s v="Female"/>
    <s v="Pune"/>
    <d v="2022-02-20T00:00:00"/>
    <d v="2023-10-16T00:00:00"/>
    <x v="2"/>
    <n v="870"/>
    <x v="29"/>
    <n v="1"/>
    <n v="47.43"/>
    <n v="15"/>
    <x v="3"/>
    <x v="1"/>
    <n v="24229.5"/>
    <b v="1"/>
    <n v="2.3333333333333335"/>
    <n v="865.33928571428567"/>
    <n v="23.715"/>
    <d v="2022-02-01T00:00:00"/>
    <s v="Middle-aged"/>
    <n v="0"/>
    <s v="Yes"/>
    <n v="603"/>
    <s v="Medium"/>
    <s v="Low"/>
    <n v="3.4482758620689655E-2"/>
    <s v="High"/>
    <n v="2"/>
    <d v="2022-02-01T00:00:00"/>
    <s v="25+ months"/>
    <s v="0–1 tickets"/>
    <s v="46+ min"/>
    <s v="701–1000"/>
    <n v="24360"/>
    <n v="-130.5"/>
  </r>
  <r>
    <n v="11777"/>
    <n v="23"/>
    <s v="Female"/>
    <s v="Mumbai"/>
    <d v="2022-11-25T00:00:00"/>
    <d v="2023-04-19T00:00:00"/>
    <x v="0"/>
    <n v="875"/>
    <x v="2"/>
    <n v="0"/>
    <n v="118.35"/>
    <n v="5"/>
    <x v="0"/>
    <x v="0"/>
    <n v="3456.25"/>
    <b v="1"/>
    <n v="0.33333333333333331"/>
    <n v="864.0625"/>
    <n v="118.35"/>
    <d v="2022-11-01T00:00:00"/>
    <s v="Young"/>
    <n v="1"/>
    <s v="No"/>
    <n v="145"/>
    <s v="High"/>
    <s v="Low"/>
    <n v="0"/>
    <s v="Low"/>
    <n v="1"/>
    <d v="2022-11-01T00:00:00"/>
    <s v="0–6 months"/>
    <s v="0–1 tickets"/>
    <s v="46+ min"/>
    <s v="701–1000"/>
    <n v="3500"/>
    <n v="-43.75"/>
  </r>
  <r>
    <n v="11778"/>
    <n v="36"/>
    <s v="Female"/>
    <s v="Pune"/>
    <d v="2022-04-27T00:00:00"/>
    <d v="2022-04-26T00:00:00"/>
    <x v="0"/>
    <n v="1465"/>
    <x v="15"/>
    <n v="1"/>
    <n v="47.34"/>
    <n v="0"/>
    <x v="1"/>
    <x v="1"/>
    <n v="21975"/>
    <b v="0"/>
    <n v="1.25"/>
    <n v="1465"/>
    <n v="23.67"/>
    <d v="2022-04-01T00:00:00"/>
    <s v="Middle-aged"/>
    <n v="0"/>
    <s v="Yes"/>
    <m/>
    <s v="Medium"/>
    <s v="Low"/>
    <n v="6.25E-2"/>
    <s v="High"/>
    <n v="1"/>
    <d v="2022-04-01T00:00:00"/>
    <s v="13–24 months"/>
    <s v="0–1 tickets"/>
    <s v="46+ min"/>
    <s v="1000+"/>
    <n v="21975"/>
    <n v="0"/>
  </r>
  <r>
    <n v="11779"/>
    <n v="22"/>
    <s v="Female"/>
    <s v="Delhi"/>
    <d v="2022-04-01T00:00:00"/>
    <d v="2023-05-24T00:00:00"/>
    <x v="0"/>
    <n v="1202"/>
    <x v="7"/>
    <n v="2"/>
    <n v="45.42"/>
    <n v="10"/>
    <x v="1"/>
    <x v="0"/>
    <n v="1081.8"/>
    <b v="1"/>
    <n v="8.3333333333333329E-2"/>
    <n v="1081.8"/>
    <n v="15.14"/>
    <d v="2022-04-01T00:00:00"/>
    <s v="Young"/>
    <n v="1"/>
    <s v="No"/>
    <n v="418"/>
    <s v="Medium"/>
    <s v="Low"/>
    <n v="1"/>
    <s v="Low"/>
    <n v="1"/>
    <d v="2022-04-01T00:00:00"/>
    <s v="0–6 months"/>
    <s v="2–3 tickets"/>
    <s v="46+ min"/>
    <s v="1000+"/>
    <n v="1202"/>
    <n v="-120.20000000000005"/>
  </r>
  <r>
    <n v="11780"/>
    <n v="20"/>
    <s v="Female"/>
    <s v="Chennai"/>
    <d v="2023-04-07T00:00:00"/>
    <d v="2021-12-01T00:00:00"/>
    <x v="2"/>
    <n v="501"/>
    <x v="24"/>
    <n v="3"/>
    <n v="78.31"/>
    <n v="5"/>
    <x v="2"/>
    <x v="1"/>
    <n v="7990.95"/>
    <b v="0"/>
    <n v="1.3333333333333333"/>
    <n v="499.43437499999999"/>
    <n v="19.577500000000001"/>
    <d v="2023-04-01T00:00:00"/>
    <s v="Young"/>
    <n v="0"/>
    <s v="No"/>
    <m/>
    <s v="High"/>
    <s v="Low"/>
    <n v="0.17647058823529413"/>
    <s v="Low"/>
    <n v="2"/>
    <d v="2023-04-01T00:00:00"/>
    <s v="13–24 months"/>
    <s v="2–3 tickets"/>
    <s v="46+ min"/>
    <s v="501–700"/>
    <n v="8016"/>
    <n v="-25.050000000000182"/>
  </r>
  <r>
    <n v="11781"/>
    <n v="18"/>
    <s v="Female"/>
    <s v="Mumbai"/>
    <d v="2021-10-24T00:00:00"/>
    <d v="2021-09-03T00:00:00"/>
    <x v="2"/>
    <n v="506"/>
    <x v="28"/>
    <n v="2"/>
    <n v="115.57"/>
    <n v="10"/>
    <x v="2"/>
    <x v="0"/>
    <n v="10069.4"/>
    <b v="0"/>
    <n v="1.6666666666666667"/>
    <n v="503.46999999999997"/>
    <n v="38.523333333333333"/>
    <d v="2021-10-01T00:00:00"/>
    <s v="Young"/>
    <n v="1"/>
    <s v="No"/>
    <m/>
    <s v="High"/>
    <s v="Low"/>
    <n v="9.5238095238095233E-2"/>
    <s v="Medium"/>
    <n v="2"/>
    <d v="2021-10-01T00:00:00"/>
    <s v="13–24 months"/>
    <s v="2–3 tickets"/>
    <s v="46+ min"/>
    <s v="501–700"/>
    <n v="10120"/>
    <n v="-50.600000000000364"/>
  </r>
  <r>
    <n v="11782"/>
    <n v="55"/>
    <s v="Female"/>
    <s v="Delhi"/>
    <d v="2021-04-22T00:00:00"/>
    <d v="2023-07-25T00:00:00"/>
    <x v="2"/>
    <n v="714"/>
    <x v="33"/>
    <n v="5"/>
    <n v="117.26"/>
    <n v="5"/>
    <x v="3"/>
    <x v="1"/>
    <n v="23526.3"/>
    <b v="1"/>
    <n v="2.75"/>
    <n v="712.91818181818178"/>
    <n v="19.543333333333333"/>
    <d v="2021-04-01T00:00:00"/>
    <s v="Older"/>
    <n v="0"/>
    <s v="Yes"/>
    <n v="824"/>
    <s v="High"/>
    <s v="Low"/>
    <n v="0.14705882352941177"/>
    <s v="High"/>
    <n v="2"/>
    <d v="2021-04-01T00:00:00"/>
    <s v="25+ months"/>
    <s v="4–5 tickets"/>
    <s v="46+ min"/>
    <s v="701–1000"/>
    <n v="23562"/>
    <n v="-35.700000000000728"/>
  </r>
  <r>
    <n v="11783"/>
    <n v="32"/>
    <s v="Male"/>
    <s v="Bangalore"/>
    <d v="2021-08-18T00:00:00"/>
    <d v="2023-03-11T00:00:00"/>
    <x v="1"/>
    <n v="520"/>
    <x v="18"/>
    <n v="1"/>
    <n v="62.59"/>
    <n v="10"/>
    <x v="1"/>
    <x v="0"/>
    <n v="8762"/>
    <b v="1"/>
    <n v="1.4166666666666667"/>
    <n v="515.41176470588232"/>
    <n v="31.295000000000002"/>
    <d v="2021-08-01T00:00:00"/>
    <s v="Adult"/>
    <n v="1"/>
    <s v="No"/>
    <n v="570"/>
    <s v="High"/>
    <s v="Low"/>
    <n v="5.5555555555555552E-2"/>
    <s v="Low"/>
    <n v="3"/>
    <d v="2021-08-01T00:00:00"/>
    <s v="13–24 months"/>
    <s v="0–1 tickets"/>
    <s v="46+ min"/>
    <s v="501–700"/>
    <n v="8840"/>
    <n v="-78"/>
  </r>
  <r>
    <n v="11784"/>
    <n v="51"/>
    <s v="Female"/>
    <s v="Hyderabad"/>
    <d v="2021-04-06T00:00:00"/>
    <d v="2023-06-19T00:00:00"/>
    <x v="1"/>
    <n v="1057"/>
    <x v="21"/>
    <n v="1"/>
    <n v="91.78"/>
    <n v="10"/>
    <x v="1"/>
    <x v="1"/>
    <n v="5179.3"/>
    <b v="1"/>
    <n v="0.41666666666666669"/>
    <n v="1035.8600000000001"/>
    <n v="45.89"/>
    <d v="2021-04-01T00:00:00"/>
    <s v="Older"/>
    <n v="0"/>
    <s v="No"/>
    <n v="804"/>
    <s v="High"/>
    <s v="Low"/>
    <n v="0.16666666666666666"/>
    <s v="Low"/>
    <n v="3"/>
    <d v="2021-04-01T00:00:00"/>
    <s v="0–6 months"/>
    <s v="0–1 tickets"/>
    <s v="46+ min"/>
    <s v="1000+"/>
    <n v="5285"/>
    <n v="-105.69999999999982"/>
  </r>
  <r>
    <n v="11785"/>
    <n v="52"/>
    <s v="Male"/>
    <s v="Mumbai"/>
    <d v="2022-11-11T00:00:00"/>
    <d v="2022-05-19T00:00:00"/>
    <x v="0"/>
    <n v="1404"/>
    <x v="21"/>
    <n v="1"/>
    <n v="69.790000000000006"/>
    <n v="5"/>
    <x v="0"/>
    <x v="0"/>
    <n v="6949.8"/>
    <b v="0"/>
    <n v="0.41666666666666669"/>
    <n v="1389.96"/>
    <n v="34.895000000000003"/>
    <d v="2022-11-01T00:00:00"/>
    <s v="Older"/>
    <n v="1"/>
    <s v="No"/>
    <m/>
    <s v="High"/>
    <s v="Low"/>
    <n v="0.16666666666666666"/>
    <s v="Low"/>
    <n v="1"/>
    <d v="2022-11-01T00:00:00"/>
    <s v="0–6 months"/>
    <s v="0–1 tickets"/>
    <s v="46+ min"/>
    <s v="1000+"/>
    <n v="7020"/>
    <n v="-70.199999999999818"/>
  </r>
  <r>
    <n v="11786"/>
    <n v="42"/>
    <s v="Female"/>
    <s v="Chennai"/>
    <d v="2022-01-13T00:00:00"/>
    <d v="2022-02-20T00:00:00"/>
    <x v="0"/>
    <n v="1062"/>
    <x v="19"/>
    <n v="3"/>
    <n v="91.91"/>
    <n v="15"/>
    <x v="3"/>
    <x v="1"/>
    <n v="13646.7"/>
    <b v="1"/>
    <n v="1.0833333333333333"/>
    <n v="1049.7461538461539"/>
    <n v="22.977499999999999"/>
    <d v="2022-01-01T00:00:00"/>
    <s v="Middle-aged"/>
    <n v="0"/>
    <s v="Yes"/>
    <n v="38"/>
    <s v="High"/>
    <s v="Low"/>
    <n v="0.21428571428571427"/>
    <s v="Medium"/>
    <n v="1"/>
    <d v="2022-01-01T00:00:00"/>
    <s v="13–24 months"/>
    <s v="2–3 tickets"/>
    <s v="46+ min"/>
    <s v="1000+"/>
    <n v="13806"/>
    <n v="-159.29999999999927"/>
  </r>
  <r>
    <n v="11787"/>
    <n v="41"/>
    <s v="Female"/>
    <s v="unknown"/>
    <d v="2021-06-05T00:00:00"/>
    <d v="2023-03-09T00:00:00"/>
    <x v="0"/>
    <n v="862"/>
    <x v="3"/>
    <n v="2"/>
    <n v="103.87"/>
    <n v="0"/>
    <x v="3"/>
    <x v="1"/>
    <n v="25860"/>
    <b v="1"/>
    <n v="2.5"/>
    <n v="862"/>
    <n v="34.623333333333335"/>
    <d v="2021-06-01T00:00:00"/>
    <s v="Middle-aged"/>
    <n v="0"/>
    <s v="Yes"/>
    <n v="642"/>
    <s v="High"/>
    <s v="Low"/>
    <n v="6.4516129032258063E-2"/>
    <s v="High"/>
    <n v="1"/>
    <d v="2021-06-01T00:00:00"/>
    <s v="25+ months"/>
    <s v="2–3 tickets"/>
    <s v="46+ min"/>
    <s v="701–1000"/>
    <n v="25860"/>
    <n v="0"/>
  </r>
  <r>
    <n v="11788"/>
    <n v="29"/>
    <s v="Male"/>
    <s v="Pune"/>
    <d v="2022-02-25T00:00:00"/>
    <d v="2023-03-18T00:00:00"/>
    <x v="0"/>
    <n v="668"/>
    <x v="2"/>
    <n v="0"/>
    <n v="60.9"/>
    <n v="20"/>
    <x v="1"/>
    <x v="0"/>
    <n v="2538.4"/>
    <b v="1"/>
    <n v="0.33333333333333331"/>
    <n v="634.6"/>
    <n v="60.9"/>
    <d v="2022-02-01T00:00:00"/>
    <s v="Adult"/>
    <n v="1"/>
    <s v="No"/>
    <n v="386"/>
    <s v="High"/>
    <s v="Medium"/>
    <n v="0"/>
    <s v="Low"/>
    <n v="1"/>
    <d v="2022-02-01T00:00:00"/>
    <s v="0–6 months"/>
    <s v="0–1 tickets"/>
    <s v="46+ min"/>
    <s v="501–700"/>
    <n v="2672"/>
    <n v="-133.59999999999991"/>
  </r>
  <r>
    <n v="11789"/>
    <n v="35"/>
    <s v="Male"/>
    <s v="Mumbai"/>
    <d v="2021-04-15T00:00:00"/>
    <d v="2021-06-19T00:00:00"/>
    <x v="2"/>
    <n v="1195"/>
    <x v="31"/>
    <n v="2"/>
    <n v="76.28"/>
    <n v="15"/>
    <x v="1"/>
    <x v="1"/>
    <n v="27305.75"/>
    <b v="1"/>
    <n v="1.9166666666666667"/>
    <n v="1187.2065217391305"/>
    <n v="25.426666666666666"/>
    <d v="2021-04-01T00:00:00"/>
    <s v="Adult"/>
    <n v="0"/>
    <s v="Yes"/>
    <n v="65"/>
    <s v="High"/>
    <s v="Low"/>
    <n v="8.3333333333333329E-2"/>
    <s v="High"/>
    <n v="2"/>
    <d v="2021-04-01T00:00:00"/>
    <s v="13–24 months"/>
    <s v="2–3 tickets"/>
    <s v="46+ min"/>
    <s v="1000+"/>
    <n v="27485"/>
    <n v="-179.25"/>
  </r>
  <r>
    <n v="11790"/>
    <n v="32"/>
    <s v="Female"/>
    <s v="Chennai"/>
    <d v="2022-12-06T00:00:00"/>
    <d v="2023-06-13T00:00:00"/>
    <x v="2"/>
    <n v="503"/>
    <x v="6"/>
    <n v="2"/>
    <n v="66.790000000000006"/>
    <n v="15"/>
    <x v="0"/>
    <x v="1"/>
    <n v="10487.55"/>
    <b v="1"/>
    <n v="1.75"/>
    <n v="499.40714285714284"/>
    <n v="22.263333333333335"/>
    <d v="2022-12-01T00:00:00"/>
    <s v="Adult"/>
    <n v="0"/>
    <s v="No"/>
    <n v="189"/>
    <s v="High"/>
    <s v="Low"/>
    <n v="9.0909090909090912E-2"/>
    <s v="Medium"/>
    <n v="2"/>
    <d v="2022-12-01T00:00:00"/>
    <s v="13–24 months"/>
    <s v="2–3 tickets"/>
    <s v="46+ min"/>
    <s v="501–700"/>
    <n v="10563"/>
    <n v="-75.450000000000728"/>
  </r>
  <r>
    <n v="11791"/>
    <n v="61"/>
    <s v="Female"/>
    <s v="Mumbai"/>
    <d v="2021-11-26T00:00:00"/>
    <d v="2023-03-08T00:00:00"/>
    <x v="2"/>
    <n v="1348"/>
    <x v="6"/>
    <n v="1"/>
    <n v="69.680000000000007"/>
    <n v="0"/>
    <x v="0"/>
    <x v="1"/>
    <n v="28308"/>
    <b v="1"/>
    <n v="1.75"/>
    <n v="1348"/>
    <n v="34.840000000000003"/>
    <d v="2021-11-01T00:00:00"/>
    <s v="Older"/>
    <n v="0"/>
    <s v="Yes"/>
    <n v="467"/>
    <s v="High"/>
    <s v="Low"/>
    <n v="4.5454545454545456E-2"/>
    <s v="High"/>
    <n v="2"/>
    <d v="2021-11-01T00:00:00"/>
    <s v="13–24 months"/>
    <s v="0–1 tickets"/>
    <s v="46+ min"/>
    <s v="1000+"/>
    <n v="28308"/>
    <n v="0"/>
  </r>
  <r>
    <n v="11792"/>
    <n v="33"/>
    <s v="Male"/>
    <s v="Chennai"/>
    <d v="2022-03-15T00:00:00"/>
    <d v="2023-02-16T00:00:00"/>
    <x v="1"/>
    <n v="1256"/>
    <x v="20"/>
    <n v="0"/>
    <n v="107.36"/>
    <n v="10"/>
    <x v="3"/>
    <x v="0"/>
    <n v="7410.4"/>
    <b v="1"/>
    <n v="0.5"/>
    <n v="1235.0666666666666"/>
    <n v="107.36"/>
    <d v="2022-03-01T00:00:00"/>
    <s v="Adult"/>
    <n v="1"/>
    <s v="No"/>
    <n v="338"/>
    <s v="High"/>
    <s v="Low"/>
    <n v="0"/>
    <s v="Low"/>
    <n v="3"/>
    <d v="2022-03-01T00:00:00"/>
    <s v="0–6 months"/>
    <s v="0–1 tickets"/>
    <s v="46+ min"/>
    <s v="1000+"/>
    <n v="7536"/>
    <n v="-125.60000000000036"/>
  </r>
  <r>
    <n v="11793"/>
    <n v="44"/>
    <s v="Female"/>
    <s v="Pune"/>
    <d v="2021-05-12T00:00:00"/>
    <d v="2022-10-12T00:00:00"/>
    <x v="1"/>
    <n v="368"/>
    <x v="30"/>
    <n v="1"/>
    <n v="45.9"/>
    <n v="5"/>
    <x v="0"/>
    <x v="1"/>
    <n v="8813.6"/>
    <b v="1"/>
    <n v="2"/>
    <n v="367.23333333333335"/>
    <n v="22.95"/>
    <d v="2021-05-01T00:00:00"/>
    <s v="Middle-aged"/>
    <n v="0"/>
    <s v="No"/>
    <n v="518"/>
    <s v="Medium"/>
    <s v="Low"/>
    <n v="0.04"/>
    <s v="Low"/>
    <n v="3"/>
    <d v="2021-05-01T00:00:00"/>
    <s v="13–24 months"/>
    <s v="0–1 tickets"/>
    <s v="46+ min"/>
    <s v="301–500"/>
    <n v="8832"/>
    <n v="-18.399999999999636"/>
  </r>
  <r>
    <n v="11794"/>
    <n v="25"/>
    <s v="Female"/>
    <s v="Delhi"/>
    <d v="2023-05-17T00:00:00"/>
    <d v="2021-10-17T00:00:00"/>
    <x v="0"/>
    <n v="815"/>
    <x v="27"/>
    <n v="3"/>
    <n v="28.94"/>
    <n v="10"/>
    <x v="1"/>
    <x v="1"/>
    <n v="25183.5"/>
    <b v="0"/>
    <n v="2.5833333333333335"/>
    <n v="812.37096774193549"/>
    <n v="7.2350000000000003"/>
    <d v="2023-05-01T00:00:00"/>
    <s v="Young"/>
    <n v="0"/>
    <s v="Yes"/>
    <m/>
    <s v="Medium"/>
    <s v="Low"/>
    <n v="9.375E-2"/>
    <s v="High"/>
    <n v="1"/>
    <d v="2023-05-01T00:00:00"/>
    <s v="25+ months"/>
    <s v="2–3 tickets"/>
    <s v="21–30 min"/>
    <s v="701–1000"/>
    <n v="25265"/>
    <n v="-81.5"/>
  </r>
  <r>
    <n v="11795"/>
    <n v="63"/>
    <s v="Female"/>
    <s v="Bangalore"/>
    <d v="2022-01-17T00:00:00"/>
    <d v="2023-02-27T00:00:00"/>
    <x v="2"/>
    <n v="539"/>
    <x v="17"/>
    <n v="1"/>
    <n v="57.47"/>
    <n v="15"/>
    <x v="3"/>
    <x v="0"/>
    <n v="10160.15"/>
    <b v="1"/>
    <n v="1.5833333333333333"/>
    <n v="534.74473684210523"/>
    <n v="28.734999999999999"/>
    <d v="2022-01-01T00:00:00"/>
    <s v="Older"/>
    <n v="1"/>
    <s v="No"/>
    <n v="406"/>
    <s v="Medium"/>
    <s v="Low"/>
    <n v="0.05"/>
    <s v="Medium"/>
    <n v="2"/>
    <d v="2022-01-01T00:00:00"/>
    <s v="13–24 months"/>
    <s v="0–1 tickets"/>
    <s v="46+ min"/>
    <s v="501–700"/>
    <n v="10241"/>
    <n v="-80.850000000000364"/>
  </r>
  <r>
    <n v="11796"/>
    <n v="42"/>
    <s v="Other"/>
    <s v="Delhi"/>
    <d v="2021-05-18T00:00:00"/>
    <d v="2023-05-17T00:00:00"/>
    <x v="0"/>
    <n v="660"/>
    <x v="34"/>
    <n v="5"/>
    <n v="28.93"/>
    <n v="5"/>
    <x v="1"/>
    <x v="1"/>
    <n v="7887"/>
    <b v="1"/>
    <n v="1"/>
    <n v="657.25"/>
    <n v="4.8216666666666663"/>
    <d v="2021-05-01T00:00:00"/>
    <s v="Middle-aged"/>
    <n v="0"/>
    <s v="No"/>
    <n v="729"/>
    <s v="Medium"/>
    <s v="Low"/>
    <n v="0.38461538461538464"/>
    <s v="Low"/>
    <n v="1"/>
    <d v="2021-05-01T00:00:00"/>
    <s v="7–12 months"/>
    <s v="4–5 tickets"/>
    <s v="21–30 min"/>
    <s v="501–700"/>
    <n v="7920"/>
    <n v="-33"/>
  </r>
  <r>
    <n v="11797"/>
    <n v="41"/>
    <s v="Female"/>
    <s v="Bangalore"/>
    <d v="2023-04-23T00:00:00"/>
    <d v="2022-12-25T00:00:00"/>
    <x v="0"/>
    <n v="1354"/>
    <x v="25"/>
    <n v="2"/>
    <n v="62.32"/>
    <n v="20"/>
    <x v="3"/>
    <x v="0"/>
    <n v="18685.2"/>
    <b v="0"/>
    <n v="1.1666666666666667"/>
    <n v="1334.6571428571428"/>
    <n v="20.773333333333333"/>
    <d v="2023-04-01T00:00:00"/>
    <s v="Middle-aged"/>
    <n v="1"/>
    <s v="Yes"/>
    <m/>
    <s v="High"/>
    <s v="Medium"/>
    <n v="0.13333333333333333"/>
    <s v="Medium"/>
    <n v="1"/>
    <d v="2023-04-01T00:00:00"/>
    <s v="13–24 months"/>
    <s v="2–3 tickets"/>
    <s v="46+ min"/>
    <s v="1000+"/>
    <n v="18956"/>
    <n v="-270.79999999999927"/>
  </r>
  <r>
    <n v="11798"/>
    <n v="46"/>
    <s v="Male"/>
    <s v="Pune"/>
    <d v="2021-09-27T00:00:00"/>
    <d v="2023-07-02T00:00:00"/>
    <x v="0"/>
    <n v="1006"/>
    <x v="34"/>
    <n v="3"/>
    <n v="108.9"/>
    <n v="10"/>
    <x v="3"/>
    <x v="1"/>
    <n v="11870.8"/>
    <b v="1"/>
    <n v="1"/>
    <n v="989.23333333333323"/>
    <n v="27.225000000000001"/>
    <d v="2021-09-01T00:00:00"/>
    <s v="Middle-aged"/>
    <n v="0"/>
    <s v="No"/>
    <n v="643"/>
    <s v="High"/>
    <s v="Low"/>
    <n v="0.23076923076923078"/>
    <s v="Medium"/>
    <n v="1"/>
    <d v="2021-09-01T00:00:00"/>
    <s v="7–12 months"/>
    <s v="2–3 tickets"/>
    <s v="46+ min"/>
    <s v="1000+"/>
    <n v="12072"/>
    <n v="-201.20000000000073"/>
  </r>
  <r>
    <n v="11799"/>
    <n v="25"/>
    <s v="Female"/>
    <s v="Delhi"/>
    <d v="2022-07-04T00:00:00"/>
    <d v="2023-08-19T00:00:00"/>
    <x v="2"/>
    <n v="989"/>
    <x v="15"/>
    <n v="2"/>
    <n v="76"/>
    <n v="5"/>
    <x v="1"/>
    <x v="1"/>
    <n v="14785.55"/>
    <b v="1"/>
    <n v="1.25"/>
    <n v="985.70333333333326"/>
    <n v="25.333333333333332"/>
    <d v="2022-07-01T00:00:00"/>
    <s v="Young"/>
    <n v="0"/>
    <s v="Yes"/>
    <n v="411"/>
    <s v="High"/>
    <s v="Low"/>
    <n v="0.125"/>
    <s v="Medium"/>
    <n v="2"/>
    <d v="2022-07-01T00:00:00"/>
    <s v="13–24 months"/>
    <s v="2–3 tickets"/>
    <s v="46+ min"/>
    <s v="701–1000"/>
    <n v="14835"/>
    <n v="-49.450000000000728"/>
  </r>
  <r>
    <n v="11800"/>
    <n v="32"/>
    <s v="Female"/>
    <s v="Delhi"/>
    <d v="2022-01-31T00:00:00"/>
    <d v="2022-11-07T00:00:00"/>
    <x v="0"/>
    <n v="956"/>
    <x v="17"/>
    <n v="0"/>
    <n v="103.37"/>
    <n v="15"/>
    <x v="3"/>
    <x v="1"/>
    <n v="18020.599999999999"/>
    <b v="1"/>
    <n v="1.5833333333333333"/>
    <n v="948.45263157894726"/>
    <n v="103.37"/>
    <d v="2022-01-01T00:00:00"/>
    <s v="Adult"/>
    <n v="0"/>
    <s v="Yes"/>
    <n v="280"/>
    <s v="High"/>
    <s v="Low"/>
    <n v="0"/>
    <s v="Medium"/>
    <n v="1"/>
    <d v="2022-01-01T00:00:00"/>
    <s v="13–24 months"/>
    <s v="0–1 tickets"/>
    <s v="46+ min"/>
    <s v="701–1000"/>
    <n v="18164"/>
    <n v="-143.40000000000146"/>
  </r>
  <r>
    <n v="11801"/>
    <n v="44"/>
    <s v="Male"/>
    <s v="Mumbai"/>
    <d v="2022-07-11T00:00:00"/>
    <d v="2022-02-10T00:00:00"/>
    <x v="0"/>
    <n v="643"/>
    <x v="29"/>
    <n v="1"/>
    <n v="24.11"/>
    <n v="0"/>
    <x v="3"/>
    <x v="0"/>
    <n v="18004"/>
    <b v="0"/>
    <n v="2.3333333333333335"/>
    <n v="643"/>
    <n v="12.055"/>
    <d v="2022-07-01T00:00:00"/>
    <s v="Middle-aged"/>
    <n v="1"/>
    <s v="Yes"/>
    <m/>
    <s v="Medium"/>
    <s v="Low"/>
    <n v="3.4482758620689655E-2"/>
    <s v="Medium"/>
    <n v="1"/>
    <d v="2022-07-01T00:00:00"/>
    <s v="25+ months"/>
    <s v="0–1 tickets"/>
    <s v="21–30 min"/>
    <s v="501–700"/>
    <n v="18004"/>
    <n v="0"/>
  </r>
  <r>
    <n v="11802"/>
    <n v="63"/>
    <s v="Male"/>
    <s v="Hyderabad"/>
    <d v="2022-04-09T00:00:00"/>
    <d v="2021-08-24T00:00:00"/>
    <x v="2"/>
    <n v="835"/>
    <x v="21"/>
    <n v="1"/>
    <n v="108.6"/>
    <n v="10"/>
    <x v="0"/>
    <x v="1"/>
    <n v="4091.5"/>
    <b v="0"/>
    <n v="0.41666666666666669"/>
    <n v="818.3"/>
    <n v="54.3"/>
    <d v="2022-04-01T00:00:00"/>
    <s v="Older"/>
    <n v="0"/>
    <s v="No"/>
    <m/>
    <s v="High"/>
    <s v="Low"/>
    <n v="0.16666666666666666"/>
    <s v="Low"/>
    <n v="2"/>
    <d v="2022-04-01T00:00:00"/>
    <s v="0–6 months"/>
    <s v="0–1 tickets"/>
    <s v="46+ min"/>
    <s v="701–1000"/>
    <n v="4175"/>
    <n v="-83.5"/>
  </r>
  <r>
    <n v="11803"/>
    <n v="24"/>
    <s v="Male"/>
    <s v="Pune"/>
    <d v="2022-11-06T00:00:00"/>
    <d v="2022-09-01T00:00:00"/>
    <x v="2"/>
    <n v="654"/>
    <x v="21"/>
    <n v="3"/>
    <n v="74.209999999999994"/>
    <n v="10"/>
    <x v="1"/>
    <x v="1"/>
    <n v="3204.6"/>
    <b v="0"/>
    <n v="0.41666666666666669"/>
    <n v="640.91999999999996"/>
    <n v="18.552499999999998"/>
    <d v="2022-11-01T00:00:00"/>
    <s v="Young"/>
    <n v="0"/>
    <s v="No"/>
    <m/>
    <s v="High"/>
    <s v="Low"/>
    <n v="0.5"/>
    <s v="Low"/>
    <n v="2"/>
    <d v="2022-11-01T00:00:00"/>
    <s v="0–6 months"/>
    <s v="2–3 tickets"/>
    <s v="46+ min"/>
    <s v="501–700"/>
    <n v="3270"/>
    <n v="-65.400000000000091"/>
  </r>
  <r>
    <n v="11804"/>
    <n v="41"/>
    <s v="Female"/>
    <s v="Chennai"/>
    <d v="2022-03-26T00:00:00"/>
    <d v="2022-11-14T00:00:00"/>
    <x v="0"/>
    <n v="1227"/>
    <x v="20"/>
    <n v="4"/>
    <n v="8.65"/>
    <n v="0"/>
    <x v="1"/>
    <x v="1"/>
    <n v="7362"/>
    <b v="1"/>
    <n v="0.5"/>
    <n v="1227"/>
    <n v="1.73"/>
    <d v="2022-03-01T00:00:00"/>
    <s v="Middle-aged"/>
    <n v="0"/>
    <s v="No"/>
    <n v="233"/>
    <s v="Low"/>
    <s v="Low"/>
    <n v="0.5714285714285714"/>
    <s v="Low"/>
    <n v="1"/>
    <d v="2022-03-01T00:00:00"/>
    <s v="0–6 months"/>
    <s v="4–5 tickets"/>
    <s v="0–10 min"/>
    <s v="1000+"/>
    <n v="7362"/>
    <n v="0"/>
  </r>
  <r>
    <n v="11805"/>
    <n v="46"/>
    <s v="Female"/>
    <s v="Pune"/>
    <d v="2021-11-27T00:00:00"/>
    <d v="2022-12-14T00:00:00"/>
    <x v="0"/>
    <n v="1282"/>
    <x v="31"/>
    <n v="2"/>
    <n v="77.81"/>
    <n v="0"/>
    <x v="0"/>
    <x v="1"/>
    <n v="29486"/>
    <b v="1"/>
    <n v="1.9166666666666667"/>
    <n v="1282"/>
    <n v="25.936666666666667"/>
    <d v="2021-11-01T00:00:00"/>
    <s v="Middle-aged"/>
    <n v="0"/>
    <s v="Yes"/>
    <n v="382"/>
    <s v="High"/>
    <s v="Low"/>
    <n v="8.3333333333333329E-2"/>
    <s v="High"/>
    <n v="1"/>
    <d v="2021-11-01T00:00:00"/>
    <s v="13–24 months"/>
    <s v="2–3 tickets"/>
    <s v="46+ min"/>
    <s v="1000+"/>
    <n v="29486"/>
    <n v="0"/>
  </r>
  <r>
    <n v="11806"/>
    <n v="61"/>
    <s v="Female"/>
    <s v="Chennai"/>
    <d v="2021-09-10T00:00:00"/>
    <d v="2023-04-07T00:00:00"/>
    <x v="1"/>
    <n v="404"/>
    <x v="13"/>
    <n v="3"/>
    <n v="114.41"/>
    <n v="20"/>
    <x v="3"/>
    <x v="0"/>
    <n v="1131.2"/>
    <b v="1"/>
    <n v="0.25"/>
    <n v="377.06666666666666"/>
    <n v="28.602499999999999"/>
    <d v="2021-09-01T00:00:00"/>
    <s v="Older"/>
    <n v="1"/>
    <s v="No"/>
    <n v="574"/>
    <s v="High"/>
    <s v="Medium"/>
    <n v="0.75"/>
    <s v="Low"/>
    <n v="3"/>
    <d v="2021-09-01T00:00:00"/>
    <s v="0–6 months"/>
    <s v="2–3 tickets"/>
    <s v="46+ min"/>
    <s v="301–500"/>
    <n v="1212"/>
    <n v="-80.799999999999955"/>
  </r>
  <r>
    <n v="11807"/>
    <n v="41"/>
    <s v="Female"/>
    <s v="Chennai"/>
    <d v="2022-11-12T00:00:00"/>
    <d v="2021-08-31T00:00:00"/>
    <x v="0"/>
    <n v="1261"/>
    <x v="33"/>
    <n v="0"/>
    <n v="14.1"/>
    <n v="10"/>
    <x v="2"/>
    <x v="1"/>
    <n v="41613"/>
    <b v="0"/>
    <n v="2.75"/>
    <n v="1261"/>
    <n v="14.1"/>
    <d v="2022-11-01T00:00:00"/>
    <s v="Middle-aged"/>
    <n v="0"/>
    <s v="Yes"/>
    <m/>
    <s v="Low"/>
    <s v="Low"/>
    <n v="0"/>
    <s v="High"/>
    <n v="1"/>
    <d v="2022-11-01T00:00:00"/>
    <s v="25+ months"/>
    <s v="0–1 tickets"/>
    <s v="11–20 min"/>
    <s v="1000+"/>
    <n v="41613"/>
    <n v="0"/>
  </r>
  <r>
    <n v="11808"/>
    <n v="20"/>
    <s v="Female"/>
    <s v="Bangalore"/>
    <d v="2021-10-12T00:00:00"/>
    <d v="2023-01-21T00:00:00"/>
    <x v="1"/>
    <n v="826"/>
    <x v="6"/>
    <n v="0"/>
    <n v="71.98"/>
    <n v="5"/>
    <x v="2"/>
    <x v="1"/>
    <n v="17304.7"/>
    <b v="1"/>
    <n v="1.75"/>
    <n v="824.03333333333342"/>
    <n v="71.98"/>
    <d v="2021-10-01T00:00:00"/>
    <s v="Young"/>
    <n v="0"/>
    <s v="Yes"/>
    <n v="466"/>
    <s v="High"/>
    <s v="Low"/>
    <n v="0"/>
    <s v="Medium"/>
    <n v="3"/>
    <d v="2021-10-01T00:00:00"/>
    <s v="13–24 months"/>
    <s v="0–1 tickets"/>
    <s v="46+ min"/>
    <s v="701–1000"/>
    <n v="17346"/>
    <n v="-41.299999999999272"/>
  </r>
  <r>
    <n v="11809"/>
    <n v="37"/>
    <s v="Male"/>
    <s v="Chennai"/>
    <d v="2021-10-01T00:00:00"/>
    <d v="2021-08-08T00:00:00"/>
    <x v="2"/>
    <n v="803"/>
    <x v="28"/>
    <n v="1"/>
    <n v="110.28"/>
    <n v="20"/>
    <x v="1"/>
    <x v="1"/>
    <n v="15899.4"/>
    <b v="0"/>
    <n v="1.6666666666666667"/>
    <n v="794.97"/>
    <n v="55.14"/>
    <d v="2021-10-01T00:00:00"/>
    <s v="Middle-aged"/>
    <n v="0"/>
    <s v="Yes"/>
    <m/>
    <s v="High"/>
    <s v="Medium"/>
    <n v="4.7619047619047616E-2"/>
    <s v="Medium"/>
    <n v="2"/>
    <d v="2021-10-01T00:00:00"/>
    <s v="13–24 months"/>
    <s v="0–1 tickets"/>
    <s v="46+ min"/>
    <s v="701–1000"/>
    <n v="16060"/>
    <n v="-160.60000000000036"/>
  </r>
  <r>
    <n v="11810"/>
    <n v="63"/>
    <s v="Male"/>
    <s v="Chennai"/>
    <d v="2021-01-20T00:00:00"/>
    <d v="2021-07-07T00:00:00"/>
    <x v="0"/>
    <n v="1408"/>
    <x v="7"/>
    <n v="2"/>
    <n v="6.11"/>
    <n v="15"/>
    <x v="0"/>
    <x v="0"/>
    <n v="1196.8"/>
    <b v="1"/>
    <n v="8.3333333333333329E-2"/>
    <n v="1196.8"/>
    <n v="2.0366666666666666"/>
    <d v="2021-01-01T00:00:00"/>
    <s v="Older"/>
    <n v="1"/>
    <s v="No"/>
    <n v="168"/>
    <s v="Low"/>
    <s v="Low"/>
    <n v="1"/>
    <s v="Low"/>
    <n v="1"/>
    <d v="2021-01-01T00:00:00"/>
    <s v="0–6 months"/>
    <s v="2–3 tickets"/>
    <s v="0–10 min"/>
    <s v="1000+"/>
    <n v="1408"/>
    <n v="-211.20000000000005"/>
  </r>
  <r>
    <n v="11811"/>
    <n v="32"/>
    <s v="Male"/>
    <s v="Mumbai"/>
    <d v="2021-08-27T00:00:00"/>
    <d v="2023-07-05T00:00:00"/>
    <x v="0"/>
    <n v="1230"/>
    <x v="18"/>
    <n v="2"/>
    <n v="77.55"/>
    <n v="20"/>
    <x v="3"/>
    <x v="1"/>
    <n v="20664"/>
    <b v="1"/>
    <n v="1.4166666666666667"/>
    <n v="1215.5294117647059"/>
    <n v="25.849999999999998"/>
    <d v="2021-08-01T00:00:00"/>
    <s v="Adult"/>
    <n v="0"/>
    <s v="Yes"/>
    <n v="677"/>
    <s v="High"/>
    <s v="Medium"/>
    <n v="0.1111111111111111"/>
    <s v="High"/>
    <n v="1"/>
    <d v="2021-08-01T00:00:00"/>
    <s v="13–24 months"/>
    <s v="2–3 tickets"/>
    <s v="46+ min"/>
    <s v="1000+"/>
    <n v="20910"/>
    <n v="-246"/>
  </r>
  <r>
    <n v="11812"/>
    <n v="42"/>
    <s v="Male"/>
    <s v="Delhi"/>
    <d v="2021-09-27T00:00:00"/>
    <d v="2023-07-04T00:00:00"/>
    <x v="0"/>
    <n v="1008"/>
    <x v="5"/>
    <n v="2"/>
    <n v="59.61"/>
    <n v="20"/>
    <x v="0"/>
    <x v="1"/>
    <n v="29030.400000000001"/>
    <b v="1"/>
    <n v="2.4166666666666665"/>
    <n v="1001.048275862069"/>
    <n v="19.87"/>
    <d v="2021-09-01T00:00:00"/>
    <s v="Middle-aged"/>
    <n v="0"/>
    <s v="Yes"/>
    <n v="645"/>
    <s v="Medium"/>
    <s v="Medium"/>
    <n v="6.6666666666666666E-2"/>
    <s v="High"/>
    <n v="1"/>
    <d v="2021-09-01T00:00:00"/>
    <s v="25+ months"/>
    <s v="2–3 tickets"/>
    <s v="46+ min"/>
    <s v="1000+"/>
    <n v="29232"/>
    <n v="-201.59999999999854"/>
  </r>
  <r>
    <n v="11813"/>
    <n v="47"/>
    <s v="Female"/>
    <s v="Pune"/>
    <d v="2022-02-22T00:00:00"/>
    <d v="2021-10-18T00:00:00"/>
    <x v="0"/>
    <n v="534"/>
    <x v="14"/>
    <n v="2"/>
    <n v="44.9"/>
    <n v="10"/>
    <x v="3"/>
    <x v="1"/>
    <n v="4218.6000000000004"/>
    <b v="0"/>
    <n v="0.66666666666666663"/>
    <n v="527.32500000000005"/>
    <n v="14.966666666666667"/>
    <d v="2022-02-01T00:00:00"/>
    <s v="Middle-aged"/>
    <n v="0"/>
    <s v="No"/>
    <m/>
    <s v="Medium"/>
    <s v="Low"/>
    <n v="0.22222222222222221"/>
    <s v="Low"/>
    <n v="1"/>
    <d v="2022-02-01T00:00:00"/>
    <s v="7–12 months"/>
    <s v="2–3 tickets"/>
    <s v="31–45 min"/>
    <s v="501–700"/>
    <n v="4272"/>
    <n v="-53.399999999999636"/>
  </r>
  <r>
    <n v="11814"/>
    <n v="41"/>
    <s v="Female"/>
    <s v="Pune"/>
    <d v="2021-11-06T00:00:00"/>
    <d v="2023-10-15T00:00:00"/>
    <x v="0"/>
    <n v="1329"/>
    <x v="8"/>
    <n v="0"/>
    <n v="77.17"/>
    <n v="0"/>
    <x v="1"/>
    <x v="0"/>
    <n v="34554"/>
    <b v="1"/>
    <n v="2.1666666666666665"/>
    <n v="1329"/>
    <n v="77.17"/>
    <d v="2021-11-01T00:00:00"/>
    <s v="Middle-aged"/>
    <n v="1"/>
    <s v="Yes"/>
    <n v="708"/>
    <s v="High"/>
    <s v="Low"/>
    <n v="0"/>
    <s v="High"/>
    <n v="1"/>
    <d v="2021-11-01T00:00:00"/>
    <s v="25+ months"/>
    <s v="0–1 tickets"/>
    <s v="46+ min"/>
    <s v="1000+"/>
    <n v="34554"/>
    <n v="0"/>
  </r>
  <r>
    <n v="11815"/>
    <n v="24"/>
    <s v="Male"/>
    <s v="Chennai"/>
    <d v="2021-01-31T00:00:00"/>
    <d v="2023-11-10T00:00:00"/>
    <x v="2"/>
    <n v="793"/>
    <x v="29"/>
    <n v="2"/>
    <n v="11.06"/>
    <n v="5"/>
    <x v="1"/>
    <x v="1"/>
    <n v="22164.35"/>
    <b v="1"/>
    <n v="2.3333333333333335"/>
    <n v="791.58392857142849"/>
    <n v="3.686666666666667"/>
    <d v="2021-01-01T00:00:00"/>
    <s v="Young"/>
    <n v="0"/>
    <s v="Yes"/>
    <n v="1013"/>
    <s v="Low"/>
    <s v="Low"/>
    <n v="6.8965517241379309E-2"/>
    <s v="High"/>
    <n v="2"/>
    <d v="2021-01-01T00:00:00"/>
    <s v="25+ months"/>
    <s v="2–3 tickets"/>
    <s v="11–20 min"/>
    <s v="701–1000"/>
    <n v="22204"/>
    <n v="-39.650000000001455"/>
  </r>
  <r>
    <n v="11816"/>
    <n v="34"/>
    <s v="Female"/>
    <s v="Hyderabad"/>
    <d v="2023-04-06T00:00:00"/>
    <d v="2023-04-11T00:00:00"/>
    <x v="0"/>
    <n v="1177"/>
    <x v="22"/>
    <n v="1"/>
    <n v="91.6"/>
    <n v="0"/>
    <x v="2"/>
    <x v="1"/>
    <n v="40018"/>
    <b v="1"/>
    <n v="2.8333333333333335"/>
    <n v="1177"/>
    <n v="45.8"/>
    <d v="2023-04-01T00:00:00"/>
    <s v="Adult"/>
    <n v="0"/>
    <s v="Yes"/>
    <n v="5"/>
    <s v="High"/>
    <s v="Low"/>
    <n v="2.8571428571428571E-2"/>
    <s v="High"/>
    <n v="1"/>
    <d v="2023-04-01T00:00:00"/>
    <s v="25+ months"/>
    <s v="0–1 tickets"/>
    <s v="46+ min"/>
    <s v="1000+"/>
    <n v="40018"/>
    <n v="0"/>
  </r>
  <r>
    <n v="11817"/>
    <n v="61"/>
    <s v="Female"/>
    <s v="Pune"/>
    <d v="2021-04-14T00:00:00"/>
    <d v="2022-12-18T00:00:00"/>
    <x v="2"/>
    <n v="1266"/>
    <x v="8"/>
    <n v="0"/>
    <n v="62.59"/>
    <n v="10"/>
    <x v="0"/>
    <x v="0"/>
    <n v="32789.4"/>
    <b v="1"/>
    <n v="2.1666666666666665"/>
    <n v="1261.1307692307694"/>
    <n v="62.59"/>
    <d v="2021-04-01T00:00:00"/>
    <s v="Older"/>
    <n v="1"/>
    <s v="Yes"/>
    <n v="613"/>
    <s v="High"/>
    <s v="Low"/>
    <n v="0"/>
    <s v="High"/>
    <n v="2"/>
    <d v="2021-04-01T00:00:00"/>
    <s v="25+ months"/>
    <s v="0–1 tickets"/>
    <s v="46+ min"/>
    <s v="1000+"/>
    <n v="32916"/>
    <n v="-126.59999999999854"/>
  </r>
  <r>
    <n v="11818"/>
    <n v="37"/>
    <s v="Male"/>
    <s v="Chennai"/>
    <d v="2022-11-13T00:00:00"/>
    <d v="2023-11-15T00:00:00"/>
    <x v="2"/>
    <n v="1265"/>
    <x v="19"/>
    <n v="1"/>
    <n v="40.299999999999997"/>
    <n v="0"/>
    <x v="1"/>
    <x v="1"/>
    <n v="16445"/>
    <b v="1"/>
    <n v="1.0833333333333333"/>
    <n v="1265"/>
    <n v="20.149999999999999"/>
    <d v="2022-11-01T00:00:00"/>
    <s v="Middle-aged"/>
    <n v="0"/>
    <s v="Yes"/>
    <n v="367"/>
    <s v="Medium"/>
    <s v="Low"/>
    <n v="7.1428571428571425E-2"/>
    <s v="Medium"/>
    <n v="2"/>
    <d v="2022-11-01T00:00:00"/>
    <s v="13–24 months"/>
    <s v="0–1 tickets"/>
    <s v="31–45 min"/>
    <s v="1000+"/>
    <n v="16445"/>
    <n v="0"/>
  </r>
  <r>
    <n v="11819"/>
    <n v="53"/>
    <s v="Male"/>
    <s v="Bangalore"/>
    <d v="2021-07-05T00:00:00"/>
    <d v="2021-11-25T00:00:00"/>
    <x v="0"/>
    <n v="1263"/>
    <x v="19"/>
    <n v="1"/>
    <n v="62.96"/>
    <n v="5"/>
    <x v="0"/>
    <x v="1"/>
    <n v="16355.85"/>
    <b v="1"/>
    <n v="1.0833333333333333"/>
    <n v="1258.1423076923077"/>
    <n v="31.48"/>
    <d v="2021-07-01T00:00:00"/>
    <s v="Older"/>
    <n v="0"/>
    <s v="Yes"/>
    <n v="143"/>
    <s v="High"/>
    <s v="Low"/>
    <n v="7.1428571428571425E-2"/>
    <s v="Medium"/>
    <n v="1"/>
    <d v="2021-07-01T00:00:00"/>
    <s v="13–24 months"/>
    <s v="0–1 tickets"/>
    <s v="46+ min"/>
    <s v="1000+"/>
    <n v="16419"/>
    <n v="-63.149999999999636"/>
  </r>
  <r>
    <n v="11820"/>
    <n v="26"/>
    <s v="Male"/>
    <s v="Bangalore"/>
    <d v="2021-05-08T00:00:00"/>
    <d v="2023-08-18T00:00:00"/>
    <x v="0"/>
    <n v="1196"/>
    <x v="0"/>
    <n v="0"/>
    <n v="48.36"/>
    <n v="0"/>
    <x v="1"/>
    <x v="0"/>
    <n v="29900"/>
    <b v="1"/>
    <n v="2.0833333333333335"/>
    <n v="1196"/>
    <n v="48.36"/>
    <d v="2021-05-01T00:00:00"/>
    <s v="Adult"/>
    <n v="1"/>
    <s v="Yes"/>
    <n v="832"/>
    <s v="Medium"/>
    <s v="Low"/>
    <n v="0"/>
    <s v="High"/>
    <n v="1"/>
    <d v="2021-05-01T00:00:00"/>
    <s v="25+ months"/>
    <s v="0–1 tickets"/>
    <s v="46+ min"/>
    <s v="1000+"/>
    <n v="29900"/>
    <n v="0"/>
  </r>
  <r>
    <n v="11821"/>
    <n v="55"/>
    <s v="Male"/>
    <s v="unknown"/>
    <d v="2021-07-29T00:00:00"/>
    <d v="2023-08-22T00:00:00"/>
    <x v="0"/>
    <n v="516"/>
    <x v="31"/>
    <n v="2"/>
    <n v="40.36"/>
    <n v="10"/>
    <x v="3"/>
    <x v="0"/>
    <n v="11816.4"/>
    <b v="1"/>
    <n v="1.9166666666666667"/>
    <n v="513.75652173913045"/>
    <n v="13.453333333333333"/>
    <d v="2021-07-01T00:00:00"/>
    <s v="Older"/>
    <n v="1"/>
    <s v="No"/>
    <n v="754"/>
    <s v="Medium"/>
    <s v="Low"/>
    <n v="8.3333333333333329E-2"/>
    <s v="Medium"/>
    <n v="1"/>
    <d v="2021-07-01T00:00:00"/>
    <s v="13–24 months"/>
    <s v="2–3 tickets"/>
    <s v="31–45 min"/>
    <s v="501–700"/>
    <n v="11868"/>
    <n v="-51.600000000000364"/>
  </r>
  <r>
    <n v="11822"/>
    <n v="39"/>
    <s v="Female"/>
    <s v="Chennai"/>
    <d v="2022-02-18T00:00:00"/>
    <d v="2023-10-19T00:00:00"/>
    <x v="0"/>
    <n v="922"/>
    <x v="1"/>
    <n v="2"/>
    <n v="100.55"/>
    <n v="5"/>
    <x v="3"/>
    <x v="1"/>
    <n v="20237.900000000001"/>
    <b v="1"/>
    <n v="1.8333333333333333"/>
    <n v="919.90454545454554"/>
    <n v="33.516666666666666"/>
    <d v="2022-02-01T00:00:00"/>
    <s v="Middle-aged"/>
    <n v="0"/>
    <s v="Yes"/>
    <n v="608"/>
    <s v="High"/>
    <s v="Low"/>
    <n v="8.6956521739130432E-2"/>
    <s v="High"/>
    <n v="1"/>
    <d v="2022-02-01T00:00:00"/>
    <s v="13–24 months"/>
    <s v="2–3 tickets"/>
    <s v="46+ min"/>
    <s v="701–1000"/>
    <n v="20284"/>
    <n v="-46.099999999998545"/>
  </r>
  <r>
    <n v="11823"/>
    <n v="19"/>
    <s v="Male"/>
    <s v="Mumbai"/>
    <d v="2021-10-08T00:00:00"/>
    <d v="2023-02-08T00:00:00"/>
    <x v="2"/>
    <n v="652"/>
    <x v="6"/>
    <n v="2"/>
    <n v="112.51"/>
    <n v="0"/>
    <x v="2"/>
    <x v="0"/>
    <n v="13692"/>
    <b v="1"/>
    <n v="1.75"/>
    <n v="652"/>
    <n v="37.503333333333337"/>
    <d v="2021-10-01T00:00:00"/>
    <s v="Young"/>
    <n v="1"/>
    <s v="Yes"/>
    <n v="488"/>
    <s v="High"/>
    <s v="Low"/>
    <n v="9.0909090909090912E-2"/>
    <s v="Medium"/>
    <n v="2"/>
    <d v="2021-10-01T00:00:00"/>
    <s v="13–24 months"/>
    <s v="2–3 tickets"/>
    <s v="46+ min"/>
    <s v="501–700"/>
    <n v="13692"/>
    <n v="0"/>
  </r>
  <r>
    <n v="11824"/>
    <n v="41"/>
    <s v="Male"/>
    <s v="Hyderabad"/>
    <d v="2021-09-10T00:00:00"/>
    <d v="2021-10-15T00:00:00"/>
    <x v="0"/>
    <n v="991"/>
    <x v="3"/>
    <n v="2"/>
    <n v="105.48"/>
    <n v="10"/>
    <x v="1"/>
    <x v="1"/>
    <n v="29630.9"/>
    <b v="1"/>
    <n v="2.5"/>
    <n v="987.69666666666672"/>
    <n v="35.160000000000004"/>
    <d v="2021-09-01T00:00:00"/>
    <s v="Middle-aged"/>
    <n v="0"/>
    <s v="Yes"/>
    <n v="35"/>
    <s v="High"/>
    <s v="Low"/>
    <n v="6.4516129032258063E-2"/>
    <s v="High"/>
    <n v="1"/>
    <d v="2021-09-01T00:00:00"/>
    <s v="25+ months"/>
    <s v="2–3 tickets"/>
    <s v="46+ min"/>
    <s v="701–1000"/>
    <n v="29730"/>
    <n v="-99.099999999998545"/>
  </r>
  <r>
    <n v="11825"/>
    <n v="25"/>
    <s v="Female"/>
    <s v="Chennai"/>
    <d v="2021-01-19T00:00:00"/>
    <d v="2021-12-07T00:00:00"/>
    <x v="2"/>
    <n v="974"/>
    <x v="11"/>
    <n v="0"/>
    <n v="65.08"/>
    <n v="10"/>
    <x v="2"/>
    <x v="1"/>
    <n v="10616.6"/>
    <b v="1"/>
    <n v="0.91666666666666663"/>
    <n v="965.14545454545453"/>
    <n v="65.08"/>
    <d v="2021-01-01T00:00:00"/>
    <s v="Young"/>
    <n v="0"/>
    <s v="No"/>
    <n v="322"/>
    <s v="High"/>
    <s v="Low"/>
    <n v="0"/>
    <s v="Medium"/>
    <n v="2"/>
    <d v="2021-01-01T00:00:00"/>
    <s v="7–12 months"/>
    <s v="0–1 tickets"/>
    <s v="46+ min"/>
    <s v="701–1000"/>
    <n v="10714"/>
    <n v="-97.399999999999636"/>
  </r>
  <r>
    <n v="11826"/>
    <n v="28"/>
    <s v="Other"/>
    <s v="Mumbai"/>
    <d v="2022-12-13T00:00:00"/>
    <d v="2023-03-02T00:00:00"/>
    <x v="0"/>
    <n v="930"/>
    <x v="2"/>
    <n v="3"/>
    <n v="106.68"/>
    <n v="20"/>
    <x v="2"/>
    <x v="1"/>
    <n v="3534"/>
    <b v="1"/>
    <n v="0.33333333333333331"/>
    <n v="883.5"/>
    <n v="26.67"/>
    <d v="2022-12-01T00:00:00"/>
    <s v="Adult"/>
    <n v="0"/>
    <s v="No"/>
    <n v="79"/>
    <s v="High"/>
    <s v="Medium"/>
    <n v="0.6"/>
    <s v="Low"/>
    <n v="1"/>
    <d v="2022-12-01T00:00:00"/>
    <s v="0–6 months"/>
    <s v="2–3 tickets"/>
    <s v="46+ min"/>
    <s v="701–1000"/>
    <n v="3720"/>
    <n v="-186"/>
  </r>
  <r>
    <n v="11827"/>
    <n v="30"/>
    <s v="Male"/>
    <s v="Mumbai"/>
    <d v="2023-01-02T00:00:00"/>
    <d v="2022-05-08T00:00:00"/>
    <x v="2"/>
    <n v="624"/>
    <x v="33"/>
    <n v="0"/>
    <n v="110.9"/>
    <n v="5"/>
    <x v="1"/>
    <x v="0"/>
    <n v="20560.8"/>
    <b v="0"/>
    <n v="2.75"/>
    <n v="623.0545454545454"/>
    <n v="110.9"/>
    <d v="2023-01-01T00:00:00"/>
    <s v="Adult"/>
    <n v="1"/>
    <s v="Yes"/>
    <m/>
    <s v="High"/>
    <s v="Low"/>
    <n v="0"/>
    <s v="High"/>
    <n v="2"/>
    <d v="2023-01-01T00:00:00"/>
    <s v="25+ months"/>
    <s v="0–1 tickets"/>
    <s v="46+ min"/>
    <s v="501–700"/>
    <n v="20592"/>
    <n v="-31.200000000000728"/>
  </r>
  <r>
    <n v="11828"/>
    <n v="34"/>
    <s v="Male"/>
    <s v="Pune"/>
    <d v="2021-05-16T00:00:00"/>
    <d v="2022-12-11T00:00:00"/>
    <x v="2"/>
    <n v="1200"/>
    <x v="34"/>
    <n v="2"/>
    <n v="52.06"/>
    <n v="5"/>
    <x v="1"/>
    <x v="1"/>
    <n v="14340"/>
    <b v="1"/>
    <n v="1"/>
    <n v="1195"/>
    <n v="17.353333333333335"/>
    <d v="2021-05-01T00:00:00"/>
    <s v="Adult"/>
    <n v="0"/>
    <s v="Yes"/>
    <n v="574"/>
    <s v="Medium"/>
    <s v="Low"/>
    <n v="0.15384615384615385"/>
    <s v="Medium"/>
    <n v="2"/>
    <d v="2021-05-01T00:00:00"/>
    <s v="7–12 months"/>
    <s v="2–3 tickets"/>
    <s v="46+ min"/>
    <s v="1000+"/>
    <n v="14400"/>
    <n v="-60"/>
  </r>
  <r>
    <n v="11829"/>
    <n v="25"/>
    <s v="Male"/>
    <s v="Chennai"/>
    <d v="2021-08-11T00:00:00"/>
    <d v="2021-06-05T00:00:00"/>
    <x v="2"/>
    <n v="1468"/>
    <x v="9"/>
    <n v="0"/>
    <n v="37.6"/>
    <n v="0"/>
    <x v="3"/>
    <x v="0"/>
    <n v="13212"/>
    <b v="0"/>
    <n v="0.75"/>
    <n v="1468"/>
    <n v="37.6"/>
    <d v="2021-08-01T00:00:00"/>
    <s v="Young"/>
    <n v="1"/>
    <s v="No"/>
    <m/>
    <s v="Medium"/>
    <s v="Low"/>
    <n v="0"/>
    <s v="Medium"/>
    <n v="2"/>
    <d v="2021-08-01T00:00:00"/>
    <s v="7–12 months"/>
    <s v="0–1 tickets"/>
    <s v="31–45 min"/>
    <s v="1000+"/>
    <n v="13212"/>
    <n v="0"/>
  </r>
  <r>
    <n v="11830"/>
    <n v="38"/>
    <s v="Male"/>
    <s v="Chennai"/>
    <d v="2021-01-03T00:00:00"/>
    <d v="2022-02-12T00:00:00"/>
    <x v="0"/>
    <n v="607"/>
    <x v="23"/>
    <n v="4"/>
    <n v="16.3"/>
    <n v="20"/>
    <x v="2"/>
    <x v="1"/>
    <n v="19302.599999999999"/>
    <b v="1"/>
    <n v="2.6666666666666665"/>
    <n v="603.20624999999995"/>
    <n v="3.2600000000000002"/>
    <d v="2021-01-01T00:00:00"/>
    <s v="Middle-aged"/>
    <n v="0"/>
    <s v="Yes"/>
    <n v="405"/>
    <s v="Low"/>
    <s v="Medium"/>
    <n v="0.12121212121212122"/>
    <s v="Medium"/>
    <n v="1"/>
    <d v="2021-01-01T00:00:00"/>
    <s v="25+ months"/>
    <s v="4–5 tickets"/>
    <s v="11–20 min"/>
    <s v="501–700"/>
    <n v="19424"/>
    <n v="-121.40000000000146"/>
  </r>
  <r>
    <n v="11831"/>
    <n v="35"/>
    <s v="Male"/>
    <s v="Mumbai"/>
    <d v="2021-08-24T00:00:00"/>
    <d v="2023-08-21T00:00:00"/>
    <x v="0"/>
    <n v="953"/>
    <x v="11"/>
    <n v="0"/>
    <n v="60.1"/>
    <n v="5"/>
    <x v="3"/>
    <x v="0"/>
    <n v="10435.35"/>
    <b v="1"/>
    <n v="0.91666666666666663"/>
    <n v="948.66818181818189"/>
    <n v="60.1"/>
    <d v="2021-08-01T00:00:00"/>
    <s v="Adult"/>
    <n v="1"/>
    <s v="No"/>
    <n v="727"/>
    <s v="High"/>
    <s v="Low"/>
    <n v="0"/>
    <s v="Medium"/>
    <n v="1"/>
    <d v="2021-08-01T00:00:00"/>
    <s v="7–12 months"/>
    <s v="0–1 tickets"/>
    <s v="46+ min"/>
    <s v="701–1000"/>
    <n v="10483"/>
    <n v="-47.649999999999636"/>
  </r>
  <r>
    <n v="11832"/>
    <n v="47"/>
    <s v="Female"/>
    <s v="Mumbai"/>
    <d v="2023-05-04T00:00:00"/>
    <d v="2023-03-24T00:00:00"/>
    <x v="2"/>
    <n v="584"/>
    <x v="30"/>
    <n v="5"/>
    <n v="113.82"/>
    <n v="10"/>
    <x v="0"/>
    <x v="1"/>
    <n v="13957.6"/>
    <b v="0"/>
    <n v="2"/>
    <n v="581.56666666666672"/>
    <n v="18.97"/>
    <d v="2023-05-01T00:00:00"/>
    <s v="Middle-aged"/>
    <n v="0"/>
    <s v="Yes"/>
    <m/>
    <s v="High"/>
    <s v="Low"/>
    <n v="0.2"/>
    <s v="Medium"/>
    <n v="2"/>
    <d v="2023-05-01T00:00:00"/>
    <s v="13–24 months"/>
    <s v="4–5 tickets"/>
    <s v="46+ min"/>
    <s v="501–700"/>
    <n v="14016"/>
    <n v="-58.399999999999636"/>
  </r>
  <r>
    <n v="11833"/>
    <n v="35"/>
    <s v="Male"/>
    <s v="Mumbai"/>
    <d v="2022-04-10T00:00:00"/>
    <d v="2023-08-15T00:00:00"/>
    <x v="0"/>
    <n v="691"/>
    <x v="16"/>
    <n v="4"/>
    <n v="69.5"/>
    <n v="5"/>
    <x v="0"/>
    <x v="0"/>
    <n v="4802.45"/>
    <b v="1"/>
    <n v="0.58333333333333337"/>
    <n v="686.06428571428569"/>
    <n v="13.9"/>
    <d v="2022-04-01T00:00:00"/>
    <s v="Adult"/>
    <n v="1"/>
    <s v="No"/>
    <n v="492"/>
    <s v="High"/>
    <s v="Low"/>
    <n v="0.5"/>
    <s v="Low"/>
    <n v="1"/>
    <d v="2022-04-01T00:00:00"/>
    <s v="7–12 months"/>
    <s v="4–5 tickets"/>
    <s v="46+ min"/>
    <s v="501–700"/>
    <n v="4837"/>
    <n v="-34.550000000000182"/>
  </r>
  <r>
    <n v="11834"/>
    <n v="63"/>
    <s v="Male"/>
    <s v="Pune"/>
    <d v="2021-08-16T00:00:00"/>
    <d v="2022-01-29T00:00:00"/>
    <x v="0"/>
    <n v="659"/>
    <x v="14"/>
    <n v="0"/>
    <n v="81.77"/>
    <n v="20"/>
    <x v="2"/>
    <x v="1"/>
    <n v="5140.2"/>
    <b v="1"/>
    <n v="0.66666666666666663"/>
    <n v="642.52499999999998"/>
    <n v="81.77"/>
    <d v="2021-08-01T00:00:00"/>
    <s v="Older"/>
    <n v="0"/>
    <s v="No"/>
    <n v="166"/>
    <s v="High"/>
    <s v="Medium"/>
    <n v="0"/>
    <s v="Low"/>
    <n v="1"/>
    <d v="2021-08-01T00:00:00"/>
    <s v="7–12 months"/>
    <s v="0–1 tickets"/>
    <s v="46+ min"/>
    <s v="501–700"/>
    <n v="5272"/>
    <n v="-131.80000000000018"/>
  </r>
  <r>
    <n v="11835"/>
    <n v="64"/>
    <s v="Female"/>
    <s v="Chennai"/>
    <d v="2022-10-16T00:00:00"/>
    <d v="2023-07-27T00:00:00"/>
    <x v="2"/>
    <n v="1068"/>
    <x v="33"/>
    <n v="0"/>
    <n v="17.98"/>
    <n v="15"/>
    <x v="2"/>
    <x v="1"/>
    <n v="35083.800000000003"/>
    <b v="1"/>
    <n v="2.75"/>
    <n v="1063.1454545454546"/>
    <n v="17.98"/>
    <d v="2022-10-01T00:00:00"/>
    <s v="Older"/>
    <n v="0"/>
    <s v="Yes"/>
    <n v="284"/>
    <s v="Low"/>
    <s v="Low"/>
    <n v="0"/>
    <s v="High"/>
    <n v="2"/>
    <d v="2022-10-01T00:00:00"/>
    <s v="25+ months"/>
    <s v="0–1 tickets"/>
    <s v="11–20 min"/>
    <s v="1000+"/>
    <n v="35244"/>
    <n v="-160.19999999999709"/>
  </r>
  <r>
    <n v="11836"/>
    <n v="48"/>
    <s v="Male"/>
    <s v="Mumbai"/>
    <d v="2022-05-14T00:00:00"/>
    <d v="2023-05-21T00:00:00"/>
    <x v="2"/>
    <n v="1096"/>
    <x v="0"/>
    <n v="2"/>
    <n v="21.5"/>
    <n v="10"/>
    <x v="1"/>
    <x v="0"/>
    <n v="27290.400000000001"/>
    <b v="1"/>
    <n v="2.0833333333333335"/>
    <n v="1091.616"/>
    <n v="7.166666666666667"/>
    <d v="2022-05-01T00:00:00"/>
    <s v="Middle-aged"/>
    <n v="1"/>
    <s v="Yes"/>
    <n v="372"/>
    <s v="Medium"/>
    <s v="Low"/>
    <n v="7.6923076923076927E-2"/>
    <s v="High"/>
    <n v="2"/>
    <d v="2022-05-01T00:00:00"/>
    <s v="25+ months"/>
    <s v="2–3 tickets"/>
    <s v="21–30 min"/>
    <s v="1000+"/>
    <n v="27400"/>
    <n v="-109.59999999999854"/>
  </r>
  <r>
    <n v="11837"/>
    <n v="55"/>
    <s v="Male"/>
    <s v="Bangalore"/>
    <d v="2022-06-05T00:00:00"/>
    <d v="2022-07-20T00:00:00"/>
    <x v="2"/>
    <n v="1231"/>
    <x v="7"/>
    <n v="3"/>
    <n v="58.41"/>
    <n v="5"/>
    <x v="1"/>
    <x v="0"/>
    <n v="1169.45"/>
    <b v="1"/>
    <n v="8.3333333333333329E-2"/>
    <n v="1169.45"/>
    <n v="14.602499999999999"/>
    <d v="2022-06-01T00:00:00"/>
    <s v="Older"/>
    <n v="1"/>
    <s v="No"/>
    <n v="45"/>
    <s v="Medium"/>
    <s v="Low"/>
    <n v="1.5"/>
    <s v="Low"/>
    <n v="2"/>
    <d v="2022-06-01T00:00:00"/>
    <s v="0–6 months"/>
    <s v="2–3 tickets"/>
    <s v="46+ min"/>
    <s v="1000+"/>
    <n v="1231"/>
    <n v="-61.549999999999955"/>
  </r>
  <r>
    <n v="11838"/>
    <n v="49"/>
    <s v="Male"/>
    <s v="Chennai"/>
    <d v="2022-12-03T00:00:00"/>
    <d v="2023-02-17T00:00:00"/>
    <x v="2"/>
    <n v="464"/>
    <x v="13"/>
    <n v="1"/>
    <n v="114.4"/>
    <n v="10"/>
    <x v="2"/>
    <x v="1"/>
    <n v="1345.6"/>
    <b v="1"/>
    <n v="0.25"/>
    <n v="448.5333333333333"/>
    <n v="57.2"/>
    <d v="2022-12-01T00:00:00"/>
    <s v="Middle-aged"/>
    <n v="0"/>
    <s v="No"/>
    <n v="76"/>
    <s v="High"/>
    <s v="Low"/>
    <n v="0.25"/>
    <s v="Low"/>
    <n v="2"/>
    <d v="2022-12-01T00:00:00"/>
    <s v="0–6 months"/>
    <s v="0–1 tickets"/>
    <s v="46+ min"/>
    <s v="301–500"/>
    <n v="1392"/>
    <n v="-46.400000000000091"/>
  </r>
  <r>
    <n v="11839"/>
    <n v="28"/>
    <s v="Other"/>
    <s v="unknown"/>
    <d v="2023-05-12T00:00:00"/>
    <d v="2023-05-08T00:00:00"/>
    <x v="2"/>
    <n v="1032"/>
    <x v="29"/>
    <n v="1"/>
    <n v="46.49"/>
    <n v="0"/>
    <x v="2"/>
    <x v="1"/>
    <n v="28896"/>
    <b v="0"/>
    <n v="2.3333333333333335"/>
    <n v="1032"/>
    <n v="23.245000000000001"/>
    <d v="2023-05-01T00:00:00"/>
    <s v="Adult"/>
    <n v="0"/>
    <s v="Yes"/>
    <m/>
    <s v="Medium"/>
    <s v="Low"/>
    <n v="3.4482758620689655E-2"/>
    <s v="High"/>
    <n v="2"/>
    <d v="2023-05-01T00:00:00"/>
    <s v="25+ months"/>
    <s v="0–1 tickets"/>
    <s v="46+ min"/>
    <s v="1000+"/>
    <n v="28896"/>
    <n v="0"/>
  </r>
  <r>
    <n v="11840"/>
    <n v="62"/>
    <s v="Male"/>
    <s v="Bangalore"/>
    <d v="2022-11-08T00:00:00"/>
    <d v="2022-05-09T00:00:00"/>
    <x v="2"/>
    <n v="880"/>
    <x v="33"/>
    <n v="2"/>
    <n v="105.91"/>
    <n v="10"/>
    <x v="0"/>
    <x v="0"/>
    <n v="28952"/>
    <b v="0"/>
    <n v="2.75"/>
    <n v="877.33333333333337"/>
    <n v="35.303333333333335"/>
    <d v="2022-11-01T00:00:00"/>
    <s v="Older"/>
    <n v="1"/>
    <s v="Yes"/>
    <m/>
    <s v="High"/>
    <s v="Low"/>
    <n v="5.8823529411764705E-2"/>
    <s v="High"/>
    <n v="2"/>
    <d v="2022-11-01T00:00:00"/>
    <s v="25+ months"/>
    <s v="2–3 tickets"/>
    <s v="46+ min"/>
    <s v="701–1000"/>
    <n v="29040"/>
    <n v="-88"/>
  </r>
  <r>
    <n v="11841"/>
    <n v="42"/>
    <s v="Female"/>
    <s v="unknown"/>
    <d v="2021-05-19T00:00:00"/>
    <d v="2023-04-13T00:00:00"/>
    <x v="2"/>
    <n v="1120"/>
    <x v="7"/>
    <n v="4"/>
    <n v="62.59"/>
    <n v="10"/>
    <x v="3"/>
    <x v="0"/>
    <n v="1064"/>
    <b v="1"/>
    <n v="8.3333333333333329E-2"/>
    <n v="1064"/>
    <n v="12.518000000000001"/>
    <d v="2021-05-01T00:00:00"/>
    <s v="Middle-aged"/>
    <n v="1"/>
    <s v="No"/>
    <n v="694"/>
    <s v="High"/>
    <s v="Low"/>
    <n v="2"/>
    <s v="Low"/>
    <n v="2"/>
    <d v="2021-05-01T00:00:00"/>
    <s v="0–6 months"/>
    <s v="4–5 tickets"/>
    <s v="46+ min"/>
    <s v="1000+"/>
    <n v="1120"/>
    <n v="-56"/>
  </r>
  <r>
    <n v="11842"/>
    <n v="50"/>
    <s v="Female"/>
    <s v="Chennai"/>
    <d v="2021-10-03T00:00:00"/>
    <d v="2022-06-14T00:00:00"/>
    <x v="2"/>
    <n v="423"/>
    <x v="26"/>
    <n v="1"/>
    <n v="75.959999999999994"/>
    <n v="0"/>
    <x v="0"/>
    <x v="1"/>
    <n v="11421"/>
    <b v="1"/>
    <n v="2.25"/>
    <n v="423"/>
    <n v="37.979999999999997"/>
    <d v="2021-10-01T00:00:00"/>
    <s v="Middle-aged"/>
    <n v="0"/>
    <s v="No"/>
    <n v="254"/>
    <s v="High"/>
    <s v="Low"/>
    <n v="3.5714285714285712E-2"/>
    <s v="Medium"/>
    <n v="2"/>
    <d v="2021-10-01T00:00:00"/>
    <s v="25+ months"/>
    <s v="0–1 tickets"/>
    <s v="46+ min"/>
    <s v="301–500"/>
    <n v="11421"/>
    <n v="0"/>
  </r>
  <r>
    <n v="11843"/>
    <n v="55"/>
    <s v="Male"/>
    <s v="Delhi"/>
    <d v="2021-10-18T00:00:00"/>
    <d v="2023-01-15T00:00:00"/>
    <x v="1"/>
    <n v="643"/>
    <x v="12"/>
    <n v="1"/>
    <n v="74.069999999999993"/>
    <n v="0"/>
    <x v="0"/>
    <x v="1"/>
    <n v="22505"/>
    <b v="1"/>
    <n v="2.9166666666666665"/>
    <n v="643"/>
    <n v="37.034999999999997"/>
    <d v="2021-10-01T00:00:00"/>
    <s v="Older"/>
    <n v="0"/>
    <s v="Yes"/>
    <n v="454"/>
    <s v="High"/>
    <s v="Low"/>
    <n v="2.7777777777777776E-2"/>
    <s v="High"/>
    <n v="3"/>
    <d v="2021-10-01T00:00:00"/>
    <s v="25+ months"/>
    <s v="0–1 tickets"/>
    <s v="46+ min"/>
    <s v="501–700"/>
    <n v="22505"/>
    <n v="0"/>
  </r>
  <r>
    <n v="11844"/>
    <n v="58"/>
    <s v="Other"/>
    <s v="Mumbai"/>
    <d v="2021-02-22T00:00:00"/>
    <d v="2023-03-28T00:00:00"/>
    <x v="0"/>
    <n v="823"/>
    <x v="32"/>
    <n v="0"/>
    <n v="103.89"/>
    <n v="0"/>
    <x v="3"/>
    <x v="1"/>
    <n v="8230"/>
    <b v="1"/>
    <n v="0.83333333333333337"/>
    <n v="823"/>
    <n v="103.89"/>
    <d v="2021-02-01T00:00:00"/>
    <s v="Older"/>
    <n v="0"/>
    <s v="No"/>
    <n v="764"/>
    <s v="High"/>
    <s v="Low"/>
    <n v="0"/>
    <s v="Low"/>
    <n v="1"/>
    <d v="2021-02-01T00:00:00"/>
    <s v="7–12 months"/>
    <s v="0–1 tickets"/>
    <s v="46+ min"/>
    <s v="701–1000"/>
    <n v="8230"/>
    <n v="0"/>
  </r>
  <r>
    <n v="11845"/>
    <n v="25"/>
    <s v="Male"/>
    <s v="Pune"/>
    <d v="2022-11-18T00:00:00"/>
    <d v="2023-03-15T00:00:00"/>
    <x v="0"/>
    <n v="1375"/>
    <x v="34"/>
    <n v="1"/>
    <n v="5.38"/>
    <n v="15"/>
    <x v="2"/>
    <x v="1"/>
    <n v="16293.75"/>
    <b v="1"/>
    <n v="1"/>
    <n v="1357.8125"/>
    <n v="2.69"/>
    <d v="2022-11-01T00:00:00"/>
    <s v="Young"/>
    <n v="0"/>
    <s v="Yes"/>
    <n v="117"/>
    <s v="Low"/>
    <s v="Low"/>
    <n v="7.6923076923076927E-2"/>
    <s v="Medium"/>
    <n v="1"/>
    <d v="2022-11-01T00:00:00"/>
    <s v="7–12 months"/>
    <s v="0–1 tickets"/>
    <s v="0–10 min"/>
    <s v="1000+"/>
    <n v="16500"/>
    <n v="-206.25"/>
  </r>
  <r>
    <n v="11846"/>
    <n v="28"/>
    <s v="Male"/>
    <s v="Mumbai"/>
    <d v="2021-04-20T00:00:00"/>
    <d v="2023-09-04T00:00:00"/>
    <x v="2"/>
    <n v="428"/>
    <x v="32"/>
    <n v="0"/>
    <n v="62.59"/>
    <n v="15"/>
    <x v="2"/>
    <x v="1"/>
    <n v="4215.8"/>
    <b v="1"/>
    <n v="0.83333333333333337"/>
    <n v="421.58000000000004"/>
    <n v="62.59"/>
    <d v="2021-04-01T00:00:00"/>
    <s v="Adult"/>
    <n v="0"/>
    <s v="No"/>
    <n v="867"/>
    <s v="High"/>
    <s v="Low"/>
    <n v="0"/>
    <s v="Low"/>
    <n v="2"/>
    <d v="2021-04-01T00:00:00"/>
    <s v="7–12 months"/>
    <s v="0–1 tickets"/>
    <s v="46+ min"/>
    <s v="301–500"/>
    <n v="4280"/>
    <n v="-64.199999999999818"/>
  </r>
  <r>
    <n v="11847"/>
    <n v="39"/>
    <s v="Female"/>
    <s v="Pune"/>
    <d v="2022-12-16T00:00:00"/>
    <d v="2021-10-24T00:00:00"/>
    <x v="2"/>
    <n v="1458"/>
    <x v="22"/>
    <n v="1"/>
    <n v="30.26"/>
    <n v="0"/>
    <x v="0"/>
    <x v="0"/>
    <n v="49572"/>
    <b v="0"/>
    <n v="2.8333333333333335"/>
    <n v="1458"/>
    <n v="15.13"/>
    <d v="2022-12-01T00:00:00"/>
    <s v="Middle-aged"/>
    <n v="1"/>
    <s v="Yes"/>
    <m/>
    <s v="Medium"/>
    <s v="Low"/>
    <n v="2.8571428571428571E-2"/>
    <s v="High"/>
    <n v="2"/>
    <d v="2022-12-01T00:00:00"/>
    <s v="25+ months"/>
    <s v="0–1 tickets"/>
    <s v="31–45 min"/>
    <s v="1000+"/>
    <n v="49572"/>
    <n v="0"/>
  </r>
  <r>
    <n v="11848"/>
    <n v="41"/>
    <s v="Female"/>
    <s v="Hyderabad"/>
    <d v="2022-10-10T00:00:00"/>
    <d v="2022-04-19T00:00:00"/>
    <x v="0"/>
    <n v="956"/>
    <x v="30"/>
    <n v="2"/>
    <n v="114.25"/>
    <n v="5"/>
    <x v="0"/>
    <x v="1"/>
    <n v="22896.2"/>
    <b v="0"/>
    <n v="2"/>
    <n v="954.00833333333333"/>
    <n v="38.083333333333336"/>
    <d v="2022-10-01T00:00:00"/>
    <s v="Middle-aged"/>
    <n v="0"/>
    <s v="Yes"/>
    <m/>
    <s v="High"/>
    <s v="Low"/>
    <n v="0.08"/>
    <s v="High"/>
    <n v="1"/>
    <d v="2022-10-01T00:00:00"/>
    <s v="13–24 months"/>
    <s v="2–3 tickets"/>
    <s v="46+ min"/>
    <s v="701–1000"/>
    <n v="22944"/>
    <n v="-47.799999999999272"/>
  </r>
  <r>
    <n v="11849"/>
    <n v="58"/>
    <s v="Female"/>
    <s v="Mumbai"/>
    <d v="2021-01-04T00:00:00"/>
    <d v="2021-09-30T00:00:00"/>
    <x v="1"/>
    <n v="1450"/>
    <x v="29"/>
    <n v="3"/>
    <n v="62.59"/>
    <n v="0"/>
    <x v="3"/>
    <x v="1"/>
    <n v="40600"/>
    <b v="1"/>
    <n v="2.3333333333333335"/>
    <n v="1450"/>
    <n v="15.647500000000001"/>
    <d v="2021-01-01T00:00:00"/>
    <s v="Older"/>
    <n v="0"/>
    <s v="Yes"/>
    <n v="269"/>
    <s v="High"/>
    <s v="Low"/>
    <n v="0.10344827586206896"/>
    <s v="High"/>
    <n v="3"/>
    <d v="2021-01-01T00:00:00"/>
    <s v="25+ months"/>
    <s v="2–3 tickets"/>
    <s v="46+ min"/>
    <s v="1000+"/>
    <n v="40600"/>
    <n v="0"/>
  </r>
  <r>
    <n v="11850"/>
    <n v="34"/>
    <s v="Male"/>
    <s v="Delhi"/>
    <d v="2022-10-29T00:00:00"/>
    <d v="2022-02-07T00:00:00"/>
    <x v="0"/>
    <n v="1037"/>
    <x v="1"/>
    <n v="1"/>
    <n v="9.25"/>
    <n v="0"/>
    <x v="1"/>
    <x v="1"/>
    <n v="22814"/>
    <b v="0"/>
    <n v="1.8333333333333333"/>
    <n v="1037"/>
    <n v="4.625"/>
    <d v="2022-10-01T00:00:00"/>
    <s v="Adult"/>
    <n v="0"/>
    <s v="Yes"/>
    <m/>
    <s v="Low"/>
    <s v="Low"/>
    <n v="4.3478260869565216E-2"/>
    <s v="High"/>
    <n v="1"/>
    <d v="2022-10-01T00:00:00"/>
    <s v="13–24 months"/>
    <s v="0–1 tickets"/>
    <s v="0–10 min"/>
    <s v="1000+"/>
    <n v="22814"/>
    <n v="0"/>
  </r>
  <r>
    <n v="11851"/>
    <n v="29"/>
    <s v="Male"/>
    <s v="Pune"/>
    <d v="2022-11-15T00:00:00"/>
    <d v="2023-10-03T00:00:00"/>
    <x v="2"/>
    <n v="1238"/>
    <x v="24"/>
    <n v="4"/>
    <n v="66.459999999999994"/>
    <n v="10"/>
    <x v="1"/>
    <x v="1"/>
    <n v="19684.2"/>
    <b v="1"/>
    <n v="1.3333333333333333"/>
    <n v="1230.2625"/>
    <n v="13.291999999999998"/>
    <d v="2022-11-01T00:00:00"/>
    <s v="Adult"/>
    <n v="0"/>
    <s v="Yes"/>
    <n v="322"/>
    <s v="High"/>
    <s v="Low"/>
    <n v="0.23529411764705882"/>
    <s v="High"/>
    <n v="2"/>
    <d v="2022-11-01T00:00:00"/>
    <s v="13–24 months"/>
    <s v="4–5 tickets"/>
    <s v="46+ min"/>
    <s v="1000+"/>
    <n v="19808"/>
    <n v="-123.79999999999927"/>
  </r>
  <r>
    <n v="11852"/>
    <n v="63"/>
    <s v="Female"/>
    <s v="Mumbai"/>
    <d v="2023-05-20T00:00:00"/>
    <d v="2023-11-16T00:00:00"/>
    <x v="2"/>
    <n v="370"/>
    <x v="19"/>
    <n v="3"/>
    <n v="65.78"/>
    <n v="10"/>
    <x v="2"/>
    <x v="1"/>
    <n v="4773"/>
    <b v="1"/>
    <n v="1.0833333333333333"/>
    <n v="367.15384615384613"/>
    <n v="16.445"/>
    <d v="2023-05-01T00:00:00"/>
    <s v="Older"/>
    <n v="0"/>
    <s v="No"/>
    <n v="180"/>
    <s v="High"/>
    <s v="Low"/>
    <n v="0.21428571428571427"/>
    <s v="Low"/>
    <n v="2"/>
    <d v="2023-05-01T00:00:00"/>
    <s v="13–24 months"/>
    <s v="2–3 tickets"/>
    <s v="46+ min"/>
    <s v="301–500"/>
    <n v="4810"/>
    <n v="-37"/>
  </r>
  <r>
    <n v="11853"/>
    <n v="49"/>
    <s v="Male"/>
    <s v="Chennai"/>
    <d v="2021-02-16T00:00:00"/>
    <d v="2022-04-07T00:00:00"/>
    <x v="1"/>
    <n v="572"/>
    <x v="31"/>
    <n v="2"/>
    <n v="102.07"/>
    <n v="10"/>
    <x v="1"/>
    <x v="0"/>
    <n v="13098.8"/>
    <b v="1"/>
    <n v="1.9166666666666667"/>
    <n v="569.51304347826078"/>
    <n v="34.023333333333333"/>
    <d v="2021-02-01T00:00:00"/>
    <s v="Middle-aged"/>
    <n v="1"/>
    <s v="No"/>
    <n v="415"/>
    <s v="High"/>
    <s v="Low"/>
    <n v="8.3333333333333329E-2"/>
    <s v="Medium"/>
    <n v="3"/>
    <d v="2021-02-01T00:00:00"/>
    <s v="13–24 months"/>
    <s v="2–3 tickets"/>
    <s v="46+ min"/>
    <s v="501–700"/>
    <n v="13156"/>
    <n v="-57.200000000000728"/>
  </r>
  <r>
    <n v="11854"/>
    <n v="32"/>
    <s v="Male"/>
    <s v="Pune"/>
    <d v="2021-04-04T00:00:00"/>
    <d v="2023-01-22T00:00:00"/>
    <x v="0"/>
    <n v="1326"/>
    <x v="25"/>
    <n v="1"/>
    <n v="114.12"/>
    <n v="20"/>
    <x v="2"/>
    <x v="1"/>
    <n v="18298.8"/>
    <b v="1"/>
    <n v="1.1666666666666667"/>
    <n v="1307.0571428571427"/>
    <n v="57.06"/>
    <d v="2021-04-01T00:00:00"/>
    <s v="Adult"/>
    <n v="0"/>
    <s v="Yes"/>
    <n v="658"/>
    <s v="High"/>
    <s v="Medium"/>
    <n v="6.6666666666666666E-2"/>
    <s v="Medium"/>
    <n v="1"/>
    <d v="2021-04-01T00:00:00"/>
    <s v="13–24 months"/>
    <s v="0–1 tickets"/>
    <s v="46+ min"/>
    <s v="1000+"/>
    <n v="18564"/>
    <n v="-265.20000000000073"/>
  </r>
  <r>
    <n v="11855"/>
    <n v="33"/>
    <s v="Male"/>
    <s v="Pune"/>
    <d v="2022-07-14T00:00:00"/>
    <d v="2022-09-18T00:00:00"/>
    <x v="2"/>
    <n v="321"/>
    <x v="23"/>
    <n v="3"/>
    <n v="66.930000000000007"/>
    <n v="10"/>
    <x v="2"/>
    <x v="1"/>
    <n v="10239.9"/>
    <b v="1"/>
    <n v="2.6666666666666665"/>
    <n v="319.99687499999999"/>
    <n v="16.732500000000002"/>
    <d v="2022-07-01T00:00:00"/>
    <s v="Adult"/>
    <n v="0"/>
    <s v="No"/>
    <n v="66"/>
    <s v="High"/>
    <s v="Low"/>
    <n v="9.0909090909090912E-2"/>
    <s v="Medium"/>
    <n v="2"/>
    <d v="2022-07-01T00:00:00"/>
    <s v="25+ months"/>
    <s v="2–3 tickets"/>
    <s v="46+ min"/>
    <s v="301–500"/>
    <n v="10272"/>
    <n v="-32.100000000000364"/>
  </r>
  <r>
    <n v="11856"/>
    <n v="39"/>
    <s v="Male"/>
    <s v="Mumbai"/>
    <d v="2023-01-22T00:00:00"/>
    <d v="2022-12-22T00:00:00"/>
    <x v="0"/>
    <n v="465"/>
    <x v="13"/>
    <n v="3"/>
    <n v="111.95"/>
    <n v="10"/>
    <x v="2"/>
    <x v="0"/>
    <n v="1348.5"/>
    <b v="0"/>
    <n v="0.25"/>
    <n v="449.5"/>
    <n v="27.987500000000001"/>
    <d v="2023-01-01T00:00:00"/>
    <s v="Middle-aged"/>
    <n v="1"/>
    <s v="No"/>
    <m/>
    <s v="High"/>
    <s v="Low"/>
    <n v="0.75"/>
    <s v="Low"/>
    <n v="1"/>
    <d v="2023-01-01T00:00:00"/>
    <s v="0–6 months"/>
    <s v="2–3 tickets"/>
    <s v="46+ min"/>
    <s v="301–500"/>
    <n v="1395"/>
    <n v="-46.5"/>
  </r>
  <r>
    <n v="11857"/>
    <n v="41"/>
    <s v="Female"/>
    <s v="Hyderabad"/>
    <d v="2023-05-09T00:00:00"/>
    <d v="2022-10-05T00:00:00"/>
    <x v="0"/>
    <n v="1174"/>
    <x v="26"/>
    <n v="2"/>
    <n v="88.39"/>
    <n v="5"/>
    <x v="3"/>
    <x v="1"/>
    <n v="31639.3"/>
    <b v="0"/>
    <n v="2.25"/>
    <n v="1171.825925925926"/>
    <n v="29.463333333333335"/>
    <d v="2023-05-01T00:00:00"/>
    <s v="Middle-aged"/>
    <n v="0"/>
    <s v="Yes"/>
    <m/>
    <s v="High"/>
    <s v="Low"/>
    <n v="7.1428571428571425E-2"/>
    <s v="High"/>
    <n v="1"/>
    <d v="2023-05-01T00:00:00"/>
    <s v="25+ months"/>
    <s v="2–3 tickets"/>
    <s v="46+ min"/>
    <s v="1000+"/>
    <n v="31698"/>
    <n v="-58.700000000000728"/>
  </r>
  <r>
    <n v="11858"/>
    <n v="37"/>
    <s v="Male"/>
    <s v="Mumbai"/>
    <d v="2021-08-01T00:00:00"/>
    <d v="2022-12-27T00:00:00"/>
    <x v="0"/>
    <n v="797"/>
    <x v="17"/>
    <n v="1"/>
    <n v="35.42"/>
    <n v="15"/>
    <x v="0"/>
    <x v="0"/>
    <n v="15023.45"/>
    <b v="1"/>
    <n v="1.5833333333333333"/>
    <n v="790.70789473684215"/>
    <n v="17.71"/>
    <d v="2021-08-01T00:00:00"/>
    <s v="Middle-aged"/>
    <n v="1"/>
    <s v="Yes"/>
    <n v="513"/>
    <s v="Medium"/>
    <s v="Low"/>
    <n v="0.05"/>
    <s v="Medium"/>
    <n v="1"/>
    <d v="2021-08-01T00:00:00"/>
    <s v="13–24 months"/>
    <s v="0–1 tickets"/>
    <s v="31–45 min"/>
    <s v="701–1000"/>
    <n v="15143"/>
    <n v="-119.54999999999927"/>
  </r>
  <r>
    <n v="11859"/>
    <n v="50"/>
    <s v="Other"/>
    <s v="Delhi"/>
    <d v="2022-03-12T00:00:00"/>
    <d v="2022-05-13T00:00:00"/>
    <x v="2"/>
    <n v="733"/>
    <x v="1"/>
    <n v="2"/>
    <n v="111.77"/>
    <n v="15"/>
    <x v="1"/>
    <x v="0"/>
    <n v="16016.05"/>
    <b v="1"/>
    <n v="1.8333333333333333"/>
    <n v="728.00227272727273"/>
    <n v="37.256666666666668"/>
    <d v="2022-03-01T00:00:00"/>
    <s v="Middle-aged"/>
    <n v="1"/>
    <s v="Yes"/>
    <n v="62"/>
    <s v="High"/>
    <s v="Low"/>
    <n v="8.6956521739130432E-2"/>
    <s v="Medium"/>
    <n v="2"/>
    <d v="2022-03-01T00:00:00"/>
    <s v="13–24 months"/>
    <s v="2–3 tickets"/>
    <s v="46+ min"/>
    <s v="701–1000"/>
    <n v="16126"/>
    <n v="-109.95000000000073"/>
  </r>
  <r>
    <n v="11860"/>
    <n v="27"/>
    <s v="Male"/>
    <s v="Delhi"/>
    <d v="2023-05-02T00:00:00"/>
    <d v="2023-08-29T00:00:00"/>
    <x v="2"/>
    <n v="1057"/>
    <x v="7"/>
    <n v="2"/>
    <n v="81.760000000000005"/>
    <n v="15"/>
    <x v="3"/>
    <x v="1"/>
    <n v="898.45"/>
    <b v="1"/>
    <n v="8.3333333333333329E-2"/>
    <n v="898.45"/>
    <n v="27.253333333333334"/>
    <d v="2023-05-01T00:00:00"/>
    <s v="Adult"/>
    <n v="0"/>
    <s v="No"/>
    <n v="119"/>
    <s v="High"/>
    <s v="Low"/>
    <n v="1"/>
    <s v="Low"/>
    <n v="2"/>
    <d v="2023-05-01T00:00:00"/>
    <s v="0–6 months"/>
    <s v="2–3 tickets"/>
    <s v="46+ min"/>
    <s v="1000+"/>
    <n v="1057"/>
    <n v="-158.54999999999995"/>
  </r>
  <r>
    <n v="11861"/>
    <n v="57"/>
    <s v="Female"/>
    <s v="Pune"/>
    <d v="2022-05-23T00:00:00"/>
    <d v="2022-09-30T00:00:00"/>
    <x v="0"/>
    <n v="533"/>
    <x v="21"/>
    <n v="4"/>
    <n v="52.62"/>
    <n v="20"/>
    <x v="1"/>
    <x v="1"/>
    <n v="2558.4"/>
    <b v="1"/>
    <n v="0.41666666666666669"/>
    <n v="511.68"/>
    <n v="10.523999999999999"/>
    <d v="2022-05-01T00:00:00"/>
    <s v="Older"/>
    <n v="0"/>
    <s v="No"/>
    <n v="130"/>
    <s v="Medium"/>
    <s v="Medium"/>
    <n v="0.66666666666666663"/>
    <s v="Low"/>
    <n v="1"/>
    <d v="2022-05-01T00:00:00"/>
    <s v="0–6 months"/>
    <s v="4–5 tickets"/>
    <s v="46+ min"/>
    <s v="501–700"/>
    <n v="2665"/>
    <n v="-106.59999999999991"/>
  </r>
  <r>
    <n v="11862"/>
    <n v="49"/>
    <s v="Male"/>
    <s v="Pune"/>
    <d v="2023-04-16T00:00:00"/>
    <d v="2022-09-16T00:00:00"/>
    <x v="2"/>
    <n v="1136"/>
    <x v="33"/>
    <n v="1"/>
    <n v="83.23"/>
    <n v="0"/>
    <x v="3"/>
    <x v="1"/>
    <n v="37488"/>
    <b v="0"/>
    <n v="2.75"/>
    <n v="1136"/>
    <n v="41.615000000000002"/>
    <d v="2023-04-01T00:00:00"/>
    <s v="Middle-aged"/>
    <n v="0"/>
    <s v="Yes"/>
    <m/>
    <s v="High"/>
    <s v="Low"/>
    <n v="2.9411764705882353E-2"/>
    <s v="High"/>
    <n v="2"/>
    <d v="2023-04-01T00:00:00"/>
    <s v="25+ months"/>
    <s v="0–1 tickets"/>
    <s v="46+ min"/>
    <s v="1000+"/>
    <n v="37488"/>
    <n v="0"/>
  </r>
  <r>
    <n v="11863"/>
    <n v="50"/>
    <s v="Male"/>
    <s v="Mumbai"/>
    <d v="2022-10-13T00:00:00"/>
    <d v="2022-06-17T00:00:00"/>
    <x v="2"/>
    <n v="962"/>
    <x v="17"/>
    <n v="0"/>
    <n v="51.15"/>
    <n v="10"/>
    <x v="1"/>
    <x v="1"/>
    <n v="18181.8"/>
    <b v="0"/>
    <n v="1.5833333333333333"/>
    <n v="956.93684210526317"/>
    <n v="51.15"/>
    <d v="2022-10-01T00:00:00"/>
    <s v="Middle-aged"/>
    <n v="0"/>
    <s v="Yes"/>
    <m/>
    <s v="Medium"/>
    <s v="Low"/>
    <n v="0"/>
    <s v="Medium"/>
    <n v="2"/>
    <d v="2022-10-01T00:00:00"/>
    <s v="13–24 months"/>
    <s v="0–1 tickets"/>
    <s v="46+ min"/>
    <s v="701–1000"/>
    <n v="18278"/>
    <n v="-96.200000000000728"/>
  </r>
  <r>
    <n v="11864"/>
    <n v="19"/>
    <s v="Male"/>
    <s v="Delhi"/>
    <d v="2021-07-24T00:00:00"/>
    <d v="2022-03-07T00:00:00"/>
    <x v="2"/>
    <n v="1024"/>
    <x v="20"/>
    <n v="7"/>
    <n v="18.13"/>
    <n v="5"/>
    <x v="1"/>
    <x v="1"/>
    <n v="6092.8"/>
    <b v="1"/>
    <n v="0.5"/>
    <n v="1015.4666666666667"/>
    <n v="2.2662499999999999"/>
    <d v="2021-07-01T00:00:00"/>
    <s v="Young"/>
    <n v="0"/>
    <s v="No"/>
    <n v="226"/>
    <s v="Low"/>
    <s v="Low"/>
    <n v="1"/>
    <s v="Low"/>
    <n v="2"/>
    <d v="2021-07-01T00:00:00"/>
    <s v="0–6 months"/>
    <s v="6+ tickets"/>
    <s v="11–20 min"/>
    <s v="1000+"/>
    <n v="6144"/>
    <n v="-51.199999999999818"/>
  </r>
  <r>
    <n v="11865"/>
    <n v="50"/>
    <s v="Male"/>
    <s v="Delhi"/>
    <d v="2022-01-16T00:00:00"/>
    <d v="2021-08-11T00:00:00"/>
    <x v="1"/>
    <n v="675"/>
    <x v="15"/>
    <n v="1"/>
    <n v="87.68"/>
    <n v="20"/>
    <x v="0"/>
    <x v="1"/>
    <n v="9990"/>
    <b v="0"/>
    <n v="1.25"/>
    <n v="666"/>
    <n v="43.84"/>
    <d v="2022-01-01T00:00:00"/>
    <s v="Middle-aged"/>
    <n v="0"/>
    <s v="No"/>
    <m/>
    <s v="High"/>
    <s v="Medium"/>
    <n v="6.25E-2"/>
    <s v="Medium"/>
    <n v="3"/>
    <d v="2022-01-01T00:00:00"/>
    <s v="13–24 months"/>
    <s v="0–1 tickets"/>
    <s v="46+ min"/>
    <s v="501–700"/>
    <n v="10125"/>
    <n v="-135"/>
  </r>
  <r>
    <n v="11866"/>
    <n v="41"/>
    <s v="Female"/>
    <s v="Hyderabad"/>
    <d v="2021-03-14T00:00:00"/>
    <d v="2022-11-03T00:00:00"/>
    <x v="0"/>
    <n v="1029"/>
    <x v="33"/>
    <n v="2"/>
    <n v="99.77"/>
    <n v="15"/>
    <x v="1"/>
    <x v="0"/>
    <n v="33802.65"/>
    <b v="1"/>
    <n v="2.75"/>
    <n v="1024.3227272727272"/>
    <n v="33.256666666666668"/>
    <d v="2021-03-01T00:00:00"/>
    <s v="Middle-aged"/>
    <n v="1"/>
    <s v="Yes"/>
    <n v="599"/>
    <s v="High"/>
    <s v="Low"/>
    <n v="5.8823529411764705E-2"/>
    <s v="High"/>
    <n v="1"/>
    <d v="2021-03-01T00:00:00"/>
    <s v="25+ months"/>
    <s v="2–3 tickets"/>
    <s v="46+ min"/>
    <s v="1000+"/>
    <n v="33957"/>
    <n v="-154.34999999999854"/>
  </r>
  <r>
    <n v="11867"/>
    <n v="58"/>
    <s v="Other"/>
    <s v="Chennai"/>
    <d v="2022-05-31T00:00:00"/>
    <d v="2022-06-01T00:00:00"/>
    <x v="1"/>
    <n v="602"/>
    <x v="30"/>
    <n v="1"/>
    <n v="88.81"/>
    <n v="10"/>
    <x v="3"/>
    <x v="1"/>
    <n v="14327.6"/>
    <b v="1"/>
    <n v="2"/>
    <n v="596.98333333333335"/>
    <n v="44.405000000000001"/>
    <d v="2022-05-01T00:00:00"/>
    <s v="Older"/>
    <n v="0"/>
    <s v="Yes"/>
    <n v="1"/>
    <s v="High"/>
    <s v="Low"/>
    <n v="0.04"/>
    <s v="Medium"/>
    <n v="3"/>
    <d v="2022-05-01T00:00:00"/>
    <s v="13–24 months"/>
    <s v="0–1 tickets"/>
    <s v="46+ min"/>
    <s v="501–700"/>
    <n v="14448"/>
    <n v="-120.39999999999964"/>
  </r>
  <r>
    <n v="11868"/>
    <n v="30"/>
    <s v="Female"/>
    <s v="Hyderabad"/>
    <d v="2021-03-17T00:00:00"/>
    <d v="2021-09-02T00:00:00"/>
    <x v="1"/>
    <n v="704"/>
    <x v="26"/>
    <n v="7"/>
    <n v="31.35"/>
    <n v="5"/>
    <x v="1"/>
    <x v="1"/>
    <n v="18972.8"/>
    <b v="1"/>
    <n v="2.25"/>
    <n v="702.69629629629628"/>
    <n v="3.9187500000000002"/>
    <d v="2021-03-01T00:00:00"/>
    <s v="Adult"/>
    <n v="0"/>
    <s v="Yes"/>
    <n v="169"/>
    <s v="Medium"/>
    <s v="Low"/>
    <n v="0.25"/>
    <s v="Medium"/>
    <n v="3"/>
    <d v="2021-03-01T00:00:00"/>
    <s v="25+ months"/>
    <s v="6+ tickets"/>
    <s v="31–45 min"/>
    <s v="701–1000"/>
    <n v="19008"/>
    <n v="-35.200000000000728"/>
  </r>
  <r>
    <n v="11869"/>
    <n v="47"/>
    <s v="Male"/>
    <s v="Bangalore"/>
    <d v="2023-04-21T00:00:00"/>
    <d v="2022-06-08T00:00:00"/>
    <x v="0"/>
    <n v="1007"/>
    <x v="11"/>
    <n v="1"/>
    <n v="115.01"/>
    <n v="20"/>
    <x v="0"/>
    <x v="1"/>
    <n v="10875.6"/>
    <b v="0"/>
    <n v="0.91666666666666663"/>
    <n v="988.69090909090914"/>
    <n v="57.505000000000003"/>
    <d v="2023-04-01T00:00:00"/>
    <s v="Middle-aged"/>
    <n v="0"/>
    <s v="No"/>
    <m/>
    <s v="High"/>
    <s v="Medium"/>
    <n v="8.3333333333333329E-2"/>
    <s v="Medium"/>
    <n v="1"/>
    <d v="2023-04-01T00:00:00"/>
    <s v="7–12 months"/>
    <s v="0–1 tickets"/>
    <s v="46+ min"/>
    <s v="1000+"/>
    <n v="11077"/>
    <n v="-201.39999999999964"/>
  </r>
  <r>
    <n v="11870"/>
    <n v="50"/>
    <s v="Male"/>
    <s v="Hyderabad"/>
    <d v="2021-03-18T00:00:00"/>
    <d v="2022-05-05T00:00:00"/>
    <x v="0"/>
    <n v="1216"/>
    <x v="31"/>
    <n v="4"/>
    <n v="7.9"/>
    <n v="15"/>
    <x v="1"/>
    <x v="0"/>
    <n v="27785.599999999999"/>
    <b v="1"/>
    <n v="1.9166666666666667"/>
    <n v="1208.0695652173913"/>
    <n v="1.58"/>
    <d v="2021-03-01T00:00:00"/>
    <s v="Middle-aged"/>
    <n v="1"/>
    <s v="Yes"/>
    <n v="413"/>
    <s v="Low"/>
    <s v="Low"/>
    <n v="0.16666666666666666"/>
    <s v="High"/>
    <n v="1"/>
    <d v="2021-03-01T00:00:00"/>
    <s v="13–24 months"/>
    <s v="4–5 tickets"/>
    <s v="0–10 min"/>
    <s v="1000+"/>
    <n v="27968"/>
    <n v="-182.40000000000146"/>
  </r>
  <r>
    <n v="11871"/>
    <n v="30"/>
    <s v="Male"/>
    <s v="unknown"/>
    <d v="2023-03-27T00:00:00"/>
    <d v="2022-08-11T00:00:00"/>
    <x v="0"/>
    <n v="320"/>
    <x v="33"/>
    <n v="0"/>
    <n v="43.26"/>
    <n v="10"/>
    <x v="3"/>
    <x v="1"/>
    <n v="10560"/>
    <b v="0"/>
    <n v="2.75"/>
    <n v="320"/>
    <n v="43.26"/>
    <d v="2023-03-01T00:00:00"/>
    <s v="Adult"/>
    <n v="0"/>
    <s v="No"/>
    <m/>
    <s v="Medium"/>
    <s v="Low"/>
    <n v="0"/>
    <s v="Medium"/>
    <n v="1"/>
    <d v="2023-03-01T00:00:00"/>
    <s v="25+ months"/>
    <s v="0–1 tickets"/>
    <s v="31–45 min"/>
    <s v="301–500"/>
    <n v="10560"/>
    <n v="0"/>
  </r>
  <r>
    <n v="11872"/>
    <n v="43"/>
    <s v="Female"/>
    <s v="Chennai"/>
    <d v="2023-02-07T00:00:00"/>
    <d v="2022-05-02T00:00:00"/>
    <x v="0"/>
    <n v="556"/>
    <x v="5"/>
    <n v="1"/>
    <n v="34.909999999999997"/>
    <n v="15"/>
    <x v="1"/>
    <x v="0"/>
    <n v="16040.6"/>
    <b v="0"/>
    <n v="2.4166666666666665"/>
    <n v="553.12413793103451"/>
    <n v="17.454999999999998"/>
    <d v="2023-02-01T00:00:00"/>
    <s v="Middle-aged"/>
    <n v="1"/>
    <s v="Yes"/>
    <m/>
    <s v="Medium"/>
    <s v="Low"/>
    <n v="3.3333333333333333E-2"/>
    <s v="Medium"/>
    <n v="1"/>
    <d v="2023-02-01T00:00:00"/>
    <s v="25+ months"/>
    <s v="0–1 tickets"/>
    <s v="31–45 min"/>
    <s v="501–700"/>
    <n v="16124"/>
    <n v="-83.399999999999636"/>
  </r>
  <r>
    <n v="11873"/>
    <n v="39"/>
    <s v="Female"/>
    <s v="Mumbai"/>
    <d v="2022-02-14T00:00:00"/>
    <d v="2023-03-26T00:00:00"/>
    <x v="2"/>
    <n v="698"/>
    <x v="27"/>
    <n v="3"/>
    <n v="10.53"/>
    <n v="15"/>
    <x v="0"/>
    <x v="1"/>
    <n v="21533.3"/>
    <b v="1"/>
    <n v="2.5833333333333335"/>
    <n v="694.62258064516129"/>
    <n v="2.6324999999999998"/>
    <d v="2022-02-01T00:00:00"/>
    <s v="Middle-aged"/>
    <n v="0"/>
    <s v="Yes"/>
    <n v="405"/>
    <s v="Low"/>
    <s v="Low"/>
    <n v="9.375E-2"/>
    <s v="High"/>
    <n v="2"/>
    <d v="2022-02-01T00:00:00"/>
    <s v="25+ months"/>
    <s v="2–3 tickets"/>
    <s v="11–20 min"/>
    <s v="501–700"/>
    <n v="21638"/>
    <n v="-104.70000000000073"/>
  </r>
  <r>
    <n v="11874"/>
    <n v="56"/>
    <s v="Female"/>
    <s v="Bangalore"/>
    <d v="2022-09-06T00:00:00"/>
    <d v="2022-10-05T00:00:00"/>
    <x v="2"/>
    <n v="350"/>
    <x v="7"/>
    <n v="5"/>
    <n v="62.59"/>
    <n v="15"/>
    <x v="0"/>
    <x v="1"/>
    <n v="297.5"/>
    <b v="1"/>
    <n v="8.3333333333333329E-2"/>
    <n v="297.5"/>
    <n v="10.431666666666667"/>
    <d v="2022-09-01T00:00:00"/>
    <s v="Older"/>
    <n v="0"/>
    <s v="No"/>
    <n v="29"/>
    <s v="High"/>
    <s v="Low"/>
    <n v="2.5"/>
    <s v="Low"/>
    <n v="2"/>
    <d v="2022-09-01T00:00:00"/>
    <s v="0–6 months"/>
    <s v="4–5 tickets"/>
    <s v="46+ min"/>
    <s v="301–500"/>
    <n v="350"/>
    <n v="-52.5"/>
  </r>
  <r>
    <n v="11875"/>
    <n v="19"/>
    <s v="Male"/>
    <s v="Chennai"/>
    <d v="2021-04-16T00:00:00"/>
    <d v="2023-10-16T00:00:00"/>
    <x v="2"/>
    <n v="746"/>
    <x v="22"/>
    <n v="3"/>
    <n v="76.66"/>
    <n v="20"/>
    <x v="0"/>
    <x v="0"/>
    <n v="25214.799999999999"/>
    <b v="1"/>
    <n v="2.8333333333333335"/>
    <n v="741.61176470588236"/>
    <n v="19.164999999999999"/>
    <d v="2021-04-01T00:00:00"/>
    <s v="Young"/>
    <n v="1"/>
    <s v="Yes"/>
    <n v="913"/>
    <s v="High"/>
    <s v="Medium"/>
    <n v="8.5714285714285715E-2"/>
    <s v="High"/>
    <n v="2"/>
    <d v="2021-04-01T00:00:00"/>
    <s v="25+ months"/>
    <s v="2–3 tickets"/>
    <s v="46+ min"/>
    <s v="701–1000"/>
    <n v="25364"/>
    <n v="-149.20000000000073"/>
  </r>
  <r>
    <n v="11876"/>
    <n v="55"/>
    <s v="Female"/>
    <s v="Pune"/>
    <d v="2023-04-25T00:00:00"/>
    <d v="2021-07-10T00:00:00"/>
    <x v="2"/>
    <n v="1126"/>
    <x v="10"/>
    <n v="1"/>
    <n v="106.49"/>
    <n v="5"/>
    <x v="0"/>
    <x v="1"/>
    <n v="20211.7"/>
    <b v="0"/>
    <n v="1.5"/>
    <n v="1122.8722222222223"/>
    <n v="53.244999999999997"/>
    <d v="2023-04-01T00:00:00"/>
    <s v="Older"/>
    <n v="0"/>
    <s v="Yes"/>
    <m/>
    <s v="High"/>
    <s v="Low"/>
    <n v="5.2631578947368418E-2"/>
    <s v="High"/>
    <n v="2"/>
    <d v="2023-04-01T00:00:00"/>
    <s v="13–24 months"/>
    <s v="0–1 tickets"/>
    <s v="46+ min"/>
    <s v="1000+"/>
    <n v="20268"/>
    <n v="-56.299999999999272"/>
  </r>
  <r>
    <n v="11877"/>
    <n v="56"/>
    <s v="Male"/>
    <s v="Delhi"/>
    <d v="2022-07-05T00:00:00"/>
    <d v="2022-05-25T00:00:00"/>
    <x v="0"/>
    <n v="894"/>
    <x v="10"/>
    <n v="1"/>
    <n v="118.81"/>
    <n v="15"/>
    <x v="2"/>
    <x v="1"/>
    <n v="15957.9"/>
    <b v="0"/>
    <n v="1.5"/>
    <n v="886.55"/>
    <n v="59.405000000000001"/>
    <d v="2022-07-01T00:00:00"/>
    <s v="Older"/>
    <n v="0"/>
    <s v="Yes"/>
    <m/>
    <s v="High"/>
    <s v="Low"/>
    <n v="5.2631578947368418E-2"/>
    <s v="Medium"/>
    <n v="1"/>
    <d v="2022-07-01T00:00:00"/>
    <s v="13–24 months"/>
    <s v="0–1 tickets"/>
    <s v="46+ min"/>
    <s v="701–1000"/>
    <n v="16092"/>
    <n v="-134.10000000000036"/>
  </r>
  <r>
    <n v="11878"/>
    <n v="43"/>
    <s v="Female"/>
    <s v="unknown"/>
    <d v="2022-04-21T00:00:00"/>
    <d v="2022-12-26T00:00:00"/>
    <x v="1"/>
    <n v="1117"/>
    <x v="20"/>
    <n v="3"/>
    <n v="62.59"/>
    <n v="20"/>
    <x v="0"/>
    <x v="1"/>
    <n v="6478.6"/>
    <b v="1"/>
    <n v="0.5"/>
    <n v="1079.7666666666667"/>
    <n v="15.647500000000001"/>
    <d v="2022-04-01T00:00:00"/>
    <s v="Middle-aged"/>
    <n v="0"/>
    <s v="No"/>
    <n v="249"/>
    <s v="High"/>
    <s v="Medium"/>
    <n v="0.42857142857142855"/>
    <s v="Low"/>
    <n v="3"/>
    <d v="2022-04-01T00:00:00"/>
    <s v="0–6 months"/>
    <s v="2–3 tickets"/>
    <s v="46+ min"/>
    <s v="1000+"/>
    <n v="6702"/>
    <n v="-223.39999999999964"/>
  </r>
  <r>
    <n v="11879"/>
    <n v="63"/>
    <s v="Female"/>
    <s v="Mumbai"/>
    <d v="2023-04-06T00:00:00"/>
    <d v="2022-02-09T00:00:00"/>
    <x v="0"/>
    <n v="935"/>
    <x v="7"/>
    <n v="1"/>
    <n v="58.9"/>
    <n v="5"/>
    <x v="1"/>
    <x v="1"/>
    <n v="888.25"/>
    <b v="0"/>
    <n v="8.3333333333333329E-2"/>
    <n v="888.25"/>
    <n v="29.45"/>
    <d v="2023-04-01T00:00:00"/>
    <s v="Older"/>
    <n v="0"/>
    <s v="No"/>
    <m/>
    <s v="Medium"/>
    <s v="Low"/>
    <n v="0.5"/>
    <s v="Low"/>
    <n v="1"/>
    <d v="2023-04-01T00:00:00"/>
    <s v="0–6 months"/>
    <s v="0–1 tickets"/>
    <s v="46+ min"/>
    <s v="701–1000"/>
    <n v="935"/>
    <n v="-46.75"/>
  </r>
  <r>
    <n v="11880"/>
    <n v="32"/>
    <s v="Female"/>
    <s v="unknown"/>
    <d v="2021-10-02T00:00:00"/>
    <d v="2023-01-02T00:00:00"/>
    <x v="1"/>
    <n v="1372"/>
    <x v="3"/>
    <n v="3"/>
    <n v="88.23"/>
    <n v="0"/>
    <x v="1"/>
    <x v="1"/>
    <n v="41160"/>
    <b v="1"/>
    <n v="2.5"/>
    <n v="1372"/>
    <n v="22.057500000000001"/>
    <d v="2021-10-01T00:00:00"/>
    <s v="Adult"/>
    <n v="0"/>
    <s v="Yes"/>
    <n v="457"/>
    <s v="High"/>
    <s v="Low"/>
    <n v="9.6774193548387094E-2"/>
    <s v="High"/>
    <n v="3"/>
    <d v="2021-10-01T00:00:00"/>
    <s v="25+ months"/>
    <s v="2–3 tickets"/>
    <s v="46+ min"/>
    <s v="1000+"/>
    <n v="41160"/>
    <n v="0"/>
  </r>
  <r>
    <n v="11881"/>
    <n v="51"/>
    <s v="Female"/>
    <s v="Delhi"/>
    <d v="2021-03-29T00:00:00"/>
    <d v="2022-07-03T00:00:00"/>
    <x v="0"/>
    <n v="1441"/>
    <x v="2"/>
    <n v="2"/>
    <n v="102.02"/>
    <n v="15"/>
    <x v="1"/>
    <x v="1"/>
    <n v="5547.85"/>
    <b v="1"/>
    <n v="0.33333333333333331"/>
    <n v="1386.9625000000001"/>
    <n v="34.006666666666668"/>
    <d v="2021-03-01T00:00:00"/>
    <s v="Older"/>
    <n v="0"/>
    <s v="No"/>
    <n v="461"/>
    <s v="High"/>
    <s v="Low"/>
    <n v="0.4"/>
    <s v="Low"/>
    <n v="1"/>
    <d v="2021-03-01T00:00:00"/>
    <s v="0–6 months"/>
    <s v="2–3 tickets"/>
    <s v="46+ min"/>
    <s v="1000+"/>
    <n v="5764"/>
    <n v="-216.14999999999964"/>
  </r>
  <r>
    <n v="11882"/>
    <n v="59"/>
    <s v="Male"/>
    <s v="Hyderabad"/>
    <d v="2022-12-24T00:00:00"/>
    <d v="2023-06-27T00:00:00"/>
    <x v="1"/>
    <n v="1074"/>
    <x v="23"/>
    <n v="0"/>
    <n v="58.51"/>
    <n v="10"/>
    <x v="1"/>
    <x v="1"/>
    <n v="34260.6"/>
    <b v="1"/>
    <n v="2.6666666666666665"/>
    <n v="1070.64375"/>
    <n v="58.51"/>
    <d v="2022-12-01T00:00:00"/>
    <s v="Older"/>
    <n v="0"/>
    <s v="Yes"/>
    <n v="185"/>
    <s v="Medium"/>
    <s v="Low"/>
    <n v="0"/>
    <s v="High"/>
    <n v="3"/>
    <d v="2022-12-01T00:00:00"/>
    <s v="25+ months"/>
    <s v="0–1 tickets"/>
    <s v="46+ min"/>
    <s v="1000+"/>
    <n v="34368"/>
    <n v="-107.40000000000146"/>
  </r>
  <r>
    <n v="11883"/>
    <n v="61"/>
    <s v="Female"/>
    <s v="Delhi"/>
    <d v="2023-05-31T00:00:00"/>
    <d v="2023-10-25T00:00:00"/>
    <x v="0"/>
    <n v="1272"/>
    <x v="32"/>
    <n v="0"/>
    <n v="95.28"/>
    <n v="20"/>
    <x v="2"/>
    <x v="1"/>
    <n v="12465.6"/>
    <b v="1"/>
    <n v="0.83333333333333337"/>
    <n v="1246.56"/>
    <n v="95.28"/>
    <d v="2023-05-01T00:00:00"/>
    <s v="Older"/>
    <n v="0"/>
    <s v="No"/>
    <n v="147"/>
    <s v="High"/>
    <s v="Medium"/>
    <n v="0"/>
    <s v="Medium"/>
    <n v="1"/>
    <d v="2023-05-01T00:00:00"/>
    <s v="7–12 months"/>
    <s v="0–1 tickets"/>
    <s v="46+ min"/>
    <s v="1000+"/>
    <n v="12720"/>
    <n v="-254.39999999999964"/>
  </r>
  <r>
    <n v="11884"/>
    <n v="57"/>
    <s v="Male"/>
    <s v="Hyderabad"/>
    <d v="2021-03-18T00:00:00"/>
    <d v="2021-11-17T00:00:00"/>
    <x v="0"/>
    <n v="696"/>
    <x v="21"/>
    <n v="2"/>
    <n v="60.51"/>
    <n v="0"/>
    <x v="2"/>
    <x v="1"/>
    <n v="3480"/>
    <b v="1"/>
    <n v="0.41666666666666669"/>
    <n v="696"/>
    <n v="20.169999999999998"/>
    <d v="2021-03-01T00:00:00"/>
    <s v="Older"/>
    <n v="0"/>
    <s v="No"/>
    <n v="244"/>
    <s v="High"/>
    <s v="Low"/>
    <n v="0.33333333333333331"/>
    <s v="Low"/>
    <n v="1"/>
    <d v="2021-03-01T00:00:00"/>
    <s v="0–6 months"/>
    <s v="2–3 tickets"/>
    <s v="46+ min"/>
    <s v="501–700"/>
    <n v="3480"/>
    <n v="0"/>
  </r>
  <r>
    <n v="11885"/>
    <n v="28"/>
    <s v="Female"/>
    <s v="Pune"/>
    <d v="2021-03-18T00:00:00"/>
    <d v="2023-04-21T00:00:00"/>
    <x v="0"/>
    <n v="982"/>
    <x v="9"/>
    <n v="3"/>
    <n v="49.45"/>
    <n v="0"/>
    <x v="2"/>
    <x v="1"/>
    <n v="8838"/>
    <b v="1"/>
    <n v="0.75"/>
    <n v="982"/>
    <n v="12.362500000000001"/>
    <d v="2021-03-01T00:00:00"/>
    <s v="Adult"/>
    <n v="0"/>
    <s v="No"/>
    <n v="764"/>
    <s v="Medium"/>
    <s v="Low"/>
    <n v="0.3"/>
    <s v="Medium"/>
    <n v="1"/>
    <d v="2021-03-01T00:00:00"/>
    <s v="7–12 months"/>
    <s v="2–3 tickets"/>
    <s v="46+ min"/>
    <s v="701–1000"/>
    <n v="8838"/>
    <n v="0"/>
  </r>
  <r>
    <n v="11886"/>
    <n v="20"/>
    <s v="Male"/>
    <s v="Chennai"/>
    <d v="2022-03-18T00:00:00"/>
    <d v="2023-05-02T00:00:00"/>
    <x v="2"/>
    <n v="1350"/>
    <x v="21"/>
    <n v="1"/>
    <n v="65.5"/>
    <n v="0"/>
    <x v="1"/>
    <x v="1"/>
    <n v="6750"/>
    <b v="1"/>
    <n v="0.41666666666666669"/>
    <n v="1350"/>
    <n v="32.75"/>
    <d v="2022-03-01T00:00:00"/>
    <s v="Young"/>
    <n v="0"/>
    <s v="No"/>
    <n v="410"/>
    <s v="High"/>
    <s v="Low"/>
    <n v="0.16666666666666666"/>
    <s v="Low"/>
    <n v="2"/>
    <d v="2022-03-01T00:00:00"/>
    <s v="0–6 months"/>
    <s v="0–1 tickets"/>
    <s v="46+ min"/>
    <s v="1000+"/>
    <n v="6750"/>
    <n v="0"/>
  </r>
  <r>
    <n v="11887"/>
    <n v="23"/>
    <s v="Female"/>
    <s v="Delhi"/>
    <d v="2022-06-24T00:00:00"/>
    <d v="2022-10-24T00:00:00"/>
    <x v="1"/>
    <n v="1010"/>
    <x v="11"/>
    <n v="2"/>
    <n v="82.72"/>
    <n v="20"/>
    <x v="3"/>
    <x v="0"/>
    <n v="10908"/>
    <b v="1"/>
    <n v="0.91666666666666663"/>
    <n v="991.63636363636363"/>
    <n v="27.573333333333334"/>
    <d v="2022-06-01T00:00:00"/>
    <s v="Young"/>
    <n v="1"/>
    <s v="No"/>
    <n v="122"/>
    <s v="High"/>
    <s v="Medium"/>
    <n v="0.16666666666666666"/>
    <s v="Medium"/>
    <n v="3"/>
    <d v="2022-06-01T00:00:00"/>
    <s v="7–12 months"/>
    <s v="2–3 tickets"/>
    <s v="46+ min"/>
    <s v="1000+"/>
    <n v="11110"/>
    <n v="-202"/>
  </r>
  <r>
    <n v="11888"/>
    <n v="26"/>
    <s v="Female"/>
    <s v="Delhi"/>
    <d v="2021-09-02T00:00:00"/>
    <d v="2022-02-15T00:00:00"/>
    <x v="0"/>
    <n v="1420"/>
    <x v="12"/>
    <n v="1"/>
    <n v="88.59"/>
    <n v="5"/>
    <x v="3"/>
    <x v="0"/>
    <n v="49629"/>
    <b v="1"/>
    <n v="2.9166666666666665"/>
    <n v="1417.9714285714285"/>
    <n v="44.295000000000002"/>
    <d v="2021-09-01T00:00:00"/>
    <s v="Adult"/>
    <n v="1"/>
    <s v="Yes"/>
    <n v="166"/>
    <s v="High"/>
    <s v="Low"/>
    <n v="2.7777777777777776E-2"/>
    <s v="High"/>
    <n v="1"/>
    <d v="2021-09-01T00:00:00"/>
    <s v="25+ months"/>
    <s v="0–1 tickets"/>
    <s v="46+ min"/>
    <s v="1000+"/>
    <n v="49700"/>
    <n v="-71"/>
  </r>
  <r>
    <n v="11889"/>
    <n v="23"/>
    <s v="Female"/>
    <s v="Delhi"/>
    <d v="2022-08-01T00:00:00"/>
    <d v="2023-01-05T00:00:00"/>
    <x v="1"/>
    <n v="828"/>
    <x v="26"/>
    <n v="1"/>
    <n v="46.02"/>
    <n v="10"/>
    <x v="1"/>
    <x v="1"/>
    <n v="22273.200000000001"/>
    <b v="1"/>
    <n v="2.25"/>
    <n v="824.93333333333339"/>
    <n v="23.01"/>
    <d v="2022-08-01T00:00:00"/>
    <s v="Young"/>
    <n v="0"/>
    <s v="Yes"/>
    <n v="157"/>
    <s v="Medium"/>
    <s v="Low"/>
    <n v="3.5714285714285712E-2"/>
    <s v="High"/>
    <n v="3"/>
    <d v="2022-08-01T00:00:00"/>
    <s v="25+ months"/>
    <s v="0–1 tickets"/>
    <s v="46+ min"/>
    <s v="701–1000"/>
    <n v="22356"/>
    <n v="-82.799999999999272"/>
  </r>
  <r>
    <n v="11890"/>
    <n v="26"/>
    <s v="Female"/>
    <s v="Chennai"/>
    <d v="2023-02-17T00:00:00"/>
    <d v="2022-09-02T00:00:00"/>
    <x v="2"/>
    <n v="984"/>
    <x v="2"/>
    <n v="1"/>
    <n v="70.7"/>
    <n v="5"/>
    <x v="0"/>
    <x v="0"/>
    <n v="3886.8"/>
    <b v="0"/>
    <n v="0.33333333333333331"/>
    <n v="971.7"/>
    <n v="35.35"/>
    <d v="2023-02-01T00:00:00"/>
    <s v="Adult"/>
    <n v="1"/>
    <s v="No"/>
    <m/>
    <s v="High"/>
    <s v="Low"/>
    <n v="0.2"/>
    <s v="Low"/>
    <n v="2"/>
    <d v="2023-02-01T00:00:00"/>
    <s v="0–6 months"/>
    <s v="0–1 tickets"/>
    <s v="46+ min"/>
    <s v="701–1000"/>
    <n v="3936"/>
    <n v="-49.199999999999818"/>
  </r>
  <r>
    <n v="11891"/>
    <n v="56"/>
    <s v="Female"/>
    <s v="Bangalore"/>
    <d v="2022-01-17T00:00:00"/>
    <d v="2022-11-11T00:00:00"/>
    <x v="2"/>
    <n v="912"/>
    <x v="32"/>
    <n v="3"/>
    <n v="109.64"/>
    <n v="15"/>
    <x v="0"/>
    <x v="0"/>
    <n v="8983.2000000000007"/>
    <b v="1"/>
    <n v="0.83333333333333337"/>
    <n v="898.32"/>
    <n v="27.41"/>
    <d v="2022-01-01T00:00:00"/>
    <s v="Older"/>
    <n v="1"/>
    <s v="No"/>
    <n v="298"/>
    <s v="High"/>
    <s v="Low"/>
    <n v="0.27272727272727271"/>
    <s v="Medium"/>
    <n v="2"/>
    <d v="2022-01-01T00:00:00"/>
    <s v="7–12 months"/>
    <s v="2–3 tickets"/>
    <s v="46+ min"/>
    <s v="701–1000"/>
    <n v="9120"/>
    <n v="-136.79999999999927"/>
  </r>
  <r>
    <n v="11892"/>
    <n v="48"/>
    <s v="Female"/>
    <s v="Hyderabad"/>
    <d v="2022-12-18T00:00:00"/>
    <d v="2023-10-30T00:00:00"/>
    <x v="1"/>
    <n v="485"/>
    <x v="33"/>
    <n v="1"/>
    <n v="117.28"/>
    <n v="10"/>
    <x v="1"/>
    <x v="0"/>
    <n v="15956.5"/>
    <b v="1"/>
    <n v="2.75"/>
    <n v="483.530303030303"/>
    <n v="58.64"/>
    <d v="2022-12-01T00:00:00"/>
    <s v="Middle-aged"/>
    <n v="1"/>
    <s v="Yes"/>
    <n v="316"/>
    <s v="High"/>
    <s v="Low"/>
    <n v="2.9411764705882353E-2"/>
    <s v="Medium"/>
    <n v="3"/>
    <d v="2022-12-01T00:00:00"/>
    <s v="25+ months"/>
    <s v="0–1 tickets"/>
    <s v="46+ min"/>
    <s v="301–500"/>
    <n v="16005"/>
    <n v="-48.5"/>
  </r>
  <r>
    <n v="11893"/>
    <n v="49"/>
    <s v="Female"/>
    <s v="Pune"/>
    <d v="2022-07-24T00:00:00"/>
    <d v="2022-05-07T00:00:00"/>
    <x v="0"/>
    <n v="995"/>
    <x v="14"/>
    <n v="4"/>
    <n v="31.13"/>
    <n v="5"/>
    <x v="0"/>
    <x v="1"/>
    <n v="7910.25"/>
    <b v="0"/>
    <n v="0.66666666666666663"/>
    <n v="988.78125"/>
    <n v="6.226"/>
    <d v="2022-07-01T00:00:00"/>
    <s v="Middle-aged"/>
    <n v="0"/>
    <s v="No"/>
    <m/>
    <s v="Medium"/>
    <s v="Low"/>
    <n v="0.44444444444444442"/>
    <s v="Low"/>
    <n v="1"/>
    <d v="2022-07-01T00:00:00"/>
    <s v="7–12 months"/>
    <s v="4–5 tickets"/>
    <s v="31–45 min"/>
    <s v="701–1000"/>
    <n v="7960"/>
    <n v="-49.75"/>
  </r>
  <r>
    <n v="11894"/>
    <n v="58"/>
    <s v="Female"/>
    <s v="unknown"/>
    <d v="2022-12-14T00:00:00"/>
    <d v="2021-07-27T00:00:00"/>
    <x v="0"/>
    <n v="514"/>
    <x v="30"/>
    <n v="3"/>
    <n v="27.18"/>
    <n v="15"/>
    <x v="0"/>
    <x v="1"/>
    <n v="12258.9"/>
    <b v="0"/>
    <n v="2"/>
    <n v="510.78749999999997"/>
    <n v="6.7949999999999999"/>
    <d v="2022-12-01T00:00:00"/>
    <s v="Older"/>
    <n v="0"/>
    <s v="No"/>
    <m/>
    <s v="Medium"/>
    <s v="Low"/>
    <n v="0.12"/>
    <s v="Medium"/>
    <n v="1"/>
    <d v="2022-12-01T00:00:00"/>
    <s v="13–24 months"/>
    <s v="2–3 tickets"/>
    <s v="21–30 min"/>
    <s v="501–700"/>
    <n v="12336"/>
    <n v="-77.100000000000364"/>
  </r>
  <r>
    <n v="11895"/>
    <n v="29"/>
    <s v="Male"/>
    <s v="Chennai"/>
    <d v="2023-01-07T00:00:00"/>
    <d v="2022-01-04T00:00:00"/>
    <x v="1"/>
    <n v="515"/>
    <x v="33"/>
    <n v="4"/>
    <n v="82.82"/>
    <n v="10"/>
    <x v="3"/>
    <x v="1"/>
    <n v="16943.5"/>
    <b v="0"/>
    <n v="2.75"/>
    <n v="513.43939393939399"/>
    <n v="16.564"/>
    <d v="2023-01-01T00:00:00"/>
    <s v="Adult"/>
    <n v="0"/>
    <s v="Yes"/>
    <m/>
    <s v="High"/>
    <s v="Low"/>
    <n v="0.11764705882352941"/>
    <s v="Medium"/>
    <n v="3"/>
    <d v="2023-01-01T00:00:00"/>
    <s v="25+ months"/>
    <s v="4–5 tickets"/>
    <s v="46+ min"/>
    <s v="501–700"/>
    <n v="16995"/>
    <n v="-51.5"/>
  </r>
  <r>
    <n v="11896"/>
    <n v="25"/>
    <s v="Other"/>
    <s v="Bangalore"/>
    <d v="2021-05-22T00:00:00"/>
    <d v="2023-02-09T00:00:00"/>
    <x v="1"/>
    <n v="328"/>
    <x v="17"/>
    <n v="2"/>
    <n v="52.69"/>
    <n v="10"/>
    <x v="1"/>
    <x v="1"/>
    <n v="6166.4"/>
    <b v="1"/>
    <n v="1.5833333333333333"/>
    <n v="324.54736842105262"/>
    <n v="17.563333333333333"/>
    <d v="2021-05-01T00:00:00"/>
    <s v="Young"/>
    <n v="0"/>
    <s v="No"/>
    <n v="628"/>
    <s v="Medium"/>
    <s v="Low"/>
    <n v="0.1"/>
    <s v="Low"/>
    <n v="3"/>
    <d v="2021-05-01T00:00:00"/>
    <s v="13–24 months"/>
    <s v="2–3 tickets"/>
    <s v="46+ min"/>
    <s v="301–500"/>
    <n v="6232"/>
    <n v="-65.600000000000364"/>
  </r>
  <r>
    <n v="11897"/>
    <n v="25"/>
    <s v="Female"/>
    <s v="Hyderabad"/>
    <d v="2023-06-12T00:00:00"/>
    <d v="2023-08-25T00:00:00"/>
    <x v="1"/>
    <n v="401"/>
    <x v="4"/>
    <n v="1"/>
    <n v="62.59"/>
    <n v="15"/>
    <x v="2"/>
    <x v="1"/>
    <n v="741.85"/>
    <b v="1"/>
    <n v="0.16666666666666666"/>
    <n v="370.92500000000001"/>
    <n v="31.295000000000002"/>
    <d v="2023-06-01T00:00:00"/>
    <s v="Young"/>
    <n v="0"/>
    <s v="No"/>
    <n v="74"/>
    <s v="High"/>
    <s v="Low"/>
    <n v="0.33333333333333331"/>
    <s v="Low"/>
    <n v="3"/>
    <d v="2023-06-01T00:00:00"/>
    <s v="0–6 months"/>
    <s v="0–1 tickets"/>
    <s v="46+ min"/>
    <s v="301–500"/>
    <n v="802"/>
    <n v="-60.149999999999977"/>
  </r>
  <r>
    <n v="11898"/>
    <n v="45"/>
    <s v="Female"/>
    <s v="unknown"/>
    <d v="2022-01-03T00:00:00"/>
    <d v="2023-04-16T00:00:00"/>
    <x v="1"/>
    <n v="422"/>
    <x v="11"/>
    <n v="1"/>
    <n v="44.89"/>
    <n v="5"/>
    <x v="3"/>
    <x v="0"/>
    <n v="4620.8999999999996"/>
    <b v="1"/>
    <n v="0.91666666666666663"/>
    <n v="420.08181818181816"/>
    <n v="22.445"/>
    <d v="2022-01-01T00:00:00"/>
    <s v="Middle-aged"/>
    <n v="1"/>
    <s v="No"/>
    <n v="468"/>
    <s v="Medium"/>
    <s v="Low"/>
    <n v="8.3333333333333329E-2"/>
    <s v="Low"/>
    <n v="3"/>
    <d v="2022-01-01T00:00:00"/>
    <s v="7–12 months"/>
    <s v="0–1 tickets"/>
    <s v="31–45 min"/>
    <s v="301–500"/>
    <n v="4642"/>
    <n v="-21.100000000000364"/>
  </r>
  <r>
    <n v="11899"/>
    <n v="37"/>
    <s v="Male"/>
    <s v="Pune"/>
    <d v="2021-03-25T00:00:00"/>
    <d v="2023-06-01T00:00:00"/>
    <x v="0"/>
    <n v="353"/>
    <x v="12"/>
    <n v="2"/>
    <n v="97.78"/>
    <n v="10"/>
    <x v="1"/>
    <x v="1"/>
    <n v="12319.7"/>
    <b v="1"/>
    <n v="2.9166666666666665"/>
    <n v="351.99142857142857"/>
    <n v="32.593333333333334"/>
    <d v="2021-03-01T00:00:00"/>
    <s v="Middle-aged"/>
    <n v="0"/>
    <s v="No"/>
    <n v="798"/>
    <s v="High"/>
    <s v="Low"/>
    <n v="5.5555555555555552E-2"/>
    <s v="Medium"/>
    <n v="1"/>
    <d v="2021-03-01T00:00:00"/>
    <s v="25+ months"/>
    <s v="2–3 tickets"/>
    <s v="46+ min"/>
    <s v="301–500"/>
    <n v="12355"/>
    <n v="-35.299999999999272"/>
  </r>
  <r>
    <n v="11900"/>
    <n v="64"/>
    <s v="Male"/>
    <s v="Pune"/>
    <d v="2021-05-23T00:00:00"/>
    <d v="2022-09-07T00:00:00"/>
    <x v="1"/>
    <n v="1440"/>
    <x v="18"/>
    <n v="2"/>
    <n v="96.7"/>
    <n v="15"/>
    <x v="1"/>
    <x v="0"/>
    <n v="24264"/>
    <b v="1"/>
    <n v="1.4166666666666667"/>
    <n v="1427.2941176470588"/>
    <n v="32.233333333333334"/>
    <d v="2021-05-01T00:00:00"/>
    <s v="Older"/>
    <n v="1"/>
    <s v="Yes"/>
    <n v="472"/>
    <s v="High"/>
    <s v="Low"/>
    <n v="0.1111111111111111"/>
    <s v="High"/>
    <n v="3"/>
    <d v="2021-05-01T00:00:00"/>
    <s v="13–24 months"/>
    <s v="2–3 tickets"/>
    <s v="46+ min"/>
    <s v="1000+"/>
    <n v="24480"/>
    <n v="-216"/>
  </r>
  <r>
    <n v="11901"/>
    <n v="24"/>
    <s v="Female"/>
    <s v="Hyderabad"/>
    <d v="2021-12-18T00:00:00"/>
    <d v="2022-02-02T00:00:00"/>
    <x v="0"/>
    <n v="915"/>
    <x v="13"/>
    <n v="2"/>
    <n v="61.89"/>
    <n v="15"/>
    <x v="3"/>
    <x v="1"/>
    <n v="2607.75"/>
    <b v="1"/>
    <n v="0.25"/>
    <n v="869.25"/>
    <n v="20.63"/>
    <d v="2021-12-01T00:00:00"/>
    <s v="Young"/>
    <n v="0"/>
    <s v="No"/>
    <n v="46"/>
    <s v="High"/>
    <s v="Low"/>
    <n v="0.5"/>
    <s v="Low"/>
    <n v="1"/>
    <d v="2021-12-01T00:00:00"/>
    <s v="0–6 months"/>
    <s v="2–3 tickets"/>
    <s v="46+ min"/>
    <s v="701–1000"/>
    <n v="2745"/>
    <n v="-137.25"/>
  </r>
  <r>
    <n v="11902"/>
    <n v="28"/>
    <s v="Male"/>
    <s v="Delhi"/>
    <d v="2022-06-29T00:00:00"/>
    <d v="2023-05-31T00:00:00"/>
    <x v="1"/>
    <n v="856"/>
    <x v="1"/>
    <n v="4"/>
    <n v="59.35"/>
    <n v="20"/>
    <x v="0"/>
    <x v="1"/>
    <n v="18660.8"/>
    <b v="1"/>
    <n v="1.8333333333333333"/>
    <n v="848.21818181818173"/>
    <n v="11.870000000000001"/>
    <d v="2022-06-01T00:00:00"/>
    <s v="Adult"/>
    <n v="0"/>
    <s v="Yes"/>
    <n v="336"/>
    <s v="Medium"/>
    <s v="Medium"/>
    <n v="0.17391304347826086"/>
    <s v="Medium"/>
    <n v="3"/>
    <d v="2022-06-01T00:00:00"/>
    <s v="13–24 months"/>
    <s v="4–5 tickets"/>
    <s v="46+ min"/>
    <s v="701–1000"/>
    <n v="18832"/>
    <n v="-171.20000000000073"/>
  </r>
  <r>
    <n v="11903"/>
    <n v="37"/>
    <s v="Female"/>
    <s v="Pune"/>
    <d v="2021-06-01T00:00:00"/>
    <d v="2022-06-08T00:00:00"/>
    <x v="2"/>
    <n v="413"/>
    <x v="12"/>
    <n v="1"/>
    <n v="71.64"/>
    <n v="15"/>
    <x v="0"/>
    <x v="1"/>
    <n v="14393.05"/>
    <b v="1"/>
    <n v="2.9166666666666665"/>
    <n v="411.22999999999996"/>
    <n v="35.82"/>
    <d v="2021-06-01T00:00:00"/>
    <s v="Middle-aged"/>
    <n v="0"/>
    <s v="Yes"/>
    <n v="372"/>
    <s v="High"/>
    <s v="Low"/>
    <n v="2.7777777777777776E-2"/>
    <s v="Medium"/>
    <n v="2"/>
    <d v="2021-06-01T00:00:00"/>
    <s v="25+ months"/>
    <s v="0–1 tickets"/>
    <s v="46+ min"/>
    <s v="301–500"/>
    <n v="14455"/>
    <n v="-61.950000000000728"/>
  </r>
  <r>
    <n v="11904"/>
    <n v="33"/>
    <s v="Female"/>
    <s v="Bangalore"/>
    <d v="2021-06-07T00:00:00"/>
    <d v="2022-07-22T00:00:00"/>
    <x v="2"/>
    <n v="1154"/>
    <x v="6"/>
    <n v="2"/>
    <n v="30.23"/>
    <n v="10"/>
    <x v="3"/>
    <x v="1"/>
    <n v="24118.6"/>
    <b v="1"/>
    <n v="1.75"/>
    <n v="1148.5047619047618"/>
    <n v="10.076666666666666"/>
    <d v="2021-06-01T00:00:00"/>
    <s v="Adult"/>
    <n v="0"/>
    <s v="Yes"/>
    <n v="410"/>
    <s v="Medium"/>
    <s v="Low"/>
    <n v="9.0909090909090912E-2"/>
    <s v="High"/>
    <n v="2"/>
    <d v="2021-06-01T00:00:00"/>
    <s v="13–24 months"/>
    <s v="2–3 tickets"/>
    <s v="31–45 min"/>
    <s v="1000+"/>
    <n v="24234"/>
    <n v="-115.40000000000146"/>
  </r>
  <r>
    <n v="11905"/>
    <n v="21"/>
    <s v="Male"/>
    <s v="Chennai"/>
    <d v="2022-03-22T00:00:00"/>
    <d v="2021-07-01T00:00:00"/>
    <x v="2"/>
    <n v="975"/>
    <x v="0"/>
    <n v="1"/>
    <n v="62.59"/>
    <n v="0"/>
    <x v="1"/>
    <x v="1"/>
    <n v="24375"/>
    <b v="0"/>
    <n v="2.0833333333333335"/>
    <n v="975"/>
    <n v="31.295000000000002"/>
    <d v="2022-03-01T00:00:00"/>
    <s v="Young"/>
    <n v="0"/>
    <s v="Yes"/>
    <m/>
    <s v="High"/>
    <s v="Low"/>
    <n v="3.8461538461538464E-2"/>
    <s v="High"/>
    <n v="2"/>
    <d v="2022-03-01T00:00:00"/>
    <s v="25+ months"/>
    <s v="0–1 tickets"/>
    <s v="46+ min"/>
    <s v="701–1000"/>
    <n v="24375"/>
    <n v="0"/>
  </r>
  <r>
    <n v="11906"/>
    <n v="23"/>
    <s v="Female"/>
    <s v="Bangalore"/>
    <d v="2022-10-15T00:00:00"/>
    <d v="2022-06-03T00:00:00"/>
    <x v="0"/>
    <n v="1276"/>
    <x v="4"/>
    <n v="1"/>
    <n v="6.27"/>
    <n v="10"/>
    <x v="2"/>
    <x v="1"/>
    <n v="2424.4"/>
    <b v="0"/>
    <n v="0.16666666666666666"/>
    <n v="1212.2"/>
    <n v="3.1349999999999998"/>
    <d v="2022-10-01T00:00:00"/>
    <s v="Young"/>
    <n v="0"/>
    <s v="No"/>
    <m/>
    <s v="Low"/>
    <s v="Low"/>
    <n v="0.33333333333333331"/>
    <s v="Low"/>
    <n v="1"/>
    <d v="2022-10-01T00:00:00"/>
    <s v="0–6 months"/>
    <s v="0–1 tickets"/>
    <s v="0–10 min"/>
    <s v="1000+"/>
    <n v="2552"/>
    <n v="-127.59999999999991"/>
  </r>
  <r>
    <n v="11907"/>
    <n v="39"/>
    <s v="Female"/>
    <s v="Delhi"/>
    <d v="2023-02-02T00:00:00"/>
    <d v="2022-12-11T00:00:00"/>
    <x v="0"/>
    <n v="1000"/>
    <x v="7"/>
    <n v="3"/>
    <n v="59.69"/>
    <n v="10"/>
    <x v="1"/>
    <x v="1"/>
    <n v="900"/>
    <b v="0"/>
    <n v="8.3333333333333329E-2"/>
    <n v="900"/>
    <n v="14.922499999999999"/>
    <d v="2023-02-01T00:00:00"/>
    <s v="Middle-aged"/>
    <n v="0"/>
    <s v="No"/>
    <m/>
    <s v="Medium"/>
    <s v="Low"/>
    <n v="1.5"/>
    <s v="Low"/>
    <n v="1"/>
    <d v="2023-02-01T00:00:00"/>
    <s v="0–6 months"/>
    <s v="2–3 tickets"/>
    <s v="46+ min"/>
    <s v="701–1000"/>
    <n v="1000"/>
    <n v="-100"/>
  </r>
  <r>
    <n v="11908"/>
    <n v="43"/>
    <s v="Female"/>
    <s v="Bangalore"/>
    <d v="2021-10-30T00:00:00"/>
    <d v="2023-03-08T00:00:00"/>
    <x v="1"/>
    <n v="591"/>
    <x v="16"/>
    <n v="1"/>
    <n v="43.65"/>
    <n v="20"/>
    <x v="2"/>
    <x v="1"/>
    <n v="4018.8"/>
    <b v="1"/>
    <n v="0.58333333333333337"/>
    <n v="574.11428571428576"/>
    <n v="21.824999999999999"/>
    <d v="2021-10-01T00:00:00"/>
    <s v="Middle-aged"/>
    <n v="0"/>
    <s v="No"/>
    <n v="494"/>
    <s v="Medium"/>
    <s v="Medium"/>
    <n v="0.125"/>
    <s v="Low"/>
    <n v="3"/>
    <d v="2021-10-01T00:00:00"/>
    <s v="7–12 months"/>
    <s v="0–1 tickets"/>
    <s v="31–45 min"/>
    <s v="501–700"/>
    <n v="4137"/>
    <n v="-118.19999999999982"/>
  </r>
  <r>
    <n v="11909"/>
    <n v="20"/>
    <s v="Female"/>
    <s v="Bangalore"/>
    <d v="2022-09-16T00:00:00"/>
    <d v="2021-09-16T00:00:00"/>
    <x v="1"/>
    <n v="560"/>
    <x v="28"/>
    <n v="4"/>
    <n v="82.61"/>
    <n v="20"/>
    <x v="2"/>
    <x v="1"/>
    <n v="11088"/>
    <b v="0"/>
    <n v="1.6666666666666667"/>
    <n v="554.4"/>
    <n v="16.521999999999998"/>
    <d v="2022-09-01T00:00:00"/>
    <s v="Young"/>
    <n v="0"/>
    <s v="No"/>
    <m/>
    <s v="High"/>
    <s v="Medium"/>
    <n v="0.19047619047619047"/>
    <s v="Medium"/>
    <n v="3"/>
    <d v="2022-09-01T00:00:00"/>
    <s v="13–24 months"/>
    <s v="4–5 tickets"/>
    <s v="46+ min"/>
    <s v="501–700"/>
    <n v="11200"/>
    <n v="-112"/>
  </r>
  <r>
    <n v="11910"/>
    <n v="58"/>
    <s v="Male"/>
    <s v="Mumbai"/>
    <d v="2022-10-18T00:00:00"/>
    <d v="2023-01-05T00:00:00"/>
    <x v="0"/>
    <n v="863"/>
    <x v="20"/>
    <n v="2"/>
    <n v="78.41"/>
    <n v="15"/>
    <x v="1"/>
    <x v="1"/>
    <n v="5048.55"/>
    <b v="1"/>
    <n v="0.5"/>
    <n v="841.42500000000007"/>
    <n v="26.136666666666667"/>
    <d v="2022-10-01T00:00:00"/>
    <s v="Older"/>
    <n v="0"/>
    <s v="No"/>
    <n v="79"/>
    <s v="High"/>
    <s v="Low"/>
    <n v="0.2857142857142857"/>
    <s v="Low"/>
    <n v="1"/>
    <d v="2022-10-01T00:00:00"/>
    <s v="0–6 months"/>
    <s v="2–3 tickets"/>
    <s v="46+ min"/>
    <s v="701–1000"/>
    <n v="5178"/>
    <n v="-129.44999999999982"/>
  </r>
  <r>
    <n v="11911"/>
    <n v="59"/>
    <s v="Female"/>
    <s v="unknown"/>
    <d v="2022-03-26T00:00:00"/>
    <d v="2023-09-17T00:00:00"/>
    <x v="2"/>
    <n v="348"/>
    <x v="6"/>
    <n v="0"/>
    <n v="48.8"/>
    <n v="20"/>
    <x v="1"/>
    <x v="1"/>
    <n v="7238.4"/>
    <b v="1"/>
    <n v="1.75"/>
    <n v="344.68571428571425"/>
    <n v="48.8"/>
    <d v="2022-03-01T00:00:00"/>
    <s v="Older"/>
    <n v="0"/>
    <s v="No"/>
    <n v="540"/>
    <s v="Medium"/>
    <s v="Medium"/>
    <n v="0"/>
    <s v="Low"/>
    <n v="2"/>
    <d v="2022-03-01T00:00:00"/>
    <s v="13–24 months"/>
    <s v="0–1 tickets"/>
    <s v="46+ min"/>
    <s v="301–500"/>
    <n v="7308"/>
    <n v="-69.600000000000364"/>
  </r>
  <r>
    <n v="11912"/>
    <n v="31"/>
    <s v="Male"/>
    <s v="Hyderabad"/>
    <d v="2022-12-22T00:00:00"/>
    <d v="2022-07-23T00:00:00"/>
    <x v="2"/>
    <n v="1329"/>
    <x v="12"/>
    <n v="5"/>
    <n v="5.84"/>
    <n v="15"/>
    <x v="1"/>
    <x v="1"/>
    <n v="46315.65"/>
    <b v="0"/>
    <n v="2.9166666666666665"/>
    <n v="1323.3042857142857"/>
    <n v="0.97333333333333327"/>
    <d v="2022-12-01T00:00:00"/>
    <s v="Adult"/>
    <n v="0"/>
    <s v="Yes"/>
    <m/>
    <s v="Low"/>
    <s v="Low"/>
    <n v="0.1388888888888889"/>
    <s v="High"/>
    <n v="2"/>
    <d v="2022-12-01T00:00:00"/>
    <s v="25+ months"/>
    <s v="4–5 tickets"/>
    <s v="0–10 min"/>
    <s v="1000+"/>
    <n v="46515"/>
    <n v="-199.34999999999854"/>
  </r>
  <r>
    <n v="11913"/>
    <n v="28"/>
    <s v="Female"/>
    <s v="Chennai"/>
    <d v="2021-08-12T00:00:00"/>
    <d v="2023-02-10T00:00:00"/>
    <x v="0"/>
    <n v="678"/>
    <x v="14"/>
    <n v="3"/>
    <n v="34.01"/>
    <n v="0"/>
    <x v="2"/>
    <x v="1"/>
    <n v="5424"/>
    <b v="1"/>
    <n v="0.66666666666666663"/>
    <n v="678"/>
    <n v="8.5024999999999995"/>
    <d v="2021-08-01T00:00:00"/>
    <s v="Adult"/>
    <n v="0"/>
    <s v="No"/>
    <n v="547"/>
    <s v="Medium"/>
    <s v="Low"/>
    <n v="0.33333333333333331"/>
    <s v="Low"/>
    <n v="1"/>
    <d v="2021-08-01T00:00:00"/>
    <s v="7–12 months"/>
    <s v="2–3 tickets"/>
    <s v="31–45 min"/>
    <s v="501–700"/>
    <n v="5424"/>
    <n v="0"/>
  </r>
  <r>
    <n v="11914"/>
    <n v="35"/>
    <s v="Female"/>
    <s v="Mumbai"/>
    <d v="2021-02-12T00:00:00"/>
    <d v="2023-08-30T00:00:00"/>
    <x v="0"/>
    <n v="523"/>
    <x v="2"/>
    <n v="2"/>
    <n v="77.84"/>
    <n v="5"/>
    <x v="0"/>
    <x v="0"/>
    <n v="2065.85"/>
    <b v="1"/>
    <n v="0.33333333333333331"/>
    <n v="516.46249999999998"/>
    <n v="25.946666666666669"/>
    <d v="2021-02-01T00:00:00"/>
    <s v="Adult"/>
    <n v="1"/>
    <s v="No"/>
    <n v="929"/>
    <s v="High"/>
    <s v="Low"/>
    <n v="0.4"/>
    <s v="Low"/>
    <n v="1"/>
    <d v="2021-02-01T00:00:00"/>
    <s v="0–6 months"/>
    <s v="2–3 tickets"/>
    <s v="46+ min"/>
    <s v="501–700"/>
    <n v="2092"/>
    <n v="-26.150000000000091"/>
  </r>
  <r>
    <n v="11915"/>
    <n v="29"/>
    <s v="Male"/>
    <s v="Chennai"/>
    <d v="2021-09-21T00:00:00"/>
    <d v="2022-07-03T00:00:00"/>
    <x v="1"/>
    <n v="1346"/>
    <x v="24"/>
    <n v="0"/>
    <n v="13.32"/>
    <n v="20"/>
    <x v="2"/>
    <x v="0"/>
    <n v="21266.799999999999"/>
    <b v="1"/>
    <n v="1.3333333333333333"/>
    <n v="1329.175"/>
    <n v="13.32"/>
    <d v="2021-09-01T00:00:00"/>
    <s v="Adult"/>
    <n v="1"/>
    <s v="Yes"/>
    <n v="285"/>
    <s v="Low"/>
    <s v="Medium"/>
    <n v="0"/>
    <s v="High"/>
    <n v="3"/>
    <d v="2021-09-01T00:00:00"/>
    <s v="13–24 months"/>
    <s v="0–1 tickets"/>
    <s v="11–20 min"/>
    <s v="1000+"/>
    <n v="21536"/>
    <n v="-269.20000000000073"/>
  </r>
  <r>
    <n v="11916"/>
    <n v="40"/>
    <s v="Female"/>
    <s v="Chennai"/>
    <d v="2023-01-26T00:00:00"/>
    <d v="2022-02-27T00:00:00"/>
    <x v="2"/>
    <n v="1307"/>
    <x v="13"/>
    <n v="0"/>
    <n v="17.38"/>
    <n v="20"/>
    <x v="2"/>
    <x v="1"/>
    <n v="3659.6"/>
    <b v="0"/>
    <n v="0.25"/>
    <n v="1219.8666666666666"/>
    <n v="17.38"/>
    <d v="2023-01-01T00:00:00"/>
    <s v="Middle-aged"/>
    <n v="0"/>
    <s v="No"/>
    <m/>
    <s v="Low"/>
    <s v="Medium"/>
    <n v="0"/>
    <s v="Low"/>
    <n v="2"/>
    <d v="2023-01-01T00:00:00"/>
    <s v="0–6 months"/>
    <s v="0–1 tickets"/>
    <s v="11–20 min"/>
    <s v="1000+"/>
    <n v="3921"/>
    <n v="-261.40000000000009"/>
  </r>
  <r>
    <n v="11917"/>
    <n v="29"/>
    <s v="Female"/>
    <s v="Delhi"/>
    <d v="2021-01-03T00:00:00"/>
    <d v="2023-04-14T00:00:00"/>
    <x v="2"/>
    <n v="956"/>
    <x v="16"/>
    <n v="4"/>
    <n v="79.41"/>
    <n v="0"/>
    <x v="2"/>
    <x v="1"/>
    <n v="6692"/>
    <b v="1"/>
    <n v="0.58333333333333337"/>
    <n v="956"/>
    <n v="15.882"/>
    <d v="2021-01-01T00:00:00"/>
    <s v="Adult"/>
    <n v="0"/>
    <s v="No"/>
    <n v="831"/>
    <s v="High"/>
    <s v="Low"/>
    <n v="0.5"/>
    <s v="Low"/>
    <n v="2"/>
    <d v="2021-01-01T00:00:00"/>
    <s v="7–12 months"/>
    <s v="4–5 tickets"/>
    <s v="46+ min"/>
    <s v="701–1000"/>
    <n v="6692"/>
    <n v="0"/>
  </r>
  <r>
    <n v="11918"/>
    <n v="30"/>
    <s v="Male"/>
    <s v="Delhi"/>
    <d v="2022-09-29T00:00:00"/>
    <d v="2021-09-24T00:00:00"/>
    <x v="2"/>
    <n v="409"/>
    <x v="4"/>
    <n v="1"/>
    <n v="91.91"/>
    <n v="20"/>
    <x v="3"/>
    <x v="0"/>
    <n v="736.2"/>
    <b v="0"/>
    <n v="0.16666666666666666"/>
    <n v="368.1"/>
    <n v="45.954999999999998"/>
    <d v="2022-09-01T00:00:00"/>
    <s v="Adult"/>
    <n v="1"/>
    <s v="No"/>
    <m/>
    <s v="High"/>
    <s v="Medium"/>
    <n v="0.33333333333333331"/>
    <s v="Low"/>
    <n v="2"/>
    <d v="2022-09-01T00:00:00"/>
    <s v="0–6 months"/>
    <s v="0–1 tickets"/>
    <s v="46+ min"/>
    <s v="301–500"/>
    <n v="818"/>
    <n v="-81.799999999999955"/>
  </r>
  <r>
    <n v="11919"/>
    <n v="42"/>
    <s v="Other"/>
    <s v="Mumbai"/>
    <d v="2021-09-25T00:00:00"/>
    <d v="2023-09-19T00:00:00"/>
    <x v="0"/>
    <n v="1023"/>
    <x v="7"/>
    <n v="1"/>
    <n v="41.98"/>
    <n v="0"/>
    <x v="0"/>
    <x v="1"/>
    <n v="1023"/>
    <b v="1"/>
    <n v="8.3333333333333329E-2"/>
    <n v="1023"/>
    <n v="20.99"/>
    <d v="2021-09-01T00:00:00"/>
    <s v="Middle-aged"/>
    <n v="0"/>
    <s v="No"/>
    <n v="724"/>
    <s v="Medium"/>
    <s v="Low"/>
    <n v="0.5"/>
    <s v="Low"/>
    <n v="1"/>
    <d v="2021-09-01T00:00:00"/>
    <s v="0–6 months"/>
    <s v="0–1 tickets"/>
    <s v="31–45 min"/>
    <s v="1000+"/>
    <n v="1023"/>
    <n v="0"/>
  </r>
  <r>
    <n v="11920"/>
    <n v="62"/>
    <s v="Male"/>
    <s v="Pune"/>
    <d v="2022-08-19T00:00:00"/>
    <d v="2023-01-07T00:00:00"/>
    <x v="2"/>
    <n v="852"/>
    <x v="7"/>
    <n v="1"/>
    <n v="61.31"/>
    <n v="15"/>
    <x v="2"/>
    <x v="1"/>
    <n v="724.2"/>
    <b v="1"/>
    <n v="8.3333333333333329E-2"/>
    <n v="724.2"/>
    <n v="30.655000000000001"/>
    <d v="2022-08-01T00:00:00"/>
    <s v="Older"/>
    <n v="0"/>
    <s v="No"/>
    <n v="141"/>
    <s v="High"/>
    <s v="Low"/>
    <n v="0.5"/>
    <s v="Low"/>
    <n v="2"/>
    <d v="2022-08-01T00:00:00"/>
    <s v="0–6 months"/>
    <s v="0–1 tickets"/>
    <s v="46+ min"/>
    <s v="701–1000"/>
    <n v="852"/>
    <n v="-127.79999999999995"/>
  </r>
  <r>
    <n v="11921"/>
    <n v="36"/>
    <s v="Male"/>
    <s v="Delhi"/>
    <d v="2021-01-16T00:00:00"/>
    <d v="2022-02-11T00:00:00"/>
    <x v="0"/>
    <n v="1495"/>
    <x v="16"/>
    <n v="4"/>
    <n v="113.76"/>
    <n v="10"/>
    <x v="2"/>
    <x v="1"/>
    <n v="10166"/>
    <b v="1"/>
    <n v="0.58333333333333337"/>
    <n v="1452.2857142857142"/>
    <n v="22.752000000000002"/>
    <d v="2021-01-01T00:00:00"/>
    <s v="Middle-aged"/>
    <n v="0"/>
    <s v="No"/>
    <n v="391"/>
    <s v="High"/>
    <s v="Low"/>
    <n v="0.5"/>
    <s v="Medium"/>
    <n v="1"/>
    <d v="2021-01-01T00:00:00"/>
    <s v="7–12 months"/>
    <s v="4–5 tickets"/>
    <s v="46+ min"/>
    <s v="1000+"/>
    <n v="10465"/>
    <n v="-299"/>
  </r>
  <r>
    <n v="11922"/>
    <n v="63"/>
    <s v="Female"/>
    <s v="Delhi"/>
    <d v="2021-11-30T00:00:00"/>
    <d v="2021-08-20T00:00:00"/>
    <x v="0"/>
    <n v="1305"/>
    <x v="30"/>
    <n v="1"/>
    <n v="113.74"/>
    <n v="20"/>
    <x v="3"/>
    <x v="1"/>
    <n v="31059"/>
    <b v="0"/>
    <n v="2"/>
    <n v="1294.125"/>
    <n v="56.87"/>
    <d v="2021-11-01T00:00:00"/>
    <s v="Older"/>
    <n v="0"/>
    <s v="Yes"/>
    <m/>
    <s v="High"/>
    <s v="Medium"/>
    <n v="0.04"/>
    <s v="High"/>
    <n v="1"/>
    <d v="2021-11-01T00:00:00"/>
    <s v="13–24 months"/>
    <s v="0–1 tickets"/>
    <s v="46+ min"/>
    <s v="1000+"/>
    <n v="31320"/>
    <n v="-261"/>
  </r>
  <r>
    <n v="11923"/>
    <n v="53"/>
    <s v="Female"/>
    <s v="Delhi"/>
    <d v="2022-04-09T00:00:00"/>
    <d v="2023-07-20T00:00:00"/>
    <x v="2"/>
    <n v="997"/>
    <x v="21"/>
    <n v="6"/>
    <n v="40.36"/>
    <n v="15"/>
    <x v="2"/>
    <x v="0"/>
    <n v="4835.45"/>
    <b v="1"/>
    <n v="0.41666666666666669"/>
    <n v="967.08999999999992"/>
    <n v="5.765714285714286"/>
    <d v="2022-04-01T00:00:00"/>
    <s v="Older"/>
    <n v="1"/>
    <s v="No"/>
    <n v="467"/>
    <s v="Medium"/>
    <s v="Low"/>
    <n v="1"/>
    <s v="Low"/>
    <n v="2"/>
    <d v="2022-04-01T00:00:00"/>
    <s v="0–6 months"/>
    <s v="6+ tickets"/>
    <s v="31–45 min"/>
    <s v="701–1000"/>
    <n v="4985"/>
    <n v="-149.55000000000018"/>
  </r>
  <r>
    <n v="11924"/>
    <n v="62"/>
    <s v="Female"/>
    <s v="unknown"/>
    <d v="2021-02-28T00:00:00"/>
    <d v="2021-10-06T00:00:00"/>
    <x v="1"/>
    <n v="1025"/>
    <x v="6"/>
    <n v="3"/>
    <n v="98.15"/>
    <n v="20"/>
    <x v="0"/>
    <x v="1"/>
    <n v="21320"/>
    <b v="1"/>
    <n v="1.75"/>
    <n v="1015.2380952380952"/>
    <n v="24.537500000000001"/>
    <d v="2021-02-01T00:00:00"/>
    <s v="Older"/>
    <n v="0"/>
    <s v="Yes"/>
    <n v="220"/>
    <s v="High"/>
    <s v="Medium"/>
    <n v="0.13636363636363635"/>
    <s v="High"/>
    <n v="3"/>
    <d v="2021-02-01T00:00:00"/>
    <s v="13–24 months"/>
    <s v="2–3 tickets"/>
    <s v="46+ min"/>
    <s v="1000+"/>
    <n v="21525"/>
    <n v="-205"/>
  </r>
  <r>
    <n v="11925"/>
    <n v="41"/>
    <s v="Female"/>
    <s v="Mumbai"/>
    <d v="2021-06-26T00:00:00"/>
    <d v="2023-09-16T00:00:00"/>
    <x v="0"/>
    <n v="605"/>
    <x v="29"/>
    <n v="0"/>
    <n v="73.3"/>
    <n v="10"/>
    <x v="2"/>
    <x v="0"/>
    <n v="16879.5"/>
    <b v="1"/>
    <n v="2.3333333333333335"/>
    <n v="602.83928571428567"/>
    <n v="73.3"/>
    <d v="2021-06-01T00:00:00"/>
    <s v="Middle-aged"/>
    <n v="1"/>
    <s v="Yes"/>
    <n v="812"/>
    <s v="High"/>
    <s v="Low"/>
    <n v="0"/>
    <s v="Medium"/>
    <n v="1"/>
    <d v="2021-06-01T00:00:00"/>
    <s v="25+ months"/>
    <s v="0–1 tickets"/>
    <s v="46+ min"/>
    <s v="501–700"/>
    <n v="16940"/>
    <n v="-60.5"/>
  </r>
  <r>
    <n v="11926"/>
    <n v="46"/>
    <s v="Female"/>
    <s v="Chennai"/>
    <d v="2021-03-04T00:00:00"/>
    <d v="2022-01-21T00:00:00"/>
    <x v="0"/>
    <n v="1258"/>
    <x v="10"/>
    <n v="1"/>
    <n v="117.18"/>
    <n v="0"/>
    <x v="0"/>
    <x v="1"/>
    <n v="22644"/>
    <b v="1"/>
    <n v="1.5"/>
    <n v="1258"/>
    <n v="58.59"/>
    <d v="2021-03-01T00:00:00"/>
    <s v="Middle-aged"/>
    <n v="0"/>
    <s v="Yes"/>
    <n v="323"/>
    <s v="High"/>
    <s v="Low"/>
    <n v="5.2631578947368418E-2"/>
    <s v="High"/>
    <n v="1"/>
    <d v="2021-03-01T00:00:00"/>
    <s v="13–24 months"/>
    <s v="0–1 tickets"/>
    <s v="46+ min"/>
    <s v="1000+"/>
    <n v="22644"/>
    <n v="0"/>
  </r>
  <r>
    <n v="11927"/>
    <n v="49"/>
    <s v="Female"/>
    <s v="Hyderabad"/>
    <d v="2022-07-15T00:00:00"/>
    <d v="2022-12-05T00:00:00"/>
    <x v="2"/>
    <n v="1253"/>
    <x v="30"/>
    <n v="3"/>
    <n v="59.93"/>
    <n v="5"/>
    <x v="0"/>
    <x v="0"/>
    <n v="30009.35"/>
    <b v="1"/>
    <n v="2"/>
    <n v="1250.3895833333333"/>
    <n v="14.9825"/>
    <d v="2022-07-01T00:00:00"/>
    <s v="Middle-aged"/>
    <n v="1"/>
    <s v="Yes"/>
    <n v="143"/>
    <s v="Medium"/>
    <s v="Low"/>
    <n v="0.12"/>
    <s v="High"/>
    <n v="2"/>
    <d v="2022-07-01T00:00:00"/>
    <s v="13–24 months"/>
    <s v="2–3 tickets"/>
    <s v="46+ min"/>
    <s v="1000+"/>
    <n v="30072"/>
    <n v="-62.650000000001455"/>
  </r>
  <r>
    <n v="11928"/>
    <n v="61"/>
    <s v="Male"/>
    <s v="Chennai"/>
    <d v="2021-11-03T00:00:00"/>
    <d v="2021-11-28T00:00:00"/>
    <x v="1"/>
    <n v="1474"/>
    <x v="23"/>
    <n v="2"/>
    <n v="94.09"/>
    <n v="10"/>
    <x v="1"/>
    <x v="0"/>
    <n v="47020.6"/>
    <b v="1"/>
    <n v="2.6666666666666665"/>
    <n v="1469.39375"/>
    <n v="31.363333333333333"/>
    <d v="2021-11-01T00:00:00"/>
    <s v="Older"/>
    <n v="1"/>
    <s v="Yes"/>
    <n v="25"/>
    <s v="High"/>
    <s v="Low"/>
    <n v="6.0606060606060608E-2"/>
    <s v="High"/>
    <n v="3"/>
    <d v="2021-11-01T00:00:00"/>
    <s v="25+ months"/>
    <s v="2–3 tickets"/>
    <s v="46+ min"/>
    <s v="1000+"/>
    <n v="47168"/>
    <n v="-147.40000000000146"/>
  </r>
  <r>
    <n v="11929"/>
    <n v="35"/>
    <s v="Male"/>
    <s v="unknown"/>
    <d v="2021-09-03T00:00:00"/>
    <d v="2021-11-04T00:00:00"/>
    <x v="2"/>
    <n v="920"/>
    <x v="33"/>
    <n v="2"/>
    <n v="93.34"/>
    <n v="5"/>
    <x v="3"/>
    <x v="1"/>
    <n v="30314"/>
    <b v="1"/>
    <n v="2.75"/>
    <n v="918.60606060606062"/>
    <n v="31.113333333333333"/>
    <d v="2021-09-01T00:00:00"/>
    <s v="Adult"/>
    <n v="0"/>
    <s v="Yes"/>
    <n v="62"/>
    <s v="High"/>
    <s v="Low"/>
    <n v="5.8823529411764705E-2"/>
    <s v="High"/>
    <n v="2"/>
    <d v="2021-09-01T00:00:00"/>
    <s v="25+ months"/>
    <s v="2–3 tickets"/>
    <s v="46+ min"/>
    <s v="701–1000"/>
    <n v="30360"/>
    <n v="-46"/>
  </r>
  <r>
    <n v="11930"/>
    <n v="23"/>
    <s v="Male"/>
    <s v="Bangalore"/>
    <d v="2021-10-16T00:00:00"/>
    <d v="2022-08-28T00:00:00"/>
    <x v="1"/>
    <n v="929"/>
    <x v="32"/>
    <n v="2"/>
    <n v="62.2"/>
    <n v="10"/>
    <x v="3"/>
    <x v="1"/>
    <n v="9197.1"/>
    <b v="1"/>
    <n v="0.83333333333333337"/>
    <n v="919.71"/>
    <n v="20.733333333333334"/>
    <d v="2021-10-01T00:00:00"/>
    <s v="Young"/>
    <n v="0"/>
    <s v="No"/>
    <n v="316"/>
    <s v="High"/>
    <s v="Low"/>
    <n v="0.18181818181818182"/>
    <s v="Medium"/>
    <n v="3"/>
    <d v="2021-10-01T00:00:00"/>
    <s v="7–12 months"/>
    <s v="2–3 tickets"/>
    <s v="46+ min"/>
    <s v="701–1000"/>
    <n v="9290"/>
    <n v="-92.899999999999636"/>
  </r>
  <r>
    <n v="11931"/>
    <n v="35"/>
    <s v="Male"/>
    <s v="Bangalore"/>
    <d v="2023-03-09T00:00:00"/>
    <d v="2022-12-23T00:00:00"/>
    <x v="2"/>
    <n v="1176"/>
    <x v="9"/>
    <n v="1"/>
    <n v="96.5"/>
    <n v="10"/>
    <x v="3"/>
    <x v="1"/>
    <n v="10466.4"/>
    <b v="0"/>
    <n v="0.75"/>
    <n v="1162.9333333333334"/>
    <n v="48.25"/>
    <d v="2023-03-01T00:00:00"/>
    <s v="Adult"/>
    <n v="0"/>
    <s v="No"/>
    <m/>
    <s v="High"/>
    <s v="Low"/>
    <n v="0.1"/>
    <s v="Medium"/>
    <n v="2"/>
    <d v="2023-03-01T00:00:00"/>
    <s v="7–12 months"/>
    <s v="0–1 tickets"/>
    <s v="46+ min"/>
    <s v="1000+"/>
    <n v="10584"/>
    <n v="-117.60000000000036"/>
  </r>
  <r>
    <n v="11932"/>
    <n v="36"/>
    <s v="Female"/>
    <s v="Hyderabad"/>
    <d v="2021-11-28T00:00:00"/>
    <d v="2023-10-05T00:00:00"/>
    <x v="2"/>
    <n v="855"/>
    <x v="33"/>
    <n v="1"/>
    <n v="35.020000000000003"/>
    <n v="10"/>
    <x v="1"/>
    <x v="1"/>
    <n v="28129.5"/>
    <b v="1"/>
    <n v="2.75"/>
    <n v="852.40909090909088"/>
    <n v="17.510000000000002"/>
    <d v="2021-11-01T00:00:00"/>
    <s v="Middle-aged"/>
    <n v="0"/>
    <s v="Yes"/>
    <n v="676"/>
    <s v="Medium"/>
    <s v="Low"/>
    <n v="2.9411764705882353E-2"/>
    <s v="High"/>
    <n v="2"/>
    <d v="2021-11-01T00:00:00"/>
    <s v="25+ months"/>
    <s v="0–1 tickets"/>
    <s v="31–45 min"/>
    <s v="701–1000"/>
    <n v="28215"/>
    <n v="-85.5"/>
  </r>
  <r>
    <n v="11933"/>
    <n v="39"/>
    <s v="Male"/>
    <s v="Hyderabad"/>
    <d v="2022-06-11T00:00:00"/>
    <d v="2023-07-01T00:00:00"/>
    <x v="0"/>
    <n v="366"/>
    <x v="33"/>
    <n v="2"/>
    <n v="19.059999999999999"/>
    <n v="0"/>
    <x v="1"/>
    <x v="1"/>
    <n v="12078"/>
    <b v="1"/>
    <n v="2.75"/>
    <n v="366"/>
    <n v="6.3533333333333326"/>
    <d v="2022-06-01T00:00:00"/>
    <s v="Middle-aged"/>
    <n v="0"/>
    <s v="No"/>
    <n v="385"/>
    <s v="Low"/>
    <s v="Low"/>
    <n v="5.8823529411764705E-2"/>
    <s v="Medium"/>
    <n v="1"/>
    <d v="2022-06-01T00:00:00"/>
    <s v="25+ months"/>
    <s v="2–3 tickets"/>
    <s v="11–20 min"/>
    <s v="301–500"/>
    <n v="12078"/>
    <n v="0"/>
  </r>
  <r>
    <n v="11934"/>
    <n v="54"/>
    <s v="Male"/>
    <s v="Chennai"/>
    <d v="2023-04-30T00:00:00"/>
    <d v="2023-05-05T00:00:00"/>
    <x v="0"/>
    <n v="1479"/>
    <x v="16"/>
    <n v="1"/>
    <n v="53.89"/>
    <n v="5"/>
    <x v="0"/>
    <x v="0"/>
    <n v="10279.049999999999"/>
    <b v="1"/>
    <n v="0.58333333333333337"/>
    <n v="1468.4357142857141"/>
    <n v="26.945"/>
    <d v="2023-04-01T00:00:00"/>
    <s v="Older"/>
    <n v="1"/>
    <s v="No"/>
    <n v="5"/>
    <s v="Medium"/>
    <s v="Low"/>
    <n v="0.125"/>
    <s v="Medium"/>
    <n v="1"/>
    <d v="2023-04-01T00:00:00"/>
    <s v="7–12 months"/>
    <s v="0–1 tickets"/>
    <s v="46+ min"/>
    <s v="1000+"/>
    <n v="10353"/>
    <n v="-73.950000000000728"/>
  </r>
  <r>
    <n v="11935"/>
    <n v="49"/>
    <s v="Male"/>
    <s v="Hyderabad"/>
    <d v="2021-09-12T00:00:00"/>
    <d v="2021-06-24T00:00:00"/>
    <x v="0"/>
    <n v="1134"/>
    <x v="2"/>
    <n v="2"/>
    <n v="113.52"/>
    <n v="15"/>
    <x v="3"/>
    <x v="1"/>
    <n v="4365.8999999999996"/>
    <b v="0"/>
    <n v="0.33333333333333331"/>
    <n v="1091.4749999999999"/>
    <n v="37.839999999999996"/>
    <d v="2021-09-01T00:00:00"/>
    <s v="Middle-aged"/>
    <n v="0"/>
    <s v="No"/>
    <m/>
    <s v="High"/>
    <s v="Low"/>
    <n v="0.4"/>
    <s v="Low"/>
    <n v="1"/>
    <d v="2021-09-01T00:00:00"/>
    <s v="0–6 months"/>
    <s v="2–3 tickets"/>
    <s v="46+ min"/>
    <s v="1000+"/>
    <n v="4536"/>
    <n v="-170.10000000000036"/>
  </r>
  <r>
    <n v="11936"/>
    <n v="58"/>
    <s v="Female"/>
    <s v="Mumbai"/>
    <d v="2022-08-27T00:00:00"/>
    <d v="2022-09-16T00:00:00"/>
    <x v="2"/>
    <n v="505"/>
    <x v="29"/>
    <n v="2"/>
    <n v="62.59"/>
    <n v="15"/>
    <x v="1"/>
    <x v="1"/>
    <n v="14064.25"/>
    <b v="1"/>
    <n v="2.3333333333333335"/>
    <n v="502.29464285714283"/>
    <n v="20.863333333333333"/>
    <d v="2022-08-01T00:00:00"/>
    <s v="Older"/>
    <n v="0"/>
    <s v="Yes"/>
    <n v="20"/>
    <s v="High"/>
    <s v="Low"/>
    <n v="6.8965517241379309E-2"/>
    <s v="Medium"/>
    <n v="2"/>
    <d v="2022-08-01T00:00:00"/>
    <s v="25+ months"/>
    <s v="2–3 tickets"/>
    <s v="46+ min"/>
    <s v="501–700"/>
    <n v="14140"/>
    <n v="-75.75"/>
  </r>
  <r>
    <n v="11937"/>
    <n v="41"/>
    <s v="Female"/>
    <s v="Bangalore"/>
    <d v="2022-05-25T00:00:00"/>
    <d v="2022-07-05T00:00:00"/>
    <x v="1"/>
    <n v="1085"/>
    <x v="31"/>
    <n v="2"/>
    <n v="78.05"/>
    <n v="20"/>
    <x v="1"/>
    <x v="1"/>
    <n v="24738"/>
    <b v="1"/>
    <n v="1.9166666666666667"/>
    <n v="1075.5652173913043"/>
    <n v="26.016666666666666"/>
    <d v="2022-05-01T00:00:00"/>
    <s v="Middle-aged"/>
    <n v="0"/>
    <s v="Yes"/>
    <n v="41"/>
    <s v="High"/>
    <s v="Medium"/>
    <n v="8.3333333333333329E-2"/>
    <s v="High"/>
    <n v="3"/>
    <d v="2022-05-01T00:00:00"/>
    <s v="13–24 months"/>
    <s v="2–3 tickets"/>
    <s v="46+ min"/>
    <s v="1000+"/>
    <n v="24955"/>
    <n v="-217"/>
  </r>
  <r>
    <n v="11938"/>
    <n v="45"/>
    <s v="Female"/>
    <s v="Bangalore"/>
    <d v="2023-03-02T00:00:00"/>
    <d v="2023-01-13T00:00:00"/>
    <x v="1"/>
    <n v="454"/>
    <x v="23"/>
    <n v="2"/>
    <n v="76.78"/>
    <n v="0"/>
    <x v="1"/>
    <x v="1"/>
    <n v="14528"/>
    <b v="0"/>
    <n v="2.6666666666666665"/>
    <n v="454"/>
    <n v="25.593333333333334"/>
    <d v="2023-03-01T00:00:00"/>
    <s v="Middle-aged"/>
    <n v="0"/>
    <s v="Yes"/>
    <m/>
    <s v="High"/>
    <s v="Low"/>
    <n v="6.0606060606060608E-2"/>
    <s v="Medium"/>
    <n v="3"/>
    <d v="2023-03-01T00:00:00"/>
    <s v="25+ months"/>
    <s v="2–3 tickets"/>
    <s v="46+ min"/>
    <s v="301–500"/>
    <n v="14528"/>
    <n v="0"/>
  </r>
  <r>
    <n v="11939"/>
    <n v="27"/>
    <s v="Female"/>
    <s v="Pune"/>
    <d v="2022-12-19T00:00:00"/>
    <d v="2021-10-12T00:00:00"/>
    <x v="0"/>
    <n v="1397"/>
    <x v="24"/>
    <n v="3"/>
    <n v="20.25"/>
    <n v="0"/>
    <x v="0"/>
    <x v="1"/>
    <n v="22352"/>
    <b v="0"/>
    <n v="1.3333333333333333"/>
    <n v="1397"/>
    <n v="5.0625"/>
    <d v="2022-12-01T00:00:00"/>
    <s v="Adult"/>
    <n v="0"/>
    <s v="Yes"/>
    <m/>
    <s v="Medium"/>
    <s v="Low"/>
    <n v="0.17647058823529413"/>
    <s v="High"/>
    <n v="1"/>
    <d v="2022-12-01T00:00:00"/>
    <s v="13–24 months"/>
    <s v="2–3 tickets"/>
    <s v="21–30 min"/>
    <s v="1000+"/>
    <n v="22352"/>
    <n v="0"/>
  </r>
  <r>
    <n v="11940"/>
    <n v="52"/>
    <s v="Female"/>
    <s v="Hyderabad"/>
    <d v="2022-08-29T00:00:00"/>
    <d v="2022-07-26T00:00:00"/>
    <x v="0"/>
    <n v="1372"/>
    <x v="32"/>
    <n v="1"/>
    <n v="49.88"/>
    <n v="0"/>
    <x v="2"/>
    <x v="1"/>
    <n v="13720"/>
    <b v="0"/>
    <n v="0.83333333333333337"/>
    <n v="1372"/>
    <n v="24.94"/>
    <d v="2022-08-01T00:00:00"/>
    <s v="Older"/>
    <n v="0"/>
    <s v="Yes"/>
    <m/>
    <s v="Medium"/>
    <s v="Low"/>
    <n v="9.0909090909090912E-2"/>
    <s v="Medium"/>
    <n v="1"/>
    <d v="2022-08-01T00:00:00"/>
    <s v="7–12 months"/>
    <s v="0–1 tickets"/>
    <s v="46+ min"/>
    <s v="1000+"/>
    <n v="13720"/>
    <n v="0"/>
  </r>
  <r>
    <n v="11941"/>
    <n v="46"/>
    <s v="Female"/>
    <s v="Delhi"/>
    <d v="2023-01-07T00:00:00"/>
    <d v="2021-12-30T00:00:00"/>
    <x v="0"/>
    <n v="1082"/>
    <x v="25"/>
    <n v="6"/>
    <n v="86.3"/>
    <n v="10"/>
    <x v="1"/>
    <x v="1"/>
    <n v="15039.8"/>
    <b v="0"/>
    <n v="1.1666666666666667"/>
    <n v="1074.2714285714285"/>
    <n v="12.328571428571427"/>
    <d v="2023-01-01T00:00:00"/>
    <s v="Middle-aged"/>
    <n v="0"/>
    <s v="Yes"/>
    <m/>
    <s v="High"/>
    <s v="Low"/>
    <n v="0.4"/>
    <s v="Medium"/>
    <n v="1"/>
    <d v="2023-01-01T00:00:00"/>
    <s v="13–24 months"/>
    <s v="6+ tickets"/>
    <s v="46+ min"/>
    <s v="1000+"/>
    <n v="15148"/>
    <n v="-108.20000000000073"/>
  </r>
  <r>
    <n v="11942"/>
    <n v="32"/>
    <s v="Male"/>
    <s v="Delhi"/>
    <d v="2023-03-24T00:00:00"/>
    <d v="2023-11-17T00:00:00"/>
    <x v="0"/>
    <n v="884"/>
    <x v="22"/>
    <n v="2"/>
    <n v="116.78"/>
    <n v="0"/>
    <x v="1"/>
    <x v="1"/>
    <n v="30056"/>
    <b v="1"/>
    <n v="2.8333333333333335"/>
    <n v="884"/>
    <n v="38.926666666666669"/>
    <d v="2023-03-01T00:00:00"/>
    <s v="Adult"/>
    <n v="0"/>
    <s v="Yes"/>
    <n v="238"/>
    <s v="High"/>
    <s v="Low"/>
    <n v="5.7142857142857141E-2"/>
    <s v="High"/>
    <n v="1"/>
    <d v="2023-03-01T00:00:00"/>
    <s v="25+ months"/>
    <s v="2–3 tickets"/>
    <s v="46+ min"/>
    <s v="701–1000"/>
    <n v="30056"/>
    <n v="0"/>
  </r>
  <r>
    <n v="11943"/>
    <n v="50"/>
    <s v="Female"/>
    <s v="Hyderabad"/>
    <d v="2023-04-10T00:00:00"/>
    <d v="2022-09-25T00:00:00"/>
    <x v="2"/>
    <n v="1007"/>
    <x v="30"/>
    <n v="1"/>
    <n v="24.32"/>
    <n v="15"/>
    <x v="1"/>
    <x v="1"/>
    <n v="24016.95"/>
    <b v="0"/>
    <n v="2"/>
    <n v="1000.7062500000001"/>
    <n v="12.16"/>
    <d v="2023-04-01T00:00:00"/>
    <s v="Middle-aged"/>
    <n v="0"/>
    <s v="Yes"/>
    <m/>
    <s v="Medium"/>
    <s v="Low"/>
    <n v="0.04"/>
    <s v="High"/>
    <n v="2"/>
    <d v="2023-04-01T00:00:00"/>
    <s v="13–24 months"/>
    <s v="0–1 tickets"/>
    <s v="21–30 min"/>
    <s v="1000+"/>
    <n v="24168"/>
    <n v="-151.04999999999927"/>
  </r>
  <r>
    <n v="11944"/>
    <n v="24"/>
    <s v="Female"/>
    <s v="Mumbai"/>
    <d v="2022-04-08T00:00:00"/>
    <d v="2022-05-14T00:00:00"/>
    <x v="1"/>
    <n v="478"/>
    <x v="10"/>
    <n v="0"/>
    <n v="52.2"/>
    <n v="0"/>
    <x v="3"/>
    <x v="0"/>
    <n v="8604"/>
    <b v="1"/>
    <n v="1.5"/>
    <n v="478"/>
    <n v="52.2"/>
    <d v="2022-04-01T00:00:00"/>
    <s v="Young"/>
    <n v="1"/>
    <s v="No"/>
    <n v="36"/>
    <s v="Medium"/>
    <s v="Low"/>
    <n v="0"/>
    <s v="Low"/>
    <n v="3"/>
    <d v="2022-04-01T00:00:00"/>
    <s v="13–24 months"/>
    <s v="0–1 tickets"/>
    <s v="46+ min"/>
    <s v="301–500"/>
    <n v="8604"/>
    <n v="0"/>
  </r>
  <r>
    <n v="11945"/>
    <n v="29"/>
    <s v="Female"/>
    <s v="Delhi"/>
    <d v="2021-07-18T00:00:00"/>
    <d v="2021-11-13T00:00:00"/>
    <x v="1"/>
    <n v="1371"/>
    <x v="24"/>
    <n v="2"/>
    <n v="62.59"/>
    <n v="10"/>
    <x v="3"/>
    <x v="0"/>
    <n v="21798.9"/>
    <b v="1"/>
    <n v="1.3333333333333333"/>
    <n v="1362.4312500000001"/>
    <n v="20.863333333333333"/>
    <d v="2021-07-01T00:00:00"/>
    <s v="Adult"/>
    <n v="1"/>
    <s v="Yes"/>
    <n v="118"/>
    <s v="High"/>
    <s v="Low"/>
    <n v="0.11764705882352941"/>
    <s v="High"/>
    <n v="3"/>
    <d v="2021-07-01T00:00:00"/>
    <s v="13–24 months"/>
    <s v="2–3 tickets"/>
    <s v="46+ min"/>
    <s v="1000+"/>
    <n v="21936"/>
    <n v="-137.09999999999854"/>
  </r>
  <r>
    <n v="11946"/>
    <n v="47"/>
    <s v="Female"/>
    <s v="Pune"/>
    <d v="2021-09-28T00:00:00"/>
    <d v="2022-05-14T00:00:00"/>
    <x v="2"/>
    <n v="1395"/>
    <x v="0"/>
    <n v="1"/>
    <n v="32.869999999999997"/>
    <n v="5"/>
    <x v="1"/>
    <x v="1"/>
    <n v="34805.25"/>
    <b v="1"/>
    <n v="2.0833333333333335"/>
    <n v="1392.21"/>
    <n v="16.434999999999999"/>
    <d v="2021-09-01T00:00:00"/>
    <s v="Middle-aged"/>
    <n v="0"/>
    <s v="Yes"/>
    <n v="228"/>
    <s v="Medium"/>
    <s v="Low"/>
    <n v="3.8461538461538464E-2"/>
    <s v="High"/>
    <n v="2"/>
    <d v="2021-09-01T00:00:00"/>
    <s v="25+ months"/>
    <s v="0–1 tickets"/>
    <s v="31–45 min"/>
    <s v="1000+"/>
    <n v="34875"/>
    <n v="-69.75"/>
  </r>
  <r>
    <n v="11947"/>
    <n v="38"/>
    <s v="Female"/>
    <s v="Hyderabad"/>
    <d v="2023-01-16T00:00:00"/>
    <d v="2023-09-27T00:00:00"/>
    <x v="1"/>
    <n v="412"/>
    <x v="14"/>
    <n v="1"/>
    <n v="48.33"/>
    <n v="0"/>
    <x v="0"/>
    <x v="0"/>
    <n v="3296"/>
    <b v="1"/>
    <n v="0.66666666666666663"/>
    <n v="412"/>
    <n v="24.164999999999999"/>
    <d v="2023-01-01T00:00:00"/>
    <s v="Middle-aged"/>
    <n v="1"/>
    <s v="No"/>
    <n v="254"/>
    <s v="Medium"/>
    <s v="Low"/>
    <n v="0.1111111111111111"/>
    <s v="Low"/>
    <n v="3"/>
    <d v="2023-01-01T00:00:00"/>
    <s v="7–12 months"/>
    <s v="0–1 tickets"/>
    <s v="46+ min"/>
    <s v="301–500"/>
    <n v="3296"/>
    <n v="0"/>
  </r>
  <r>
    <n v="11948"/>
    <n v="48"/>
    <s v="Female"/>
    <s v="Mumbai"/>
    <d v="2022-07-12T00:00:00"/>
    <d v="2022-07-03T00:00:00"/>
    <x v="2"/>
    <n v="1056"/>
    <x v="30"/>
    <n v="1"/>
    <n v="67.17"/>
    <n v="5"/>
    <x v="2"/>
    <x v="1"/>
    <n v="25291.200000000001"/>
    <b v="0"/>
    <n v="2"/>
    <n v="1053.8"/>
    <n v="33.585000000000001"/>
    <d v="2022-07-01T00:00:00"/>
    <s v="Middle-aged"/>
    <n v="0"/>
    <s v="Yes"/>
    <m/>
    <s v="High"/>
    <s v="Low"/>
    <n v="0.04"/>
    <s v="High"/>
    <n v="2"/>
    <d v="2022-07-01T00:00:00"/>
    <s v="13–24 months"/>
    <s v="0–1 tickets"/>
    <s v="46+ min"/>
    <s v="1000+"/>
    <n v="25344"/>
    <n v="-52.799999999999272"/>
  </r>
  <r>
    <n v="11949"/>
    <n v="41"/>
    <s v="Female"/>
    <s v="Mumbai"/>
    <d v="2021-03-05T00:00:00"/>
    <d v="2023-01-04T00:00:00"/>
    <x v="0"/>
    <n v="1196"/>
    <x v="28"/>
    <n v="1"/>
    <n v="62.59"/>
    <n v="20"/>
    <x v="3"/>
    <x v="0"/>
    <n v="23680.799999999999"/>
    <b v="1"/>
    <n v="1.6666666666666667"/>
    <n v="1184.04"/>
    <n v="31.295000000000002"/>
    <d v="2021-03-01T00:00:00"/>
    <s v="Middle-aged"/>
    <n v="1"/>
    <s v="Yes"/>
    <n v="670"/>
    <s v="High"/>
    <s v="Medium"/>
    <n v="4.7619047619047616E-2"/>
    <s v="High"/>
    <n v="1"/>
    <d v="2021-03-01T00:00:00"/>
    <s v="13–24 months"/>
    <s v="0–1 tickets"/>
    <s v="46+ min"/>
    <s v="1000+"/>
    <n v="23920"/>
    <n v="-239.20000000000073"/>
  </r>
  <r>
    <n v="11950"/>
    <n v="37"/>
    <s v="Male"/>
    <s v="Chennai"/>
    <d v="2021-08-18T00:00:00"/>
    <d v="2023-05-27T00:00:00"/>
    <x v="2"/>
    <n v="1120"/>
    <x v="3"/>
    <n v="2"/>
    <n v="31.17"/>
    <n v="10"/>
    <x v="2"/>
    <x v="1"/>
    <n v="33488"/>
    <b v="1"/>
    <n v="2.5"/>
    <n v="1116.2666666666667"/>
    <n v="10.39"/>
    <d v="2021-08-01T00:00:00"/>
    <s v="Middle-aged"/>
    <n v="0"/>
    <s v="Yes"/>
    <n v="647"/>
    <s v="Medium"/>
    <s v="Low"/>
    <n v="6.4516129032258063E-2"/>
    <s v="High"/>
    <n v="2"/>
    <d v="2021-08-01T00:00:00"/>
    <s v="25+ months"/>
    <s v="2–3 tickets"/>
    <s v="31–45 min"/>
    <s v="1000+"/>
    <n v="33600"/>
    <n v="-112"/>
  </r>
  <r>
    <n v="11951"/>
    <n v="54"/>
    <s v="Female"/>
    <s v="Mumbai"/>
    <d v="2021-09-06T00:00:00"/>
    <d v="2022-08-09T00:00:00"/>
    <x v="2"/>
    <n v="458"/>
    <x v="28"/>
    <n v="0"/>
    <n v="94.45"/>
    <n v="0"/>
    <x v="1"/>
    <x v="1"/>
    <n v="9160"/>
    <b v="1"/>
    <n v="1.6666666666666667"/>
    <n v="458"/>
    <n v="94.45"/>
    <d v="2021-09-01T00:00:00"/>
    <s v="Older"/>
    <n v="0"/>
    <s v="No"/>
    <n v="337"/>
    <s v="High"/>
    <s v="Low"/>
    <n v="0"/>
    <s v="Medium"/>
    <n v="2"/>
    <d v="2021-09-01T00:00:00"/>
    <s v="13–24 months"/>
    <s v="0–1 tickets"/>
    <s v="46+ min"/>
    <s v="301–500"/>
    <n v="9160"/>
    <n v="0"/>
  </r>
  <r>
    <n v="11952"/>
    <n v="41"/>
    <s v="Male"/>
    <s v="Delhi"/>
    <d v="2021-09-03T00:00:00"/>
    <d v="2022-12-29T00:00:00"/>
    <x v="2"/>
    <n v="1085"/>
    <x v="10"/>
    <n v="1"/>
    <n v="115.7"/>
    <n v="10"/>
    <x v="3"/>
    <x v="0"/>
    <n v="19313"/>
    <b v="1"/>
    <n v="1.5"/>
    <n v="1072.9444444444443"/>
    <n v="57.85"/>
    <d v="2021-09-01T00:00:00"/>
    <s v="Middle-aged"/>
    <n v="1"/>
    <s v="Yes"/>
    <n v="482"/>
    <s v="High"/>
    <s v="Low"/>
    <n v="5.2631578947368418E-2"/>
    <s v="Medium"/>
    <n v="2"/>
    <d v="2021-09-01T00:00:00"/>
    <s v="13–24 months"/>
    <s v="0–1 tickets"/>
    <s v="46+ min"/>
    <s v="1000+"/>
    <n v="19530"/>
    <n v="-217"/>
  </r>
  <r>
    <n v="11953"/>
    <n v="45"/>
    <s v="Female"/>
    <s v="Delhi"/>
    <d v="2022-08-10T00:00:00"/>
    <d v="2022-01-07T00:00:00"/>
    <x v="0"/>
    <n v="1353"/>
    <x v="2"/>
    <n v="3"/>
    <n v="42.22"/>
    <n v="20"/>
    <x v="2"/>
    <x v="1"/>
    <n v="5141.3999999999996"/>
    <b v="0"/>
    <n v="0.33333333333333331"/>
    <n v="1285.3499999999999"/>
    <n v="10.555"/>
    <d v="2022-08-01T00:00:00"/>
    <s v="Middle-aged"/>
    <n v="0"/>
    <s v="No"/>
    <m/>
    <s v="Medium"/>
    <s v="Medium"/>
    <n v="0.6"/>
    <s v="Low"/>
    <n v="1"/>
    <d v="2022-08-01T00:00:00"/>
    <s v="0–6 months"/>
    <s v="2–3 tickets"/>
    <s v="31–45 min"/>
    <s v="1000+"/>
    <n v="5412"/>
    <n v="-270.60000000000036"/>
  </r>
  <r>
    <n v="11954"/>
    <n v="61"/>
    <s v="Female"/>
    <s v="Hyderabad"/>
    <d v="2021-06-06T00:00:00"/>
    <d v="2022-04-04T00:00:00"/>
    <x v="0"/>
    <n v="1420"/>
    <x v="20"/>
    <n v="1"/>
    <n v="84.12"/>
    <n v="5"/>
    <x v="1"/>
    <x v="1"/>
    <n v="8449"/>
    <b v="1"/>
    <n v="0.5"/>
    <n v="1408.1666666666667"/>
    <n v="42.06"/>
    <d v="2021-06-01T00:00:00"/>
    <s v="Older"/>
    <n v="0"/>
    <s v="No"/>
    <n v="302"/>
    <s v="High"/>
    <s v="Low"/>
    <n v="0.14285714285714285"/>
    <s v="Low"/>
    <n v="1"/>
    <d v="2021-06-01T00:00:00"/>
    <s v="0–6 months"/>
    <s v="0–1 tickets"/>
    <s v="46+ min"/>
    <s v="1000+"/>
    <n v="8520"/>
    <n v="-71"/>
  </r>
  <r>
    <n v="11955"/>
    <n v="37"/>
    <s v="Male"/>
    <s v="Hyderabad"/>
    <d v="2023-01-05T00:00:00"/>
    <d v="2023-08-07T00:00:00"/>
    <x v="0"/>
    <n v="550"/>
    <x v="13"/>
    <n v="2"/>
    <n v="34.68"/>
    <n v="15"/>
    <x v="3"/>
    <x v="0"/>
    <n v="1567.5"/>
    <b v="1"/>
    <n v="0.25"/>
    <n v="522.5"/>
    <n v="11.56"/>
    <d v="2023-01-01T00:00:00"/>
    <s v="Middle-aged"/>
    <n v="1"/>
    <s v="No"/>
    <n v="214"/>
    <s v="Medium"/>
    <s v="Low"/>
    <n v="0.5"/>
    <s v="Low"/>
    <n v="1"/>
    <d v="2023-01-01T00:00:00"/>
    <s v="0–6 months"/>
    <s v="2–3 tickets"/>
    <s v="31–45 min"/>
    <s v="501–700"/>
    <n v="1650"/>
    <n v="-82.5"/>
  </r>
  <r>
    <n v="11956"/>
    <n v="41"/>
    <s v="Female"/>
    <s v="Mumbai"/>
    <d v="2022-12-03T00:00:00"/>
    <d v="2023-04-28T00:00:00"/>
    <x v="1"/>
    <n v="1415"/>
    <x v="10"/>
    <n v="1"/>
    <n v="111.71"/>
    <n v="15"/>
    <x v="1"/>
    <x v="1"/>
    <n v="25257.75"/>
    <b v="1"/>
    <n v="1.5"/>
    <n v="1403.2083333333333"/>
    <n v="55.854999999999997"/>
    <d v="2022-12-01T00:00:00"/>
    <s v="Middle-aged"/>
    <n v="0"/>
    <s v="Yes"/>
    <n v="146"/>
    <s v="High"/>
    <s v="Low"/>
    <n v="5.2631578947368418E-2"/>
    <s v="High"/>
    <n v="3"/>
    <d v="2022-12-01T00:00:00"/>
    <s v="13–24 months"/>
    <s v="0–1 tickets"/>
    <s v="46+ min"/>
    <s v="1000+"/>
    <n v="25470"/>
    <n v="-212.25"/>
  </r>
  <r>
    <n v="11957"/>
    <n v="49"/>
    <s v="Male"/>
    <s v="Pune"/>
    <d v="2022-07-18T00:00:00"/>
    <d v="2023-05-20T00:00:00"/>
    <x v="0"/>
    <n v="412"/>
    <x v="10"/>
    <n v="0"/>
    <n v="82.38"/>
    <n v="15"/>
    <x v="3"/>
    <x v="1"/>
    <n v="7354.2"/>
    <b v="1"/>
    <n v="1.5"/>
    <n v="408.56666666666666"/>
    <n v="82.38"/>
    <d v="2022-07-01T00:00:00"/>
    <s v="Middle-aged"/>
    <n v="0"/>
    <s v="No"/>
    <n v="306"/>
    <s v="High"/>
    <s v="Low"/>
    <n v="0"/>
    <s v="Low"/>
    <n v="1"/>
    <d v="2022-07-01T00:00:00"/>
    <s v="13–24 months"/>
    <s v="0–1 tickets"/>
    <s v="46+ min"/>
    <s v="301–500"/>
    <n v="7416"/>
    <n v="-61.800000000000182"/>
  </r>
  <r>
    <n v="11958"/>
    <n v="58"/>
    <s v="Female"/>
    <s v="Bangalore"/>
    <d v="2021-03-29T00:00:00"/>
    <d v="2022-09-09T00:00:00"/>
    <x v="2"/>
    <n v="558"/>
    <x v="31"/>
    <n v="3"/>
    <n v="97.31"/>
    <n v="15"/>
    <x v="2"/>
    <x v="1"/>
    <n v="12750.3"/>
    <b v="1"/>
    <n v="1.9166666666666667"/>
    <n v="554.3608695652174"/>
    <n v="24.327500000000001"/>
    <d v="2021-03-01T00:00:00"/>
    <s v="Older"/>
    <n v="0"/>
    <s v="No"/>
    <n v="529"/>
    <s v="High"/>
    <s v="Low"/>
    <n v="0.125"/>
    <s v="Medium"/>
    <n v="2"/>
    <d v="2021-03-01T00:00:00"/>
    <s v="13–24 months"/>
    <s v="2–3 tickets"/>
    <s v="46+ min"/>
    <s v="501–700"/>
    <n v="12834"/>
    <n v="-83.700000000000728"/>
  </r>
  <r>
    <n v="11959"/>
    <n v="53"/>
    <s v="Male"/>
    <s v="Chennai"/>
    <d v="2021-11-09T00:00:00"/>
    <d v="2021-09-07T00:00:00"/>
    <x v="2"/>
    <n v="406"/>
    <x v="12"/>
    <n v="1"/>
    <n v="62.59"/>
    <n v="10"/>
    <x v="2"/>
    <x v="1"/>
    <n v="14169.4"/>
    <b v="0"/>
    <n v="2.9166666666666665"/>
    <n v="404.84"/>
    <n v="31.295000000000002"/>
    <d v="2021-11-01T00:00:00"/>
    <s v="Older"/>
    <n v="0"/>
    <s v="Yes"/>
    <m/>
    <s v="High"/>
    <s v="Low"/>
    <n v="2.7777777777777776E-2"/>
    <s v="Medium"/>
    <n v="2"/>
    <d v="2021-11-01T00:00:00"/>
    <s v="25+ months"/>
    <s v="0–1 tickets"/>
    <s v="46+ min"/>
    <s v="301–500"/>
    <n v="14210"/>
    <n v="-40.600000000000364"/>
  </r>
  <r>
    <n v="11960"/>
    <n v="51"/>
    <s v="Female"/>
    <s v="Bangalore"/>
    <d v="2023-05-01T00:00:00"/>
    <d v="2022-01-28T00:00:00"/>
    <x v="0"/>
    <n v="874"/>
    <x v="20"/>
    <n v="7"/>
    <n v="73.83"/>
    <n v="0"/>
    <x v="3"/>
    <x v="1"/>
    <n v="5244"/>
    <b v="0"/>
    <n v="0.5"/>
    <n v="874"/>
    <n v="9.2287499999999998"/>
    <d v="2023-05-01T00:00:00"/>
    <s v="Older"/>
    <n v="0"/>
    <s v="No"/>
    <m/>
    <s v="High"/>
    <s v="Low"/>
    <n v="1"/>
    <s v="Low"/>
    <n v="1"/>
    <d v="2023-05-01T00:00:00"/>
    <s v="0–6 months"/>
    <s v="6+ tickets"/>
    <s v="46+ min"/>
    <s v="701–1000"/>
    <n v="5244"/>
    <n v="0"/>
  </r>
  <r>
    <n v="11961"/>
    <n v="53"/>
    <s v="Male"/>
    <s v="Mumbai"/>
    <d v="2021-03-07T00:00:00"/>
    <d v="2021-11-05T00:00:00"/>
    <x v="2"/>
    <n v="1290"/>
    <x v="8"/>
    <n v="3"/>
    <n v="65.680000000000007"/>
    <n v="0"/>
    <x v="0"/>
    <x v="1"/>
    <n v="33540"/>
    <b v="1"/>
    <n v="2.1666666666666665"/>
    <n v="1290"/>
    <n v="16.420000000000002"/>
    <d v="2021-03-01T00:00:00"/>
    <s v="Older"/>
    <n v="0"/>
    <s v="Yes"/>
    <n v="243"/>
    <s v="High"/>
    <s v="Low"/>
    <n v="0.1111111111111111"/>
    <s v="High"/>
    <n v="2"/>
    <d v="2021-03-01T00:00:00"/>
    <s v="25+ months"/>
    <s v="2–3 tickets"/>
    <s v="46+ min"/>
    <s v="1000+"/>
    <n v="33540"/>
    <n v="0"/>
  </r>
  <r>
    <n v="11962"/>
    <n v="19"/>
    <s v="Female"/>
    <s v="Mumbai"/>
    <d v="2022-10-24T00:00:00"/>
    <d v="2023-01-31T00:00:00"/>
    <x v="1"/>
    <n v="726"/>
    <x v="6"/>
    <n v="0"/>
    <n v="38.69"/>
    <n v="10"/>
    <x v="1"/>
    <x v="1"/>
    <n v="15173.4"/>
    <b v="1"/>
    <n v="1.75"/>
    <n v="722.54285714285709"/>
    <n v="38.69"/>
    <d v="2022-10-01T00:00:00"/>
    <s v="Young"/>
    <n v="0"/>
    <s v="Yes"/>
    <n v="99"/>
    <s v="Medium"/>
    <s v="Low"/>
    <n v="0"/>
    <s v="Medium"/>
    <n v="3"/>
    <d v="2022-10-01T00:00:00"/>
    <s v="13–24 months"/>
    <s v="0–1 tickets"/>
    <s v="31–45 min"/>
    <s v="701–1000"/>
    <n v="15246"/>
    <n v="-72.600000000000364"/>
  </r>
  <r>
    <n v="11963"/>
    <n v="32"/>
    <s v="Male"/>
    <s v="Bangalore"/>
    <d v="2021-01-20T00:00:00"/>
    <d v="2022-12-06T00:00:00"/>
    <x v="2"/>
    <n v="1158"/>
    <x v="30"/>
    <n v="3"/>
    <n v="62.59"/>
    <n v="5"/>
    <x v="2"/>
    <x v="1"/>
    <n v="27734.1"/>
    <b v="1"/>
    <n v="2"/>
    <n v="1155.5874999999999"/>
    <n v="15.647500000000001"/>
    <d v="2021-01-01T00:00:00"/>
    <s v="Adult"/>
    <n v="0"/>
    <s v="Yes"/>
    <n v="685"/>
    <s v="High"/>
    <s v="Low"/>
    <n v="0.12"/>
    <s v="High"/>
    <n v="2"/>
    <d v="2021-01-01T00:00:00"/>
    <s v="13–24 months"/>
    <s v="2–3 tickets"/>
    <s v="46+ min"/>
    <s v="1000+"/>
    <n v="27792"/>
    <n v="-57.900000000001455"/>
  </r>
  <r>
    <n v="11964"/>
    <n v="51"/>
    <s v="Female"/>
    <s v="Chennai"/>
    <d v="2021-02-02T00:00:00"/>
    <d v="2023-03-13T00:00:00"/>
    <x v="1"/>
    <n v="1217"/>
    <x v="15"/>
    <n v="3"/>
    <n v="71.7"/>
    <n v="0"/>
    <x v="0"/>
    <x v="0"/>
    <n v="18255"/>
    <b v="1"/>
    <n v="1.25"/>
    <n v="1217"/>
    <n v="17.925000000000001"/>
    <d v="2021-02-01T00:00:00"/>
    <s v="Older"/>
    <n v="1"/>
    <s v="Yes"/>
    <n v="769"/>
    <s v="High"/>
    <s v="Low"/>
    <n v="0.1875"/>
    <s v="Medium"/>
    <n v="3"/>
    <d v="2021-02-01T00:00:00"/>
    <s v="13–24 months"/>
    <s v="2–3 tickets"/>
    <s v="46+ min"/>
    <s v="1000+"/>
    <n v="18255"/>
    <n v="0"/>
  </r>
  <r>
    <n v="11965"/>
    <n v="53"/>
    <s v="Female"/>
    <s v="Bangalore"/>
    <d v="2023-04-20T00:00:00"/>
    <d v="2023-08-04T00:00:00"/>
    <x v="0"/>
    <n v="1443"/>
    <x v="26"/>
    <n v="3"/>
    <n v="86.25"/>
    <n v="20"/>
    <x v="3"/>
    <x v="1"/>
    <n v="38672.400000000001"/>
    <b v="1"/>
    <n v="2.25"/>
    <n v="1432.3111111111111"/>
    <n v="21.5625"/>
    <d v="2023-04-01T00:00:00"/>
    <s v="Older"/>
    <n v="0"/>
    <s v="Yes"/>
    <n v="106"/>
    <s v="High"/>
    <s v="Medium"/>
    <n v="0.10714285714285714"/>
    <s v="High"/>
    <n v="1"/>
    <d v="2023-04-01T00:00:00"/>
    <s v="25+ months"/>
    <s v="2–3 tickets"/>
    <s v="46+ min"/>
    <s v="1000+"/>
    <n v="38961"/>
    <n v="-288.59999999999854"/>
  </r>
  <r>
    <n v="11966"/>
    <n v="23"/>
    <s v="Other"/>
    <s v="Hyderabad"/>
    <d v="2023-03-04T00:00:00"/>
    <d v="2022-01-13T00:00:00"/>
    <x v="0"/>
    <n v="926"/>
    <x v="23"/>
    <n v="0"/>
    <n v="8.81"/>
    <n v="0"/>
    <x v="2"/>
    <x v="1"/>
    <n v="29632"/>
    <b v="0"/>
    <n v="2.6666666666666665"/>
    <n v="926"/>
    <n v="8.81"/>
    <d v="2023-03-01T00:00:00"/>
    <s v="Young"/>
    <n v="0"/>
    <s v="Yes"/>
    <m/>
    <s v="Low"/>
    <s v="Low"/>
    <n v="0"/>
    <s v="High"/>
    <n v="1"/>
    <d v="2023-03-01T00:00:00"/>
    <s v="25+ months"/>
    <s v="0–1 tickets"/>
    <s v="0–10 min"/>
    <s v="701–1000"/>
    <n v="29632"/>
    <n v="0"/>
  </r>
  <r>
    <n v="11967"/>
    <n v="56"/>
    <s v="Female"/>
    <s v="Delhi"/>
    <d v="2022-07-12T00:00:00"/>
    <d v="2022-07-28T00:00:00"/>
    <x v="1"/>
    <n v="774"/>
    <x v="34"/>
    <n v="0"/>
    <n v="70.25"/>
    <n v="10"/>
    <x v="2"/>
    <x v="1"/>
    <n v="9210.6"/>
    <b v="1"/>
    <n v="1"/>
    <n v="767.55000000000007"/>
    <n v="70.25"/>
    <d v="2022-07-01T00:00:00"/>
    <s v="Older"/>
    <n v="0"/>
    <s v="No"/>
    <n v="16"/>
    <s v="High"/>
    <s v="Low"/>
    <n v="0"/>
    <s v="Medium"/>
    <n v="3"/>
    <d v="2022-07-01T00:00:00"/>
    <s v="7–12 months"/>
    <s v="0–1 tickets"/>
    <s v="46+ min"/>
    <s v="701–1000"/>
    <n v="9288"/>
    <n v="-77.399999999999636"/>
  </r>
  <r>
    <n v="11968"/>
    <n v="59"/>
    <s v="Female"/>
    <s v="Pune"/>
    <d v="2021-03-14T00:00:00"/>
    <d v="2021-08-11T00:00:00"/>
    <x v="1"/>
    <n v="851"/>
    <x v="21"/>
    <n v="1"/>
    <n v="24.6"/>
    <n v="5"/>
    <x v="1"/>
    <x v="0"/>
    <n v="4212.45"/>
    <b v="1"/>
    <n v="0.41666666666666669"/>
    <n v="842.49"/>
    <n v="12.3"/>
    <d v="2021-03-01T00:00:00"/>
    <s v="Older"/>
    <n v="1"/>
    <s v="No"/>
    <n v="150"/>
    <s v="Medium"/>
    <s v="Low"/>
    <n v="0.16666666666666666"/>
    <s v="Low"/>
    <n v="3"/>
    <d v="2021-03-01T00:00:00"/>
    <s v="0–6 months"/>
    <s v="0–1 tickets"/>
    <s v="21–30 min"/>
    <s v="701–1000"/>
    <n v="4255"/>
    <n v="-42.550000000000182"/>
  </r>
  <r>
    <n v="11969"/>
    <n v="29"/>
    <s v="Male"/>
    <s v="Hyderabad"/>
    <d v="2023-05-16T00:00:00"/>
    <d v="2022-01-29T00:00:00"/>
    <x v="1"/>
    <n v="643"/>
    <x v="16"/>
    <n v="2"/>
    <n v="21.14"/>
    <n v="0"/>
    <x v="0"/>
    <x v="0"/>
    <n v="4501"/>
    <b v="0"/>
    <n v="0.58333333333333337"/>
    <n v="643"/>
    <n v="7.0466666666666669"/>
    <d v="2023-05-01T00:00:00"/>
    <s v="Adult"/>
    <n v="1"/>
    <s v="No"/>
    <m/>
    <s v="Medium"/>
    <s v="Low"/>
    <n v="0.25"/>
    <s v="Low"/>
    <n v="3"/>
    <d v="2023-05-01T00:00:00"/>
    <s v="7–12 months"/>
    <s v="2–3 tickets"/>
    <s v="21–30 min"/>
    <s v="501–700"/>
    <n v="4501"/>
    <n v="0"/>
  </r>
  <r>
    <n v="11970"/>
    <n v="20"/>
    <s v="Male"/>
    <s v="Delhi"/>
    <d v="2023-04-05T00:00:00"/>
    <d v="2022-11-12T00:00:00"/>
    <x v="2"/>
    <n v="927"/>
    <x v="1"/>
    <n v="1"/>
    <n v="76.66"/>
    <n v="10"/>
    <x v="1"/>
    <x v="1"/>
    <n v="20301.3"/>
    <b v="0"/>
    <n v="1.8333333333333333"/>
    <n v="922.7863636363636"/>
    <n v="38.33"/>
    <d v="2023-04-01T00:00:00"/>
    <s v="Young"/>
    <n v="0"/>
    <s v="Yes"/>
    <m/>
    <s v="High"/>
    <s v="Low"/>
    <n v="4.3478260869565216E-2"/>
    <s v="High"/>
    <n v="2"/>
    <d v="2023-04-01T00:00:00"/>
    <s v="13–24 months"/>
    <s v="0–1 tickets"/>
    <s v="46+ min"/>
    <s v="701–1000"/>
    <n v="20394"/>
    <n v="-92.700000000000728"/>
  </r>
  <r>
    <n v="11971"/>
    <n v="62"/>
    <s v="Male"/>
    <s v="Pune"/>
    <d v="2021-12-09T00:00:00"/>
    <d v="2023-01-10T00:00:00"/>
    <x v="1"/>
    <n v="435"/>
    <x v="26"/>
    <n v="7"/>
    <n v="40.75"/>
    <n v="20"/>
    <x v="3"/>
    <x v="1"/>
    <n v="11658"/>
    <b v="1"/>
    <n v="2.25"/>
    <n v="431.77777777777777"/>
    <n v="5.09375"/>
    <d v="2021-12-01T00:00:00"/>
    <s v="Older"/>
    <n v="0"/>
    <s v="No"/>
    <n v="397"/>
    <s v="Medium"/>
    <s v="Medium"/>
    <n v="0.25"/>
    <s v="Medium"/>
    <n v="3"/>
    <d v="2021-12-01T00:00:00"/>
    <s v="25+ months"/>
    <s v="6+ tickets"/>
    <s v="31–45 min"/>
    <s v="301–500"/>
    <n v="11745"/>
    <n v="-87"/>
  </r>
  <r>
    <n v="11972"/>
    <n v="35"/>
    <s v="Female"/>
    <s v="Pune"/>
    <d v="2021-05-13T00:00:00"/>
    <d v="2021-07-15T00:00:00"/>
    <x v="1"/>
    <n v="576"/>
    <x v="15"/>
    <n v="1"/>
    <n v="55.7"/>
    <n v="15"/>
    <x v="2"/>
    <x v="1"/>
    <n v="8553.6"/>
    <b v="1"/>
    <n v="1.25"/>
    <n v="570.24"/>
    <n v="27.85"/>
    <d v="2021-05-01T00:00:00"/>
    <s v="Adult"/>
    <n v="0"/>
    <s v="No"/>
    <n v="63"/>
    <s v="Medium"/>
    <s v="Low"/>
    <n v="6.25E-2"/>
    <s v="Low"/>
    <n v="3"/>
    <d v="2021-05-01T00:00:00"/>
    <s v="13–24 months"/>
    <s v="0–1 tickets"/>
    <s v="46+ min"/>
    <s v="501–700"/>
    <n v="8640"/>
    <n v="-86.399999999999636"/>
  </r>
  <r>
    <n v="11973"/>
    <n v="57"/>
    <s v="Female"/>
    <s v="Pune"/>
    <d v="2021-02-24T00:00:00"/>
    <d v="2022-09-15T00:00:00"/>
    <x v="1"/>
    <n v="330"/>
    <x v="12"/>
    <n v="0"/>
    <n v="46.4"/>
    <n v="20"/>
    <x v="0"/>
    <x v="1"/>
    <n v="11484"/>
    <b v="1"/>
    <n v="2.9166666666666665"/>
    <n v="328.1142857142857"/>
    <n v="46.4"/>
    <d v="2021-02-01T00:00:00"/>
    <s v="Older"/>
    <n v="0"/>
    <s v="No"/>
    <n v="568"/>
    <s v="Medium"/>
    <s v="Medium"/>
    <n v="0"/>
    <s v="Medium"/>
    <n v="3"/>
    <d v="2021-02-01T00:00:00"/>
    <s v="25+ months"/>
    <s v="0–1 tickets"/>
    <s v="46+ min"/>
    <s v="301–500"/>
    <n v="11550"/>
    <n v="-66"/>
  </r>
  <r>
    <n v="11974"/>
    <n v="38"/>
    <s v="Male"/>
    <s v="Mumbai"/>
    <d v="2021-03-02T00:00:00"/>
    <d v="2022-06-06T00:00:00"/>
    <x v="2"/>
    <n v="546"/>
    <x v="8"/>
    <n v="2"/>
    <n v="79.56"/>
    <n v="20"/>
    <x v="1"/>
    <x v="1"/>
    <n v="14086.8"/>
    <b v="1"/>
    <n v="2.1666666666666665"/>
    <n v="541.79999999999995"/>
    <n v="26.52"/>
    <d v="2021-03-01T00:00:00"/>
    <s v="Middle-aged"/>
    <n v="0"/>
    <s v="Yes"/>
    <n v="461"/>
    <s v="High"/>
    <s v="Medium"/>
    <n v="7.407407407407407E-2"/>
    <s v="Medium"/>
    <n v="2"/>
    <d v="2021-03-01T00:00:00"/>
    <s v="25+ months"/>
    <s v="2–3 tickets"/>
    <s v="46+ min"/>
    <s v="501–700"/>
    <n v="14196"/>
    <n v="-109.20000000000073"/>
  </r>
  <r>
    <n v="11975"/>
    <n v="32"/>
    <s v="Female"/>
    <s v="Pune"/>
    <d v="2023-05-07T00:00:00"/>
    <d v="2023-10-03T00:00:00"/>
    <x v="0"/>
    <n v="710"/>
    <x v="31"/>
    <n v="3"/>
    <n v="59.06"/>
    <n v="5"/>
    <x v="0"/>
    <x v="1"/>
    <n v="16294.5"/>
    <b v="1"/>
    <n v="1.9166666666666667"/>
    <n v="708.45652173913038"/>
    <n v="14.765000000000001"/>
    <d v="2023-05-01T00:00:00"/>
    <s v="Adult"/>
    <n v="0"/>
    <s v="Yes"/>
    <n v="149"/>
    <s v="Medium"/>
    <s v="Low"/>
    <n v="0.125"/>
    <s v="Medium"/>
    <n v="1"/>
    <d v="2023-05-01T00:00:00"/>
    <s v="13–24 months"/>
    <s v="2–3 tickets"/>
    <s v="46+ min"/>
    <s v="701–1000"/>
    <n v="16330"/>
    <n v="-35.5"/>
  </r>
  <r>
    <n v="11976"/>
    <n v="50"/>
    <s v="Female"/>
    <s v="Chennai"/>
    <d v="2022-06-04T00:00:00"/>
    <d v="2023-03-14T00:00:00"/>
    <x v="1"/>
    <n v="326"/>
    <x v="19"/>
    <n v="3"/>
    <n v="115.8"/>
    <n v="0"/>
    <x v="3"/>
    <x v="0"/>
    <n v="4238"/>
    <b v="1"/>
    <n v="1.0833333333333333"/>
    <n v="326"/>
    <n v="28.95"/>
    <d v="2022-06-01T00:00:00"/>
    <s v="Middle-aged"/>
    <n v="1"/>
    <s v="No"/>
    <n v="283"/>
    <s v="High"/>
    <s v="Low"/>
    <n v="0.21428571428571427"/>
    <s v="Low"/>
    <n v="3"/>
    <d v="2022-06-01T00:00:00"/>
    <s v="13–24 months"/>
    <s v="2–3 tickets"/>
    <s v="46+ min"/>
    <s v="301–500"/>
    <n v="4238"/>
    <n v="0"/>
  </r>
  <r>
    <n v="11977"/>
    <n v="52"/>
    <s v="Female"/>
    <s v="Bangalore"/>
    <d v="2021-09-29T00:00:00"/>
    <d v="2023-04-20T00:00:00"/>
    <x v="0"/>
    <n v="372"/>
    <x v="8"/>
    <n v="2"/>
    <n v="45.52"/>
    <n v="15"/>
    <x v="2"/>
    <x v="1"/>
    <n v="9616.2000000000007"/>
    <b v="1"/>
    <n v="2.1666666666666665"/>
    <n v="369.85384615384618"/>
    <n v="15.173333333333334"/>
    <d v="2021-09-01T00:00:00"/>
    <s v="Older"/>
    <n v="0"/>
    <s v="No"/>
    <n v="568"/>
    <s v="Medium"/>
    <s v="Low"/>
    <n v="7.407407407407407E-2"/>
    <s v="Medium"/>
    <n v="1"/>
    <d v="2021-09-01T00:00:00"/>
    <s v="25+ months"/>
    <s v="2–3 tickets"/>
    <s v="46+ min"/>
    <s v="301–500"/>
    <n v="9672"/>
    <n v="-55.799999999999272"/>
  </r>
  <r>
    <n v="11978"/>
    <n v="43"/>
    <s v="Male"/>
    <s v="Chennai"/>
    <d v="2021-09-03T00:00:00"/>
    <d v="2023-06-04T00:00:00"/>
    <x v="2"/>
    <n v="1420"/>
    <x v="13"/>
    <n v="2"/>
    <n v="90.13"/>
    <n v="10"/>
    <x v="0"/>
    <x v="1"/>
    <n v="4118"/>
    <b v="1"/>
    <n v="0.25"/>
    <n v="1372.6666666666667"/>
    <n v="30.043333333333333"/>
    <d v="2021-09-01T00:00:00"/>
    <s v="Middle-aged"/>
    <n v="0"/>
    <s v="No"/>
    <n v="639"/>
    <s v="High"/>
    <s v="Low"/>
    <n v="0.5"/>
    <s v="Low"/>
    <n v="2"/>
    <d v="2021-09-01T00:00:00"/>
    <s v="0–6 months"/>
    <s v="2–3 tickets"/>
    <s v="46+ min"/>
    <s v="1000+"/>
    <n v="4260"/>
    <n v="-142"/>
  </r>
  <r>
    <n v="11979"/>
    <n v="25"/>
    <s v="Male"/>
    <s v="Bangalore"/>
    <d v="2021-06-25T00:00:00"/>
    <d v="2021-08-31T00:00:00"/>
    <x v="0"/>
    <n v="972"/>
    <x v="5"/>
    <n v="1"/>
    <n v="34.590000000000003"/>
    <n v="15"/>
    <x v="3"/>
    <x v="1"/>
    <n v="28042.2"/>
    <b v="1"/>
    <n v="2.4166666666666665"/>
    <n v="966.97241379310344"/>
    <n v="17.295000000000002"/>
    <d v="2021-06-01T00:00:00"/>
    <s v="Young"/>
    <n v="0"/>
    <s v="Yes"/>
    <n v="67"/>
    <s v="Medium"/>
    <s v="Low"/>
    <n v="3.3333333333333333E-2"/>
    <s v="High"/>
    <n v="1"/>
    <d v="2021-06-01T00:00:00"/>
    <s v="25+ months"/>
    <s v="0–1 tickets"/>
    <s v="31–45 min"/>
    <s v="701–1000"/>
    <n v="28188"/>
    <n v="-145.79999999999927"/>
  </r>
  <r>
    <n v="11980"/>
    <n v="53"/>
    <s v="Female"/>
    <s v="Hyderabad"/>
    <d v="2022-09-20T00:00:00"/>
    <d v="2021-06-22T00:00:00"/>
    <x v="2"/>
    <n v="775"/>
    <x v="4"/>
    <n v="1"/>
    <n v="63.51"/>
    <n v="0"/>
    <x v="3"/>
    <x v="1"/>
    <n v="1550"/>
    <b v="0"/>
    <n v="0.16666666666666666"/>
    <n v="775"/>
    <n v="31.754999999999999"/>
    <d v="2022-09-01T00:00:00"/>
    <s v="Older"/>
    <n v="0"/>
    <s v="No"/>
    <m/>
    <s v="High"/>
    <s v="Low"/>
    <n v="0.33333333333333331"/>
    <s v="Low"/>
    <n v="2"/>
    <d v="2022-09-01T00:00:00"/>
    <s v="0–6 months"/>
    <s v="0–1 tickets"/>
    <s v="46+ min"/>
    <s v="701–1000"/>
    <n v="1550"/>
    <n v="0"/>
  </r>
  <r>
    <n v="11981"/>
    <n v="47"/>
    <s v="Female"/>
    <s v="Hyderabad"/>
    <d v="2021-11-13T00:00:00"/>
    <d v="2021-11-19T00:00:00"/>
    <x v="2"/>
    <n v="586"/>
    <x v="29"/>
    <n v="2"/>
    <n v="68.55"/>
    <n v="5"/>
    <x v="2"/>
    <x v="1"/>
    <n v="16378.7"/>
    <b v="1"/>
    <n v="2.3333333333333335"/>
    <n v="584.95357142857142"/>
    <n v="22.849999999999998"/>
    <d v="2021-11-01T00:00:00"/>
    <s v="Middle-aged"/>
    <n v="0"/>
    <s v="Yes"/>
    <n v="6"/>
    <s v="High"/>
    <s v="Low"/>
    <n v="6.8965517241379309E-2"/>
    <s v="Medium"/>
    <n v="2"/>
    <d v="2021-11-01T00:00:00"/>
    <s v="25+ months"/>
    <s v="2–3 tickets"/>
    <s v="46+ min"/>
    <s v="501–700"/>
    <n v="16408"/>
    <n v="-29.299999999999272"/>
  </r>
  <r>
    <n v="11982"/>
    <n v="40"/>
    <s v="Male"/>
    <s v="Bangalore"/>
    <d v="2023-02-22T00:00:00"/>
    <d v="2023-01-25T00:00:00"/>
    <x v="0"/>
    <n v="511"/>
    <x v="31"/>
    <n v="1"/>
    <n v="42.85"/>
    <n v="0"/>
    <x v="1"/>
    <x v="1"/>
    <n v="11753"/>
    <b v="0"/>
    <n v="1.9166666666666667"/>
    <n v="511"/>
    <n v="21.425000000000001"/>
    <d v="2023-02-01T00:00:00"/>
    <s v="Middle-aged"/>
    <n v="0"/>
    <s v="No"/>
    <m/>
    <s v="Medium"/>
    <s v="Low"/>
    <n v="4.1666666666666664E-2"/>
    <s v="Medium"/>
    <n v="1"/>
    <d v="2023-02-01T00:00:00"/>
    <s v="13–24 months"/>
    <s v="0–1 tickets"/>
    <s v="31–45 min"/>
    <s v="501–700"/>
    <n v="11753"/>
    <n v="0"/>
  </r>
  <r>
    <n v="11983"/>
    <n v="59"/>
    <s v="Female"/>
    <s v="Chennai"/>
    <d v="2022-12-06T00:00:00"/>
    <d v="2021-12-09T00:00:00"/>
    <x v="1"/>
    <n v="1399"/>
    <x v="20"/>
    <n v="1"/>
    <n v="59.25"/>
    <n v="10"/>
    <x v="2"/>
    <x v="0"/>
    <n v="8254.1"/>
    <b v="0"/>
    <n v="0.5"/>
    <n v="1375.6833333333334"/>
    <n v="29.625"/>
    <d v="2022-12-01T00:00:00"/>
    <s v="Older"/>
    <n v="1"/>
    <s v="No"/>
    <m/>
    <s v="Medium"/>
    <s v="Low"/>
    <n v="0.14285714285714285"/>
    <s v="Low"/>
    <n v="3"/>
    <d v="2022-12-01T00:00:00"/>
    <s v="0–6 months"/>
    <s v="0–1 tickets"/>
    <s v="46+ min"/>
    <s v="1000+"/>
    <n v="8394"/>
    <n v="-139.89999999999964"/>
  </r>
  <r>
    <n v="11984"/>
    <n v="61"/>
    <s v="Female"/>
    <s v="Bangalore"/>
    <d v="2022-10-24T00:00:00"/>
    <d v="2021-08-16T00:00:00"/>
    <x v="0"/>
    <n v="700"/>
    <x v="11"/>
    <n v="3"/>
    <n v="37.119999999999997"/>
    <n v="15"/>
    <x v="2"/>
    <x v="1"/>
    <n v="7595"/>
    <b v="0"/>
    <n v="0.91666666666666663"/>
    <n v="690.4545454545455"/>
    <n v="9.2799999999999994"/>
    <d v="2022-10-01T00:00:00"/>
    <s v="Older"/>
    <n v="0"/>
    <s v="No"/>
    <m/>
    <s v="Medium"/>
    <s v="Low"/>
    <n v="0.25"/>
    <s v="Low"/>
    <n v="1"/>
    <d v="2022-10-01T00:00:00"/>
    <s v="7–12 months"/>
    <s v="2–3 tickets"/>
    <s v="31–45 min"/>
    <s v="501–700"/>
    <n v="7700"/>
    <n v="-105"/>
  </r>
  <r>
    <n v="11985"/>
    <n v="31"/>
    <s v="Female"/>
    <s v="Pune"/>
    <d v="2021-05-11T00:00:00"/>
    <d v="2022-03-08T00:00:00"/>
    <x v="2"/>
    <n v="954"/>
    <x v="22"/>
    <n v="2"/>
    <n v="5.69"/>
    <n v="20"/>
    <x v="0"/>
    <x v="0"/>
    <n v="32245.200000000001"/>
    <b v="1"/>
    <n v="2.8333333333333335"/>
    <n v="948.38823529411764"/>
    <n v="1.8966666666666667"/>
    <d v="2021-05-01T00:00:00"/>
    <s v="Adult"/>
    <n v="1"/>
    <s v="Yes"/>
    <n v="301"/>
    <s v="Low"/>
    <s v="Medium"/>
    <n v="5.7142857142857141E-2"/>
    <s v="High"/>
    <n v="2"/>
    <d v="2021-05-01T00:00:00"/>
    <s v="25+ months"/>
    <s v="2–3 tickets"/>
    <s v="0–10 min"/>
    <s v="701–1000"/>
    <n v="32436"/>
    <n v="-190.79999999999927"/>
  </r>
  <r>
    <n v="11986"/>
    <n v="31"/>
    <s v="Female"/>
    <s v="Mumbai"/>
    <d v="2021-04-12T00:00:00"/>
    <d v="2022-05-30T00:00:00"/>
    <x v="0"/>
    <n v="1357"/>
    <x v="18"/>
    <n v="2"/>
    <n v="29.8"/>
    <n v="0"/>
    <x v="0"/>
    <x v="1"/>
    <n v="23069"/>
    <b v="1"/>
    <n v="1.4166666666666667"/>
    <n v="1357"/>
    <n v="9.9333333333333336"/>
    <d v="2021-04-01T00:00:00"/>
    <s v="Adult"/>
    <n v="0"/>
    <s v="Yes"/>
    <n v="413"/>
    <s v="Medium"/>
    <s v="Low"/>
    <n v="0.1111111111111111"/>
    <s v="High"/>
    <n v="1"/>
    <d v="2021-04-01T00:00:00"/>
    <s v="13–24 months"/>
    <s v="2–3 tickets"/>
    <s v="21–30 min"/>
    <s v="1000+"/>
    <n v="23069"/>
    <n v="0"/>
  </r>
  <r>
    <n v="11987"/>
    <n v="19"/>
    <s v="Male"/>
    <s v="Hyderabad"/>
    <d v="2021-11-06T00:00:00"/>
    <d v="2021-11-26T00:00:00"/>
    <x v="0"/>
    <n v="797"/>
    <x v="13"/>
    <n v="1"/>
    <n v="85.51"/>
    <n v="5"/>
    <x v="1"/>
    <x v="1"/>
    <n v="2351.15"/>
    <b v="1"/>
    <n v="0.25"/>
    <n v="783.7166666666667"/>
    <n v="42.755000000000003"/>
    <d v="2021-11-01T00:00:00"/>
    <s v="Young"/>
    <n v="0"/>
    <s v="No"/>
    <n v="20"/>
    <s v="High"/>
    <s v="Low"/>
    <n v="0.25"/>
    <s v="Low"/>
    <n v="1"/>
    <d v="2021-11-01T00:00:00"/>
    <s v="0–6 months"/>
    <s v="0–1 tickets"/>
    <s v="46+ min"/>
    <s v="701–1000"/>
    <n v="2391"/>
    <n v="-39.849999999999909"/>
  </r>
  <r>
    <n v="11988"/>
    <n v="54"/>
    <s v="Male"/>
    <s v="Mumbai"/>
    <d v="2023-02-21T00:00:00"/>
    <d v="2022-01-24T00:00:00"/>
    <x v="0"/>
    <n v="1147"/>
    <x v="22"/>
    <n v="2"/>
    <n v="93.66"/>
    <n v="5"/>
    <x v="3"/>
    <x v="1"/>
    <n v="38940.65"/>
    <b v="0"/>
    <n v="2.8333333333333335"/>
    <n v="1145.3132352941177"/>
    <n v="31.22"/>
    <d v="2023-02-01T00:00:00"/>
    <s v="Older"/>
    <n v="0"/>
    <s v="Yes"/>
    <m/>
    <s v="High"/>
    <s v="Low"/>
    <n v="5.7142857142857141E-2"/>
    <s v="High"/>
    <n v="1"/>
    <d v="2023-02-01T00:00:00"/>
    <s v="25+ months"/>
    <s v="2–3 tickets"/>
    <s v="46+ min"/>
    <s v="1000+"/>
    <n v="38998"/>
    <n v="-57.349999999998545"/>
  </r>
  <r>
    <n v="11989"/>
    <n v="22"/>
    <s v="Female"/>
    <s v="Pune"/>
    <d v="2021-10-19T00:00:00"/>
    <d v="2021-10-13T00:00:00"/>
    <x v="2"/>
    <n v="397"/>
    <x v="1"/>
    <n v="3"/>
    <n v="37.22"/>
    <n v="15"/>
    <x v="0"/>
    <x v="1"/>
    <n v="8674.4500000000007"/>
    <b v="0"/>
    <n v="1.8333333333333333"/>
    <n v="394.29318181818184"/>
    <n v="9.3049999999999997"/>
    <d v="2021-10-01T00:00:00"/>
    <s v="Young"/>
    <n v="0"/>
    <s v="No"/>
    <m/>
    <s v="Medium"/>
    <s v="Low"/>
    <n v="0.13043478260869565"/>
    <s v="Low"/>
    <n v="2"/>
    <d v="2021-10-01T00:00:00"/>
    <s v="13–24 months"/>
    <s v="2–3 tickets"/>
    <s v="31–45 min"/>
    <s v="301–500"/>
    <n v="8734"/>
    <n v="-59.549999999999272"/>
  </r>
  <r>
    <n v="11990"/>
    <n v="55"/>
    <s v="Male"/>
    <s v="Pune"/>
    <d v="2022-12-23T00:00:00"/>
    <d v="2023-10-25T00:00:00"/>
    <x v="0"/>
    <n v="665"/>
    <x v="5"/>
    <n v="1"/>
    <n v="51.92"/>
    <n v="20"/>
    <x v="1"/>
    <x v="1"/>
    <n v="19152"/>
    <b v="1"/>
    <n v="2.4166666666666665"/>
    <n v="660.41379310344826"/>
    <n v="25.96"/>
    <d v="2022-12-01T00:00:00"/>
    <s v="Older"/>
    <n v="0"/>
    <s v="Yes"/>
    <n v="306"/>
    <s v="Medium"/>
    <s v="Medium"/>
    <n v="3.3333333333333333E-2"/>
    <s v="Medium"/>
    <n v="1"/>
    <d v="2022-12-01T00:00:00"/>
    <s v="25+ months"/>
    <s v="0–1 tickets"/>
    <s v="46+ min"/>
    <s v="501–700"/>
    <n v="19285"/>
    <n v="-133"/>
  </r>
  <r>
    <n v="11991"/>
    <n v="62"/>
    <s v="Male"/>
    <s v="Hyderabad"/>
    <d v="2022-05-10T00:00:00"/>
    <d v="2022-03-07T00:00:00"/>
    <x v="1"/>
    <n v="762"/>
    <x v="5"/>
    <n v="3"/>
    <n v="9.3000000000000007"/>
    <n v="10"/>
    <x v="2"/>
    <x v="1"/>
    <n v="22021.8"/>
    <b v="0"/>
    <n v="2.4166666666666665"/>
    <n v="759.37241379310342"/>
    <n v="2.3250000000000002"/>
    <d v="2022-05-01T00:00:00"/>
    <s v="Older"/>
    <n v="0"/>
    <s v="Yes"/>
    <m/>
    <s v="Low"/>
    <s v="Low"/>
    <n v="0.1"/>
    <s v="High"/>
    <n v="3"/>
    <d v="2022-05-01T00:00:00"/>
    <s v="25+ months"/>
    <s v="2–3 tickets"/>
    <s v="0–10 min"/>
    <s v="701–1000"/>
    <n v="22098"/>
    <n v="-76.200000000000728"/>
  </r>
  <r>
    <n v="11992"/>
    <n v="58"/>
    <s v="Male"/>
    <s v="Hyderabad"/>
    <d v="2021-12-27T00:00:00"/>
    <d v="2021-06-19T00:00:00"/>
    <x v="0"/>
    <n v="327"/>
    <x v="21"/>
    <n v="3"/>
    <n v="32.26"/>
    <n v="20"/>
    <x v="3"/>
    <x v="0"/>
    <n v="1569.6"/>
    <b v="0"/>
    <n v="0.41666666666666669"/>
    <n v="313.91999999999996"/>
    <n v="8.0649999999999995"/>
    <d v="2021-12-01T00:00:00"/>
    <s v="Older"/>
    <n v="1"/>
    <s v="No"/>
    <m/>
    <s v="Medium"/>
    <s v="Medium"/>
    <n v="0.5"/>
    <s v="Low"/>
    <n v="1"/>
    <d v="2021-12-01T00:00:00"/>
    <s v="0–6 months"/>
    <s v="2–3 tickets"/>
    <s v="31–45 min"/>
    <s v="301–500"/>
    <n v="1635"/>
    <n v="-65.400000000000091"/>
  </r>
  <r>
    <n v="11993"/>
    <n v="64"/>
    <s v="Male"/>
    <s v="Pune"/>
    <d v="2021-12-04T00:00:00"/>
    <d v="2023-01-16T00:00:00"/>
    <x v="0"/>
    <n v="1012"/>
    <x v="32"/>
    <n v="2"/>
    <n v="94.61"/>
    <n v="15"/>
    <x v="2"/>
    <x v="1"/>
    <n v="9968.2000000000007"/>
    <b v="1"/>
    <n v="0.83333333333333337"/>
    <n v="996.82"/>
    <n v="31.536666666666665"/>
    <d v="2021-12-01T00:00:00"/>
    <s v="Older"/>
    <n v="0"/>
    <s v="No"/>
    <n v="408"/>
    <s v="High"/>
    <s v="Low"/>
    <n v="0.18181818181818182"/>
    <s v="Medium"/>
    <n v="1"/>
    <d v="2021-12-01T00:00:00"/>
    <s v="7–12 months"/>
    <s v="2–3 tickets"/>
    <s v="46+ min"/>
    <s v="1000+"/>
    <n v="10120"/>
    <n v="-151.79999999999927"/>
  </r>
  <r>
    <n v="11994"/>
    <n v="31"/>
    <s v="Male"/>
    <s v="Delhi"/>
    <d v="2022-08-02T00:00:00"/>
    <d v="2023-06-10T00:00:00"/>
    <x v="0"/>
    <n v="572"/>
    <x v="32"/>
    <n v="3"/>
    <n v="74.69"/>
    <n v="10"/>
    <x v="3"/>
    <x v="1"/>
    <n v="5605.6"/>
    <b v="1"/>
    <n v="0.83333333333333337"/>
    <n v="560.56000000000006"/>
    <n v="18.672499999999999"/>
    <d v="2022-08-01T00:00:00"/>
    <s v="Adult"/>
    <n v="0"/>
    <s v="No"/>
    <n v="312"/>
    <s v="High"/>
    <s v="Low"/>
    <n v="0.27272727272727271"/>
    <s v="Low"/>
    <n v="1"/>
    <d v="2022-08-01T00:00:00"/>
    <s v="7–12 months"/>
    <s v="2–3 tickets"/>
    <s v="46+ min"/>
    <s v="501–700"/>
    <n v="5720"/>
    <n v="-114.39999999999964"/>
  </r>
  <r>
    <n v="11995"/>
    <n v="56"/>
    <s v="Male"/>
    <s v="Mumbai"/>
    <d v="2021-01-10T00:00:00"/>
    <d v="2022-06-06T00:00:00"/>
    <x v="0"/>
    <n v="1125"/>
    <x v="9"/>
    <n v="6"/>
    <n v="28.66"/>
    <n v="15"/>
    <x v="0"/>
    <x v="1"/>
    <n v="9956.25"/>
    <b v="1"/>
    <n v="0.75"/>
    <n v="1106.25"/>
    <n v="4.0942857142857143"/>
    <d v="2021-01-01T00:00:00"/>
    <s v="Older"/>
    <n v="0"/>
    <s v="No"/>
    <n v="512"/>
    <s v="Medium"/>
    <s v="Low"/>
    <n v="0.6"/>
    <s v="Medium"/>
    <n v="1"/>
    <d v="2021-01-01T00:00:00"/>
    <s v="7–12 months"/>
    <s v="6+ tickets"/>
    <s v="21–30 min"/>
    <s v="1000+"/>
    <n v="10125"/>
    <n v="-168.75"/>
  </r>
  <r>
    <n v="11996"/>
    <n v="42"/>
    <s v="Male"/>
    <s v="Mumbai"/>
    <d v="2021-02-18T00:00:00"/>
    <d v="2023-07-17T00:00:00"/>
    <x v="2"/>
    <n v="1450"/>
    <x v="6"/>
    <n v="3"/>
    <n v="34.61"/>
    <n v="20"/>
    <x v="2"/>
    <x v="1"/>
    <n v="30160"/>
    <b v="1"/>
    <n v="1.75"/>
    <n v="1436.1904761904761"/>
    <n v="8.6524999999999999"/>
    <d v="2021-02-01T00:00:00"/>
    <s v="Middle-aged"/>
    <n v="0"/>
    <s v="Yes"/>
    <n v="879"/>
    <s v="Medium"/>
    <s v="Medium"/>
    <n v="0.13636363636363635"/>
    <s v="High"/>
    <n v="2"/>
    <d v="2021-02-01T00:00:00"/>
    <s v="13–24 months"/>
    <s v="2–3 tickets"/>
    <s v="31–45 min"/>
    <s v="1000+"/>
    <n v="30450"/>
    <n v="-290"/>
  </r>
  <r>
    <n v="11997"/>
    <n v="37"/>
    <s v="Male"/>
    <s v="Delhi"/>
    <d v="2022-05-02T00:00:00"/>
    <d v="2021-09-20T00:00:00"/>
    <x v="1"/>
    <n v="501"/>
    <x v="19"/>
    <n v="1"/>
    <n v="98.93"/>
    <n v="10"/>
    <x v="2"/>
    <x v="1"/>
    <n v="6513"/>
    <b v="0"/>
    <n v="1.0833333333333333"/>
    <n v="501"/>
    <n v="49.465000000000003"/>
    <d v="2022-05-01T00:00:00"/>
    <s v="Middle-aged"/>
    <n v="0"/>
    <s v="No"/>
    <m/>
    <s v="High"/>
    <s v="Low"/>
    <n v="7.1428571428571425E-2"/>
    <s v="Low"/>
    <n v="3"/>
    <d v="2022-05-01T00:00:00"/>
    <s v="13–24 months"/>
    <s v="0–1 tickets"/>
    <s v="46+ min"/>
    <s v="501–700"/>
    <n v="6513"/>
    <n v="0"/>
  </r>
  <r>
    <n v="11998"/>
    <n v="19"/>
    <s v="Female"/>
    <s v="Chennai"/>
    <d v="2022-09-15T00:00:00"/>
    <d v="2023-07-03T00:00:00"/>
    <x v="2"/>
    <n v="749"/>
    <x v="32"/>
    <n v="2"/>
    <n v="29.04"/>
    <n v="5"/>
    <x v="3"/>
    <x v="1"/>
    <n v="7452.55"/>
    <b v="1"/>
    <n v="0.83333333333333337"/>
    <n v="745.255"/>
    <n v="9.68"/>
    <d v="2022-09-01T00:00:00"/>
    <s v="Young"/>
    <n v="0"/>
    <s v="No"/>
    <n v="291"/>
    <s v="Medium"/>
    <s v="Low"/>
    <n v="0.18181818181818182"/>
    <s v="Low"/>
    <n v="2"/>
    <d v="2022-09-01T00:00:00"/>
    <s v="7–12 months"/>
    <s v="2–3 tickets"/>
    <s v="21–30 min"/>
    <s v="701–1000"/>
    <n v="7490"/>
    <n v="-37.449999999999818"/>
  </r>
  <r>
    <n v="11999"/>
    <n v="56"/>
    <s v="Female"/>
    <s v="Mumbai"/>
    <d v="2021-11-17T00:00:00"/>
    <d v="2023-04-07T00:00:00"/>
    <x v="0"/>
    <n v="1411"/>
    <x v="11"/>
    <n v="2"/>
    <n v="43.43"/>
    <n v="15"/>
    <x v="1"/>
    <x v="1"/>
    <n v="15309.35"/>
    <b v="1"/>
    <n v="0.91666666666666663"/>
    <n v="1391.7590909090909"/>
    <n v="14.476666666666667"/>
    <d v="2021-11-01T00:00:00"/>
    <s v="Older"/>
    <n v="0"/>
    <s v="Yes"/>
    <n v="506"/>
    <s v="Medium"/>
    <s v="Low"/>
    <n v="0.16666666666666666"/>
    <s v="Medium"/>
    <n v="1"/>
    <d v="2021-11-01T00:00:00"/>
    <s v="7–12 months"/>
    <s v="2–3 tickets"/>
    <s v="31–45 min"/>
    <s v="1000+"/>
    <n v="15521"/>
    <n v="-211.64999999999964"/>
  </r>
  <r>
    <n v="12000"/>
    <n v="23"/>
    <s v="Female"/>
    <s v="Bangalore"/>
    <d v="2023-01-01T00:00:00"/>
    <d v="2023-10-18T00:00:00"/>
    <x v="0"/>
    <n v="318"/>
    <x v="2"/>
    <n v="2"/>
    <n v="81.400000000000006"/>
    <n v="10"/>
    <x v="3"/>
    <x v="0"/>
    <n v="1224.3"/>
    <b v="1"/>
    <n v="0.33333333333333331"/>
    <n v="306.07499999999999"/>
    <n v="27.133333333333336"/>
    <d v="2023-01-01T00:00:00"/>
    <s v="Young"/>
    <n v="1"/>
    <s v="No"/>
    <n v="290"/>
    <s v="High"/>
    <s v="Low"/>
    <n v="0.4"/>
    <s v="Low"/>
    <n v="1"/>
    <d v="2023-01-01T00:00:00"/>
    <s v="0–6 months"/>
    <s v="2–3 tickets"/>
    <s v="46+ min"/>
    <s v="301–500"/>
    <n v="1272"/>
    <n v="-47.700000000000045"/>
  </r>
  <r>
    <n v="12001"/>
    <n v="34"/>
    <s v="Male"/>
    <s v="Pune"/>
    <d v="2022-07-23T00:00:00"/>
    <d v="2023-04-11T00:00:00"/>
    <x v="2"/>
    <n v="1430"/>
    <x v="27"/>
    <n v="3"/>
    <n v="69.53"/>
    <n v="5"/>
    <x v="0"/>
    <x v="1"/>
    <n v="44258.5"/>
    <b v="1"/>
    <n v="2.5833333333333335"/>
    <n v="1427.6935483870968"/>
    <n v="17.3825"/>
    <d v="2022-07-01T00:00:00"/>
    <s v="Adult"/>
    <n v="0"/>
    <s v="Yes"/>
    <n v="262"/>
    <s v="High"/>
    <s v="Low"/>
    <n v="9.375E-2"/>
    <s v="High"/>
    <n v="2"/>
    <d v="2022-07-01T00:00:00"/>
    <s v="25+ months"/>
    <s v="2–3 tickets"/>
    <s v="46+ min"/>
    <s v="1000+"/>
    <n v="44330"/>
    <n v="-71.5"/>
  </r>
  <r>
    <n v="12002"/>
    <n v="42"/>
    <s v="Male"/>
    <s v="Pune"/>
    <d v="2023-03-06T00:00:00"/>
    <d v="2022-01-07T00:00:00"/>
    <x v="1"/>
    <n v="610"/>
    <x v="22"/>
    <n v="2"/>
    <n v="58"/>
    <n v="10"/>
    <x v="1"/>
    <x v="0"/>
    <n v="20679"/>
    <b v="0"/>
    <n v="2.8333333333333335"/>
    <n v="608.20588235294122"/>
    <n v="19.333333333333332"/>
    <d v="2023-03-01T00:00:00"/>
    <s v="Middle-aged"/>
    <n v="1"/>
    <s v="Yes"/>
    <m/>
    <s v="Medium"/>
    <s v="Low"/>
    <n v="5.7142857142857141E-2"/>
    <s v="High"/>
    <n v="3"/>
    <d v="2023-03-01T00:00:00"/>
    <s v="25+ months"/>
    <s v="2–3 tickets"/>
    <s v="46+ min"/>
    <s v="501–700"/>
    <n v="20740"/>
    <n v="-61"/>
  </r>
  <r>
    <n v="12003"/>
    <n v="45"/>
    <s v="Female"/>
    <s v="Delhi"/>
    <d v="2022-09-17T00:00:00"/>
    <d v="2022-03-31T00:00:00"/>
    <x v="0"/>
    <n v="711"/>
    <x v="12"/>
    <n v="5"/>
    <n v="108.47"/>
    <n v="15"/>
    <x v="2"/>
    <x v="1"/>
    <n v="24778.35"/>
    <b v="0"/>
    <n v="2.9166666666666665"/>
    <n v="707.95285714285706"/>
    <n v="18.078333333333333"/>
    <d v="2022-09-01T00:00:00"/>
    <s v="Middle-aged"/>
    <n v="0"/>
    <s v="Yes"/>
    <m/>
    <s v="High"/>
    <s v="Low"/>
    <n v="0.1388888888888889"/>
    <s v="High"/>
    <n v="1"/>
    <d v="2022-09-01T00:00:00"/>
    <s v="25+ months"/>
    <s v="4–5 tickets"/>
    <s v="46+ min"/>
    <s v="701–1000"/>
    <n v="24885"/>
    <n v="-106.65000000000146"/>
  </r>
  <r>
    <n v="12004"/>
    <n v="19"/>
    <s v="Female"/>
    <s v="Mumbai"/>
    <d v="2021-05-13T00:00:00"/>
    <d v="2023-05-04T00:00:00"/>
    <x v="2"/>
    <n v="1041"/>
    <x v="33"/>
    <n v="2"/>
    <n v="30.27"/>
    <n v="0"/>
    <x v="2"/>
    <x v="0"/>
    <n v="34353"/>
    <b v="1"/>
    <n v="2.75"/>
    <n v="1041"/>
    <n v="10.09"/>
    <d v="2021-05-01T00:00:00"/>
    <s v="Young"/>
    <n v="1"/>
    <s v="Yes"/>
    <n v="721"/>
    <s v="Medium"/>
    <s v="Low"/>
    <n v="5.8823529411764705E-2"/>
    <s v="High"/>
    <n v="2"/>
    <d v="2021-05-01T00:00:00"/>
    <s v="25+ months"/>
    <s v="2–3 tickets"/>
    <s v="31–45 min"/>
    <s v="1000+"/>
    <n v="34353"/>
    <n v="0"/>
  </r>
  <r>
    <n v="12005"/>
    <n v="52"/>
    <s v="Female"/>
    <s v="Chennai"/>
    <d v="2022-08-06T00:00:00"/>
    <d v="2022-04-21T00:00:00"/>
    <x v="0"/>
    <n v="923"/>
    <x v="14"/>
    <n v="0"/>
    <n v="90.26"/>
    <n v="20"/>
    <x v="2"/>
    <x v="1"/>
    <n v="7199.4"/>
    <b v="0"/>
    <n v="0.66666666666666663"/>
    <n v="899.92499999999995"/>
    <n v="90.26"/>
    <d v="2022-08-01T00:00:00"/>
    <s v="Older"/>
    <n v="0"/>
    <s v="No"/>
    <m/>
    <s v="High"/>
    <s v="Medium"/>
    <n v="0"/>
    <s v="Low"/>
    <n v="1"/>
    <d v="2022-08-01T00:00:00"/>
    <s v="7–12 months"/>
    <s v="0–1 tickets"/>
    <s v="46+ min"/>
    <s v="701–1000"/>
    <n v="7384"/>
    <n v="-184.60000000000036"/>
  </r>
  <r>
    <n v="12006"/>
    <n v="54"/>
    <s v="Male"/>
    <s v="Mumbai"/>
    <d v="2021-03-24T00:00:00"/>
    <d v="2022-08-11T00:00:00"/>
    <x v="0"/>
    <n v="1031"/>
    <x v="23"/>
    <n v="0"/>
    <n v="23.29"/>
    <n v="0"/>
    <x v="0"/>
    <x v="1"/>
    <n v="32992"/>
    <b v="1"/>
    <n v="2.6666666666666665"/>
    <n v="1031"/>
    <n v="23.29"/>
    <d v="2021-03-01T00:00:00"/>
    <s v="Older"/>
    <n v="0"/>
    <s v="Yes"/>
    <n v="505"/>
    <s v="Medium"/>
    <s v="Low"/>
    <n v="0"/>
    <s v="High"/>
    <n v="1"/>
    <d v="2021-03-01T00:00:00"/>
    <s v="25+ months"/>
    <s v="0–1 tickets"/>
    <s v="21–30 min"/>
    <s v="1000+"/>
    <n v="32992"/>
    <n v="0"/>
  </r>
  <r>
    <n v="12007"/>
    <n v="22"/>
    <s v="Female"/>
    <s v="Pune"/>
    <d v="2021-02-26T00:00:00"/>
    <d v="2022-08-12T00:00:00"/>
    <x v="2"/>
    <n v="934"/>
    <x v="33"/>
    <n v="1"/>
    <n v="75.81"/>
    <n v="10"/>
    <x v="2"/>
    <x v="1"/>
    <n v="30681.9"/>
    <b v="1"/>
    <n v="2.75"/>
    <n v="929.75454545454545"/>
    <n v="37.905000000000001"/>
    <d v="2021-02-01T00:00:00"/>
    <s v="Young"/>
    <n v="0"/>
    <s v="Yes"/>
    <n v="532"/>
    <s v="High"/>
    <s v="Low"/>
    <n v="2.9411764705882353E-2"/>
    <s v="High"/>
    <n v="2"/>
    <d v="2021-02-01T00:00:00"/>
    <s v="25+ months"/>
    <s v="0–1 tickets"/>
    <s v="46+ min"/>
    <s v="701–1000"/>
    <n v="30822"/>
    <n v="-140.09999999999854"/>
  </r>
  <r>
    <n v="12008"/>
    <n v="18"/>
    <s v="Male"/>
    <s v="Hyderabad"/>
    <d v="2022-01-11T00:00:00"/>
    <d v="2021-11-17T00:00:00"/>
    <x v="0"/>
    <n v="797"/>
    <x v="14"/>
    <n v="3"/>
    <n v="105.12"/>
    <n v="10"/>
    <x v="2"/>
    <x v="1"/>
    <n v="6296.3"/>
    <b v="0"/>
    <n v="0.66666666666666663"/>
    <n v="787.03750000000002"/>
    <n v="26.28"/>
    <d v="2022-01-01T00:00:00"/>
    <s v="Young"/>
    <n v="0"/>
    <s v="No"/>
    <m/>
    <s v="High"/>
    <s v="Low"/>
    <n v="0.33333333333333331"/>
    <s v="Low"/>
    <n v="1"/>
    <d v="2022-01-01T00:00:00"/>
    <s v="7–12 months"/>
    <s v="2–3 tickets"/>
    <s v="46+ min"/>
    <s v="701–1000"/>
    <n v="6376"/>
    <n v="-79.699999999999818"/>
  </r>
  <r>
    <n v="12009"/>
    <n v="57"/>
    <s v="Male"/>
    <s v="Bangalore"/>
    <d v="2021-12-15T00:00:00"/>
    <d v="2022-06-10T00:00:00"/>
    <x v="2"/>
    <n v="543"/>
    <x v="25"/>
    <n v="1"/>
    <n v="57.66"/>
    <n v="15"/>
    <x v="1"/>
    <x v="1"/>
    <n v="7520.55"/>
    <b v="1"/>
    <n v="1.1666666666666667"/>
    <n v="537.18214285714282"/>
    <n v="28.83"/>
    <d v="2021-12-01T00:00:00"/>
    <s v="Older"/>
    <n v="0"/>
    <s v="No"/>
    <n v="177"/>
    <s v="Medium"/>
    <s v="Low"/>
    <n v="6.6666666666666666E-2"/>
    <s v="Low"/>
    <n v="2"/>
    <d v="2021-12-01T00:00:00"/>
    <s v="13–24 months"/>
    <s v="0–1 tickets"/>
    <s v="46+ min"/>
    <s v="501–700"/>
    <n v="7602"/>
    <n v="-81.449999999999818"/>
  </r>
  <r>
    <n v="12010"/>
    <n v="29"/>
    <s v="Female"/>
    <s v="Delhi"/>
    <d v="2021-09-28T00:00:00"/>
    <d v="2022-12-09T00:00:00"/>
    <x v="0"/>
    <n v="989"/>
    <x v="22"/>
    <n v="1"/>
    <n v="88.29"/>
    <n v="10"/>
    <x v="0"/>
    <x v="1"/>
    <n v="33527.1"/>
    <b v="1"/>
    <n v="2.8333333333333335"/>
    <n v="986.09117647058815"/>
    <n v="44.145000000000003"/>
    <d v="2021-09-01T00:00:00"/>
    <s v="Adult"/>
    <n v="0"/>
    <s v="Yes"/>
    <n v="437"/>
    <s v="High"/>
    <s v="Low"/>
    <n v="2.8571428571428571E-2"/>
    <s v="High"/>
    <n v="1"/>
    <d v="2021-09-01T00:00:00"/>
    <s v="25+ months"/>
    <s v="0–1 tickets"/>
    <s v="46+ min"/>
    <s v="701–1000"/>
    <n v="33626"/>
    <n v="-98.900000000001455"/>
  </r>
  <r>
    <n v="12011"/>
    <n v="53"/>
    <s v="Female"/>
    <s v="Hyderabad"/>
    <d v="2022-04-28T00:00:00"/>
    <d v="2022-06-16T00:00:00"/>
    <x v="2"/>
    <n v="876"/>
    <x v="14"/>
    <n v="2"/>
    <n v="99.35"/>
    <n v="5"/>
    <x v="2"/>
    <x v="0"/>
    <n v="6964.2"/>
    <b v="1"/>
    <n v="0.66666666666666663"/>
    <n v="870.52499999999998"/>
    <n v="33.116666666666667"/>
    <d v="2022-04-01T00:00:00"/>
    <s v="Older"/>
    <n v="1"/>
    <s v="No"/>
    <n v="49"/>
    <s v="High"/>
    <s v="Low"/>
    <n v="0.22222222222222221"/>
    <s v="Low"/>
    <n v="2"/>
    <d v="2022-04-01T00:00:00"/>
    <s v="7–12 months"/>
    <s v="2–3 tickets"/>
    <s v="46+ min"/>
    <s v="701–1000"/>
    <n v="7008"/>
    <n v="-43.800000000000182"/>
  </r>
  <r>
    <n v="12012"/>
    <n v="62"/>
    <s v="Male"/>
    <s v="Chennai"/>
    <d v="2021-04-21T00:00:00"/>
    <d v="2021-06-14T00:00:00"/>
    <x v="0"/>
    <n v="814"/>
    <x v="16"/>
    <n v="1"/>
    <n v="20.64"/>
    <n v="20"/>
    <x v="1"/>
    <x v="1"/>
    <n v="5535.2"/>
    <b v="1"/>
    <n v="0.58333333333333337"/>
    <n v="790.74285714285713"/>
    <n v="10.32"/>
    <d v="2021-04-01T00:00:00"/>
    <s v="Older"/>
    <n v="0"/>
    <s v="No"/>
    <n v="54"/>
    <s v="Medium"/>
    <s v="Medium"/>
    <n v="0.125"/>
    <s v="Low"/>
    <n v="1"/>
    <d v="2021-04-01T00:00:00"/>
    <s v="7–12 months"/>
    <s v="0–1 tickets"/>
    <s v="21–30 min"/>
    <s v="701–1000"/>
    <n v="5698"/>
    <n v="-162.80000000000018"/>
  </r>
  <r>
    <n v="12013"/>
    <n v="40"/>
    <s v="Male"/>
    <s v="Hyderabad"/>
    <d v="2023-05-19T00:00:00"/>
    <d v="2023-06-13T00:00:00"/>
    <x v="1"/>
    <n v="506"/>
    <x v="19"/>
    <n v="2"/>
    <n v="86.17"/>
    <n v="0"/>
    <x v="2"/>
    <x v="1"/>
    <n v="6578"/>
    <b v="1"/>
    <n v="1.0833333333333333"/>
    <n v="506"/>
    <n v="28.723333333333333"/>
    <d v="2023-05-01T00:00:00"/>
    <s v="Middle-aged"/>
    <n v="0"/>
    <s v="No"/>
    <n v="25"/>
    <s v="High"/>
    <s v="Low"/>
    <n v="0.14285714285714285"/>
    <s v="Low"/>
    <n v="3"/>
    <d v="2023-05-01T00:00:00"/>
    <s v="13–24 months"/>
    <s v="2–3 tickets"/>
    <s v="46+ min"/>
    <s v="501–700"/>
    <n v="6578"/>
    <n v="0"/>
  </r>
  <r>
    <n v="12014"/>
    <n v="41"/>
    <s v="Female"/>
    <s v="Hyderabad"/>
    <d v="2023-06-06T00:00:00"/>
    <d v="2023-03-31T00:00:00"/>
    <x v="0"/>
    <n v="1247"/>
    <x v="6"/>
    <n v="3"/>
    <n v="110.78"/>
    <n v="10"/>
    <x v="1"/>
    <x v="0"/>
    <n v="26062.3"/>
    <b v="0"/>
    <n v="1.75"/>
    <n v="1241.0619047619048"/>
    <n v="27.695"/>
    <d v="2023-06-01T00:00:00"/>
    <s v="Middle-aged"/>
    <n v="1"/>
    <s v="Yes"/>
    <m/>
    <s v="High"/>
    <s v="Low"/>
    <n v="0.13636363636363635"/>
    <s v="High"/>
    <n v="1"/>
    <d v="2023-06-01T00:00:00"/>
    <s v="13–24 months"/>
    <s v="2–3 tickets"/>
    <s v="46+ min"/>
    <s v="1000+"/>
    <n v="26187"/>
    <n v="-124.70000000000073"/>
  </r>
  <r>
    <n v="12015"/>
    <n v="48"/>
    <s v="Male"/>
    <s v="Chennai"/>
    <d v="2021-03-17T00:00:00"/>
    <d v="2022-10-13T00:00:00"/>
    <x v="1"/>
    <n v="693"/>
    <x v="23"/>
    <n v="5"/>
    <n v="71.28"/>
    <n v="0"/>
    <x v="2"/>
    <x v="1"/>
    <n v="22176"/>
    <b v="1"/>
    <n v="2.6666666666666665"/>
    <n v="693"/>
    <n v="11.88"/>
    <d v="2021-03-01T00:00:00"/>
    <s v="Middle-aged"/>
    <n v="0"/>
    <s v="Yes"/>
    <n v="575"/>
    <s v="High"/>
    <s v="Low"/>
    <n v="0.15151515151515152"/>
    <s v="High"/>
    <n v="3"/>
    <d v="2021-03-01T00:00:00"/>
    <s v="25+ months"/>
    <s v="4–5 tickets"/>
    <s v="46+ min"/>
    <s v="501–700"/>
    <n v="22176"/>
    <n v="0"/>
  </r>
  <r>
    <n v="12016"/>
    <n v="28"/>
    <s v="Male"/>
    <s v="Hyderabad"/>
    <d v="2021-06-07T00:00:00"/>
    <d v="2023-03-08T00:00:00"/>
    <x v="1"/>
    <n v="1344"/>
    <x v="11"/>
    <n v="3"/>
    <n v="26.4"/>
    <n v="5"/>
    <x v="0"/>
    <x v="1"/>
    <n v="14716.8"/>
    <b v="1"/>
    <n v="0.91666666666666663"/>
    <n v="1337.890909090909"/>
    <n v="6.6"/>
    <d v="2021-06-01T00:00:00"/>
    <s v="Adult"/>
    <n v="0"/>
    <s v="Yes"/>
    <n v="639"/>
    <s v="Medium"/>
    <s v="Low"/>
    <n v="0.25"/>
    <s v="Medium"/>
    <n v="3"/>
    <d v="2021-06-01T00:00:00"/>
    <s v="7–12 months"/>
    <s v="2–3 tickets"/>
    <s v="21–30 min"/>
    <s v="1000+"/>
    <n v="14784"/>
    <n v="-67.200000000000728"/>
  </r>
  <r>
    <n v="12017"/>
    <n v="27"/>
    <s v="Male"/>
    <s v="Delhi"/>
    <d v="2022-06-16T00:00:00"/>
    <d v="2022-06-26T00:00:00"/>
    <x v="1"/>
    <n v="1017"/>
    <x v="25"/>
    <n v="1"/>
    <n v="19.600000000000001"/>
    <n v="15"/>
    <x v="3"/>
    <x v="0"/>
    <n v="14085.45"/>
    <b v="1"/>
    <n v="1.1666666666666667"/>
    <n v="1006.1035714285715"/>
    <n v="9.8000000000000007"/>
    <d v="2022-06-01T00:00:00"/>
    <s v="Adult"/>
    <n v="1"/>
    <s v="Yes"/>
    <n v="10"/>
    <s v="Low"/>
    <s v="Low"/>
    <n v="6.6666666666666666E-2"/>
    <s v="Medium"/>
    <n v="3"/>
    <d v="2022-06-01T00:00:00"/>
    <s v="13–24 months"/>
    <s v="0–1 tickets"/>
    <s v="11–20 min"/>
    <s v="1000+"/>
    <n v="14238"/>
    <n v="-152.54999999999927"/>
  </r>
  <r>
    <n v="12018"/>
    <n v="20"/>
    <s v="Female"/>
    <s v="unknown"/>
    <d v="2022-10-05T00:00:00"/>
    <d v="2022-12-01T00:00:00"/>
    <x v="2"/>
    <n v="501"/>
    <x v="11"/>
    <n v="3"/>
    <n v="34.869999999999997"/>
    <n v="10"/>
    <x v="0"/>
    <x v="1"/>
    <n v="5460.9"/>
    <b v="1"/>
    <n v="0.91666666666666663"/>
    <n v="496.44545454545454"/>
    <n v="8.7174999999999994"/>
    <d v="2022-10-01T00:00:00"/>
    <s v="Young"/>
    <n v="0"/>
    <s v="No"/>
    <n v="57"/>
    <s v="Medium"/>
    <s v="Low"/>
    <n v="0.25"/>
    <s v="Low"/>
    <n v="2"/>
    <d v="2022-10-01T00:00:00"/>
    <s v="7–12 months"/>
    <s v="2–3 tickets"/>
    <s v="31–45 min"/>
    <s v="501–700"/>
    <n v="5511"/>
    <n v="-50.100000000000364"/>
  </r>
  <r>
    <n v="12019"/>
    <n v="31"/>
    <s v="Male"/>
    <s v="Mumbai"/>
    <d v="2021-11-25T00:00:00"/>
    <d v="2022-12-17T00:00:00"/>
    <x v="2"/>
    <n v="419"/>
    <x v="4"/>
    <n v="0"/>
    <n v="16.899999999999999"/>
    <n v="20"/>
    <x v="1"/>
    <x v="1"/>
    <n v="754.2"/>
    <b v="1"/>
    <n v="0.16666666666666666"/>
    <n v="377.1"/>
    <n v="16.899999999999999"/>
    <d v="2021-11-01T00:00:00"/>
    <s v="Adult"/>
    <n v="0"/>
    <s v="No"/>
    <n v="387"/>
    <s v="Low"/>
    <s v="Medium"/>
    <n v="0"/>
    <s v="Low"/>
    <n v="2"/>
    <d v="2021-11-01T00:00:00"/>
    <s v="0–6 months"/>
    <s v="0–1 tickets"/>
    <s v="11–20 min"/>
    <s v="301–500"/>
    <n v="838"/>
    <n v="-83.799999999999955"/>
  </r>
  <r>
    <n v="12020"/>
    <n v="33"/>
    <s v="Other"/>
    <s v="Hyderabad"/>
    <d v="2021-05-02T00:00:00"/>
    <d v="2022-11-12T00:00:00"/>
    <x v="0"/>
    <n v="688"/>
    <x v="22"/>
    <n v="5"/>
    <n v="64.040000000000006"/>
    <n v="10"/>
    <x v="2"/>
    <x v="1"/>
    <n v="23323.200000000001"/>
    <b v="1"/>
    <n v="2.8333333333333335"/>
    <n v="685.97647058823532"/>
    <n v="10.673333333333334"/>
    <d v="2021-05-01T00:00:00"/>
    <s v="Adult"/>
    <n v="0"/>
    <s v="Yes"/>
    <n v="559"/>
    <s v="High"/>
    <s v="Low"/>
    <n v="0.14285714285714285"/>
    <s v="High"/>
    <n v="1"/>
    <d v="2021-05-01T00:00:00"/>
    <s v="25+ months"/>
    <s v="4–5 tickets"/>
    <s v="46+ min"/>
    <s v="501–700"/>
    <n v="23392"/>
    <n v="-68.799999999999272"/>
  </r>
  <r>
    <n v="12021"/>
    <n v="27"/>
    <s v="Female"/>
    <s v="Delhi"/>
    <d v="2021-02-10T00:00:00"/>
    <d v="2022-10-05T00:00:00"/>
    <x v="0"/>
    <n v="533"/>
    <x v="18"/>
    <n v="3"/>
    <n v="13.02"/>
    <n v="10"/>
    <x v="0"/>
    <x v="1"/>
    <n v="8981.0499999999993"/>
    <b v="1"/>
    <n v="1.4166666666666667"/>
    <n v="528.29705882352937"/>
    <n v="3.2549999999999999"/>
    <d v="2021-02-01T00:00:00"/>
    <s v="Adult"/>
    <n v="0"/>
    <s v="No"/>
    <n v="602"/>
    <s v="Low"/>
    <s v="Low"/>
    <n v="0.16666666666666666"/>
    <s v="Medium"/>
    <n v="1"/>
    <d v="2021-02-01T00:00:00"/>
    <s v="13–24 months"/>
    <s v="2–3 tickets"/>
    <s v="11–20 min"/>
    <s v="501–700"/>
    <n v="9061"/>
    <n v="-79.950000000000728"/>
  </r>
  <r>
    <n v="12022"/>
    <n v="46"/>
    <s v="Other"/>
    <s v="Mumbai"/>
    <d v="2021-06-16T00:00:00"/>
    <d v="2022-12-02T00:00:00"/>
    <x v="0"/>
    <n v="901"/>
    <x v="25"/>
    <n v="1"/>
    <n v="30.69"/>
    <n v="15"/>
    <x v="2"/>
    <x v="0"/>
    <n v="12478.85"/>
    <b v="1"/>
    <n v="1.1666666666666667"/>
    <n v="891.34642857142865"/>
    <n v="15.345000000000001"/>
    <d v="2021-06-01T00:00:00"/>
    <s v="Middle-aged"/>
    <n v="1"/>
    <s v="No"/>
    <n v="534"/>
    <s v="Medium"/>
    <s v="Low"/>
    <n v="6.6666666666666666E-2"/>
    <s v="Medium"/>
    <n v="1"/>
    <d v="2021-06-01T00:00:00"/>
    <s v="13–24 months"/>
    <s v="0–1 tickets"/>
    <s v="31–45 min"/>
    <s v="701–1000"/>
    <n v="12614"/>
    <n v="-135.14999999999964"/>
  </r>
  <r>
    <n v="12023"/>
    <n v="27"/>
    <s v="Female"/>
    <s v="Mumbai"/>
    <d v="2022-10-04T00:00:00"/>
    <d v="2023-04-30T00:00:00"/>
    <x v="0"/>
    <n v="1011"/>
    <x v="0"/>
    <n v="3"/>
    <n v="62.59"/>
    <n v="20"/>
    <x v="0"/>
    <x v="1"/>
    <n v="25072.799999999999"/>
    <b v="1"/>
    <n v="2.0833333333333335"/>
    <n v="1002.9119999999999"/>
    <n v="15.647500000000001"/>
    <d v="2022-10-01T00:00:00"/>
    <s v="Adult"/>
    <n v="0"/>
    <s v="Yes"/>
    <n v="208"/>
    <s v="High"/>
    <s v="Medium"/>
    <n v="0.11538461538461539"/>
    <s v="High"/>
    <n v="1"/>
    <d v="2022-10-01T00:00:00"/>
    <s v="25+ months"/>
    <s v="2–3 tickets"/>
    <s v="46+ min"/>
    <s v="1000+"/>
    <n v="25275"/>
    <n v="-202.20000000000073"/>
  </r>
  <r>
    <n v="12024"/>
    <n v="29"/>
    <s v="Male"/>
    <s v="Hyderabad"/>
    <d v="2021-01-23T00:00:00"/>
    <d v="2022-06-20T00:00:00"/>
    <x v="1"/>
    <n v="1281"/>
    <x v="26"/>
    <n v="0"/>
    <n v="59.5"/>
    <n v="20"/>
    <x v="1"/>
    <x v="1"/>
    <n v="34330.800000000003"/>
    <b v="1"/>
    <n v="2.25"/>
    <n v="1271.5111111111112"/>
    <n v="59.5"/>
    <d v="2021-01-01T00:00:00"/>
    <s v="Adult"/>
    <n v="0"/>
    <s v="Yes"/>
    <n v="513"/>
    <s v="Medium"/>
    <s v="Medium"/>
    <n v="0"/>
    <s v="High"/>
    <n v="3"/>
    <d v="2021-01-01T00:00:00"/>
    <s v="25+ months"/>
    <s v="0–1 tickets"/>
    <s v="46+ min"/>
    <s v="1000+"/>
    <n v="34587"/>
    <n v="-256.19999999999709"/>
  </r>
  <r>
    <n v="12025"/>
    <n v="47"/>
    <s v="Male"/>
    <s v="Delhi"/>
    <d v="2021-10-06T00:00:00"/>
    <d v="2021-12-13T00:00:00"/>
    <x v="0"/>
    <n v="1156"/>
    <x v="14"/>
    <n v="4"/>
    <n v="70.02"/>
    <n v="5"/>
    <x v="3"/>
    <x v="1"/>
    <n v="9190.2000000000007"/>
    <b v="1"/>
    <n v="0.66666666666666663"/>
    <n v="1148.7750000000001"/>
    <n v="14.004"/>
    <d v="2021-10-01T00:00:00"/>
    <s v="Middle-aged"/>
    <n v="0"/>
    <s v="No"/>
    <n v="68"/>
    <s v="High"/>
    <s v="Low"/>
    <n v="0.44444444444444442"/>
    <s v="Medium"/>
    <n v="1"/>
    <d v="2021-10-01T00:00:00"/>
    <s v="7–12 months"/>
    <s v="4–5 tickets"/>
    <s v="46+ min"/>
    <s v="1000+"/>
    <n v="9248"/>
    <n v="-57.799999999999272"/>
  </r>
  <r>
    <n v="12026"/>
    <n v="58"/>
    <s v="Male"/>
    <s v="Pune"/>
    <d v="2023-02-02T00:00:00"/>
    <d v="2023-06-25T00:00:00"/>
    <x v="2"/>
    <n v="375"/>
    <x v="18"/>
    <n v="2"/>
    <n v="86.15"/>
    <n v="0"/>
    <x v="0"/>
    <x v="0"/>
    <n v="6375"/>
    <b v="1"/>
    <n v="1.4166666666666667"/>
    <n v="375"/>
    <n v="28.716666666666669"/>
    <d v="2023-02-01T00:00:00"/>
    <s v="Older"/>
    <n v="1"/>
    <s v="No"/>
    <n v="143"/>
    <s v="High"/>
    <s v="Low"/>
    <n v="0.1111111111111111"/>
    <s v="Low"/>
    <n v="2"/>
    <d v="2023-02-01T00:00:00"/>
    <s v="13–24 months"/>
    <s v="2–3 tickets"/>
    <s v="46+ min"/>
    <s v="301–500"/>
    <n v="6375"/>
    <n v="0"/>
  </r>
  <r>
    <n v="12027"/>
    <n v="18"/>
    <s v="Male"/>
    <s v="Hyderabad"/>
    <d v="2022-04-14T00:00:00"/>
    <d v="2022-03-27T00:00:00"/>
    <x v="2"/>
    <n v="948"/>
    <x v="21"/>
    <n v="0"/>
    <n v="10.43"/>
    <n v="10"/>
    <x v="2"/>
    <x v="1"/>
    <n v="4645.2"/>
    <b v="0"/>
    <n v="0.41666666666666669"/>
    <n v="929.04"/>
    <n v="10.43"/>
    <d v="2022-04-01T00:00:00"/>
    <s v="Young"/>
    <n v="0"/>
    <s v="No"/>
    <m/>
    <s v="Low"/>
    <s v="Low"/>
    <n v="0"/>
    <s v="Low"/>
    <n v="2"/>
    <d v="2022-04-01T00:00:00"/>
    <s v="0–6 months"/>
    <s v="0–1 tickets"/>
    <s v="11–20 min"/>
    <s v="701–1000"/>
    <n v="4740"/>
    <n v="-94.800000000000182"/>
  </r>
  <r>
    <n v="12028"/>
    <n v="22"/>
    <s v="Female"/>
    <s v="Chennai"/>
    <d v="2022-02-04T00:00:00"/>
    <d v="2023-08-24T00:00:00"/>
    <x v="2"/>
    <n v="949"/>
    <x v="34"/>
    <n v="0"/>
    <n v="14.27"/>
    <n v="5"/>
    <x v="2"/>
    <x v="1"/>
    <n v="11340.55"/>
    <b v="1"/>
    <n v="1"/>
    <n v="945.04583333333323"/>
    <n v="14.27"/>
    <d v="2022-02-01T00:00:00"/>
    <s v="Young"/>
    <n v="0"/>
    <s v="No"/>
    <n v="566"/>
    <s v="Low"/>
    <s v="Low"/>
    <n v="0"/>
    <s v="Medium"/>
    <n v="2"/>
    <d v="2022-02-01T00:00:00"/>
    <s v="7–12 months"/>
    <s v="0–1 tickets"/>
    <s v="11–20 min"/>
    <s v="701–1000"/>
    <n v="11388"/>
    <n v="-47.450000000000728"/>
  </r>
  <r>
    <n v="12029"/>
    <n v="37"/>
    <s v="Male"/>
    <s v="Mumbai"/>
    <d v="2021-01-09T00:00:00"/>
    <d v="2022-11-29T00:00:00"/>
    <x v="2"/>
    <n v="795"/>
    <x v="10"/>
    <n v="1"/>
    <n v="12"/>
    <n v="0"/>
    <x v="2"/>
    <x v="1"/>
    <n v="14310"/>
    <b v="1"/>
    <n v="1.5"/>
    <n v="795"/>
    <n v="6"/>
    <d v="2021-01-01T00:00:00"/>
    <s v="Middle-aged"/>
    <n v="0"/>
    <s v="Yes"/>
    <n v="689"/>
    <s v="Low"/>
    <s v="Low"/>
    <n v="5.2631578947368418E-2"/>
    <s v="Medium"/>
    <n v="2"/>
    <d v="2021-01-01T00:00:00"/>
    <s v="13–24 months"/>
    <s v="0–1 tickets"/>
    <s v="11–20 min"/>
    <s v="701–1000"/>
    <n v="14310"/>
    <n v="0"/>
  </r>
  <r>
    <n v="12030"/>
    <n v="25"/>
    <s v="Male"/>
    <s v="Hyderabad"/>
    <d v="2021-01-13T00:00:00"/>
    <d v="2023-05-28T00:00:00"/>
    <x v="0"/>
    <n v="1129"/>
    <x v="8"/>
    <n v="1"/>
    <n v="53.66"/>
    <n v="5"/>
    <x v="1"/>
    <x v="1"/>
    <n v="29297.55"/>
    <b v="1"/>
    <n v="2.1666666666666665"/>
    <n v="1126.8288461538461"/>
    <n v="26.83"/>
    <d v="2021-01-01T00:00:00"/>
    <s v="Young"/>
    <n v="0"/>
    <s v="Yes"/>
    <n v="865"/>
    <s v="Medium"/>
    <s v="Low"/>
    <n v="3.7037037037037035E-2"/>
    <s v="High"/>
    <n v="1"/>
    <d v="2021-01-01T00:00:00"/>
    <s v="25+ months"/>
    <s v="0–1 tickets"/>
    <s v="46+ min"/>
    <s v="1000+"/>
    <n v="29354"/>
    <n v="-56.450000000000728"/>
  </r>
  <r>
    <n v="12031"/>
    <n v="60"/>
    <s v="Male"/>
    <s v="Mumbai"/>
    <d v="2023-03-30T00:00:00"/>
    <d v="2023-06-01T00:00:00"/>
    <x v="2"/>
    <n v="782"/>
    <x v="27"/>
    <n v="1"/>
    <n v="9.81"/>
    <n v="20"/>
    <x v="1"/>
    <x v="1"/>
    <n v="24085.599999999999"/>
    <b v="1"/>
    <n v="2.5833333333333335"/>
    <n v="776.95483870967735"/>
    <n v="4.9050000000000002"/>
    <d v="2023-03-01T00:00:00"/>
    <s v="Older"/>
    <n v="0"/>
    <s v="Yes"/>
    <n v="63"/>
    <s v="Low"/>
    <s v="Medium"/>
    <n v="3.125E-2"/>
    <s v="High"/>
    <n v="2"/>
    <d v="2023-03-01T00:00:00"/>
    <s v="25+ months"/>
    <s v="0–1 tickets"/>
    <s v="0–10 min"/>
    <s v="701–1000"/>
    <n v="24242"/>
    <n v="-156.40000000000146"/>
  </r>
  <r>
    <n v="12032"/>
    <n v="29"/>
    <s v="Female"/>
    <s v="Delhi"/>
    <d v="2023-04-12T00:00:00"/>
    <d v="2023-09-06T00:00:00"/>
    <x v="0"/>
    <n v="1383"/>
    <x v="20"/>
    <n v="0"/>
    <n v="90.8"/>
    <n v="20"/>
    <x v="3"/>
    <x v="0"/>
    <n v="8021.4"/>
    <b v="1"/>
    <n v="0.5"/>
    <n v="1336.8999999999999"/>
    <n v="90.8"/>
    <d v="2023-04-01T00:00:00"/>
    <s v="Adult"/>
    <n v="1"/>
    <s v="No"/>
    <n v="147"/>
    <s v="High"/>
    <s v="Medium"/>
    <n v="0"/>
    <s v="Low"/>
    <n v="1"/>
    <d v="2023-04-01T00:00:00"/>
    <s v="0–6 months"/>
    <s v="0–1 tickets"/>
    <s v="46+ min"/>
    <s v="1000+"/>
    <n v="8298"/>
    <n v="-276.60000000000036"/>
  </r>
  <r>
    <n v="12033"/>
    <n v="18"/>
    <s v="Male"/>
    <s v="Bangalore"/>
    <d v="2021-02-21T00:00:00"/>
    <d v="2023-01-23T00:00:00"/>
    <x v="1"/>
    <n v="1290"/>
    <x v="15"/>
    <n v="2"/>
    <n v="30.65"/>
    <n v="15"/>
    <x v="2"/>
    <x v="1"/>
    <n v="19156.5"/>
    <b v="1"/>
    <n v="1.25"/>
    <n v="1277.0999999999999"/>
    <n v="10.216666666666667"/>
    <d v="2021-02-01T00:00:00"/>
    <s v="Young"/>
    <n v="0"/>
    <s v="Yes"/>
    <n v="701"/>
    <s v="Medium"/>
    <s v="Low"/>
    <n v="0.125"/>
    <s v="Medium"/>
    <n v="3"/>
    <d v="2021-02-01T00:00:00"/>
    <s v="13–24 months"/>
    <s v="2–3 tickets"/>
    <s v="31–45 min"/>
    <s v="1000+"/>
    <n v="19350"/>
    <n v="-193.5"/>
  </r>
  <r>
    <n v="12034"/>
    <n v="37"/>
    <s v="Male"/>
    <s v="Hyderabad"/>
    <d v="2021-07-28T00:00:00"/>
    <d v="2022-04-04T00:00:00"/>
    <x v="2"/>
    <n v="918"/>
    <x v="8"/>
    <n v="3"/>
    <n v="113.01"/>
    <n v="10"/>
    <x v="3"/>
    <x v="1"/>
    <n v="23776.2"/>
    <b v="1"/>
    <n v="2.1666666666666665"/>
    <n v="914.46923076923076"/>
    <n v="28.252500000000001"/>
    <d v="2021-07-01T00:00:00"/>
    <s v="Middle-aged"/>
    <n v="0"/>
    <s v="Yes"/>
    <n v="250"/>
    <s v="High"/>
    <s v="Low"/>
    <n v="0.1111111111111111"/>
    <s v="High"/>
    <n v="2"/>
    <d v="2021-07-01T00:00:00"/>
    <s v="25+ months"/>
    <s v="2–3 tickets"/>
    <s v="46+ min"/>
    <s v="701–1000"/>
    <n v="23868"/>
    <n v="-91.799999999999272"/>
  </r>
  <r>
    <n v="12035"/>
    <n v="45"/>
    <s v="Male"/>
    <s v="Pune"/>
    <d v="2022-07-04T00:00:00"/>
    <d v="2022-02-07T00:00:00"/>
    <x v="1"/>
    <n v="849"/>
    <x v="34"/>
    <n v="2"/>
    <n v="60.94"/>
    <n v="10"/>
    <x v="2"/>
    <x v="1"/>
    <n v="10103.1"/>
    <b v="0"/>
    <n v="1"/>
    <n v="841.92500000000007"/>
    <n v="20.313333333333333"/>
    <d v="2022-07-01T00:00:00"/>
    <s v="Middle-aged"/>
    <n v="0"/>
    <s v="No"/>
    <m/>
    <s v="High"/>
    <s v="Low"/>
    <n v="0.15384615384615385"/>
    <s v="Medium"/>
    <n v="3"/>
    <d v="2022-07-01T00:00:00"/>
    <s v="7–12 months"/>
    <s v="2–3 tickets"/>
    <s v="46+ min"/>
    <s v="701–1000"/>
    <n v="10188"/>
    <n v="-84.899999999999636"/>
  </r>
  <r>
    <n v="12036"/>
    <n v="60"/>
    <s v="Female"/>
    <s v="Hyderabad"/>
    <d v="2022-09-04T00:00:00"/>
    <d v="2021-06-08T00:00:00"/>
    <x v="0"/>
    <n v="945"/>
    <x v="25"/>
    <n v="1"/>
    <n v="56.33"/>
    <n v="10"/>
    <x v="0"/>
    <x v="1"/>
    <n v="13135.5"/>
    <b v="0"/>
    <n v="1.1666666666666667"/>
    <n v="938.25"/>
    <n v="28.164999999999999"/>
    <d v="2022-09-01T00:00:00"/>
    <s v="Older"/>
    <n v="0"/>
    <s v="No"/>
    <m/>
    <s v="Medium"/>
    <s v="Low"/>
    <n v="6.6666666666666666E-2"/>
    <s v="Medium"/>
    <n v="1"/>
    <d v="2022-09-01T00:00:00"/>
    <s v="13–24 months"/>
    <s v="0–1 tickets"/>
    <s v="46+ min"/>
    <s v="701–1000"/>
    <n v="13230"/>
    <n v="-94.5"/>
  </r>
  <r>
    <n v="12037"/>
    <n v="54"/>
    <s v="Female"/>
    <s v="Mumbai"/>
    <d v="2022-12-06T00:00:00"/>
    <d v="2023-07-08T00:00:00"/>
    <x v="0"/>
    <n v="801"/>
    <x v="7"/>
    <n v="3"/>
    <n v="94.76"/>
    <n v="5"/>
    <x v="0"/>
    <x v="1"/>
    <n v="760.95"/>
    <b v="1"/>
    <n v="8.3333333333333329E-2"/>
    <n v="760.95"/>
    <n v="23.69"/>
    <d v="2022-12-01T00:00:00"/>
    <s v="Older"/>
    <n v="0"/>
    <s v="No"/>
    <n v="214"/>
    <s v="High"/>
    <s v="Low"/>
    <n v="1.5"/>
    <s v="Low"/>
    <n v="1"/>
    <d v="2022-12-01T00:00:00"/>
    <s v="0–6 months"/>
    <s v="2–3 tickets"/>
    <s v="46+ min"/>
    <s v="701–1000"/>
    <n v="801"/>
    <n v="-40.049999999999955"/>
  </r>
  <r>
    <n v="12038"/>
    <n v="64"/>
    <s v="Male"/>
    <s v="Delhi"/>
    <d v="2022-02-06T00:00:00"/>
    <d v="2023-10-23T00:00:00"/>
    <x v="0"/>
    <n v="1456"/>
    <x v="18"/>
    <n v="1"/>
    <n v="87.01"/>
    <n v="5"/>
    <x v="0"/>
    <x v="1"/>
    <n v="24679.200000000001"/>
    <b v="1"/>
    <n v="1.4166666666666667"/>
    <n v="1451.7176470588236"/>
    <n v="43.505000000000003"/>
    <d v="2022-02-01T00:00:00"/>
    <s v="Older"/>
    <n v="0"/>
    <s v="Yes"/>
    <n v="624"/>
    <s v="High"/>
    <s v="Low"/>
    <n v="5.5555555555555552E-2"/>
    <s v="High"/>
    <n v="1"/>
    <d v="2022-02-01T00:00:00"/>
    <s v="13–24 months"/>
    <s v="0–1 tickets"/>
    <s v="46+ min"/>
    <s v="1000+"/>
    <n v="24752"/>
    <n v="-72.799999999999272"/>
  </r>
  <r>
    <n v="12039"/>
    <n v="54"/>
    <s v="Male"/>
    <s v="Chennai"/>
    <d v="2021-07-10T00:00:00"/>
    <d v="2021-12-25T00:00:00"/>
    <x v="0"/>
    <n v="1145"/>
    <x v="33"/>
    <n v="5"/>
    <n v="74.84"/>
    <n v="10"/>
    <x v="2"/>
    <x v="1"/>
    <n v="37670.5"/>
    <b v="1"/>
    <n v="2.75"/>
    <n v="1141.530303030303"/>
    <n v="12.473333333333334"/>
    <d v="2021-07-01T00:00:00"/>
    <s v="Older"/>
    <n v="0"/>
    <s v="Yes"/>
    <n v="168"/>
    <s v="High"/>
    <s v="Low"/>
    <n v="0.14705882352941177"/>
    <s v="High"/>
    <n v="1"/>
    <d v="2021-07-01T00:00:00"/>
    <s v="25+ months"/>
    <s v="4–5 tickets"/>
    <s v="46+ min"/>
    <s v="1000+"/>
    <n v="37785"/>
    <n v="-114.5"/>
  </r>
  <r>
    <n v="12040"/>
    <n v="29"/>
    <s v="Male"/>
    <s v="Pune"/>
    <d v="2021-02-20T00:00:00"/>
    <d v="2021-10-09T00:00:00"/>
    <x v="0"/>
    <n v="352"/>
    <x v="5"/>
    <n v="2"/>
    <n v="112.54"/>
    <n v="15"/>
    <x v="0"/>
    <x v="1"/>
    <n v="10155.200000000001"/>
    <b v="1"/>
    <n v="2.4166666666666665"/>
    <n v="350.17931034482763"/>
    <n v="37.513333333333335"/>
    <d v="2021-02-01T00:00:00"/>
    <s v="Adult"/>
    <n v="0"/>
    <s v="No"/>
    <n v="231"/>
    <s v="High"/>
    <s v="Low"/>
    <n v="6.6666666666666666E-2"/>
    <s v="Medium"/>
    <n v="1"/>
    <d v="2021-02-01T00:00:00"/>
    <s v="25+ months"/>
    <s v="2–3 tickets"/>
    <s v="46+ min"/>
    <s v="301–500"/>
    <n v="10208"/>
    <n v="-52.799999999999272"/>
  </r>
  <r>
    <n v="12041"/>
    <n v="41"/>
    <s v="Male"/>
    <s v="Delhi"/>
    <d v="2022-01-28T00:00:00"/>
    <d v="2023-06-06T00:00:00"/>
    <x v="2"/>
    <n v="749"/>
    <x v="27"/>
    <n v="2"/>
    <n v="53.56"/>
    <n v="0"/>
    <x v="2"/>
    <x v="0"/>
    <n v="23219"/>
    <b v="1"/>
    <n v="2.5833333333333335"/>
    <n v="749"/>
    <n v="17.853333333333335"/>
    <d v="2022-01-01T00:00:00"/>
    <s v="Middle-aged"/>
    <n v="1"/>
    <s v="Yes"/>
    <n v="494"/>
    <s v="Medium"/>
    <s v="Low"/>
    <n v="6.25E-2"/>
    <s v="High"/>
    <n v="2"/>
    <d v="2022-01-01T00:00:00"/>
    <s v="25+ months"/>
    <s v="2–3 tickets"/>
    <s v="46+ min"/>
    <s v="701–1000"/>
    <n v="23219"/>
    <n v="0"/>
  </r>
  <r>
    <n v="12042"/>
    <n v="61"/>
    <s v="Female"/>
    <s v="Hyderabad"/>
    <d v="2022-10-15T00:00:00"/>
    <d v="2023-05-10T00:00:00"/>
    <x v="0"/>
    <n v="361"/>
    <x v="14"/>
    <n v="4"/>
    <n v="97.98"/>
    <n v="5"/>
    <x v="3"/>
    <x v="1"/>
    <n v="2869.95"/>
    <b v="1"/>
    <n v="0.66666666666666663"/>
    <n v="358.74374999999998"/>
    <n v="19.596"/>
    <d v="2022-10-01T00:00:00"/>
    <s v="Older"/>
    <n v="0"/>
    <s v="No"/>
    <n v="207"/>
    <s v="High"/>
    <s v="Low"/>
    <n v="0.44444444444444442"/>
    <s v="Low"/>
    <n v="1"/>
    <d v="2022-10-01T00:00:00"/>
    <s v="7–12 months"/>
    <s v="4–5 tickets"/>
    <s v="46+ min"/>
    <s v="301–500"/>
    <n v="2888"/>
    <n v="-18.050000000000182"/>
  </r>
  <r>
    <n v="12043"/>
    <n v="45"/>
    <s v="Female"/>
    <s v="Chennai"/>
    <d v="2022-11-11T00:00:00"/>
    <d v="2023-03-16T00:00:00"/>
    <x v="2"/>
    <n v="1346"/>
    <x v="3"/>
    <n v="1"/>
    <n v="48.71"/>
    <n v="10"/>
    <x v="1"/>
    <x v="1"/>
    <n v="40245.4"/>
    <b v="1"/>
    <n v="2.5"/>
    <n v="1341.5133333333333"/>
    <n v="24.355"/>
    <d v="2022-11-01T00:00:00"/>
    <s v="Middle-aged"/>
    <n v="0"/>
    <s v="Yes"/>
    <n v="125"/>
    <s v="Medium"/>
    <s v="Low"/>
    <n v="3.2258064516129031E-2"/>
    <s v="High"/>
    <n v="2"/>
    <d v="2022-11-01T00:00:00"/>
    <s v="25+ months"/>
    <s v="0–1 tickets"/>
    <s v="46+ min"/>
    <s v="1000+"/>
    <n v="40380"/>
    <n v="-134.59999999999854"/>
  </r>
  <r>
    <n v="12044"/>
    <n v="64"/>
    <s v="Male"/>
    <s v="Delhi"/>
    <d v="2023-04-03T00:00:00"/>
    <d v="2023-07-04T00:00:00"/>
    <x v="1"/>
    <n v="343"/>
    <x v="19"/>
    <n v="0"/>
    <n v="101.41"/>
    <n v="20"/>
    <x v="0"/>
    <x v="1"/>
    <n v="4390.3999999999996"/>
    <b v="1"/>
    <n v="1.0833333333333333"/>
    <n v="337.72307692307692"/>
    <n v="101.41"/>
    <d v="2023-04-01T00:00:00"/>
    <s v="Older"/>
    <n v="0"/>
    <s v="No"/>
    <n v="92"/>
    <s v="High"/>
    <s v="Medium"/>
    <n v="0"/>
    <s v="Low"/>
    <n v="3"/>
    <d v="2023-04-01T00:00:00"/>
    <s v="13–24 months"/>
    <s v="0–1 tickets"/>
    <s v="46+ min"/>
    <s v="301–500"/>
    <n v="4459"/>
    <n v="-68.600000000000364"/>
  </r>
  <r>
    <n v="12045"/>
    <n v="32"/>
    <s v="Female"/>
    <s v="Bangalore"/>
    <d v="2022-09-13T00:00:00"/>
    <d v="2023-01-29T00:00:00"/>
    <x v="2"/>
    <n v="1119"/>
    <x v="24"/>
    <n v="3"/>
    <n v="34.840000000000003"/>
    <n v="5"/>
    <x v="2"/>
    <x v="1"/>
    <n v="17848.05"/>
    <b v="1"/>
    <n v="1.3333333333333333"/>
    <n v="1115.503125"/>
    <n v="8.7100000000000009"/>
    <d v="2022-09-01T00:00:00"/>
    <s v="Adult"/>
    <n v="0"/>
    <s v="Yes"/>
    <n v="138"/>
    <s v="Medium"/>
    <s v="Low"/>
    <n v="0.17647058823529413"/>
    <s v="Medium"/>
    <n v="2"/>
    <d v="2022-09-01T00:00:00"/>
    <s v="13–24 months"/>
    <s v="2–3 tickets"/>
    <s v="31–45 min"/>
    <s v="1000+"/>
    <n v="17904"/>
    <n v="-55.950000000000728"/>
  </r>
  <r>
    <n v="12046"/>
    <n v="23"/>
    <s v="Male"/>
    <s v="Pune"/>
    <d v="2022-12-20T00:00:00"/>
    <d v="2021-06-26T00:00:00"/>
    <x v="0"/>
    <n v="958"/>
    <x v="4"/>
    <n v="1"/>
    <n v="38.270000000000003"/>
    <n v="0"/>
    <x v="2"/>
    <x v="1"/>
    <n v="1916"/>
    <b v="0"/>
    <n v="0.16666666666666666"/>
    <n v="958"/>
    <n v="19.135000000000002"/>
    <d v="2022-12-01T00:00:00"/>
    <s v="Young"/>
    <n v="0"/>
    <s v="No"/>
    <m/>
    <s v="Medium"/>
    <s v="Low"/>
    <n v="0.33333333333333331"/>
    <s v="Low"/>
    <n v="1"/>
    <d v="2022-12-01T00:00:00"/>
    <s v="0–6 months"/>
    <s v="0–1 tickets"/>
    <s v="31–45 min"/>
    <s v="701–1000"/>
    <n v="1916"/>
    <n v="0"/>
  </r>
  <r>
    <n v="12047"/>
    <n v="61"/>
    <s v="Female"/>
    <s v="Mumbai"/>
    <d v="2021-10-27T00:00:00"/>
    <d v="2023-02-13T00:00:00"/>
    <x v="0"/>
    <n v="1027"/>
    <x v="10"/>
    <n v="1"/>
    <n v="82.95"/>
    <n v="5"/>
    <x v="3"/>
    <x v="1"/>
    <n v="18434.650000000001"/>
    <b v="1"/>
    <n v="1.5"/>
    <n v="1024.1472222222224"/>
    <n v="41.475000000000001"/>
    <d v="2021-10-01T00:00:00"/>
    <s v="Older"/>
    <n v="0"/>
    <s v="Yes"/>
    <n v="474"/>
    <s v="High"/>
    <s v="Low"/>
    <n v="5.2631578947368418E-2"/>
    <s v="Medium"/>
    <n v="1"/>
    <d v="2021-10-01T00:00:00"/>
    <s v="13–24 months"/>
    <s v="0–1 tickets"/>
    <s v="46+ min"/>
    <s v="1000+"/>
    <n v="18486"/>
    <n v="-51.349999999998545"/>
  </r>
  <r>
    <n v="12048"/>
    <n v="37"/>
    <s v="Female"/>
    <s v="Delhi"/>
    <d v="2022-09-14T00:00:00"/>
    <d v="2022-08-28T00:00:00"/>
    <x v="2"/>
    <n v="1151"/>
    <x v="12"/>
    <n v="4"/>
    <n v="29.46"/>
    <n v="0"/>
    <x v="3"/>
    <x v="1"/>
    <n v="40285"/>
    <b v="0"/>
    <n v="2.9166666666666665"/>
    <n v="1151"/>
    <n v="5.8920000000000003"/>
    <d v="2022-09-01T00:00:00"/>
    <s v="Middle-aged"/>
    <n v="0"/>
    <s v="Yes"/>
    <m/>
    <s v="Medium"/>
    <s v="Low"/>
    <n v="0.1111111111111111"/>
    <s v="High"/>
    <n v="2"/>
    <d v="2022-09-01T00:00:00"/>
    <s v="25+ months"/>
    <s v="4–5 tickets"/>
    <s v="21–30 min"/>
    <s v="1000+"/>
    <n v="40285"/>
    <n v="0"/>
  </r>
  <r>
    <n v="12049"/>
    <n v="31"/>
    <s v="Male"/>
    <s v="Delhi"/>
    <d v="2021-07-15T00:00:00"/>
    <d v="2023-02-25T00:00:00"/>
    <x v="0"/>
    <n v="346"/>
    <x v="17"/>
    <n v="2"/>
    <n v="31.35"/>
    <n v="0"/>
    <x v="1"/>
    <x v="1"/>
    <n v="6574"/>
    <b v="1"/>
    <n v="1.5833333333333333"/>
    <n v="346"/>
    <n v="10.450000000000001"/>
    <d v="2021-07-01T00:00:00"/>
    <s v="Adult"/>
    <n v="0"/>
    <s v="No"/>
    <n v="590"/>
    <s v="Medium"/>
    <s v="Low"/>
    <n v="0.1"/>
    <s v="Low"/>
    <n v="1"/>
    <d v="2021-07-01T00:00:00"/>
    <s v="13–24 months"/>
    <s v="2–3 tickets"/>
    <s v="31–45 min"/>
    <s v="301–500"/>
    <n v="6574"/>
    <n v="0"/>
  </r>
  <r>
    <n v="12050"/>
    <n v="19"/>
    <s v="Female"/>
    <s v="Bangalore"/>
    <d v="2022-02-21T00:00:00"/>
    <d v="2021-12-03T00:00:00"/>
    <x v="2"/>
    <n v="1119"/>
    <x v="19"/>
    <n v="1"/>
    <n v="40.11"/>
    <n v="5"/>
    <x v="3"/>
    <x v="0"/>
    <n v="14491.05"/>
    <b v="0"/>
    <n v="1.0833333333333333"/>
    <n v="1114.6961538461537"/>
    <n v="20.055"/>
    <d v="2022-02-01T00:00:00"/>
    <s v="Young"/>
    <n v="1"/>
    <s v="Yes"/>
    <m/>
    <s v="Medium"/>
    <s v="Low"/>
    <n v="7.1428571428571425E-2"/>
    <s v="Medium"/>
    <n v="2"/>
    <d v="2022-02-01T00:00:00"/>
    <s v="13–24 months"/>
    <s v="0–1 tickets"/>
    <s v="31–45 min"/>
    <s v="1000+"/>
    <n v="14547"/>
    <n v="-55.950000000000728"/>
  </r>
  <r>
    <n v="12051"/>
    <n v="26"/>
    <s v="Male"/>
    <s v="Hyderabad"/>
    <d v="2022-10-26T00:00:00"/>
    <d v="2022-09-27T00:00:00"/>
    <x v="0"/>
    <n v="1347"/>
    <x v="2"/>
    <n v="3"/>
    <n v="83.08"/>
    <n v="0"/>
    <x v="1"/>
    <x v="1"/>
    <n v="5388"/>
    <b v="0"/>
    <n v="0.33333333333333331"/>
    <n v="1347"/>
    <n v="20.77"/>
    <d v="2022-10-01T00:00:00"/>
    <s v="Adult"/>
    <n v="0"/>
    <s v="No"/>
    <m/>
    <s v="High"/>
    <s v="Low"/>
    <n v="0.6"/>
    <s v="Low"/>
    <n v="1"/>
    <d v="2022-10-01T00:00:00"/>
    <s v="0–6 months"/>
    <s v="2–3 tickets"/>
    <s v="46+ min"/>
    <s v="1000+"/>
    <n v="5388"/>
    <n v="0"/>
  </r>
  <r>
    <n v="12052"/>
    <n v="54"/>
    <s v="Male"/>
    <s v="Pune"/>
    <d v="2022-02-24T00:00:00"/>
    <d v="2023-04-11T00:00:00"/>
    <x v="1"/>
    <n v="388"/>
    <x v="17"/>
    <n v="1"/>
    <n v="107.28"/>
    <n v="5"/>
    <x v="1"/>
    <x v="1"/>
    <n v="7352.6"/>
    <b v="1"/>
    <n v="1.5833333333333333"/>
    <n v="386.97894736842107"/>
    <n v="53.64"/>
    <d v="2022-02-01T00:00:00"/>
    <s v="Older"/>
    <n v="0"/>
    <s v="No"/>
    <n v="411"/>
    <s v="High"/>
    <s v="Low"/>
    <n v="0.05"/>
    <s v="Low"/>
    <n v="3"/>
    <d v="2022-02-01T00:00:00"/>
    <s v="13–24 months"/>
    <s v="0–1 tickets"/>
    <s v="46+ min"/>
    <s v="301–500"/>
    <n v="7372"/>
    <n v="-19.399999999999636"/>
  </r>
  <r>
    <n v="12053"/>
    <n v="41"/>
    <s v="Male"/>
    <s v="Pune"/>
    <d v="2023-01-25T00:00:00"/>
    <d v="2021-07-21T00:00:00"/>
    <x v="2"/>
    <n v="1497"/>
    <x v="0"/>
    <n v="3"/>
    <n v="82.58"/>
    <n v="5"/>
    <x v="3"/>
    <x v="0"/>
    <n v="37350.15"/>
    <b v="0"/>
    <n v="2.0833333333333335"/>
    <n v="1494.0060000000001"/>
    <n v="20.645"/>
    <d v="2023-01-01T00:00:00"/>
    <s v="Middle-aged"/>
    <n v="1"/>
    <s v="Yes"/>
    <m/>
    <s v="High"/>
    <s v="Low"/>
    <n v="0.11538461538461539"/>
    <s v="High"/>
    <n v="2"/>
    <d v="2023-01-01T00:00:00"/>
    <s v="25+ months"/>
    <s v="2–3 tickets"/>
    <s v="46+ min"/>
    <s v="1000+"/>
    <n v="37425"/>
    <n v="-74.849999999998545"/>
  </r>
  <r>
    <n v="12054"/>
    <n v="43"/>
    <s v="Male"/>
    <s v="Mumbai"/>
    <d v="2022-10-02T00:00:00"/>
    <d v="2023-11-08T00:00:00"/>
    <x v="2"/>
    <n v="1442"/>
    <x v="27"/>
    <n v="4"/>
    <n v="100.2"/>
    <n v="15"/>
    <x v="1"/>
    <x v="1"/>
    <n v="44485.7"/>
    <b v="1"/>
    <n v="2.5833333333333335"/>
    <n v="1435.0225806451613"/>
    <n v="20.04"/>
    <d v="2022-10-01T00:00:00"/>
    <s v="Middle-aged"/>
    <n v="0"/>
    <s v="Yes"/>
    <n v="402"/>
    <s v="High"/>
    <s v="Low"/>
    <n v="0.125"/>
    <s v="High"/>
    <n v="2"/>
    <d v="2022-10-01T00:00:00"/>
    <s v="25+ months"/>
    <s v="4–5 tickets"/>
    <s v="46+ min"/>
    <s v="1000+"/>
    <n v="44702"/>
    <n v="-216.30000000000291"/>
  </r>
  <r>
    <n v="12055"/>
    <n v="46"/>
    <s v="Female"/>
    <s v="Delhi"/>
    <d v="2022-09-09T00:00:00"/>
    <d v="2021-06-05T00:00:00"/>
    <x v="0"/>
    <n v="1034"/>
    <x v="2"/>
    <n v="4"/>
    <n v="67.510000000000005"/>
    <n v="20"/>
    <x v="0"/>
    <x v="1"/>
    <n v="3929.2"/>
    <b v="0"/>
    <n v="0.33333333333333331"/>
    <n v="982.3"/>
    <n v="13.502000000000001"/>
    <d v="2022-09-01T00:00:00"/>
    <s v="Middle-aged"/>
    <n v="0"/>
    <s v="No"/>
    <m/>
    <s v="High"/>
    <s v="Medium"/>
    <n v="0.8"/>
    <s v="Low"/>
    <n v="1"/>
    <d v="2022-09-01T00:00:00"/>
    <s v="0–6 months"/>
    <s v="4–5 tickets"/>
    <s v="46+ min"/>
    <s v="1000+"/>
    <n v="4136"/>
    <n v="-206.80000000000018"/>
  </r>
  <r>
    <n v="12056"/>
    <n v="18"/>
    <s v="Female"/>
    <s v="Chennai"/>
    <d v="2022-06-06T00:00:00"/>
    <d v="2023-01-10T00:00:00"/>
    <x v="0"/>
    <n v="477"/>
    <x v="16"/>
    <n v="1"/>
    <n v="12.93"/>
    <n v="0"/>
    <x v="1"/>
    <x v="1"/>
    <n v="3339"/>
    <b v="1"/>
    <n v="0.58333333333333337"/>
    <n v="477"/>
    <n v="6.4649999999999999"/>
    <d v="2022-06-01T00:00:00"/>
    <s v="Young"/>
    <n v="0"/>
    <s v="No"/>
    <n v="218"/>
    <s v="Low"/>
    <s v="Low"/>
    <n v="0.125"/>
    <s v="Low"/>
    <n v="1"/>
    <d v="2022-06-01T00:00:00"/>
    <s v="7–12 months"/>
    <s v="0–1 tickets"/>
    <s v="11–20 min"/>
    <s v="301–500"/>
    <n v="3339"/>
    <n v="0"/>
  </r>
  <r>
    <n v="12057"/>
    <n v="52"/>
    <s v="Female"/>
    <s v="Delhi"/>
    <d v="2021-12-22T00:00:00"/>
    <d v="2021-11-07T00:00:00"/>
    <x v="2"/>
    <n v="1318"/>
    <x v="24"/>
    <n v="4"/>
    <n v="16.55"/>
    <n v="5"/>
    <x v="2"/>
    <x v="1"/>
    <n v="21022.1"/>
    <b v="0"/>
    <n v="1.3333333333333333"/>
    <n v="1313.8812499999999"/>
    <n v="3.31"/>
    <d v="2021-12-01T00:00:00"/>
    <s v="Older"/>
    <n v="0"/>
    <s v="Yes"/>
    <m/>
    <s v="Low"/>
    <s v="Low"/>
    <n v="0.23529411764705882"/>
    <s v="High"/>
    <n v="2"/>
    <d v="2021-12-01T00:00:00"/>
    <s v="13–24 months"/>
    <s v="4–5 tickets"/>
    <s v="11–20 min"/>
    <s v="1000+"/>
    <n v="21088"/>
    <n v="-65.900000000001455"/>
  </r>
  <r>
    <n v="12058"/>
    <n v="23"/>
    <s v="Female"/>
    <s v="Mumbai"/>
    <d v="2021-05-28T00:00:00"/>
    <d v="2021-12-25T00:00:00"/>
    <x v="2"/>
    <n v="1382"/>
    <x v="21"/>
    <n v="0"/>
    <n v="68.760000000000005"/>
    <n v="0"/>
    <x v="2"/>
    <x v="0"/>
    <n v="6910"/>
    <b v="1"/>
    <n v="0.41666666666666669"/>
    <n v="1382"/>
    <n v="68.760000000000005"/>
    <d v="2021-05-01T00:00:00"/>
    <s v="Young"/>
    <n v="1"/>
    <s v="No"/>
    <n v="211"/>
    <s v="High"/>
    <s v="Low"/>
    <n v="0"/>
    <s v="Low"/>
    <n v="2"/>
    <d v="2021-05-01T00:00:00"/>
    <s v="0–6 months"/>
    <s v="0–1 tickets"/>
    <s v="46+ min"/>
    <s v="1000+"/>
    <n v="6910"/>
    <n v="0"/>
  </r>
  <r>
    <n v="12059"/>
    <n v="54"/>
    <s v="Female"/>
    <s v="unknown"/>
    <d v="2021-12-31T00:00:00"/>
    <d v="2022-02-12T00:00:00"/>
    <x v="0"/>
    <n v="1200"/>
    <x v="31"/>
    <n v="0"/>
    <n v="42.7"/>
    <n v="10"/>
    <x v="2"/>
    <x v="1"/>
    <n v="27540"/>
    <b v="1"/>
    <n v="1.9166666666666667"/>
    <n v="1197.391304347826"/>
    <n v="42.7"/>
    <d v="2021-12-01T00:00:00"/>
    <s v="Older"/>
    <n v="0"/>
    <s v="Yes"/>
    <n v="43"/>
    <s v="Medium"/>
    <s v="Low"/>
    <n v="0"/>
    <s v="High"/>
    <n v="1"/>
    <d v="2021-12-01T00:00:00"/>
    <s v="13–24 months"/>
    <s v="0–1 tickets"/>
    <s v="31–45 min"/>
    <s v="1000+"/>
    <n v="27600"/>
    <n v="-60"/>
  </r>
  <r>
    <n v="12060"/>
    <n v="22"/>
    <s v="Male"/>
    <s v="Bangalore"/>
    <d v="2021-12-30T00:00:00"/>
    <d v="2021-12-22T00:00:00"/>
    <x v="0"/>
    <n v="737"/>
    <x v="23"/>
    <n v="0"/>
    <n v="30.37"/>
    <n v="5"/>
    <x v="3"/>
    <x v="0"/>
    <n v="23547.15"/>
    <b v="0"/>
    <n v="2.6666666666666665"/>
    <n v="735.84843750000005"/>
    <n v="30.37"/>
    <d v="2021-12-01T00:00:00"/>
    <s v="Young"/>
    <n v="1"/>
    <s v="Yes"/>
    <m/>
    <s v="Medium"/>
    <s v="Low"/>
    <n v="0"/>
    <s v="High"/>
    <n v="1"/>
    <d v="2021-12-01T00:00:00"/>
    <s v="25+ months"/>
    <s v="0–1 tickets"/>
    <s v="31–45 min"/>
    <s v="701–1000"/>
    <n v="23584"/>
    <n v="-36.849999999998545"/>
  </r>
  <r>
    <n v="12061"/>
    <n v="50"/>
    <s v="Female"/>
    <s v="Delhi"/>
    <d v="2022-10-14T00:00:00"/>
    <d v="2023-07-07T00:00:00"/>
    <x v="0"/>
    <n v="725"/>
    <x v="30"/>
    <n v="1"/>
    <n v="58.62"/>
    <n v="5"/>
    <x v="2"/>
    <x v="1"/>
    <n v="17363.75"/>
    <b v="1"/>
    <n v="2"/>
    <n v="723.48958333333337"/>
    <n v="29.31"/>
    <d v="2022-10-01T00:00:00"/>
    <s v="Middle-aged"/>
    <n v="0"/>
    <s v="Yes"/>
    <n v="266"/>
    <s v="Medium"/>
    <s v="Low"/>
    <n v="0.04"/>
    <s v="Medium"/>
    <n v="1"/>
    <d v="2022-10-01T00:00:00"/>
    <s v="13–24 months"/>
    <s v="0–1 tickets"/>
    <s v="46+ min"/>
    <s v="701–1000"/>
    <n v="17400"/>
    <n v="-36.25"/>
  </r>
  <r>
    <n v="12062"/>
    <n v="31"/>
    <s v="Male"/>
    <s v="Delhi"/>
    <d v="2022-12-03T00:00:00"/>
    <d v="2021-06-11T00:00:00"/>
    <x v="2"/>
    <n v="1267"/>
    <x v="0"/>
    <n v="4"/>
    <n v="81.650000000000006"/>
    <n v="20"/>
    <x v="3"/>
    <x v="1"/>
    <n v="31421.599999999999"/>
    <b v="0"/>
    <n v="2.0833333333333335"/>
    <n v="1256.864"/>
    <n v="16.330000000000002"/>
    <d v="2022-12-01T00:00:00"/>
    <s v="Adult"/>
    <n v="0"/>
    <s v="Yes"/>
    <m/>
    <s v="High"/>
    <s v="Medium"/>
    <n v="0.15384615384615385"/>
    <s v="High"/>
    <n v="2"/>
    <d v="2022-12-01T00:00:00"/>
    <s v="25+ months"/>
    <s v="4–5 tickets"/>
    <s v="46+ min"/>
    <s v="1000+"/>
    <n v="31675"/>
    <n v="-253.40000000000146"/>
  </r>
  <r>
    <n v="12063"/>
    <n v="29"/>
    <s v="Female"/>
    <s v="Chennai"/>
    <d v="2022-02-06T00:00:00"/>
    <d v="2021-06-08T00:00:00"/>
    <x v="0"/>
    <n v="785"/>
    <x v="29"/>
    <n v="1"/>
    <n v="49.27"/>
    <n v="0"/>
    <x v="2"/>
    <x v="1"/>
    <n v="21980"/>
    <b v="0"/>
    <n v="2.3333333333333335"/>
    <n v="785"/>
    <n v="24.635000000000002"/>
    <d v="2022-02-01T00:00:00"/>
    <s v="Adult"/>
    <n v="0"/>
    <s v="Yes"/>
    <m/>
    <s v="Medium"/>
    <s v="Low"/>
    <n v="3.4482758620689655E-2"/>
    <s v="High"/>
    <n v="1"/>
    <d v="2022-02-01T00:00:00"/>
    <s v="25+ months"/>
    <s v="0–1 tickets"/>
    <s v="46+ min"/>
    <s v="701–1000"/>
    <n v="21980"/>
    <n v="0"/>
  </r>
  <r>
    <n v="12064"/>
    <n v="59"/>
    <s v="Female"/>
    <s v="Bangalore"/>
    <d v="2022-08-29T00:00:00"/>
    <d v="2022-07-14T00:00:00"/>
    <x v="2"/>
    <n v="759"/>
    <x v="17"/>
    <n v="2"/>
    <n v="97.29"/>
    <n v="20"/>
    <x v="1"/>
    <x v="1"/>
    <n v="14269.2"/>
    <b v="0"/>
    <n v="1.5833333333333333"/>
    <n v="751.01052631578955"/>
    <n v="32.43"/>
    <d v="2022-08-01T00:00:00"/>
    <s v="Older"/>
    <n v="0"/>
    <s v="Yes"/>
    <m/>
    <s v="High"/>
    <s v="Medium"/>
    <n v="0.1"/>
    <s v="Medium"/>
    <n v="2"/>
    <d v="2022-08-01T00:00:00"/>
    <s v="13–24 months"/>
    <s v="2–3 tickets"/>
    <s v="46+ min"/>
    <s v="701–1000"/>
    <n v="14421"/>
    <n v="-151.79999999999927"/>
  </r>
  <r>
    <n v="12065"/>
    <n v="37"/>
    <s v="Male"/>
    <s v="Bangalore"/>
    <d v="2022-05-07T00:00:00"/>
    <d v="2021-07-02T00:00:00"/>
    <x v="2"/>
    <n v="1220"/>
    <x v="16"/>
    <n v="1"/>
    <n v="89.93"/>
    <n v="20"/>
    <x v="3"/>
    <x v="1"/>
    <n v="8296"/>
    <b v="0"/>
    <n v="0.58333333333333337"/>
    <n v="1185.1428571428571"/>
    <n v="44.965000000000003"/>
    <d v="2022-05-01T00:00:00"/>
    <s v="Middle-aged"/>
    <n v="0"/>
    <s v="No"/>
    <m/>
    <s v="High"/>
    <s v="Medium"/>
    <n v="0.125"/>
    <s v="Low"/>
    <n v="2"/>
    <d v="2022-05-01T00:00:00"/>
    <s v="7–12 months"/>
    <s v="0–1 tickets"/>
    <s v="46+ min"/>
    <s v="1000+"/>
    <n v="8540"/>
    <n v="-244"/>
  </r>
  <r>
    <n v="12066"/>
    <n v="41"/>
    <s v="Female"/>
    <s v="Delhi"/>
    <d v="2021-08-17T00:00:00"/>
    <d v="2022-11-22T00:00:00"/>
    <x v="2"/>
    <n v="1425"/>
    <x v="18"/>
    <n v="5"/>
    <n v="89.52"/>
    <n v="20"/>
    <x v="2"/>
    <x v="1"/>
    <n v="23940"/>
    <b v="1"/>
    <n v="1.4166666666666667"/>
    <n v="1408.2352941176471"/>
    <n v="14.92"/>
    <d v="2021-08-01T00:00:00"/>
    <s v="Middle-aged"/>
    <n v="0"/>
    <s v="Yes"/>
    <n v="462"/>
    <s v="High"/>
    <s v="Medium"/>
    <n v="0.27777777777777779"/>
    <s v="High"/>
    <n v="2"/>
    <d v="2021-08-01T00:00:00"/>
    <s v="13–24 months"/>
    <s v="4–5 tickets"/>
    <s v="46+ min"/>
    <s v="1000+"/>
    <n v="24225"/>
    <n v="-285"/>
  </r>
  <r>
    <n v="12067"/>
    <n v="60"/>
    <s v="Female"/>
    <s v="Pune"/>
    <d v="2022-07-29T00:00:00"/>
    <d v="2023-05-19T00:00:00"/>
    <x v="1"/>
    <n v="1338"/>
    <x v="4"/>
    <n v="1"/>
    <n v="118.3"/>
    <n v="20"/>
    <x v="1"/>
    <x v="0"/>
    <n v="2408.4"/>
    <b v="1"/>
    <n v="0.16666666666666666"/>
    <n v="1204.2"/>
    <n v="59.15"/>
    <d v="2022-07-01T00:00:00"/>
    <s v="Older"/>
    <n v="1"/>
    <s v="No"/>
    <n v="294"/>
    <s v="High"/>
    <s v="Medium"/>
    <n v="0.33333333333333331"/>
    <s v="Low"/>
    <n v="3"/>
    <d v="2022-07-01T00:00:00"/>
    <s v="0–6 months"/>
    <s v="0–1 tickets"/>
    <s v="46+ min"/>
    <s v="1000+"/>
    <n v="2676"/>
    <n v="-267.59999999999991"/>
  </r>
  <r>
    <n v="12068"/>
    <n v="51"/>
    <s v="Female"/>
    <s v="Chennai"/>
    <d v="2023-05-02T00:00:00"/>
    <d v="2022-06-22T00:00:00"/>
    <x v="1"/>
    <n v="1047"/>
    <x v="24"/>
    <n v="1"/>
    <n v="38.950000000000003"/>
    <n v="15"/>
    <x v="3"/>
    <x v="0"/>
    <n v="16594.95"/>
    <b v="0"/>
    <n v="1.3333333333333333"/>
    <n v="1037.184375"/>
    <n v="19.475000000000001"/>
    <d v="2023-05-01T00:00:00"/>
    <s v="Older"/>
    <n v="1"/>
    <s v="Yes"/>
    <m/>
    <s v="Medium"/>
    <s v="Low"/>
    <n v="5.8823529411764705E-2"/>
    <s v="Medium"/>
    <n v="3"/>
    <d v="2023-05-01T00:00:00"/>
    <s v="13–24 months"/>
    <s v="0–1 tickets"/>
    <s v="31–45 min"/>
    <s v="1000+"/>
    <n v="16752"/>
    <n v="-157.04999999999927"/>
  </r>
  <r>
    <n v="12069"/>
    <n v="42"/>
    <s v="Male"/>
    <s v="Delhi"/>
    <d v="2022-06-21T00:00:00"/>
    <d v="2022-01-14T00:00:00"/>
    <x v="2"/>
    <n v="350"/>
    <x v="10"/>
    <n v="2"/>
    <n v="79.14"/>
    <n v="0"/>
    <x v="1"/>
    <x v="1"/>
    <n v="6300"/>
    <b v="0"/>
    <n v="1.5"/>
    <n v="350"/>
    <n v="26.38"/>
    <d v="2022-06-01T00:00:00"/>
    <s v="Middle-aged"/>
    <n v="0"/>
    <s v="No"/>
    <m/>
    <s v="High"/>
    <s v="Low"/>
    <n v="0.10526315789473684"/>
    <s v="Low"/>
    <n v="2"/>
    <d v="2022-06-01T00:00:00"/>
    <s v="13–24 months"/>
    <s v="2–3 tickets"/>
    <s v="46+ min"/>
    <s v="301–500"/>
    <n v="6300"/>
    <n v="0"/>
  </r>
  <r>
    <n v="12070"/>
    <n v="41"/>
    <s v="Male"/>
    <s v="Delhi"/>
    <d v="2021-09-25T00:00:00"/>
    <d v="2023-03-02T00:00:00"/>
    <x v="0"/>
    <n v="608"/>
    <x v="7"/>
    <n v="2"/>
    <n v="103.38"/>
    <n v="0"/>
    <x v="1"/>
    <x v="1"/>
    <n v="608"/>
    <b v="1"/>
    <n v="8.3333333333333329E-2"/>
    <n v="608"/>
    <n v="34.46"/>
    <d v="2021-09-01T00:00:00"/>
    <s v="Middle-aged"/>
    <n v="0"/>
    <s v="No"/>
    <n v="523"/>
    <s v="High"/>
    <s v="Low"/>
    <n v="1"/>
    <s v="Low"/>
    <n v="1"/>
    <d v="2021-09-01T00:00:00"/>
    <s v="0–6 months"/>
    <s v="2–3 tickets"/>
    <s v="46+ min"/>
    <s v="501–700"/>
    <n v="608"/>
    <n v="0"/>
  </r>
  <r>
    <n v="12071"/>
    <n v="56"/>
    <s v="Male"/>
    <s v="Mumbai"/>
    <d v="2022-02-09T00:00:00"/>
    <d v="2023-07-07T00:00:00"/>
    <x v="0"/>
    <n v="1357"/>
    <x v="13"/>
    <n v="2"/>
    <n v="62.59"/>
    <n v="5"/>
    <x v="1"/>
    <x v="0"/>
    <n v="4003.15"/>
    <b v="1"/>
    <n v="0.25"/>
    <n v="1334.3833333333334"/>
    <n v="20.863333333333333"/>
    <d v="2022-02-01T00:00:00"/>
    <s v="Older"/>
    <n v="1"/>
    <s v="No"/>
    <n v="513"/>
    <s v="High"/>
    <s v="Low"/>
    <n v="0.5"/>
    <s v="Low"/>
    <n v="1"/>
    <d v="2022-02-01T00:00:00"/>
    <s v="0–6 months"/>
    <s v="2–3 tickets"/>
    <s v="46+ min"/>
    <s v="1000+"/>
    <n v="4071"/>
    <n v="-67.849999999999909"/>
  </r>
  <r>
    <n v="12072"/>
    <n v="48"/>
    <s v="Male"/>
    <s v="Mumbai"/>
    <d v="2023-03-04T00:00:00"/>
    <d v="2022-09-18T00:00:00"/>
    <x v="2"/>
    <n v="1304"/>
    <x v="6"/>
    <n v="2"/>
    <n v="95.79"/>
    <n v="0"/>
    <x v="3"/>
    <x v="1"/>
    <n v="27384"/>
    <b v="0"/>
    <n v="1.75"/>
    <n v="1304"/>
    <n v="31.930000000000003"/>
    <d v="2023-03-01T00:00:00"/>
    <s v="Middle-aged"/>
    <n v="0"/>
    <s v="Yes"/>
    <m/>
    <s v="High"/>
    <s v="Low"/>
    <n v="9.0909090909090912E-2"/>
    <s v="High"/>
    <n v="2"/>
    <d v="2023-03-01T00:00:00"/>
    <s v="13–24 months"/>
    <s v="2–3 tickets"/>
    <s v="46+ min"/>
    <s v="1000+"/>
    <n v="27384"/>
    <n v="0"/>
  </r>
  <r>
    <n v="12073"/>
    <n v="64"/>
    <s v="Male"/>
    <s v="Pune"/>
    <d v="2021-01-11T00:00:00"/>
    <d v="2023-05-25T00:00:00"/>
    <x v="2"/>
    <n v="934"/>
    <x v="3"/>
    <n v="1"/>
    <n v="52.66"/>
    <n v="20"/>
    <x v="3"/>
    <x v="1"/>
    <n v="27833.200000000001"/>
    <b v="1"/>
    <n v="2.5"/>
    <n v="927.77333333333331"/>
    <n v="26.33"/>
    <d v="2021-01-01T00:00:00"/>
    <s v="Older"/>
    <n v="0"/>
    <s v="Yes"/>
    <n v="864"/>
    <s v="Medium"/>
    <s v="Medium"/>
    <n v="3.2258064516129031E-2"/>
    <s v="High"/>
    <n v="2"/>
    <d v="2021-01-01T00:00:00"/>
    <s v="25+ months"/>
    <s v="0–1 tickets"/>
    <s v="46+ min"/>
    <s v="701–1000"/>
    <n v="28020"/>
    <n v="-186.79999999999927"/>
  </r>
  <r>
    <n v="12074"/>
    <n v="60"/>
    <s v="Female"/>
    <s v="Chennai"/>
    <d v="2021-11-16T00:00:00"/>
    <d v="2023-06-21T00:00:00"/>
    <x v="2"/>
    <n v="504"/>
    <x v="11"/>
    <n v="2"/>
    <n v="72.91"/>
    <n v="10"/>
    <x v="0"/>
    <x v="1"/>
    <n v="5493.6"/>
    <b v="1"/>
    <n v="0.91666666666666663"/>
    <n v="499.41818181818184"/>
    <n v="24.303333333333331"/>
    <d v="2021-11-01T00:00:00"/>
    <s v="Older"/>
    <n v="0"/>
    <s v="No"/>
    <n v="582"/>
    <s v="High"/>
    <s v="Low"/>
    <n v="0.16666666666666666"/>
    <s v="Low"/>
    <n v="2"/>
    <d v="2021-11-01T00:00:00"/>
    <s v="7–12 months"/>
    <s v="2–3 tickets"/>
    <s v="46+ min"/>
    <s v="501–700"/>
    <n v="5544"/>
    <n v="-50.399999999999636"/>
  </r>
  <r>
    <n v="12075"/>
    <n v="40"/>
    <s v="Male"/>
    <s v="Hyderabad"/>
    <d v="2022-12-14T00:00:00"/>
    <d v="2021-12-24T00:00:00"/>
    <x v="0"/>
    <n v="1039"/>
    <x v="1"/>
    <n v="4"/>
    <n v="11.4"/>
    <n v="0"/>
    <x v="0"/>
    <x v="1"/>
    <n v="22858"/>
    <b v="0"/>
    <n v="1.8333333333333333"/>
    <n v="1039"/>
    <n v="2.2800000000000002"/>
    <d v="2022-12-01T00:00:00"/>
    <s v="Middle-aged"/>
    <n v="0"/>
    <s v="Yes"/>
    <m/>
    <s v="Low"/>
    <s v="Low"/>
    <n v="0.17391304347826086"/>
    <s v="High"/>
    <n v="1"/>
    <d v="2022-12-01T00:00:00"/>
    <s v="13–24 months"/>
    <s v="4–5 tickets"/>
    <s v="11–20 min"/>
    <s v="1000+"/>
    <n v="22858"/>
    <n v="0"/>
  </r>
  <r>
    <n v="12076"/>
    <n v="61"/>
    <s v="Female"/>
    <s v="Mumbai"/>
    <d v="2021-05-06T00:00:00"/>
    <d v="2022-04-14T00:00:00"/>
    <x v="2"/>
    <n v="1393"/>
    <x v="0"/>
    <n v="4"/>
    <n v="118.36"/>
    <n v="10"/>
    <x v="0"/>
    <x v="0"/>
    <n v="34685.699999999997"/>
    <b v="1"/>
    <n v="2.0833333333333335"/>
    <n v="1387.4279999999999"/>
    <n v="23.672000000000001"/>
    <d v="2021-05-01T00:00:00"/>
    <s v="Older"/>
    <n v="1"/>
    <s v="Yes"/>
    <n v="343"/>
    <s v="High"/>
    <s v="Low"/>
    <n v="0.15384615384615385"/>
    <s v="High"/>
    <n v="2"/>
    <d v="2021-05-01T00:00:00"/>
    <s v="25+ months"/>
    <s v="4–5 tickets"/>
    <s v="46+ min"/>
    <s v="1000+"/>
    <n v="34825"/>
    <n v="-139.30000000000291"/>
  </r>
  <r>
    <n v="12077"/>
    <n v="55"/>
    <s v="Female"/>
    <s v="Hyderabad"/>
    <d v="2021-11-02T00:00:00"/>
    <d v="2023-08-04T00:00:00"/>
    <x v="0"/>
    <n v="832"/>
    <x v="13"/>
    <n v="4"/>
    <n v="97"/>
    <n v="15"/>
    <x v="0"/>
    <x v="1"/>
    <n v="2371.1999999999998"/>
    <b v="1"/>
    <n v="0.25"/>
    <n v="790.4"/>
    <n v="19.399999999999999"/>
    <d v="2021-11-01T00:00:00"/>
    <s v="Older"/>
    <n v="0"/>
    <s v="No"/>
    <n v="640"/>
    <s v="High"/>
    <s v="Low"/>
    <n v="1"/>
    <s v="Low"/>
    <n v="1"/>
    <d v="2021-11-01T00:00:00"/>
    <s v="0–6 months"/>
    <s v="4–5 tickets"/>
    <s v="46+ min"/>
    <s v="701–1000"/>
    <n v="2496"/>
    <n v="-124.80000000000018"/>
  </r>
  <r>
    <n v="12078"/>
    <n v="37"/>
    <s v="Female"/>
    <s v="Bangalore"/>
    <d v="2022-12-03T00:00:00"/>
    <d v="2023-06-27T00:00:00"/>
    <x v="2"/>
    <n v="407"/>
    <x v="3"/>
    <n v="4"/>
    <n v="104.91"/>
    <n v="5"/>
    <x v="3"/>
    <x v="1"/>
    <n v="12189.65"/>
    <b v="1"/>
    <n v="2.5"/>
    <n v="406.32166666666666"/>
    <n v="20.981999999999999"/>
    <d v="2022-12-01T00:00:00"/>
    <s v="Middle-aged"/>
    <n v="0"/>
    <s v="No"/>
    <n v="206"/>
    <s v="High"/>
    <s v="Low"/>
    <n v="0.12903225806451613"/>
    <s v="Medium"/>
    <n v="2"/>
    <d v="2022-12-01T00:00:00"/>
    <s v="25+ months"/>
    <s v="4–5 tickets"/>
    <s v="46+ min"/>
    <s v="301–500"/>
    <n v="12210"/>
    <n v="-20.350000000000364"/>
  </r>
  <r>
    <n v="12079"/>
    <n v="40"/>
    <s v="Male"/>
    <s v="Mumbai"/>
    <d v="2022-05-26T00:00:00"/>
    <d v="2022-12-09T00:00:00"/>
    <x v="0"/>
    <n v="1175"/>
    <x v="30"/>
    <n v="1"/>
    <n v="84.84"/>
    <n v="5"/>
    <x v="0"/>
    <x v="1"/>
    <n v="28141.25"/>
    <b v="1"/>
    <n v="2"/>
    <n v="1172.5520833333333"/>
    <n v="42.42"/>
    <d v="2022-05-01T00:00:00"/>
    <s v="Middle-aged"/>
    <n v="0"/>
    <s v="Yes"/>
    <n v="197"/>
    <s v="High"/>
    <s v="Low"/>
    <n v="0.04"/>
    <s v="High"/>
    <n v="1"/>
    <d v="2022-05-01T00:00:00"/>
    <s v="13–24 months"/>
    <s v="0–1 tickets"/>
    <s v="46+ min"/>
    <s v="1000+"/>
    <n v="28200"/>
    <n v="-58.75"/>
  </r>
  <r>
    <n v="12080"/>
    <n v="62"/>
    <s v="Female"/>
    <s v="Mumbai"/>
    <d v="2021-03-30T00:00:00"/>
    <d v="2023-02-07T00:00:00"/>
    <x v="2"/>
    <n v="550"/>
    <x v="31"/>
    <n v="6"/>
    <n v="26.4"/>
    <n v="5"/>
    <x v="2"/>
    <x v="1"/>
    <n v="12622.5"/>
    <b v="1"/>
    <n v="1.9166666666666667"/>
    <n v="548.804347826087"/>
    <n v="3.7714285714285714"/>
    <d v="2021-03-01T00:00:00"/>
    <s v="Older"/>
    <n v="0"/>
    <s v="No"/>
    <n v="679"/>
    <s v="Medium"/>
    <s v="Low"/>
    <n v="0.25"/>
    <s v="Medium"/>
    <n v="2"/>
    <d v="2021-03-01T00:00:00"/>
    <s v="13–24 months"/>
    <s v="6+ tickets"/>
    <s v="21–30 min"/>
    <s v="501–700"/>
    <n v="12650"/>
    <n v="-27.5"/>
  </r>
  <r>
    <n v="12081"/>
    <n v="33"/>
    <s v="Female"/>
    <s v="Chennai"/>
    <d v="2021-12-21T00:00:00"/>
    <d v="2022-05-14T00:00:00"/>
    <x v="0"/>
    <n v="434"/>
    <x v="14"/>
    <n v="4"/>
    <n v="8.57"/>
    <n v="15"/>
    <x v="0"/>
    <x v="0"/>
    <n v="3406.9"/>
    <b v="1"/>
    <n v="0.66666666666666663"/>
    <n v="425.86250000000001"/>
    <n v="1.714"/>
    <d v="2021-12-01T00:00:00"/>
    <s v="Adult"/>
    <n v="1"/>
    <s v="No"/>
    <n v="144"/>
    <s v="Low"/>
    <s v="Low"/>
    <n v="0.44444444444444442"/>
    <s v="Low"/>
    <n v="1"/>
    <d v="2021-12-01T00:00:00"/>
    <s v="7–12 months"/>
    <s v="4–5 tickets"/>
    <s v="0–10 min"/>
    <s v="301–500"/>
    <n v="3472"/>
    <n v="-65.099999999999909"/>
  </r>
  <r>
    <n v="12082"/>
    <n v="59"/>
    <s v="Male"/>
    <s v="Pune"/>
    <d v="2022-09-20T00:00:00"/>
    <d v="2023-08-02T00:00:00"/>
    <x v="0"/>
    <n v="1413"/>
    <x v="2"/>
    <n v="2"/>
    <n v="104.44"/>
    <n v="20"/>
    <x v="2"/>
    <x v="1"/>
    <n v="5369.4"/>
    <b v="1"/>
    <n v="0.33333333333333331"/>
    <n v="1342.35"/>
    <n v="34.813333333333333"/>
    <d v="2022-09-01T00:00:00"/>
    <s v="Older"/>
    <n v="0"/>
    <s v="No"/>
    <n v="316"/>
    <s v="High"/>
    <s v="Medium"/>
    <n v="0.4"/>
    <s v="Low"/>
    <n v="1"/>
    <d v="2022-09-01T00:00:00"/>
    <s v="0–6 months"/>
    <s v="2–3 tickets"/>
    <s v="46+ min"/>
    <s v="1000+"/>
    <n v="5652"/>
    <n v="-282.60000000000036"/>
  </r>
  <r>
    <n v="12083"/>
    <n v="25"/>
    <s v="Male"/>
    <s v="Hyderabad"/>
    <d v="2021-12-18T00:00:00"/>
    <d v="2022-01-20T00:00:00"/>
    <x v="2"/>
    <n v="988"/>
    <x v="27"/>
    <n v="1"/>
    <n v="50.58"/>
    <n v="10"/>
    <x v="2"/>
    <x v="0"/>
    <n v="30529.200000000001"/>
    <b v="1"/>
    <n v="2.5833333333333335"/>
    <n v="984.81290322580651"/>
    <n v="25.29"/>
    <d v="2021-12-01T00:00:00"/>
    <s v="Young"/>
    <n v="1"/>
    <s v="Yes"/>
    <n v="33"/>
    <s v="Medium"/>
    <s v="Low"/>
    <n v="3.125E-2"/>
    <s v="High"/>
    <n v="2"/>
    <d v="2021-12-01T00:00:00"/>
    <s v="25+ months"/>
    <s v="0–1 tickets"/>
    <s v="46+ min"/>
    <s v="701–1000"/>
    <n v="30628"/>
    <n v="-98.799999999999272"/>
  </r>
  <r>
    <n v="12084"/>
    <n v="38"/>
    <s v="Female"/>
    <s v="Mumbai"/>
    <d v="2022-11-20T00:00:00"/>
    <d v="2023-05-02T00:00:00"/>
    <x v="0"/>
    <n v="706"/>
    <x v="5"/>
    <n v="1"/>
    <n v="35.340000000000003"/>
    <n v="0"/>
    <x v="1"/>
    <x v="1"/>
    <n v="20474"/>
    <b v="1"/>
    <n v="2.4166666666666665"/>
    <n v="706"/>
    <n v="17.670000000000002"/>
    <d v="2022-11-01T00:00:00"/>
    <s v="Middle-aged"/>
    <n v="0"/>
    <s v="Yes"/>
    <n v="163"/>
    <s v="Medium"/>
    <s v="Low"/>
    <n v="3.3333333333333333E-2"/>
    <s v="High"/>
    <n v="1"/>
    <d v="2022-11-01T00:00:00"/>
    <s v="25+ months"/>
    <s v="0–1 tickets"/>
    <s v="31–45 min"/>
    <s v="701–1000"/>
    <n v="20474"/>
    <n v="0"/>
  </r>
  <r>
    <n v="12085"/>
    <n v="18"/>
    <s v="Male"/>
    <s v="Mumbai"/>
    <d v="2021-01-14T00:00:00"/>
    <d v="2021-07-14T00:00:00"/>
    <x v="2"/>
    <n v="401"/>
    <x v="19"/>
    <n v="2"/>
    <n v="69.59"/>
    <n v="20"/>
    <x v="1"/>
    <x v="1"/>
    <n v="5132.8"/>
    <b v="1"/>
    <n v="1.0833333333333333"/>
    <n v="394.83076923076925"/>
    <n v="23.196666666666669"/>
    <d v="2021-01-01T00:00:00"/>
    <s v="Young"/>
    <n v="0"/>
    <s v="No"/>
    <n v="181"/>
    <s v="High"/>
    <s v="Medium"/>
    <n v="0.14285714285714285"/>
    <s v="Low"/>
    <n v="2"/>
    <d v="2021-01-01T00:00:00"/>
    <s v="13–24 months"/>
    <s v="2–3 tickets"/>
    <s v="46+ min"/>
    <s v="301–500"/>
    <n v="5213"/>
    <n v="-80.199999999999818"/>
  </r>
  <r>
    <n v="12086"/>
    <n v="25"/>
    <s v="Male"/>
    <s v="Chennai"/>
    <d v="2021-09-14T00:00:00"/>
    <d v="2023-06-07T00:00:00"/>
    <x v="2"/>
    <n v="992"/>
    <x v="9"/>
    <n v="4"/>
    <n v="53.4"/>
    <n v="5"/>
    <x v="1"/>
    <x v="1"/>
    <n v="8878.4"/>
    <b v="1"/>
    <n v="0.75"/>
    <n v="986.48888888888882"/>
    <n v="10.68"/>
    <d v="2021-09-01T00:00:00"/>
    <s v="Young"/>
    <n v="0"/>
    <s v="No"/>
    <n v="631"/>
    <s v="Medium"/>
    <s v="Low"/>
    <n v="0.4"/>
    <s v="Medium"/>
    <n v="2"/>
    <d v="2021-09-01T00:00:00"/>
    <s v="7–12 months"/>
    <s v="4–5 tickets"/>
    <s v="46+ min"/>
    <s v="701–1000"/>
    <n v="8928"/>
    <n v="-49.600000000000364"/>
  </r>
  <r>
    <n v="12087"/>
    <n v="46"/>
    <s v="Male"/>
    <s v="Chennai"/>
    <d v="2021-07-28T00:00:00"/>
    <d v="2021-10-20T00:00:00"/>
    <x v="2"/>
    <n v="1469"/>
    <x v="6"/>
    <n v="2"/>
    <n v="79.94"/>
    <n v="5"/>
    <x v="0"/>
    <x v="1"/>
    <n v="30775.55"/>
    <b v="1"/>
    <n v="1.75"/>
    <n v="1465.5023809523809"/>
    <n v="26.646666666666665"/>
    <d v="2021-07-01T00:00:00"/>
    <s v="Middle-aged"/>
    <n v="0"/>
    <s v="Yes"/>
    <n v="84"/>
    <s v="High"/>
    <s v="Low"/>
    <n v="9.0909090909090912E-2"/>
    <s v="High"/>
    <n v="2"/>
    <d v="2021-07-01T00:00:00"/>
    <s v="13–24 months"/>
    <s v="2–3 tickets"/>
    <s v="46+ min"/>
    <s v="1000+"/>
    <n v="30849"/>
    <n v="-73.450000000000728"/>
  </r>
  <r>
    <n v="12088"/>
    <n v="49"/>
    <s v="Male"/>
    <s v="Pune"/>
    <d v="2021-10-08T00:00:00"/>
    <d v="2023-03-10T00:00:00"/>
    <x v="0"/>
    <n v="703"/>
    <x v="13"/>
    <n v="1"/>
    <n v="60.64"/>
    <n v="20"/>
    <x v="3"/>
    <x v="1"/>
    <n v="1968.4"/>
    <b v="1"/>
    <n v="0.25"/>
    <n v="656.13333333333333"/>
    <n v="30.32"/>
    <d v="2021-10-01T00:00:00"/>
    <s v="Middle-aged"/>
    <n v="0"/>
    <s v="No"/>
    <n v="518"/>
    <s v="High"/>
    <s v="Medium"/>
    <n v="0.25"/>
    <s v="Low"/>
    <n v="1"/>
    <d v="2021-10-01T00:00:00"/>
    <s v="0–6 months"/>
    <s v="0–1 tickets"/>
    <s v="46+ min"/>
    <s v="701–1000"/>
    <n v="2109"/>
    <n v="-140.59999999999991"/>
  </r>
  <r>
    <n v="12089"/>
    <n v="55"/>
    <s v="Female"/>
    <s v="Hyderabad"/>
    <d v="2022-03-19T00:00:00"/>
    <d v="2021-11-23T00:00:00"/>
    <x v="2"/>
    <n v="1113"/>
    <x v="0"/>
    <n v="4"/>
    <n v="85.18"/>
    <n v="10"/>
    <x v="2"/>
    <x v="1"/>
    <n v="27713.7"/>
    <b v="0"/>
    <n v="2.0833333333333335"/>
    <n v="1108.548"/>
    <n v="17.036000000000001"/>
    <d v="2022-03-01T00:00:00"/>
    <s v="Older"/>
    <n v="0"/>
    <s v="Yes"/>
    <m/>
    <s v="High"/>
    <s v="Low"/>
    <n v="0.15384615384615385"/>
    <s v="High"/>
    <n v="2"/>
    <d v="2022-03-01T00:00:00"/>
    <s v="25+ months"/>
    <s v="4–5 tickets"/>
    <s v="46+ min"/>
    <s v="1000+"/>
    <n v="27825"/>
    <n v="-111.29999999999927"/>
  </r>
  <r>
    <n v="12090"/>
    <n v="22"/>
    <s v="Male"/>
    <s v="Bangalore"/>
    <d v="2023-04-20T00:00:00"/>
    <d v="2023-03-16T00:00:00"/>
    <x v="2"/>
    <n v="1325"/>
    <x v="0"/>
    <n v="1"/>
    <n v="103.14"/>
    <n v="20"/>
    <x v="3"/>
    <x v="1"/>
    <n v="32860"/>
    <b v="0"/>
    <n v="2.0833333333333335"/>
    <n v="1314.4"/>
    <n v="51.57"/>
    <d v="2023-04-01T00:00:00"/>
    <s v="Young"/>
    <n v="0"/>
    <s v="Yes"/>
    <m/>
    <s v="High"/>
    <s v="Medium"/>
    <n v="3.8461538461538464E-2"/>
    <s v="High"/>
    <n v="2"/>
    <d v="2023-04-01T00:00:00"/>
    <s v="25+ months"/>
    <s v="0–1 tickets"/>
    <s v="46+ min"/>
    <s v="1000+"/>
    <n v="33125"/>
    <n v="-265"/>
  </r>
  <r>
    <n v="12091"/>
    <n v="64"/>
    <s v="Female"/>
    <s v="Pune"/>
    <d v="2023-04-17T00:00:00"/>
    <d v="2022-08-23T00:00:00"/>
    <x v="2"/>
    <n v="1442"/>
    <x v="34"/>
    <n v="3"/>
    <n v="27.49"/>
    <n v="15"/>
    <x v="3"/>
    <x v="1"/>
    <n v="17087.7"/>
    <b v="0"/>
    <n v="1"/>
    <n v="1423.9750000000001"/>
    <n v="6.8724999999999996"/>
    <d v="2023-04-01T00:00:00"/>
    <s v="Older"/>
    <n v="0"/>
    <s v="Yes"/>
    <m/>
    <s v="Medium"/>
    <s v="Low"/>
    <n v="0.23076923076923078"/>
    <s v="Medium"/>
    <n v="2"/>
    <d v="2023-04-01T00:00:00"/>
    <s v="7–12 months"/>
    <s v="2–3 tickets"/>
    <s v="21–30 min"/>
    <s v="1000+"/>
    <n v="17304"/>
    <n v="-216.29999999999927"/>
  </r>
  <r>
    <n v="12092"/>
    <n v="39"/>
    <s v="Female"/>
    <s v="Bangalore"/>
    <d v="2022-01-24T00:00:00"/>
    <d v="2023-01-13T00:00:00"/>
    <x v="2"/>
    <n v="1154"/>
    <x v="5"/>
    <n v="6"/>
    <n v="42.88"/>
    <n v="5"/>
    <x v="0"/>
    <x v="1"/>
    <n v="33408.300000000003"/>
    <b v="1"/>
    <n v="2.4166666666666665"/>
    <n v="1152.0103448275863"/>
    <n v="6.1257142857142863"/>
    <d v="2022-01-01T00:00:00"/>
    <s v="Middle-aged"/>
    <n v="0"/>
    <s v="Yes"/>
    <n v="354"/>
    <s v="Medium"/>
    <s v="Low"/>
    <n v="0.2"/>
    <s v="High"/>
    <n v="2"/>
    <d v="2022-01-01T00:00:00"/>
    <s v="25+ months"/>
    <s v="6+ tickets"/>
    <s v="31–45 min"/>
    <s v="1000+"/>
    <n v="33466"/>
    <n v="-57.69999999999709"/>
  </r>
  <r>
    <n v="12093"/>
    <n v="64"/>
    <s v="Female"/>
    <s v="Delhi"/>
    <d v="2022-09-09T00:00:00"/>
    <d v="2021-08-21T00:00:00"/>
    <x v="0"/>
    <n v="1326"/>
    <x v="11"/>
    <n v="0"/>
    <n v="55.23"/>
    <n v="10"/>
    <x v="3"/>
    <x v="1"/>
    <n v="14453.4"/>
    <b v="0"/>
    <n v="0.91666666666666663"/>
    <n v="1313.9454545454546"/>
    <n v="55.23"/>
    <d v="2022-09-01T00:00:00"/>
    <s v="Older"/>
    <n v="0"/>
    <s v="Yes"/>
    <m/>
    <s v="Medium"/>
    <s v="Low"/>
    <n v="0"/>
    <s v="Medium"/>
    <n v="1"/>
    <d v="2022-09-01T00:00:00"/>
    <s v="7–12 months"/>
    <s v="0–1 tickets"/>
    <s v="46+ min"/>
    <s v="1000+"/>
    <n v="14586"/>
    <n v="-132.60000000000036"/>
  </r>
  <r>
    <n v="12094"/>
    <n v="51"/>
    <s v="Female"/>
    <s v="Mumbai"/>
    <d v="2022-04-28T00:00:00"/>
    <d v="2021-10-13T00:00:00"/>
    <x v="0"/>
    <n v="1241"/>
    <x v="11"/>
    <n v="3"/>
    <n v="115.64"/>
    <n v="0"/>
    <x v="3"/>
    <x v="1"/>
    <n v="13651"/>
    <b v="0"/>
    <n v="0.91666666666666663"/>
    <n v="1241"/>
    <n v="28.91"/>
    <d v="2022-04-01T00:00:00"/>
    <s v="Older"/>
    <n v="0"/>
    <s v="Yes"/>
    <m/>
    <s v="High"/>
    <s v="Low"/>
    <n v="0.25"/>
    <s v="Medium"/>
    <n v="1"/>
    <d v="2022-04-01T00:00:00"/>
    <s v="7–12 months"/>
    <s v="2–3 tickets"/>
    <s v="46+ min"/>
    <s v="1000+"/>
    <n v="13651"/>
    <n v="0"/>
  </r>
  <r>
    <n v="12095"/>
    <n v="18"/>
    <s v="Female"/>
    <s v="Hyderabad"/>
    <d v="2021-05-27T00:00:00"/>
    <d v="2023-05-20T00:00:00"/>
    <x v="0"/>
    <n v="1320"/>
    <x v="8"/>
    <n v="3"/>
    <n v="47.01"/>
    <n v="5"/>
    <x v="1"/>
    <x v="1"/>
    <n v="34254"/>
    <b v="1"/>
    <n v="2.1666666666666665"/>
    <n v="1317.4615384615386"/>
    <n v="11.7525"/>
    <d v="2021-05-01T00:00:00"/>
    <s v="Young"/>
    <n v="0"/>
    <s v="Yes"/>
    <n v="723"/>
    <s v="Medium"/>
    <s v="Low"/>
    <n v="0.1111111111111111"/>
    <s v="High"/>
    <n v="1"/>
    <d v="2021-05-01T00:00:00"/>
    <s v="25+ months"/>
    <s v="2–3 tickets"/>
    <s v="46+ min"/>
    <s v="1000+"/>
    <n v="34320"/>
    <n v="-66"/>
  </r>
  <r>
    <n v="12096"/>
    <n v="43"/>
    <s v="Male"/>
    <s v="Pune"/>
    <d v="2021-10-06T00:00:00"/>
    <d v="2023-10-04T00:00:00"/>
    <x v="0"/>
    <n v="476"/>
    <x v="25"/>
    <n v="2"/>
    <n v="48.83"/>
    <n v="20"/>
    <x v="1"/>
    <x v="1"/>
    <n v="6568.8"/>
    <b v="1"/>
    <n v="1.1666666666666667"/>
    <n v="469.2"/>
    <n v="16.276666666666667"/>
    <d v="2021-10-01T00:00:00"/>
    <s v="Middle-aged"/>
    <n v="0"/>
    <s v="No"/>
    <n v="728"/>
    <s v="Medium"/>
    <s v="Medium"/>
    <n v="0.13333333333333333"/>
    <s v="Low"/>
    <n v="1"/>
    <d v="2021-10-01T00:00:00"/>
    <s v="13–24 months"/>
    <s v="2–3 tickets"/>
    <s v="46+ min"/>
    <s v="301–500"/>
    <n v="6664"/>
    <n v="-95.199999999999818"/>
  </r>
  <r>
    <n v="12097"/>
    <n v="60"/>
    <s v="Female"/>
    <s v="Mumbai"/>
    <d v="2022-06-05T00:00:00"/>
    <d v="2021-11-24T00:00:00"/>
    <x v="0"/>
    <n v="1172"/>
    <x v="24"/>
    <n v="0"/>
    <n v="80.150000000000006"/>
    <n v="10"/>
    <x v="2"/>
    <x v="0"/>
    <n v="18634.8"/>
    <b v="0"/>
    <n v="1.3333333333333333"/>
    <n v="1164.675"/>
    <n v="80.150000000000006"/>
    <d v="2022-06-01T00:00:00"/>
    <s v="Older"/>
    <n v="1"/>
    <s v="Yes"/>
    <m/>
    <s v="High"/>
    <s v="Low"/>
    <n v="0"/>
    <s v="Medium"/>
    <n v="1"/>
    <d v="2022-06-01T00:00:00"/>
    <s v="13–24 months"/>
    <s v="0–1 tickets"/>
    <s v="46+ min"/>
    <s v="1000+"/>
    <n v="18752"/>
    <n v="-117.20000000000073"/>
  </r>
  <r>
    <n v="12098"/>
    <n v="27"/>
    <s v="Female"/>
    <s v="Hyderabad"/>
    <d v="2022-09-22T00:00:00"/>
    <d v="2022-06-18T00:00:00"/>
    <x v="2"/>
    <n v="776"/>
    <x v="32"/>
    <n v="4"/>
    <n v="53.21"/>
    <n v="5"/>
    <x v="2"/>
    <x v="1"/>
    <n v="7721.2"/>
    <b v="0"/>
    <n v="0.83333333333333337"/>
    <n v="772.12"/>
    <n v="10.641999999999999"/>
    <d v="2022-09-01T00:00:00"/>
    <s v="Adult"/>
    <n v="0"/>
    <s v="No"/>
    <m/>
    <s v="Medium"/>
    <s v="Low"/>
    <n v="0.36363636363636365"/>
    <s v="Low"/>
    <n v="2"/>
    <d v="2022-09-01T00:00:00"/>
    <s v="7–12 months"/>
    <s v="4–5 tickets"/>
    <s v="46+ min"/>
    <s v="701–1000"/>
    <n v="7760"/>
    <n v="-38.800000000000182"/>
  </r>
  <r>
    <n v="12099"/>
    <n v="47"/>
    <s v="Female"/>
    <s v="Hyderabad"/>
    <d v="2022-08-29T00:00:00"/>
    <d v="2022-01-29T00:00:00"/>
    <x v="2"/>
    <n v="697"/>
    <x v="27"/>
    <n v="6"/>
    <n v="114.39"/>
    <n v="0"/>
    <x v="1"/>
    <x v="0"/>
    <n v="21607"/>
    <b v="0"/>
    <n v="2.5833333333333335"/>
    <n v="697"/>
    <n v="16.341428571428573"/>
    <d v="2022-08-01T00:00:00"/>
    <s v="Middle-aged"/>
    <n v="1"/>
    <s v="Yes"/>
    <m/>
    <s v="High"/>
    <s v="Low"/>
    <n v="0.1875"/>
    <s v="High"/>
    <n v="2"/>
    <d v="2022-08-01T00:00:00"/>
    <s v="25+ months"/>
    <s v="6+ tickets"/>
    <s v="46+ min"/>
    <s v="501–700"/>
    <n v="21607"/>
    <n v="0"/>
  </r>
  <r>
    <n v="12100"/>
    <n v="35"/>
    <s v="Female"/>
    <s v="Hyderabad"/>
    <d v="2022-03-10T00:00:00"/>
    <d v="2022-12-19T00:00:00"/>
    <x v="0"/>
    <n v="519"/>
    <x v="27"/>
    <n v="3"/>
    <n v="107.86"/>
    <n v="0"/>
    <x v="0"/>
    <x v="1"/>
    <n v="16089"/>
    <b v="1"/>
    <n v="2.5833333333333335"/>
    <n v="519"/>
    <n v="26.965"/>
    <d v="2022-03-01T00:00:00"/>
    <s v="Adult"/>
    <n v="0"/>
    <s v="Yes"/>
    <n v="284"/>
    <s v="High"/>
    <s v="Low"/>
    <n v="9.375E-2"/>
    <s v="Medium"/>
    <n v="1"/>
    <d v="2022-03-01T00:00:00"/>
    <s v="25+ months"/>
    <s v="2–3 tickets"/>
    <s v="46+ min"/>
    <s v="501–700"/>
    <n v="16089"/>
    <n v="0"/>
  </r>
  <r>
    <n v="12101"/>
    <n v="34"/>
    <s v="Male"/>
    <s v="Mumbai"/>
    <d v="2021-05-24T00:00:00"/>
    <d v="2021-10-19T00:00:00"/>
    <x v="1"/>
    <n v="472"/>
    <x v="32"/>
    <n v="3"/>
    <n v="62.59"/>
    <n v="20"/>
    <x v="0"/>
    <x v="1"/>
    <n v="4625.6000000000004"/>
    <b v="1"/>
    <n v="0.83333333333333337"/>
    <n v="462.56000000000006"/>
    <n v="15.647500000000001"/>
    <d v="2021-05-01T00:00:00"/>
    <s v="Adult"/>
    <n v="0"/>
    <s v="No"/>
    <n v="148"/>
    <s v="High"/>
    <s v="Medium"/>
    <n v="0.27272727272727271"/>
    <s v="Low"/>
    <n v="3"/>
    <d v="2021-05-01T00:00:00"/>
    <s v="7–12 months"/>
    <s v="2–3 tickets"/>
    <s v="46+ min"/>
    <s v="301–500"/>
    <n v="4720"/>
    <n v="-94.399999999999636"/>
  </r>
  <r>
    <n v="12102"/>
    <n v="43"/>
    <s v="Male"/>
    <s v="Pune"/>
    <d v="2021-10-16T00:00:00"/>
    <d v="2022-08-31T00:00:00"/>
    <x v="2"/>
    <n v="1035"/>
    <x v="8"/>
    <n v="1"/>
    <n v="79.150000000000006"/>
    <n v="15"/>
    <x v="2"/>
    <x v="1"/>
    <n v="26754.75"/>
    <b v="1"/>
    <n v="2.1666666666666665"/>
    <n v="1029.0288461538462"/>
    <n v="39.575000000000003"/>
    <d v="2021-10-01T00:00:00"/>
    <s v="Middle-aged"/>
    <n v="0"/>
    <s v="Yes"/>
    <n v="319"/>
    <s v="High"/>
    <s v="Low"/>
    <n v="3.7037037037037035E-2"/>
    <s v="High"/>
    <n v="2"/>
    <d v="2021-10-01T00:00:00"/>
    <s v="25+ months"/>
    <s v="0–1 tickets"/>
    <s v="46+ min"/>
    <s v="1000+"/>
    <n v="26910"/>
    <n v="-155.25"/>
  </r>
  <r>
    <n v="12103"/>
    <n v="25"/>
    <s v="Female"/>
    <s v="Chennai"/>
    <d v="2022-01-21T00:00:00"/>
    <d v="2022-08-14T00:00:00"/>
    <x v="1"/>
    <n v="801"/>
    <x v="28"/>
    <n v="1"/>
    <n v="11.67"/>
    <n v="20"/>
    <x v="1"/>
    <x v="1"/>
    <n v="15859.8"/>
    <b v="1"/>
    <n v="1.6666666666666667"/>
    <n v="792.99"/>
    <n v="5.835"/>
    <d v="2022-01-01T00:00:00"/>
    <s v="Young"/>
    <n v="0"/>
    <s v="Yes"/>
    <n v="205"/>
    <s v="Low"/>
    <s v="Medium"/>
    <n v="4.7619047619047616E-2"/>
    <s v="Medium"/>
    <n v="3"/>
    <d v="2022-01-01T00:00:00"/>
    <s v="13–24 months"/>
    <s v="0–1 tickets"/>
    <s v="11–20 min"/>
    <s v="701–1000"/>
    <n v="16020"/>
    <n v="-160.20000000000073"/>
  </r>
  <r>
    <n v="12104"/>
    <n v="64"/>
    <s v="Male"/>
    <s v="Mumbai"/>
    <d v="2021-01-14T00:00:00"/>
    <d v="2021-07-26T00:00:00"/>
    <x v="2"/>
    <n v="1060"/>
    <x v="9"/>
    <n v="2"/>
    <n v="85.01"/>
    <n v="10"/>
    <x v="0"/>
    <x v="1"/>
    <n v="9434"/>
    <b v="1"/>
    <n v="0.75"/>
    <n v="1048.2222222222222"/>
    <n v="28.33666666666667"/>
    <d v="2021-01-01T00:00:00"/>
    <s v="Older"/>
    <n v="0"/>
    <s v="No"/>
    <n v="193"/>
    <s v="High"/>
    <s v="Low"/>
    <n v="0.2"/>
    <s v="Medium"/>
    <n v="2"/>
    <d v="2021-01-01T00:00:00"/>
    <s v="7–12 months"/>
    <s v="2–3 tickets"/>
    <s v="46+ min"/>
    <s v="1000+"/>
    <n v="9540"/>
    <n v="-106"/>
  </r>
  <r>
    <n v="12105"/>
    <n v="57"/>
    <s v="Female"/>
    <s v="Hyderabad"/>
    <d v="2021-09-14T00:00:00"/>
    <d v="2022-11-09T00:00:00"/>
    <x v="2"/>
    <n v="430"/>
    <x v="15"/>
    <n v="2"/>
    <n v="86.33"/>
    <n v="20"/>
    <x v="3"/>
    <x v="1"/>
    <n v="6364"/>
    <b v="1"/>
    <n v="1.25"/>
    <n v="424.26666666666665"/>
    <n v="28.776666666666667"/>
    <d v="2021-09-01T00:00:00"/>
    <s v="Older"/>
    <n v="0"/>
    <s v="No"/>
    <n v="421"/>
    <s v="High"/>
    <s v="Medium"/>
    <n v="0.125"/>
    <s v="Low"/>
    <n v="2"/>
    <d v="2021-09-01T00:00:00"/>
    <s v="13–24 months"/>
    <s v="2–3 tickets"/>
    <s v="46+ min"/>
    <s v="301–500"/>
    <n v="6450"/>
    <n v="-86"/>
  </r>
  <r>
    <n v="12106"/>
    <n v="29"/>
    <s v="Male"/>
    <s v="Pune"/>
    <d v="2021-12-12T00:00:00"/>
    <d v="2023-04-28T00:00:00"/>
    <x v="0"/>
    <n v="1436"/>
    <x v="9"/>
    <n v="2"/>
    <n v="46.31"/>
    <n v="10"/>
    <x v="2"/>
    <x v="1"/>
    <n v="12780.4"/>
    <b v="1"/>
    <n v="0.75"/>
    <n v="1420.0444444444445"/>
    <n v="15.436666666666667"/>
    <d v="2021-12-01T00:00:00"/>
    <s v="Adult"/>
    <n v="0"/>
    <s v="No"/>
    <n v="502"/>
    <s v="Medium"/>
    <s v="Low"/>
    <n v="0.2"/>
    <s v="Medium"/>
    <n v="1"/>
    <d v="2021-12-01T00:00:00"/>
    <s v="7–12 months"/>
    <s v="2–3 tickets"/>
    <s v="46+ min"/>
    <s v="1000+"/>
    <n v="12924"/>
    <n v="-143.60000000000036"/>
  </r>
  <r>
    <n v="12107"/>
    <n v="44"/>
    <s v="Male"/>
    <s v="Delhi"/>
    <d v="2022-11-29T00:00:00"/>
    <d v="2023-09-04T00:00:00"/>
    <x v="0"/>
    <n v="1097"/>
    <x v="16"/>
    <n v="2"/>
    <n v="30.26"/>
    <n v="15"/>
    <x v="2"/>
    <x v="0"/>
    <n v="7514.45"/>
    <b v="1"/>
    <n v="0.58333333333333337"/>
    <n v="1073.492857142857"/>
    <n v="10.086666666666668"/>
    <d v="2022-11-01T00:00:00"/>
    <s v="Middle-aged"/>
    <n v="1"/>
    <s v="No"/>
    <n v="279"/>
    <s v="Medium"/>
    <s v="Low"/>
    <n v="0.25"/>
    <s v="Low"/>
    <n v="1"/>
    <d v="2022-11-01T00:00:00"/>
    <s v="7–12 months"/>
    <s v="2–3 tickets"/>
    <s v="31–45 min"/>
    <s v="1000+"/>
    <n v="7679"/>
    <n v="-164.55000000000018"/>
  </r>
  <r>
    <n v="12108"/>
    <n v="25"/>
    <s v="Male"/>
    <s v="Bangalore"/>
    <d v="2021-12-11T00:00:00"/>
    <d v="2022-07-24T00:00:00"/>
    <x v="0"/>
    <n v="1098"/>
    <x v="8"/>
    <n v="2"/>
    <n v="110.23"/>
    <n v="20"/>
    <x v="3"/>
    <x v="1"/>
    <n v="28328.400000000001"/>
    <b v="1"/>
    <n v="2.1666666666666665"/>
    <n v="1089.5538461538463"/>
    <n v="36.743333333333332"/>
    <d v="2021-12-01T00:00:00"/>
    <s v="Young"/>
    <n v="0"/>
    <s v="Yes"/>
    <n v="225"/>
    <s v="High"/>
    <s v="Medium"/>
    <n v="7.407407407407407E-2"/>
    <s v="High"/>
    <n v="1"/>
    <d v="2021-12-01T00:00:00"/>
    <s v="25+ months"/>
    <s v="2–3 tickets"/>
    <s v="46+ min"/>
    <s v="1000+"/>
    <n v="28548"/>
    <n v="-219.59999999999854"/>
  </r>
  <r>
    <n v="12109"/>
    <n v="41"/>
    <s v="Male"/>
    <s v="Hyderabad"/>
    <d v="2022-02-04T00:00:00"/>
    <d v="2021-08-27T00:00:00"/>
    <x v="2"/>
    <n v="1229"/>
    <x v="30"/>
    <n v="4"/>
    <n v="54.07"/>
    <n v="0"/>
    <x v="3"/>
    <x v="1"/>
    <n v="29496"/>
    <b v="0"/>
    <n v="2"/>
    <n v="1229"/>
    <n v="10.814"/>
    <d v="2022-02-01T00:00:00"/>
    <s v="Middle-aged"/>
    <n v="0"/>
    <s v="Yes"/>
    <m/>
    <s v="Medium"/>
    <s v="Low"/>
    <n v="0.16"/>
    <s v="High"/>
    <n v="2"/>
    <d v="2022-02-01T00:00:00"/>
    <s v="13–24 months"/>
    <s v="4–5 tickets"/>
    <s v="46+ min"/>
    <s v="1000+"/>
    <n v="29496"/>
    <n v="0"/>
  </r>
  <r>
    <n v="12110"/>
    <n v="63"/>
    <s v="Female"/>
    <s v="Delhi"/>
    <d v="2021-07-26T00:00:00"/>
    <d v="2023-01-30T00:00:00"/>
    <x v="0"/>
    <n v="1022"/>
    <x v="34"/>
    <n v="2"/>
    <n v="80.180000000000007"/>
    <n v="10"/>
    <x v="2"/>
    <x v="1"/>
    <n v="12161.8"/>
    <b v="1"/>
    <n v="1"/>
    <n v="1013.4833333333332"/>
    <n v="26.72666666666667"/>
    <d v="2021-07-01T00:00:00"/>
    <s v="Older"/>
    <n v="0"/>
    <s v="No"/>
    <n v="553"/>
    <s v="High"/>
    <s v="Low"/>
    <n v="0.15384615384615385"/>
    <s v="Medium"/>
    <n v="1"/>
    <d v="2021-07-01T00:00:00"/>
    <s v="7–12 months"/>
    <s v="2–3 tickets"/>
    <s v="46+ min"/>
    <s v="1000+"/>
    <n v="12264"/>
    <n v="-102.20000000000073"/>
  </r>
  <r>
    <n v="12111"/>
    <n v="21"/>
    <s v="Male"/>
    <s v="Chennai"/>
    <d v="2023-05-08T00:00:00"/>
    <d v="2023-03-18T00:00:00"/>
    <x v="2"/>
    <n v="1343"/>
    <x v="28"/>
    <n v="0"/>
    <n v="8.83"/>
    <n v="10"/>
    <x v="3"/>
    <x v="1"/>
    <n v="26725.7"/>
    <b v="0"/>
    <n v="1.6666666666666667"/>
    <n v="1336.2850000000001"/>
    <n v="8.83"/>
    <d v="2023-05-01T00:00:00"/>
    <s v="Young"/>
    <n v="0"/>
    <s v="Yes"/>
    <m/>
    <s v="Low"/>
    <s v="Low"/>
    <n v="0"/>
    <s v="High"/>
    <n v="2"/>
    <d v="2023-05-01T00:00:00"/>
    <s v="13–24 months"/>
    <s v="0–1 tickets"/>
    <s v="0–10 min"/>
    <s v="1000+"/>
    <n v="26860"/>
    <n v="-134.29999999999927"/>
  </r>
  <r>
    <n v="12112"/>
    <n v="50"/>
    <s v="Other"/>
    <s v="Hyderabad"/>
    <d v="2021-06-21T00:00:00"/>
    <d v="2021-06-08T00:00:00"/>
    <x v="0"/>
    <n v="514"/>
    <x v="25"/>
    <n v="2"/>
    <n v="52.62"/>
    <n v="0"/>
    <x v="0"/>
    <x v="1"/>
    <n v="7196"/>
    <b v="0"/>
    <n v="1.1666666666666667"/>
    <n v="514"/>
    <n v="17.54"/>
    <d v="2021-06-01T00:00:00"/>
    <s v="Middle-aged"/>
    <n v="0"/>
    <s v="No"/>
    <m/>
    <s v="Medium"/>
    <s v="Low"/>
    <n v="0.13333333333333333"/>
    <s v="Low"/>
    <n v="1"/>
    <d v="2021-06-01T00:00:00"/>
    <s v="13–24 months"/>
    <s v="2–3 tickets"/>
    <s v="46+ min"/>
    <s v="501–700"/>
    <n v="7196"/>
    <n v="0"/>
  </r>
  <r>
    <n v="12113"/>
    <n v="18"/>
    <s v="Female"/>
    <s v="Delhi"/>
    <d v="2022-04-09T00:00:00"/>
    <d v="2022-09-20T00:00:00"/>
    <x v="1"/>
    <n v="787"/>
    <x v="1"/>
    <n v="2"/>
    <n v="98.98"/>
    <n v="20"/>
    <x v="2"/>
    <x v="1"/>
    <n v="17156.599999999999"/>
    <b v="1"/>
    <n v="1.8333333333333333"/>
    <n v="779.84545454545446"/>
    <n v="32.993333333333332"/>
    <d v="2022-04-01T00:00:00"/>
    <s v="Young"/>
    <n v="0"/>
    <s v="Yes"/>
    <n v="164"/>
    <s v="High"/>
    <s v="Medium"/>
    <n v="8.6956521739130432E-2"/>
    <s v="Medium"/>
    <n v="3"/>
    <d v="2022-04-01T00:00:00"/>
    <s v="13–24 months"/>
    <s v="2–3 tickets"/>
    <s v="46+ min"/>
    <s v="701–1000"/>
    <n v="17314"/>
    <n v="-157.40000000000146"/>
  </r>
  <r>
    <n v="12114"/>
    <n v="36"/>
    <s v="Male"/>
    <s v="Hyderabad"/>
    <d v="2021-09-27T00:00:00"/>
    <d v="2022-01-01T00:00:00"/>
    <x v="0"/>
    <n v="612"/>
    <x v="24"/>
    <n v="3"/>
    <n v="49.57"/>
    <n v="15"/>
    <x v="0"/>
    <x v="0"/>
    <n v="9700.2000000000007"/>
    <b v="1"/>
    <n v="1.3333333333333333"/>
    <n v="606.26250000000005"/>
    <n v="12.3925"/>
    <d v="2021-09-01T00:00:00"/>
    <s v="Middle-aged"/>
    <n v="1"/>
    <s v="No"/>
    <n v="96"/>
    <s v="Medium"/>
    <s v="Low"/>
    <n v="0.17647058823529413"/>
    <s v="Medium"/>
    <n v="1"/>
    <d v="2021-09-01T00:00:00"/>
    <s v="13–24 months"/>
    <s v="2–3 tickets"/>
    <s v="46+ min"/>
    <s v="501–700"/>
    <n v="9792"/>
    <n v="-91.799999999999272"/>
  </r>
  <r>
    <n v="12115"/>
    <n v="48"/>
    <s v="Female"/>
    <s v="Mumbai"/>
    <d v="2021-08-09T00:00:00"/>
    <d v="2023-04-16T00:00:00"/>
    <x v="0"/>
    <n v="378"/>
    <x v="5"/>
    <n v="2"/>
    <n v="74.36"/>
    <n v="5"/>
    <x v="2"/>
    <x v="1"/>
    <n v="10943.1"/>
    <b v="1"/>
    <n v="2.4166666666666665"/>
    <n v="377.34827586206899"/>
    <n v="24.786666666666665"/>
    <d v="2021-08-01T00:00:00"/>
    <s v="Middle-aged"/>
    <n v="0"/>
    <s v="No"/>
    <n v="615"/>
    <s v="High"/>
    <s v="Low"/>
    <n v="6.6666666666666666E-2"/>
    <s v="Medium"/>
    <n v="1"/>
    <d v="2021-08-01T00:00:00"/>
    <s v="25+ months"/>
    <s v="2–3 tickets"/>
    <s v="46+ min"/>
    <s v="301–500"/>
    <n v="10962"/>
    <n v="-18.899999999999636"/>
  </r>
  <r>
    <n v="12116"/>
    <n v="33"/>
    <s v="Female"/>
    <s v="Pune"/>
    <d v="2021-06-01T00:00:00"/>
    <d v="2023-06-05T00:00:00"/>
    <x v="0"/>
    <n v="479"/>
    <x v="23"/>
    <n v="3"/>
    <n v="29.13"/>
    <n v="20"/>
    <x v="0"/>
    <x v="1"/>
    <n v="15232.2"/>
    <b v="1"/>
    <n v="2.6666666666666665"/>
    <n v="476.00625000000002"/>
    <n v="7.2824999999999998"/>
    <d v="2021-06-01T00:00:00"/>
    <s v="Adult"/>
    <n v="0"/>
    <s v="Yes"/>
    <n v="734"/>
    <s v="Medium"/>
    <s v="Medium"/>
    <n v="9.0909090909090912E-2"/>
    <s v="Medium"/>
    <n v="1"/>
    <d v="2021-06-01T00:00:00"/>
    <s v="25+ months"/>
    <s v="2–3 tickets"/>
    <s v="21–30 min"/>
    <s v="301–500"/>
    <n v="15328"/>
    <n v="-95.799999999999272"/>
  </r>
  <r>
    <n v="12117"/>
    <n v="31"/>
    <s v="Female"/>
    <s v="Delhi"/>
    <d v="2022-09-15T00:00:00"/>
    <d v="2022-12-04T00:00:00"/>
    <x v="0"/>
    <n v="1303"/>
    <x v="17"/>
    <n v="2"/>
    <n v="52.9"/>
    <n v="20"/>
    <x v="1"/>
    <x v="0"/>
    <n v="24496.400000000001"/>
    <b v="1"/>
    <n v="1.5833333333333333"/>
    <n v="1289.284210526316"/>
    <n v="17.633333333333333"/>
    <d v="2022-09-01T00:00:00"/>
    <s v="Adult"/>
    <n v="1"/>
    <s v="Yes"/>
    <n v="80"/>
    <s v="Medium"/>
    <s v="Medium"/>
    <n v="0.1"/>
    <s v="High"/>
    <n v="1"/>
    <d v="2022-09-01T00:00:00"/>
    <s v="13–24 months"/>
    <s v="2–3 tickets"/>
    <s v="46+ min"/>
    <s v="1000+"/>
    <n v="24757"/>
    <n v="-260.59999999999854"/>
  </r>
  <r>
    <n v="12118"/>
    <n v="22"/>
    <s v="Male"/>
    <s v="Pune"/>
    <d v="2021-07-02T00:00:00"/>
    <d v="2022-10-10T00:00:00"/>
    <x v="0"/>
    <n v="974"/>
    <x v="12"/>
    <n v="4"/>
    <n v="111.68"/>
    <n v="10"/>
    <x v="0"/>
    <x v="0"/>
    <n v="33992.6"/>
    <b v="1"/>
    <n v="2.9166666666666665"/>
    <n v="971.21714285714279"/>
    <n v="22.336000000000002"/>
    <d v="2021-07-01T00:00:00"/>
    <s v="Young"/>
    <n v="1"/>
    <s v="Yes"/>
    <n v="465"/>
    <s v="High"/>
    <s v="Low"/>
    <n v="0.1111111111111111"/>
    <s v="High"/>
    <n v="1"/>
    <d v="2021-07-01T00:00:00"/>
    <s v="25+ months"/>
    <s v="4–5 tickets"/>
    <s v="46+ min"/>
    <s v="701–1000"/>
    <n v="34090"/>
    <n v="-97.400000000001455"/>
  </r>
  <r>
    <n v="12119"/>
    <n v="58"/>
    <s v="Female"/>
    <s v="Mumbai"/>
    <d v="2022-02-03T00:00:00"/>
    <d v="2023-04-25T00:00:00"/>
    <x v="2"/>
    <n v="313"/>
    <x v="23"/>
    <n v="1"/>
    <n v="70.14"/>
    <n v="10"/>
    <x v="3"/>
    <x v="1"/>
    <n v="9984.7000000000007"/>
    <b v="1"/>
    <n v="2.6666666666666665"/>
    <n v="312.02187500000002"/>
    <n v="35.07"/>
    <d v="2022-02-01T00:00:00"/>
    <s v="Older"/>
    <n v="0"/>
    <s v="No"/>
    <n v="446"/>
    <s v="High"/>
    <s v="Low"/>
    <n v="3.0303030303030304E-2"/>
    <s v="Medium"/>
    <n v="2"/>
    <d v="2022-02-01T00:00:00"/>
    <s v="25+ months"/>
    <s v="0–1 tickets"/>
    <s v="46+ min"/>
    <s v="301–500"/>
    <n v="10016"/>
    <n v="-31.299999999999272"/>
  </r>
  <r>
    <n v="12120"/>
    <n v="43"/>
    <s v="Female"/>
    <s v="Mumbai"/>
    <d v="2023-05-01T00:00:00"/>
    <d v="2022-10-16T00:00:00"/>
    <x v="0"/>
    <n v="1158"/>
    <x v="28"/>
    <n v="1"/>
    <n v="108.72"/>
    <n v="15"/>
    <x v="1"/>
    <x v="1"/>
    <n v="22986.3"/>
    <b v="0"/>
    <n v="1.6666666666666667"/>
    <n v="1149.3150000000001"/>
    <n v="54.36"/>
    <d v="2023-05-01T00:00:00"/>
    <s v="Middle-aged"/>
    <n v="0"/>
    <s v="Yes"/>
    <m/>
    <s v="High"/>
    <s v="Low"/>
    <n v="4.7619047619047616E-2"/>
    <s v="High"/>
    <n v="1"/>
    <d v="2023-05-01T00:00:00"/>
    <s v="13–24 months"/>
    <s v="0–1 tickets"/>
    <s v="46+ min"/>
    <s v="1000+"/>
    <n v="23160"/>
    <n v="-173.70000000000073"/>
  </r>
  <r>
    <n v="12121"/>
    <n v="45"/>
    <s v="Male"/>
    <s v="Pune"/>
    <d v="2021-03-13T00:00:00"/>
    <d v="2023-07-22T00:00:00"/>
    <x v="0"/>
    <n v="545"/>
    <x v="28"/>
    <n v="1"/>
    <n v="108.73"/>
    <n v="15"/>
    <x v="2"/>
    <x v="1"/>
    <n v="10818.25"/>
    <b v="1"/>
    <n v="1.6666666666666667"/>
    <n v="540.91250000000002"/>
    <n v="54.365000000000002"/>
    <d v="2021-03-01T00:00:00"/>
    <s v="Middle-aged"/>
    <n v="0"/>
    <s v="No"/>
    <n v="861"/>
    <s v="High"/>
    <s v="Low"/>
    <n v="4.7619047619047616E-2"/>
    <s v="Medium"/>
    <n v="1"/>
    <d v="2021-03-01T00:00:00"/>
    <s v="13–24 months"/>
    <s v="0–1 tickets"/>
    <s v="46+ min"/>
    <s v="501–700"/>
    <n v="10900"/>
    <n v="-81.75"/>
  </r>
  <r>
    <n v="12122"/>
    <n v="19"/>
    <s v="Male"/>
    <s v="Delhi"/>
    <d v="2022-02-22T00:00:00"/>
    <d v="2023-04-30T00:00:00"/>
    <x v="1"/>
    <n v="1337"/>
    <x v="14"/>
    <n v="1"/>
    <n v="113.58"/>
    <n v="15"/>
    <x v="0"/>
    <x v="0"/>
    <n v="10495.45"/>
    <b v="1"/>
    <n v="0.66666666666666663"/>
    <n v="1311.9312500000001"/>
    <n v="56.79"/>
    <d v="2022-02-01T00:00:00"/>
    <s v="Young"/>
    <n v="1"/>
    <s v="No"/>
    <n v="432"/>
    <s v="High"/>
    <s v="Low"/>
    <n v="0.1111111111111111"/>
    <s v="Medium"/>
    <n v="3"/>
    <d v="2022-02-01T00:00:00"/>
    <s v="7–12 months"/>
    <s v="0–1 tickets"/>
    <s v="46+ min"/>
    <s v="1000+"/>
    <n v="10696"/>
    <n v="-200.54999999999927"/>
  </r>
  <r>
    <n v="12123"/>
    <n v="23"/>
    <s v="Female"/>
    <s v="Pune"/>
    <d v="2023-06-17T00:00:00"/>
    <d v="2022-01-31T00:00:00"/>
    <x v="0"/>
    <n v="398"/>
    <x v="12"/>
    <n v="2"/>
    <n v="107.97"/>
    <n v="0"/>
    <x v="2"/>
    <x v="1"/>
    <n v="13930"/>
    <b v="0"/>
    <n v="2.9166666666666665"/>
    <n v="398"/>
    <n v="35.99"/>
    <d v="2023-06-01T00:00:00"/>
    <s v="Young"/>
    <n v="0"/>
    <s v="Yes"/>
    <m/>
    <s v="High"/>
    <s v="Low"/>
    <n v="5.5555555555555552E-2"/>
    <s v="Medium"/>
    <n v="1"/>
    <d v="2023-06-01T00:00:00"/>
    <s v="25+ months"/>
    <s v="2–3 tickets"/>
    <s v="46+ min"/>
    <s v="301–500"/>
    <n v="13930"/>
    <n v="0"/>
  </r>
  <r>
    <n v="12124"/>
    <n v="26"/>
    <s v="Male"/>
    <s v="Pune"/>
    <d v="2021-10-10T00:00:00"/>
    <d v="2022-09-21T00:00:00"/>
    <x v="1"/>
    <n v="332"/>
    <x v="19"/>
    <n v="3"/>
    <n v="5.38"/>
    <n v="5"/>
    <x v="1"/>
    <x v="1"/>
    <n v="4299.3999999999996"/>
    <b v="1"/>
    <n v="1.0833333333333333"/>
    <n v="330.72307692307692"/>
    <n v="1.345"/>
    <d v="2021-10-01T00:00:00"/>
    <s v="Adult"/>
    <n v="0"/>
    <s v="No"/>
    <n v="346"/>
    <s v="Low"/>
    <s v="Low"/>
    <n v="0.21428571428571427"/>
    <s v="Low"/>
    <n v="3"/>
    <d v="2021-10-01T00:00:00"/>
    <s v="13–24 months"/>
    <s v="2–3 tickets"/>
    <s v="0–10 min"/>
    <s v="301–500"/>
    <n v="4316"/>
    <n v="-16.600000000000364"/>
  </r>
  <r>
    <n v="12125"/>
    <n v="50"/>
    <s v="Female"/>
    <s v="Bangalore"/>
    <d v="2021-03-15T00:00:00"/>
    <d v="2022-04-05T00:00:00"/>
    <x v="1"/>
    <n v="556"/>
    <x v="20"/>
    <n v="7"/>
    <n v="112.41"/>
    <n v="5"/>
    <x v="3"/>
    <x v="1"/>
    <n v="3308.2"/>
    <b v="1"/>
    <n v="0.5"/>
    <n v="551.36666666666667"/>
    <n v="14.05125"/>
    <d v="2021-03-01T00:00:00"/>
    <s v="Middle-aged"/>
    <n v="0"/>
    <s v="No"/>
    <n v="386"/>
    <s v="High"/>
    <s v="Low"/>
    <n v="1"/>
    <s v="Low"/>
    <n v="3"/>
    <d v="2021-03-01T00:00:00"/>
    <s v="0–6 months"/>
    <s v="6+ tickets"/>
    <s v="46+ min"/>
    <s v="501–700"/>
    <n v="3336"/>
    <n v="-27.800000000000182"/>
  </r>
  <r>
    <n v="12126"/>
    <n v="58"/>
    <s v="Male"/>
    <s v="Delhi"/>
    <d v="2021-12-21T00:00:00"/>
    <d v="2022-01-17T00:00:00"/>
    <x v="0"/>
    <n v="333"/>
    <x v="24"/>
    <n v="3"/>
    <n v="20.81"/>
    <n v="15"/>
    <x v="3"/>
    <x v="1"/>
    <n v="5278.05"/>
    <b v="1"/>
    <n v="1.3333333333333333"/>
    <n v="329.87812500000001"/>
    <n v="5.2024999999999997"/>
    <d v="2021-12-01T00:00:00"/>
    <s v="Older"/>
    <n v="0"/>
    <s v="No"/>
    <n v="27"/>
    <s v="Medium"/>
    <s v="Low"/>
    <n v="0.17647058823529413"/>
    <s v="Low"/>
    <n v="1"/>
    <d v="2021-12-01T00:00:00"/>
    <s v="13–24 months"/>
    <s v="2–3 tickets"/>
    <s v="21–30 min"/>
    <s v="301–500"/>
    <n v="5328"/>
    <n v="-49.949999999999818"/>
  </r>
  <r>
    <n v="12127"/>
    <n v="42"/>
    <s v="Female"/>
    <s v="Bangalore"/>
    <d v="2022-12-28T00:00:00"/>
    <d v="2022-06-18T00:00:00"/>
    <x v="0"/>
    <n v="318"/>
    <x v="21"/>
    <n v="2"/>
    <n v="9.59"/>
    <n v="10"/>
    <x v="3"/>
    <x v="1"/>
    <n v="1558.2"/>
    <b v="0"/>
    <n v="0.41666666666666669"/>
    <n v="311.64"/>
    <n v="3.1966666666666668"/>
    <d v="2022-12-01T00:00:00"/>
    <s v="Middle-aged"/>
    <n v="0"/>
    <s v="No"/>
    <m/>
    <s v="Low"/>
    <s v="Low"/>
    <n v="0.33333333333333331"/>
    <s v="Low"/>
    <n v="1"/>
    <d v="2022-12-01T00:00:00"/>
    <s v="0–6 months"/>
    <s v="2–3 tickets"/>
    <s v="0–10 min"/>
    <s v="301–500"/>
    <n v="1590"/>
    <n v="-31.799999999999955"/>
  </r>
  <r>
    <n v="12128"/>
    <n v="30"/>
    <s v="Female"/>
    <s v="Hyderabad"/>
    <d v="2022-05-12T00:00:00"/>
    <d v="2021-11-02T00:00:00"/>
    <x v="0"/>
    <n v="888"/>
    <x v="22"/>
    <n v="2"/>
    <n v="11.37"/>
    <n v="5"/>
    <x v="2"/>
    <x v="1"/>
    <n v="30147.599999999999"/>
    <b v="0"/>
    <n v="2.8333333333333335"/>
    <n v="886.69411764705876"/>
    <n v="3.7899999999999996"/>
    <d v="2022-05-01T00:00:00"/>
    <s v="Adult"/>
    <n v="0"/>
    <s v="Yes"/>
    <m/>
    <s v="Low"/>
    <s v="Low"/>
    <n v="5.7142857142857141E-2"/>
    <s v="High"/>
    <n v="1"/>
    <d v="2022-05-01T00:00:00"/>
    <s v="25+ months"/>
    <s v="2–3 tickets"/>
    <s v="11–20 min"/>
    <s v="701–1000"/>
    <n v="30192"/>
    <n v="-44.400000000001455"/>
  </r>
  <r>
    <n v="12129"/>
    <n v="26"/>
    <s v="Male"/>
    <s v="Pune"/>
    <d v="2021-11-24T00:00:00"/>
    <d v="2021-11-22T00:00:00"/>
    <x v="2"/>
    <n v="436"/>
    <x v="20"/>
    <n v="2"/>
    <n v="45.13"/>
    <n v="20"/>
    <x v="3"/>
    <x v="1"/>
    <n v="2528.8000000000002"/>
    <b v="0"/>
    <n v="0.5"/>
    <n v="421.4666666666667"/>
    <n v="15.043333333333335"/>
    <d v="2021-11-01T00:00:00"/>
    <s v="Adult"/>
    <n v="0"/>
    <s v="No"/>
    <m/>
    <s v="Medium"/>
    <s v="Medium"/>
    <n v="0.2857142857142857"/>
    <s v="Low"/>
    <n v="2"/>
    <d v="2021-11-01T00:00:00"/>
    <s v="0–6 months"/>
    <s v="2–3 tickets"/>
    <s v="46+ min"/>
    <s v="301–500"/>
    <n v="2616"/>
    <n v="-87.199999999999818"/>
  </r>
  <r>
    <n v="12130"/>
    <n v="30"/>
    <s v="Male"/>
    <s v="Hyderabad"/>
    <d v="2022-06-19T00:00:00"/>
    <d v="2023-09-26T00:00:00"/>
    <x v="2"/>
    <n v="658"/>
    <x v="33"/>
    <n v="1"/>
    <n v="76.39"/>
    <n v="0"/>
    <x v="3"/>
    <x v="1"/>
    <n v="21714"/>
    <b v="1"/>
    <n v="2.75"/>
    <n v="658"/>
    <n v="38.195"/>
    <d v="2022-06-01T00:00:00"/>
    <s v="Adult"/>
    <n v="0"/>
    <s v="Yes"/>
    <n v="464"/>
    <s v="High"/>
    <s v="Low"/>
    <n v="2.9411764705882353E-2"/>
    <s v="High"/>
    <n v="2"/>
    <d v="2022-06-01T00:00:00"/>
    <s v="25+ months"/>
    <s v="0–1 tickets"/>
    <s v="46+ min"/>
    <s v="501–700"/>
    <n v="21714"/>
    <n v="0"/>
  </r>
  <r>
    <n v="12131"/>
    <n v="48"/>
    <s v="Female"/>
    <s v="Delhi"/>
    <d v="2022-08-03T00:00:00"/>
    <d v="2021-09-23T00:00:00"/>
    <x v="2"/>
    <n v="1053"/>
    <x v="15"/>
    <n v="1"/>
    <n v="51.27"/>
    <n v="10"/>
    <x v="2"/>
    <x v="1"/>
    <n v="15689.7"/>
    <b v="0"/>
    <n v="1.25"/>
    <n v="1045.98"/>
    <n v="25.635000000000002"/>
    <d v="2022-08-01T00:00:00"/>
    <s v="Middle-aged"/>
    <n v="0"/>
    <s v="Yes"/>
    <m/>
    <s v="Medium"/>
    <s v="Low"/>
    <n v="6.25E-2"/>
    <s v="Medium"/>
    <n v="2"/>
    <d v="2022-08-01T00:00:00"/>
    <s v="13–24 months"/>
    <s v="0–1 tickets"/>
    <s v="46+ min"/>
    <s v="1000+"/>
    <n v="15795"/>
    <n v="-105.29999999999927"/>
  </r>
  <r>
    <n v="12132"/>
    <n v="58"/>
    <s v="Female"/>
    <s v="Pune"/>
    <d v="2022-03-23T00:00:00"/>
    <d v="2022-06-25T00:00:00"/>
    <x v="2"/>
    <n v="1439"/>
    <x v="15"/>
    <n v="3"/>
    <n v="7.94"/>
    <n v="0"/>
    <x v="2"/>
    <x v="1"/>
    <n v="21585"/>
    <b v="1"/>
    <n v="1.25"/>
    <n v="1439"/>
    <n v="1.9850000000000001"/>
    <d v="2022-03-01T00:00:00"/>
    <s v="Older"/>
    <n v="0"/>
    <s v="Yes"/>
    <n v="94"/>
    <s v="Low"/>
    <s v="Low"/>
    <n v="0.1875"/>
    <s v="High"/>
    <n v="2"/>
    <d v="2022-03-01T00:00:00"/>
    <s v="13–24 months"/>
    <s v="2–3 tickets"/>
    <s v="0–10 min"/>
    <s v="1000+"/>
    <n v="21585"/>
    <n v="0"/>
  </r>
  <r>
    <n v="12133"/>
    <n v="28"/>
    <s v="Female"/>
    <s v="Hyderabad"/>
    <d v="2022-01-08T00:00:00"/>
    <d v="2022-04-07T00:00:00"/>
    <x v="0"/>
    <n v="703"/>
    <x v="25"/>
    <n v="3"/>
    <n v="59.8"/>
    <n v="20"/>
    <x v="1"/>
    <x v="1"/>
    <n v="9701.4"/>
    <b v="1"/>
    <n v="1.1666666666666667"/>
    <n v="692.9571428571428"/>
    <n v="14.95"/>
    <d v="2022-01-01T00:00:00"/>
    <s v="Adult"/>
    <n v="0"/>
    <s v="No"/>
    <n v="89"/>
    <s v="Medium"/>
    <s v="Medium"/>
    <n v="0.2"/>
    <s v="Medium"/>
    <n v="1"/>
    <d v="2022-01-01T00:00:00"/>
    <s v="13–24 months"/>
    <s v="2–3 tickets"/>
    <s v="46+ min"/>
    <s v="701–1000"/>
    <n v="9842"/>
    <n v="-140.60000000000036"/>
  </r>
  <r>
    <n v="12134"/>
    <n v="21"/>
    <s v="Male"/>
    <s v="Chennai"/>
    <d v="2021-12-28T00:00:00"/>
    <d v="2022-03-27T00:00:00"/>
    <x v="1"/>
    <n v="549"/>
    <x v="21"/>
    <n v="3"/>
    <n v="55.85"/>
    <n v="5"/>
    <x v="3"/>
    <x v="0"/>
    <n v="2717.55"/>
    <b v="1"/>
    <n v="0.41666666666666669"/>
    <n v="543.51"/>
    <n v="13.9625"/>
    <d v="2021-12-01T00:00:00"/>
    <s v="Young"/>
    <n v="1"/>
    <s v="No"/>
    <n v="89"/>
    <s v="Medium"/>
    <s v="Low"/>
    <n v="0.5"/>
    <s v="Low"/>
    <n v="3"/>
    <d v="2021-12-01T00:00:00"/>
    <s v="0–6 months"/>
    <s v="2–3 tickets"/>
    <s v="46+ min"/>
    <s v="501–700"/>
    <n v="2745"/>
    <n v="-27.449999999999818"/>
  </r>
  <r>
    <n v="12135"/>
    <n v="51"/>
    <s v="Male"/>
    <s v="Mumbai"/>
    <d v="2021-04-03T00:00:00"/>
    <d v="2021-06-18T00:00:00"/>
    <x v="2"/>
    <n v="745"/>
    <x v="8"/>
    <n v="2"/>
    <n v="92.04"/>
    <n v="0"/>
    <x v="1"/>
    <x v="1"/>
    <n v="19370"/>
    <b v="1"/>
    <n v="2.1666666666666665"/>
    <n v="745"/>
    <n v="30.680000000000003"/>
    <d v="2021-04-01T00:00:00"/>
    <s v="Older"/>
    <n v="0"/>
    <s v="Yes"/>
    <n v="76"/>
    <s v="High"/>
    <s v="Low"/>
    <n v="7.407407407407407E-2"/>
    <s v="Medium"/>
    <n v="2"/>
    <d v="2021-04-01T00:00:00"/>
    <s v="25+ months"/>
    <s v="2–3 tickets"/>
    <s v="46+ min"/>
    <s v="701–1000"/>
    <n v="19370"/>
    <n v="0"/>
  </r>
  <r>
    <n v="12136"/>
    <n v="55"/>
    <s v="Male"/>
    <s v="Pune"/>
    <d v="2021-11-17T00:00:00"/>
    <d v="2023-07-24T00:00:00"/>
    <x v="2"/>
    <n v="1253"/>
    <x v="18"/>
    <n v="4"/>
    <n v="37.159999999999997"/>
    <n v="0"/>
    <x v="0"/>
    <x v="1"/>
    <n v="21301"/>
    <b v="1"/>
    <n v="1.4166666666666667"/>
    <n v="1253"/>
    <n v="7.4319999999999995"/>
    <d v="2021-11-01T00:00:00"/>
    <s v="Older"/>
    <n v="0"/>
    <s v="Yes"/>
    <n v="614"/>
    <s v="Medium"/>
    <s v="Low"/>
    <n v="0.22222222222222221"/>
    <s v="High"/>
    <n v="2"/>
    <d v="2021-11-01T00:00:00"/>
    <s v="13–24 months"/>
    <s v="4–5 tickets"/>
    <s v="31–45 min"/>
    <s v="1000+"/>
    <n v="21301"/>
    <n v="0"/>
  </r>
  <r>
    <n v="12137"/>
    <n v="63"/>
    <s v="Female"/>
    <s v="Mumbai"/>
    <d v="2021-11-20T00:00:00"/>
    <d v="2021-06-12T00:00:00"/>
    <x v="1"/>
    <n v="577"/>
    <x v="24"/>
    <n v="2"/>
    <n v="30.02"/>
    <n v="0"/>
    <x v="0"/>
    <x v="1"/>
    <n v="9232"/>
    <b v="0"/>
    <n v="1.3333333333333333"/>
    <n v="577"/>
    <n v="10.006666666666666"/>
    <d v="2021-11-01T00:00:00"/>
    <s v="Older"/>
    <n v="0"/>
    <s v="No"/>
    <m/>
    <s v="Medium"/>
    <s v="Low"/>
    <n v="0.11764705882352941"/>
    <s v="Medium"/>
    <n v="3"/>
    <d v="2021-11-01T00:00:00"/>
    <s v="13–24 months"/>
    <s v="2–3 tickets"/>
    <s v="31–45 min"/>
    <s v="501–700"/>
    <n v="9232"/>
    <n v="0"/>
  </r>
  <r>
    <n v="12138"/>
    <n v="21"/>
    <s v="Male"/>
    <s v="Bangalore"/>
    <d v="2022-01-19T00:00:00"/>
    <d v="2022-07-09T00:00:00"/>
    <x v="2"/>
    <n v="411"/>
    <x v="12"/>
    <n v="2"/>
    <n v="34.43"/>
    <n v="20"/>
    <x v="0"/>
    <x v="1"/>
    <n v="14302.8"/>
    <b v="1"/>
    <n v="2.9166666666666665"/>
    <n v="408.65142857142854"/>
    <n v="11.476666666666667"/>
    <d v="2022-01-01T00:00:00"/>
    <s v="Young"/>
    <n v="0"/>
    <s v="Yes"/>
    <n v="171"/>
    <s v="Medium"/>
    <s v="Medium"/>
    <n v="5.5555555555555552E-2"/>
    <s v="Medium"/>
    <n v="2"/>
    <d v="2022-01-01T00:00:00"/>
    <s v="25+ months"/>
    <s v="2–3 tickets"/>
    <s v="31–45 min"/>
    <s v="301–500"/>
    <n v="14385"/>
    <n v="-82.200000000000728"/>
  </r>
  <r>
    <n v="12139"/>
    <n v="55"/>
    <s v="Male"/>
    <s v="Hyderabad"/>
    <d v="2022-07-29T00:00:00"/>
    <d v="2023-08-22T00:00:00"/>
    <x v="0"/>
    <n v="1045"/>
    <x v="31"/>
    <n v="2"/>
    <n v="39.93"/>
    <n v="10"/>
    <x v="0"/>
    <x v="0"/>
    <n v="23930.5"/>
    <b v="1"/>
    <n v="1.9166666666666667"/>
    <n v="1040.4565217391305"/>
    <n v="13.31"/>
    <d v="2022-07-01T00:00:00"/>
    <s v="Older"/>
    <n v="1"/>
    <s v="Yes"/>
    <n v="389"/>
    <s v="Medium"/>
    <s v="Low"/>
    <n v="8.3333333333333329E-2"/>
    <s v="High"/>
    <n v="1"/>
    <d v="2022-07-01T00:00:00"/>
    <s v="13–24 months"/>
    <s v="2–3 tickets"/>
    <s v="31–45 min"/>
    <s v="1000+"/>
    <n v="24035"/>
    <n v="-104.5"/>
  </r>
  <r>
    <n v="12140"/>
    <n v="36"/>
    <s v="Female"/>
    <s v="Bangalore"/>
    <d v="2023-01-06T00:00:00"/>
    <d v="2023-05-05T00:00:00"/>
    <x v="0"/>
    <n v="987"/>
    <x v="19"/>
    <n v="1"/>
    <n v="73.900000000000006"/>
    <n v="10"/>
    <x v="2"/>
    <x v="1"/>
    <n v="12732.3"/>
    <b v="1"/>
    <n v="1.0833333333333333"/>
    <n v="979.40769230769229"/>
    <n v="36.950000000000003"/>
    <d v="2023-01-01T00:00:00"/>
    <s v="Middle-aged"/>
    <n v="0"/>
    <s v="No"/>
    <n v="119"/>
    <s v="High"/>
    <s v="Low"/>
    <n v="7.1428571428571425E-2"/>
    <s v="Medium"/>
    <n v="1"/>
    <d v="2023-01-01T00:00:00"/>
    <s v="13–24 months"/>
    <s v="0–1 tickets"/>
    <s v="46+ min"/>
    <s v="701–1000"/>
    <n v="12831"/>
    <n v="-98.700000000000728"/>
  </r>
  <r>
    <n v="12141"/>
    <n v="23"/>
    <s v="Female"/>
    <s v="Pune"/>
    <d v="2023-01-07T00:00:00"/>
    <d v="2022-01-18T00:00:00"/>
    <x v="2"/>
    <n v="691"/>
    <x v="33"/>
    <n v="2"/>
    <n v="59.23"/>
    <n v="20"/>
    <x v="1"/>
    <x v="1"/>
    <n v="22664.799999999999"/>
    <b v="0"/>
    <n v="2.75"/>
    <n v="686.81212121212116"/>
    <n v="19.743333333333332"/>
    <d v="2023-01-01T00:00:00"/>
    <s v="Young"/>
    <n v="0"/>
    <s v="Yes"/>
    <m/>
    <s v="Medium"/>
    <s v="Medium"/>
    <n v="5.8823529411764705E-2"/>
    <s v="High"/>
    <n v="2"/>
    <d v="2023-01-01T00:00:00"/>
    <s v="25+ months"/>
    <s v="2–3 tickets"/>
    <s v="46+ min"/>
    <s v="501–700"/>
    <n v="22803"/>
    <n v="-138.20000000000073"/>
  </r>
  <r>
    <n v="12142"/>
    <n v="51"/>
    <s v="Male"/>
    <s v="Mumbai"/>
    <d v="2023-05-31T00:00:00"/>
    <d v="2023-01-26T00:00:00"/>
    <x v="0"/>
    <n v="1268"/>
    <x v="5"/>
    <n v="0"/>
    <n v="43.74"/>
    <n v="0"/>
    <x v="1"/>
    <x v="0"/>
    <n v="36772"/>
    <b v="0"/>
    <n v="2.4166666666666665"/>
    <n v="1268"/>
    <n v="43.74"/>
    <d v="2023-05-01T00:00:00"/>
    <s v="Older"/>
    <n v="1"/>
    <s v="Yes"/>
    <m/>
    <s v="Medium"/>
    <s v="Low"/>
    <n v="0"/>
    <s v="High"/>
    <n v="1"/>
    <d v="2023-05-01T00:00:00"/>
    <s v="25+ months"/>
    <s v="0–1 tickets"/>
    <s v="31–45 min"/>
    <s v="1000+"/>
    <n v="36772"/>
    <n v="0"/>
  </r>
  <r>
    <n v="12143"/>
    <n v="35"/>
    <s v="Male"/>
    <s v="Mumbai"/>
    <d v="2021-12-12T00:00:00"/>
    <d v="2023-05-31T00:00:00"/>
    <x v="1"/>
    <n v="442"/>
    <x v="22"/>
    <n v="3"/>
    <n v="48.05"/>
    <n v="0"/>
    <x v="2"/>
    <x v="1"/>
    <n v="15028"/>
    <b v="1"/>
    <n v="2.8333333333333335"/>
    <n v="442"/>
    <n v="12.012499999999999"/>
    <d v="2021-12-01T00:00:00"/>
    <s v="Adult"/>
    <n v="0"/>
    <s v="Yes"/>
    <n v="535"/>
    <s v="Medium"/>
    <s v="Low"/>
    <n v="8.5714285714285715E-2"/>
    <s v="Medium"/>
    <n v="3"/>
    <d v="2021-12-01T00:00:00"/>
    <s v="25+ months"/>
    <s v="2–3 tickets"/>
    <s v="46+ min"/>
    <s v="301–500"/>
    <n v="15028"/>
    <n v="0"/>
  </r>
  <r>
    <n v="12144"/>
    <n v="30"/>
    <s v="Female"/>
    <s v="Hyderabad"/>
    <d v="2023-04-29T00:00:00"/>
    <d v="2022-03-05T00:00:00"/>
    <x v="0"/>
    <n v="1355"/>
    <x v="22"/>
    <n v="3"/>
    <n v="47.66"/>
    <n v="15"/>
    <x v="0"/>
    <x v="0"/>
    <n v="45866.75"/>
    <b v="0"/>
    <n v="2.8333333333333335"/>
    <n v="1349.0220588235295"/>
    <n v="11.914999999999999"/>
    <d v="2023-04-01T00:00:00"/>
    <s v="Adult"/>
    <n v="1"/>
    <s v="Yes"/>
    <m/>
    <s v="Medium"/>
    <s v="Low"/>
    <n v="8.5714285714285715E-2"/>
    <s v="High"/>
    <n v="1"/>
    <d v="2023-04-01T00:00:00"/>
    <s v="25+ months"/>
    <s v="2–3 tickets"/>
    <s v="46+ min"/>
    <s v="1000+"/>
    <n v="46070"/>
    <n v="-203.25"/>
  </r>
  <r>
    <n v="12145"/>
    <n v="58"/>
    <s v="Female"/>
    <s v="Pune"/>
    <d v="2021-04-13T00:00:00"/>
    <d v="2022-05-19T00:00:00"/>
    <x v="2"/>
    <n v="480"/>
    <x v="26"/>
    <n v="3"/>
    <n v="116.83"/>
    <n v="5"/>
    <x v="1"/>
    <x v="1"/>
    <n v="12936"/>
    <b v="1"/>
    <n v="2.25"/>
    <n v="479.11111111111109"/>
    <n v="29.2075"/>
    <d v="2021-04-01T00:00:00"/>
    <s v="Older"/>
    <n v="0"/>
    <s v="No"/>
    <n v="401"/>
    <s v="High"/>
    <s v="Low"/>
    <n v="0.10714285714285714"/>
    <s v="Medium"/>
    <n v="2"/>
    <d v="2021-04-01T00:00:00"/>
    <s v="25+ months"/>
    <s v="2–3 tickets"/>
    <s v="46+ min"/>
    <s v="301–500"/>
    <n v="12960"/>
    <n v="-24"/>
  </r>
  <r>
    <n v="12146"/>
    <n v="40"/>
    <s v="Male"/>
    <s v="Chennai"/>
    <d v="2021-08-03T00:00:00"/>
    <d v="2022-03-30T00:00:00"/>
    <x v="2"/>
    <n v="878"/>
    <x v="15"/>
    <n v="3"/>
    <n v="31.79"/>
    <n v="5"/>
    <x v="3"/>
    <x v="0"/>
    <n v="13126.1"/>
    <b v="1"/>
    <n v="1.25"/>
    <n v="875.07333333333338"/>
    <n v="7.9474999999999998"/>
    <d v="2021-08-01T00:00:00"/>
    <s v="Middle-aged"/>
    <n v="1"/>
    <s v="No"/>
    <n v="239"/>
    <s v="Medium"/>
    <s v="Low"/>
    <n v="0.1875"/>
    <s v="Medium"/>
    <n v="2"/>
    <d v="2021-08-01T00:00:00"/>
    <s v="13–24 months"/>
    <s v="2–3 tickets"/>
    <s v="31–45 min"/>
    <s v="701–1000"/>
    <n v="13170"/>
    <n v="-43.899999999999636"/>
  </r>
  <r>
    <n v="12147"/>
    <n v="36"/>
    <s v="Female"/>
    <s v="Chennai"/>
    <d v="2021-07-11T00:00:00"/>
    <d v="2022-11-23T00:00:00"/>
    <x v="0"/>
    <n v="1097"/>
    <x v="9"/>
    <n v="1"/>
    <n v="99.08"/>
    <n v="10"/>
    <x v="2"/>
    <x v="1"/>
    <n v="9763.2999999999993"/>
    <b v="1"/>
    <n v="0.75"/>
    <n v="1084.8111111111111"/>
    <n v="49.54"/>
    <d v="2021-07-01T00:00:00"/>
    <s v="Middle-aged"/>
    <n v="0"/>
    <s v="No"/>
    <n v="500"/>
    <s v="High"/>
    <s v="Low"/>
    <n v="0.1"/>
    <s v="Medium"/>
    <n v="1"/>
    <d v="2021-07-01T00:00:00"/>
    <s v="7–12 months"/>
    <s v="0–1 tickets"/>
    <s v="46+ min"/>
    <s v="1000+"/>
    <n v="9873"/>
    <n v="-109.70000000000073"/>
  </r>
  <r>
    <n v="12148"/>
    <n v="62"/>
    <s v="Female"/>
    <s v="Hyderabad"/>
    <d v="2022-11-03T00:00:00"/>
    <d v="2022-09-13T00:00:00"/>
    <x v="1"/>
    <n v="568"/>
    <x v="8"/>
    <n v="1"/>
    <n v="86.44"/>
    <n v="20"/>
    <x v="2"/>
    <x v="1"/>
    <n v="14654.4"/>
    <b v="0"/>
    <n v="2.1666666666666665"/>
    <n v="563.63076923076926"/>
    <n v="43.22"/>
    <d v="2022-11-01T00:00:00"/>
    <s v="Older"/>
    <n v="0"/>
    <s v="Yes"/>
    <m/>
    <s v="High"/>
    <s v="Medium"/>
    <n v="3.7037037037037035E-2"/>
    <s v="Medium"/>
    <n v="3"/>
    <d v="2022-11-01T00:00:00"/>
    <s v="25+ months"/>
    <s v="0–1 tickets"/>
    <s v="46+ min"/>
    <s v="501–700"/>
    <n v="14768"/>
    <n v="-113.60000000000036"/>
  </r>
  <r>
    <n v="12149"/>
    <n v="28"/>
    <s v="Male"/>
    <s v="Pune"/>
    <d v="2023-06-03T00:00:00"/>
    <d v="2023-08-22T00:00:00"/>
    <x v="1"/>
    <n v="852"/>
    <x v="13"/>
    <n v="2"/>
    <n v="5.64"/>
    <n v="0"/>
    <x v="3"/>
    <x v="1"/>
    <n v="2556"/>
    <b v="1"/>
    <n v="0.25"/>
    <n v="852"/>
    <n v="1.88"/>
    <d v="2023-06-01T00:00:00"/>
    <s v="Adult"/>
    <n v="0"/>
    <s v="No"/>
    <n v="80"/>
    <s v="Low"/>
    <s v="Low"/>
    <n v="0.5"/>
    <s v="Low"/>
    <n v="3"/>
    <d v="2023-06-01T00:00:00"/>
    <s v="0–6 months"/>
    <s v="2–3 tickets"/>
    <s v="0–10 min"/>
    <s v="701–1000"/>
    <n v="2556"/>
    <n v="0"/>
  </r>
  <r>
    <n v="12150"/>
    <n v="18"/>
    <s v="Male"/>
    <s v="Hyderabad"/>
    <d v="2022-12-20T00:00:00"/>
    <d v="2021-08-16T00:00:00"/>
    <x v="2"/>
    <n v="932"/>
    <x v="21"/>
    <n v="2"/>
    <n v="119.22"/>
    <n v="5"/>
    <x v="0"/>
    <x v="0"/>
    <n v="4613.3999999999996"/>
    <b v="0"/>
    <n v="0.41666666666666669"/>
    <n v="922.68"/>
    <n v="39.74"/>
    <d v="2022-12-01T00:00:00"/>
    <s v="Young"/>
    <n v="1"/>
    <s v="No"/>
    <m/>
    <s v="High"/>
    <s v="Low"/>
    <n v="0.33333333333333331"/>
    <s v="Low"/>
    <n v="2"/>
    <d v="2022-12-01T00:00:00"/>
    <s v="0–6 months"/>
    <s v="2–3 tickets"/>
    <s v="46+ min"/>
    <s v="701–1000"/>
    <n v="4660"/>
    <n v="-46.600000000000364"/>
  </r>
  <r>
    <n v="12151"/>
    <n v="41"/>
    <s v="Female"/>
    <s v="Pune"/>
    <d v="2023-02-20T00:00:00"/>
    <d v="2022-11-03T00:00:00"/>
    <x v="0"/>
    <n v="574"/>
    <x v="28"/>
    <n v="0"/>
    <n v="91.99"/>
    <n v="20"/>
    <x v="0"/>
    <x v="1"/>
    <n v="11365.2"/>
    <b v="0"/>
    <n v="1.6666666666666667"/>
    <n v="568.26"/>
    <n v="91.99"/>
    <d v="2023-02-01T00:00:00"/>
    <s v="Middle-aged"/>
    <n v="0"/>
    <s v="No"/>
    <m/>
    <s v="High"/>
    <s v="Medium"/>
    <n v="0"/>
    <s v="Medium"/>
    <n v="1"/>
    <d v="2023-02-01T00:00:00"/>
    <s v="13–24 months"/>
    <s v="0–1 tickets"/>
    <s v="46+ min"/>
    <s v="501–700"/>
    <n v="11480"/>
    <n v="-114.79999999999927"/>
  </r>
  <r>
    <n v="12152"/>
    <n v="24"/>
    <s v="Female"/>
    <s v="Bangalore"/>
    <d v="2021-07-13T00:00:00"/>
    <d v="2021-06-24T00:00:00"/>
    <x v="0"/>
    <n v="1042"/>
    <x v="28"/>
    <n v="0"/>
    <n v="62.59"/>
    <n v="20"/>
    <x v="1"/>
    <x v="1"/>
    <n v="20631.599999999999"/>
    <b v="0"/>
    <n v="1.6666666666666667"/>
    <n v="1031.58"/>
    <n v="62.59"/>
    <d v="2021-07-01T00:00:00"/>
    <s v="Young"/>
    <n v="0"/>
    <s v="Yes"/>
    <m/>
    <s v="High"/>
    <s v="Medium"/>
    <n v="0"/>
    <s v="High"/>
    <n v="1"/>
    <d v="2021-07-01T00:00:00"/>
    <s v="13–24 months"/>
    <s v="0–1 tickets"/>
    <s v="46+ min"/>
    <s v="1000+"/>
    <n v="20840"/>
    <n v="-208.40000000000146"/>
  </r>
  <r>
    <n v="12153"/>
    <n v="42"/>
    <s v="Male"/>
    <s v="Hyderabad"/>
    <d v="2022-01-15T00:00:00"/>
    <d v="2021-06-15T00:00:00"/>
    <x v="0"/>
    <n v="385"/>
    <x v="21"/>
    <n v="0"/>
    <n v="51.61"/>
    <n v="0"/>
    <x v="3"/>
    <x v="1"/>
    <n v="1925"/>
    <b v="0"/>
    <n v="0.41666666666666669"/>
    <n v="385"/>
    <n v="51.61"/>
    <d v="2022-01-01T00:00:00"/>
    <s v="Middle-aged"/>
    <n v="0"/>
    <s v="No"/>
    <m/>
    <s v="Medium"/>
    <s v="Low"/>
    <n v="0"/>
    <s v="Low"/>
    <n v="1"/>
    <d v="2022-01-01T00:00:00"/>
    <s v="0–6 months"/>
    <s v="0–1 tickets"/>
    <s v="46+ min"/>
    <s v="301–500"/>
    <n v="1925"/>
    <n v="0"/>
  </r>
  <r>
    <n v="12154"/>
    <n v="38"/>
    <s v="Female"/>
    <s v="Pune"/>
    <d v="2022-02-07T00:00:00"/>
    <d v="2023-04-07T00:00:00"/>
    <x v="0"/>
    <n v="1386"/>
    <x v="32"/>
    <n v="2"/>
    <n v="68.849999999999994"/>
    <n v="20"/>
    <x v="1"/>
    <x v="1"/>
    <n v="13582.8"/>
    <b v="1"/>
    <n v="0.83333333333333337"/>
    <n v="1358.28"/>
    <n v="22.95"/>
    <d v="2022-02-01T00:00:00"/>
    <s v="Middle-aged"/>
    <n v="0"/>
    <s v="Yes"/>
    <n v="424"/>
    <s v="High"/>
    <s v="Medium"/>
    <n v="0.18181818181818182"/>
    <s v="Medium"/>
    <n v="1"/>
    <d v="2022-02-01T00:00:00"/>
    <s v="7–12 months"/>
    <s v="2–3 tickets"/>
    <s v="46+ min"/>
    <s v="1000+"/>
    <n v="13860"/>
    <n v="-277.20000000000073"/>
  </r>
  <r>
    <n v="12155"/>
    <n v="32"/>
    <s v="Female"/>
    <s v="unknown"/>
    <d v="2022-10-26T00:00:00"/>
    <d v="2022-11-07T00:00:00"/>
    <x v="2"/>
    <n v="703"/>
    <x v="24"/>
    <n v="1"/>
    <n v="34.130000000000003"/>
    <n v="5"/>
    <x v="0"/>
    <x v="0"/>
    <n v="11212.85"/>
    <b v="1"/>
    <n v="1.3333333333333333"/>
    <n v="700.80312500000002"/>
    <n v="17.065000000000001"/>
    <d v="2022-10-01T00:00:00"/>
    <s v="Adult"/>
    <n v="1"/>
    <s v="No"/>
    <n v="12"/>
    <s v="Medium"/>
    <s v="Low"/>
    <n v="5.8823529411764705E-2"/>
    <s v="Medium"/>
    <n v="2"/>
    <d v="2022-10-01T00:00:00"/>
    <s v="13–24 months"/>
    <s v="0–1 tickets"/>
    <s v="31–45 min"/>
    <s v="701–1000"/>
    <n v="11248"/>
    <n v="-35.149999999999636"/>
  </r>
  <r>
    <n v="12156"/>
    <n v="18"/>
    <s v="Male"/>
    <s v="Pune"/>
    <d v="2023-01-19T00:00:00"/>
    <d v="2022-05-13T00:00:00"/>
    <x v="1"/>
    <n v="491"/>
    <x v="0"/>
    <n v="3"/>
    <n v="9.08"/>
    <n v="15"/>
    <x v="1"/>
    <x v="1"/>
    <n v="12201.35"/>
    <b v="0"/>
    <n v="2.0833333333333335"/>
    <n v="488.05400000000003"/>
    <n v="2.27"/>
    <d v="2023-01-01T00:00:00"/>
    <s v="Young"/>
    <n v="0"/>
    <s v="No"/>
    <m/>
    <s v="Low"/>
    <s v="Low"/>
    <n v="0.11538461538461539"/>
    <s v="Medium"/>
    <n v="3"/>
    <d v="2023-01-01T00:00:00"/>
    <s v="25+ months"/>
    <s v="2–3 tickets"/>
    <s v="0–10 min"/>
    <s v="301–500"/>
    <n v="12275"/>
    <n v="-73.649999999999636"/>
  </r>
  <r>
    <n v="12157"/>
    <n v="29"/>
    <s v="Female"/>
    <s v="Pune"/>
    <d v="2022-08-23T00:00:00"/>
    <d v="2021-11-19T00:00:00"/>
    <x v="2"/>
    <n v="1354"/>
    <x v="0"/>
    <n v="1"/>
    <n v="101.14"/>
    <n v="5"/>
    <x v="3"/>
    <x v="1"/>
    <n v="33782.300000000003"/>
    <b v="0"/>
    <n v="2.0833333333333335"/>
    <n v="1351.2920000000001"/>
    <n v="50.57"/>
    <d v="2022-08-01T00:00:00"/>
    <s v="Adult"/>
    <n v="0"/>
    <s v="Yes"/>
    <m/>
    <s v="High"/>
    <s v="Low"/>
    <n v="3.8461538461538464E-2"/>
    <s v="High"/>
    <n v="2"/>
    <d v="2022-08-01T00:00:00"/>
    <s v="25+ months"/>
    <s v="0–1 tickets"/>
    <s v="46+ min"/>
    <s v="1000+"/>
    <n v="33850"/>
    <n v="-67.69999999999709"/>
  </r>
  <r>
    <n v="12158"/>
    <n v="24"/>
    <s v="Female"/>
    <s v="Hyderabad"/>
    <d v="2021-01-11T00:00:00"/>
    <d v="2023-10-17T00:00:00"/>
    <x v="1"/>
    <n v="406"/>
    <x v="3"/>
    <n v="2"/>
    <n v="108.1"/>
    <n v="15"/>
    <x v="3"/>
    <x v="0"/>
    <n v="12119.1"/>
    <b v="1"/>
    <n v="2.5"/>
    <n v="403.97"/>
    <n v="36.033333333333331"/>
    <d v="2021-01-01T00:00:00"/>
    <s v="Young"/>
    <n v="1"/>
    <s v="No"/>
    <n v="1009"/>
    <s v="High"/>
    <s v="Low"/>
    <n v="6.4516129032258063E-2"/>
    <s v="Medium"/>
    <n v="3"/>
    <d v="2021-01-01T00:00:00"/>
    <s v="25+ months"/>
    <s v="2–3 tickets"/>
    <s v="46+ min"/>
    <s v="301–500"/>
    <n v="12180"/>
    <n v="-60.899999999999636"/>
  </r>
  <r>
    <n v="12159"/>
    <n v="32"/>
    <s v="Male"/>
    <s v="Bangalore"/>
    <d v="2021-07-06T00:00:00"/>
    <d v="2022-04-23T00:00:00"/>
    <x v="2"/>
    <n v="921"/>
    <x v="25"/>
    <n v="3"/>
    <n v="23.68"/>
    <n v="20"/>
    <x v="3"/>
    <x v="1"/>
    <n v="12709.8"/>
    <b v="1"/>
    <n v="1.1666666666666667"/>
    <n v="907.84285714285704"/>
    <n v="5.92"/>
    <d v="2021-07-01T00:00:00"/>
    <s v="Adult"/>
    <n v="0"/>
    <s v="No"/>
    <n v="291"/>
    <s v="Medium"/>
    <s v="Medium"/>
    <n v="0.2"/>
    <s v="Medium"/>
    <n v="2"/>
    <d v="2021-07-01T00:00:00"/>
    <s v="13–24 months"/>
    <s v="2–3 tickets"/>
    <s v="21–30 min"/>
    <s v="701–1000"/>
    <n v="12894"/>
    <n v="-184.20000000000073"/>
  </r>
  <r>
    <n v="12160"/>
    <n v="38"/>
    <s v="Male"/>
    <s v="Bangalore"/>
    <d v="2022-12-27T00:00:00"/>
    <d v="2023-05-13T00:00:00"/>
    <x v="2"/>
    <n v="575"/>
    <x v="1"/>
    <n v="1"/>
    <n v="95.51"/>
    <n v="5"/>
    <x v="0"/>
    <x v="1"/>
    <n v="12621.25"/>
    <b v="1"/>
    <n v="1.8333333333333333"/>
    <n v="573.69318181818187"/>
    <n v="47.755000000000003"/>
    <d v="2022-12-01T00:00:00"/>
    <s v="Middle-aged"/>
    <n v="0"/>
    <s v="No"/>
    <n v="137"/>
    <s v="High"/>
    <s v="Low"/>
    <n v="4.3478260869565216E-2"/>
    <s v="Medium"/>
    <n v="2"/>
    <d v="2022-12-01T00:00:00"/>
    <s v="13–24 months"/>
    <s v="0–1 tickets"/>
    <s v="46+ min"/>
    <s v="501–700"/>
    <n v="12650"/>
    <n v="-28.75"/>
  </r>
  <r>
    <n v="12161"/>
    <n v="36"/>
    <s v="Male"/>
    <s v="Bangalore"/>
    <d v="2021-01-15T00:00:00"/>
    <d v="2022-09-28T00:00:00"/>
    <x v="1"/>
    <n v="950"/>
    <x v="29"/>
    <n v="4"/>
    <n v="90.23"/>
    <n v="10"/>
    <x v="2"/>
    <x v="0"/>
    <n v="26600"/>
    <b v="1"/>
    <n v="2.3333333333333335"/>
    <n v="950"/>
    <n v="18.045999999999999"/>
    <d v="2021-01-01T00:00:00"/>
    <s v="Middle-aged"/>
    <n v="1"/>
    <s v="Yes"/>
    <n v="621"/>
    <s v="High"/>
    <s v="Low"/>
    <n v="0.13793103448275862"/>
    <s v="High"/>
    <n v="3"/>
    <d v="2021-01-01T00:00:00"/>
    <s v="25+ months"/>
    <s v="4–5 tickets"/>
    <s v="46+ min"/>
    <s v="701–1000"/>
    <n v="26600"/>
    <n v="0"/>
  </r>
  <r>
    <n v="12162"/>
    <n v="46"/>
    <s v="Female"/>
    <s v="Bangalore"/>
    <d v="2023-02-17T00:00:00"/>
    <d v="2022-10-02T00:00:00"/>
    <x v="2"/>
    <n v="855"/>
    <x v="3"/>
    <n v="1"/>
    <n v="25.51"/>
    <n v="20"/>
    <x v="2"/>
    <x v="0"/>
    <n v="25479"/>
    <b v="0"/>
    <n v="2.5"/>
    <n v="849.3"/>
    <n v="12.755000000000001"/>
    <d v="2023-02-01T00:00:00"/>
    <s v="Middle-aged"/>
    <n v="1"/>
    <s v="Yes"/>
    <m/>
    <s v="Medium"/>
    <s v="Medium"/>
    <n v="3.2258064516129031E-2"/>
    <s v="High"/>
    <n v="2"/>
    <d v="2023-02-01T00:00:00"/>
    <s v="25+ months"/>
    <s v="0–1 tickets"/>
    <s v="21–30 min"/>
    <s v="701–1000"/>
    <n v="25650"/>
    <n v="-171"/>
  </r>
  <r>
    <n v="12163"/>
    <n v="42"/>
    <s v="Other"/>
    <s v="Delhi"/>
    <d v="2021-10-24T00:00:00"/>
    <d v="2022-09-05T00:00:00"/>
    <x v="1"/>
    <n v="1405"/>
    <x v="17"/>
    <n v="2"/>
    <n v="53.51"/>
    <n v="0"/>
    <x v="2"/>
    <x v="1"/>
    <n v="26695"/>
    <b v="1"/>
    <n v="1.5833333333333333"/>
    <n v="1405"/>
    <n v="17.836666666666666"/>
    <d v="2021-10-01T00:00:00"/>
    <s v="Middle-aged"/>
    <n v="0"/>
    <s v="Yes"/>
    <n v="316"/>
    <s v="Medium"/>
    <s v="Low"/>
    <n v="0.1"/>
    <s v="High"/>
    <n v="3"/>
    <d v="2021-10-01T00:00:00"/>
    <s v="13–24 months"/>
    <s v="2–3 tickets"/>
    <s v="46+ min"/>
    <s v="1000+"/>
    <n v="26695"/>
    <n v="0"/>
  </r>
  <r>
    <n v="12164"/>
    <n v="50"/>
    <s v="Male"/>
    <s v="Hyderabad"/>
    <d v="2022-02-15T00:00:00"/>
    <d v="2022-06-13T00:00:00"/>
    <x v="0"/>
    <n v="1387"/>
    <x v="28"/>
    <n v="1"/>
    <n v="53.62"/>
    <n v="15"/>
    <x v="1"/>
    <x v="1"/>
    <n v="27531.95"/>
    <b v="1"/>
    <n v="1.6666666666666667"/>
    <n v="1376.5975000000001"/>
    <n v="26.81"/>
    <d v="2022-02-01T00:00:00"/>
    <s v="Middle-aged"/>
    <n v="0"/>
    <s v="Yes"/>
    <n v="118"/>
    <s v="Medium"/>
    <s v="Low"/>
    <n v="4.7619047619047616E-2"/>
    <s v="High"/>
    <n v="1"/>
    <d v="2022-02-01T00:00:00"/>
    <s v="13–24 months"/>
    <s v="0–1 tickets"/>
    <s v="46+ min"/>
    <s v="1000+"/>
    <n v="27740"/>
    <n v="-208.04999999999927"/>
  </r>
  <r>
    <n v="12165"/>
    <n v="49"/>
    <s v="Female"/>
    <s v="Mumbai"/>
    <d v="2022-08-08T00:00:00"/>
    <d v="2023-01-09T00:00:00"/>
    <x v="0"/>
    <n v="866"/>
    <x v="12"/>
    <n v="4"/>
    <n v="92.4"/>
    <n v="10"/>
    <x v="3"/>
    <x v="1"/>
    <n v="30223.4"/>
    <b v="1"/>
    <n v="2.9166666666666665"/>
    <n v="863.52571428571434"/>
    <n v="18.48"/>
    <d v="2022-08-01T00:00:00"/>
    <s v="Middle-aged"/>
    <n v="0"/>
    <s v="Yes"/>
    <n v="154"/>
    <s v="High"/>
    <s v="Low"/>
    <n v="0.1111111111111111"/>
    <s v="High"/>
    <n v="1"/>
    <d v="2022-08-01T00:00:00"/>
    <s v="25+ months"/>
    <s v="4–5 tickets"/>
    <s v="46+ min"/>
    <s v="701–1000"/>
    <n v="30310"/>
    <n v="-86.599999999998545"/>
  </r>
  <r>
    <n v="12166"/>
    <n v="52"/>
    <s v="Female"/>
    <s v="Hyderabad"/>
    <d v="2021-02-21T00:00:00"/>
    <d v="2021-11-11T00:00:00"/>
    <x v="1"/>
    <n v="885"/>
    <x v="1"/>
    <n v="4"/>
    <n v="101.33"/>
    <n v="10"/>
    <x v="0"/>
    <x v="1"/>
    <n v="19381.5"/>
    <b v="1"/>
    <n v="1.8333333333333333"/>
    <n v="880.97727272727275"/>
    <n v="20.265999999999998"/>
    <d v="2021-02-01T00:00:00"/>
    <s v="Older"/>
    <n v="0"/>
    <s v="Yes"/>
    <n v="263"/>
    <s v="High"/>
    <s v="Low"/>
    <n v="0.17391304347826086"/>
    <s v="Medium"/>
    <n v="3"/>
    <d v="2021-02-01T00:00:00"/>
    <s v="13–24 months"/>
    <s v="4–5 tickets"/>
    <s v="46+ min"/>
    <s v="701–1000"/>
    <n v="19470"/>
    <n v="-88.5"/>
  </r>
  <r>
    <n v="12167"/>
    <n v="61"/>
    <s v="Female"/>
    <s v="Delhi"/>
    <d v="2022-10-02T00:00:00"/>
    <d v="2022-06-07T00:00:00"/>
    <x v="2"/>
    <n v="1184"/>
    <x v="15"/>
    <n v="0"/>
    <n v="15.9"/>
    <n v="15"/>
    <x v="2"/>
    <x v="1"/>
    <n v="17582.400000000001"/>
    <b v="0"/>
    <n v="1.25"/>
    <n v="1172.1600000000001"/>
    <n v="15.9"/>
    <d v="2022-10-01T00:00:00"/>
    <s v="Older"/>
    <n v="0"/>
    <s v="Yes"/>
    <m/>
    <s v="Low"/>
    <s v="Low"/>
    <n v="0"/>
    <s v="Medium"/>
    <n v="2"/>
    <d v="2022-10-01T00:00:00"/>
    <s v="13–24 months"/>
    <s v="0–1 tickets"/>
    <s v="11–20 min"/>
    <s v="1000+"/>
    <n v="17760"/>
    <n v="-177.59999999999854"/>
  </r>
  <r>
    <n v="12168"/>
    <n v="55"/>
    <s v="Male"/>
    <s v="Bangalore"/>
    <d v="2021-01-28T00:00:00"/>
    <d v="2022-12-25T00:00:00"/>
    <x v="1"/>
    <n v="428"/>
    <x v="11"/>
    <n v="3"/>
    <n v="69.739999999999995"/>
    <n v="10"/>
    <x v="2"/>
    <x v="1"/>
    <n v="4665.2"/>
    <b v="1"/>
    <n v="0.91666666666666663"/>
    <n v="424.10909090909087"/>
    <n v="17.434999999999999"/>
    <d v="2021-01-01T00:00:00"/>
    <s v="Older"/>
    <n v="0"/>
    <s v="No"/>
    <n v="696"/>
    <s v="High"/>
    <s v="Low"/>
    <n v="0.25"/>
    <s v="Low"/>
    <n v="3"/>
    <d v="2021-01-01T00:00:00"/>
    <s v="7–12 months"/>
    <s v="2–3 tickets"/>
    <s v="46+ min"/>
    <s v="301–500"/>
    <n v="4708"/>
    <n v="-42.800000000000182"/>
  </r>
  <r>
    <n v="12169"/>
    <n v="43"/>
    <s v="Male"/>
    <s v="Delhi"/>
    <d v="2022-07-31T00:00:00"/>
    <d v="2022-07-29T00:00:00"/>
    <x v="1"/>
    <n v="555"/>
    <x v="22"/>
    <n v="1"/>
    <n v="92.6"/>
    <n v="20"/>
    <x v="1"/>
    <x v="1"/>
    <n v="18759"/>
    <b v="0"/>
    <n v="2.8333333333333335"/>
    <n v="551.73529411764707"/>
    <n v="46.3"/>
    <d v="2022-07-01T00:00:00"/>
    <s v="Middle-aged"/>
    <n v="0"/>
    <s v="Yes"/>
    <m/>
    <s v="High"/>
    <s v="Medium"/>
    <n v="2.8571428571428571E-2"/>
    <s v="Medium"/>
    <n v="3"/>
    <d v="2022-07-01T00:00:00"/>
    <s v="25+ months"/>
    <s v="0–1 tickets"/>
    <s v="46+ min"/>
    <s v="501–700"/>
    <n v="18870"/>
    <n v="-111"/>
  </r>
  <r>
    <n v="12170"/>
    <n v="28"/>
    <s v="Male"/>
    <s v="Chennai"/>
    <d v="2021-01-17T00:00:00"/>
    <d v="2023-06-27T00:00:00"/>
    <x v="0"/>
    <n v="1233"/>
    <x v="30"/>
    <n v="2"/>
    <n v="95.41"/>
    <n v="20"/>
    <x v="1"/>
    <x v="1"/>
    <n v="29345.4"/>
    <b v="1"/>
    <n v="2"/>
    <n v="1222.7250000000001"/>
    <n v="31.803333333333331"/>
    <d v="2021-01-01T00:00:00"/>
    <s v="Adult"/>
    <n v="0"/>
    <s v="Yes"/>
    <n v="891"/>
    <s v="High"/>
    <s v="Medium"/>
    <n v="0.08"/>
    <s v="High"/>
    <n v="1"/>
    <d v="2021-01-01T00:00:00"/>
    <s v="13–24 months"/>
    <s v="2–3 tickets"/>
    <s v="46+ min"/>
    <s v="1000+"/>
    <n v="29592"/>
    <n v="-246.59999999999854"/>
  </r>
  <r>
    <n v="12171"/>
    <n v="52"/>
    <s v="Female"/>
    <s v="Chennai"/>
    <d v="2021-12-17T00:00:00"/>
    <d v="2022-09-20T00:00:00"/>
    <x v="2"/>
    <n v="530"/>
    <x v="20"/>
    <n v="0"/>
    <n v="22.02"/>
    <n v="5"/>
    <x v="2"/>
    <x v="1"/>
    <n v="3153.5"/>
    <b v="1"/>
    <n v="0.5"/>
    <n v="525.58333333333337"/>
    <n v="22.02"/>
    <d v="2021-12-01T00:00:00"/>
    <s v="Older"/>
    <n v="0"/>
    <s v="No"/>
    <n v="277"/>
    <s v="Medium"/>
    <s v="Low"/>
    <n v="0"/>
    <s v="Low"/>
    <n v="2"/>
    <d v="2021-12-01T00:00:00"/>
    <s v="0–6 months"/>
    <s v="0–1 tickets"/>
    <s v="21–30 min"/>
    <s v="501–700"/>
    <n v="3180"/>
    <n v="-26.5"/>
  </r>
  <r>
    <n v="12172"/>
    <n v="25"/>
    <s v="Male"/>
    <s v="Hyderabad"/>
    <d v="2022-03-04T00:00:00"/>
    <d v="2022-06-17T00:00:00"/>
    <x v="0"/>
    <n v="1460"/>
    <x v="18"/>
    <n v="2"/>
    <n v="65.430000000000007"/>
    <n v="20"/>
    <x v="3"/>
    <x v="1"/>
    <n v="24528"/>
    <b v="1"/>
    <n v="1.4166666666666667"/>
    <n v="1442.8235294117646"/>
    <n v="21.810000000000002"/>
    <d v="2022-03-01T00:00:00"/>
    <s v="Young"/>
    <n v="0"/>
    <s v="Yes"/>
    <n v="105"/>
    <s v="High"/>
    <s v="Medium"/>
    <n v="0.1111111111111111"/>
    <s v="High"/>
    <n v="1"/>
    <d v="2022-03-01T00:00:00"/>
    <s v="13–24 months"/>
    <s v="2–3 tickets"/>
    <s v="46+ min"/>
    <s v="1000+"/>
    <n v="24820"/>
    <n v="-292"/>
  </r>
  <r>
    <n v="12173"/>
    <n v="63"/>
    <s v="Female"/>
    <s v="Hyderabad"/>
    <d v="2022-10-12T00:00:00"/>
    <d v="2021-11-02T00:00:00"/>
    <x v="2"/>
    <n v="1162"/>
    <x v="29"/>
    <n v="3"/>
    <n v="103.62"/>
    <n v="10"/>
    <x v="3"/>
    <x v="1"/>
    <n v="32419.8"/>
    <b v="0"/>
    <n v="2.3333333333333335"/>
    <n v="1157.8499999999999"/>
    <n v="25.905000000000001"/>
    <d v="2022-10-01T00:00:00"/>
    <s v="Older"/>
    <n v="0"/>
    <s v="Yes"/>
    <m/>
    <s v="High"/>
    <s v="Low"/>
    <n v="0.10344827586206896"/>
    <s v="High"/>
    <n v="2"/>
    <d v="2022-10-01T00:00:00"/>
    <s v="25+ months"/>
    <s v="2–3 tickets"/>
    <s v="46+ min"/>
    <s v="1000+"/>
    <n v="32536"/>
    <n v="-116.20000000000073"/>
  </r>
  <r>
    <n v="12174"/>
    <n v="31"/>
    <s v="Male"/>
    <s v="Mumbai"/>
    <d v="2023-04-11T00:00:00"/>
    <d v="2022-02-12T00:00:00"/>
    <x v="2"/>
    <n v="654"/>
    <x v="27"/>
    <n v="0"/>
    <n v="41.63"/>
    <n v="0"/>
    <x v="1"/>
    <x v="1"/>
    <n v="20274"/>
    <b v="0"/>
    <n v="2.5833333333333335"/>
    <n v="654"/>
    <n v="41.63"/>
    <d v="2023-04-01T00:00:00"/>
    <s v="Adult"/>
    <n v="0"/>
    <s v="Yes"/>
    <m/>
    <s v="Medium"/>
    <s v="Low"/>
    <n v="0"/>
    <s v="High"/>
    <n v="2"/>
    <d v="2023-04-01T00:00:00"/>
    <s v="25+ months"/>
    <s v="0–1 tickets"/>
    <s v="31–45 min"/>
    <s v="501–700"/>
    <n v="20274"/>
    <n v="0"/>
  </r>
  <r>
    <n v="12175"/>
    <n v="27"/>
    <s v="Male"/>
    <s v="Mumbai"/>
    <d v="2021-08-17T00:00:00"/>
    <d v="2023-06-26T00:00:00"/>
    <x v="0"/>
    <n v="445"/>
    <x v="9"/>
    <n v="4"/>
    <n v="53.89"/>
    <n v="5"/>
    <x v="1"/>
    <x v="0"/>
    <n v="3982.75"/>
    <b v="1"/>
    <n v="0.75"/>
    <n v="442.52777777777777"/>
    <n v="10.778"/>
    <d v="2021-08-01T00:00:00"/>
    <s v="Adult"/>
    <n v="1"/>
    <s v="No"/>
    <n v="678"/>
    <s v="Medium"/>
    <s v="Low"/>
    <n v="0.4"/>
    <s v="Low"/>
    <n v="1"/>
    <d v="2021-08-01T00:00:00"/>
    <s v="7–12 months"/>
    <s v="4–5 tickets"/>
    <s v="46+ min"/>
    <s v="301–500"/>
    <n v="4005"/>
    <n v="-22.25"/>
  </r>
  <r>
    <n v="12176"/>
    <n v="41"/>
    <s v="Female"/>
    <s v="Chennai"/>
    <d v="2023-02-05T00:00:00"/>
    <d v="2023-04-05T00:00:00"/>
    <x v="2"/>
    <n v="1356"/>
    <x v="32"/>
    <n v="0"/>
    <n v="97.5"/>
    <n v="0"/>
    <x v="3"/>
    <x v="0"/>
    <n v="13560"/>
    <b v="1"/>
    <n v="0.83333333333333337"/>
    <n v="1356"/>
    <n v="97.5"/>
    <d v="2023-02-01T00:00:00"/>
    <s v="Middle-aged"/>
    <n v="1"/>
    <s v="Yes"/>
    <n v="59"/>
    <s v="High"/>
    <s v="Low"/>
    <n v="0"/>
    <s v="Medium"/>
    <n v="2"/>
    <d v="2023-02-01T00:00:00"/>
    <s v="7–12 months"/>
    <s v="0–1 tickets"/>
    <s v="46+ min"/>
    <s v="1000+"/>
    <n v="13560"/>
    <n v="0"/>
  </r>
  <r>
    <n v="12177"/>
    <n v="63"/>
    <s v="Female"/>
    <s v="Bangalore"/>
    <d v="2021-07-29T00:00:00"/>
    <d v="2021-08-07T00:00:00"/>
    <x v="2"/>
    <n v="559"/>
    <x v="6"/>
    <n v="6"/>
    <n v="15.27"/>
    <n v="10"/>
    <x v="1"/>
    <x v="1"/>
    <n v="11683.1"/>
    <b v="1"/>
    <n v="1.75"/>
    <n v="556.33809523809521"/>
    <n v="2.1814285714285715"/>
    <d v="2021-07-01T00:00:00"/>
    <s v="Older"/>
    <n v="0"/>
    <s v="No"/>
    <n v="9"/>
    <s v="Low"/>
    <s v="Low"/>
    <n v="0.27272727272727271"/>
    <s v="Medium"/>
    <n v="2"/>
    <d v="2021-07-01T00:00:00"/>
    <s v="13–24 months"/>
    <s v="6+ tickets"/>
    <s v="11–20 min"/>
    <s v="501–700"/>
    <n v="11739"/>
    <n v="-55.899999999999636"/>
  </r>
  <r>
    <n v="12178"/>
    <n v="26"/>
    <s v="Male"/>
    <s v="Delhi"/>
    <d v="2022-03-07T00:00:00"/>
    <d v="2022-05-10T00:00:00"/>
    <x v="0"/>
    <n v="386"/>
    <x v="22"/>
    <n v="4"/>
    <n v="103.84"/>
    <n v="0"/>
    <x v="1"/>
    <x v="1"/>
    <n v="13124"/>
    <b v="1"/>
    <n v="2.8333333333333335"/>
    <n v="386"/>
    <n v="20.768000000000001"/>
    <d v="2022-03-01T00:00:00"/>
    <s v="Adult"/>
    <n v="0"/>
    <s v="No"/>
    <n v="64"/>
    <s v="High"/>
    <s v="Low"/>
    <n v="0.11428571428571428"/>
    <s v="Medium"/>
    <n v="1"/>
    <d v="2022-03-01T00:00:00"/>
    <s v="25+ months"/>
    <s v="4–5 tickets"/>
    <s v="46+ min"/>
    <s v="301–500"/>
    <n v="13124"/>
    <n v="0"/>
  </r>
  <r>
    <n v="12179"/>
    <n v="20"/>
    <s v="Male"/>
    <s v="Mumbai"/>
    <d v="2021-10-21T00:00:00"/>
    <d v="2022-03-04T00:00:00"/>
    <x v="1"/>
    <n v="1142"/>
    <x v="27"/>
    <n v="7"/>
    <n v="40.78"/>
    <n v="10"/>
    <x v="3"/>
    <x v="1"/>
    <n v="35287.800000000003"/>
    <b v="1"/>
    <n v="2.5833333333333335"/>
    <n v="1138.3161290322582"/>
    <n v="5.0975000000000001"/>
    <d v="2021-10-01T00:00:00"/>
    <s v="Young"/>
    <n v="0"/>
    <s v="Yes"/>
    <n v="134"/>
    <s v="Medium"/>
    <s v="Low"/>
    <n v="0.21875"/>
    <s v="High"/>
    <n v="3"/>
    <d v="2021-10-01T00:00:00"/>
    <s v="25+ months"/>
    <s v="6+ tickets"/>
    <s v="31–45 min"/>
    <s v="1000+"/>
    <n v="35402"/>
    <n v="-114.19999999999709"/>
  </r>
  <r>
    <n v="12180"/>
    <n v="38"/>
    <s v="Other"/>
    <s v="Pune"/>
    <d v="2023-01-13T00:00:00"/>
    <d v="2023-04-04T00:00:00"/>
    <x v="2"/>
    <n v="564"/>
    <x v="5"/>
    <n v="0"/>
    <n v="5.17"/>
    <n v="20"/>
    <x v="3"/>
    <x v="1"/>
    <n v="16243.2"/>
    <b v="1"/>
    <n v="2.4166666666666665"/>
    <n v="560.11034482758623"/>
    <n v="5.17"/>
    <d v="2023-01-01T00:00:00"/>
    <s v="Middle-aged"/>
    <n v="0"/>
    <s v="Yes"/>
    <n v="81"/>
    <s v="Low"/>
    <s v="Medium"/>
    <n v="0"/>
    <s v="Medium"/>
    <n v="2"/>
    <d v="2023-01-01T00:00:00"/>
    <s v="25+ months"/>
    <s v="0–1 tickets"/>
    <s v="0–10 min"/>
    <s v="501–700"/>
    <n v="16356"/>
    <n v="-112.79999999999927"/>
  </r>
  <r>
    <n v="12181"/>
    <n v="43"/>
    <s v="Male"/>
    <s v="Mumbai"/>
    <d v="2023-01-23T00:00:00"/>
    <d v="2022-06-26T00:00:00"/>
    <x v="1"/>
    <n v="691"/>
    <x v="11"/>
    <n v="2"/>
    <n v="31.93"/>
    <n v="5"/>
    <x v="0"/>
    <x v="0"/>
    <n v="7566.45"/>
    <b v="0"/>
    <n v="0.91666666666666663"/>
    <n v="687.85909090909092"/>
    <n v="10.643333333333333"/>
    <d v="2023-01-01T00:00:00"/>
    <s v="Middle-aged"/>
    <n v="1"/>
    <s v="No"/>
    <m/>
    <s v="Medium"/>
    <s v="Low"/>
    <n v="0.16666666666666666"/>
    <s v="Low"/>
    <n v="3"/>
    <d v="2023-01-01T00:00:00"/>
    <s v="7–12 months"/>
    <s v="2–3 tickets"/>
    <s v="31–45 min"/>
    <s v="501–700"/>
    <n v="7601"/>
    <n v="-34.550000000000182"/>
  </r>
  <r>
    <n v="12182"/>
    <n v="25"/>
    <s v="Male"/>
    <s v="Bangalore"/>
    <d v="2022-08-05T00:00:00"/>
    <d v="2022-08-23T00:00:00"/>
    <x v="0"/>
    <n v="531"/>
    <x v="33"/>
    <n v="0"/>
    <n v="15.29"/>
    <n v="15"/>
    <x v="1"/>
    <x v="0"/>
    <n v="17443.349999999999"/>
    <b v="1"/>
    <n v="2.75"/>
    <n v="528.58636363636356"/>
    <n v="15.29"/>
    <d v="2022-08-01T00:00:00"/>
    <s v="Young"/>
    <n v="1"/>
    <s v="Yes"/>
    <n v="18"/>
    <s v="Low"/>
    <s v="Low"/>
    <n v="0"/>
    <s v="Medium"/>
    <n v="1"/>
    <d v="2022-08-01T00:00:00"/>
    <s v="25+ months"/>
    <s v="0–1 tickets"/>
    <s v="11–20 min"/>
    <s v="501–700"/>
    <n v="17523"/>
    <n v="-79.650000000001455"/>
  </r>
  <r>
    <n v="12183"/>
    <n v="19"/>
    <s v="Female"/>
    <s v="unknown"/>
    <d v="2021-04-14T00:00:00"/>
    <d v="2022-02-14T00:00:00"/>
    <x v="0"/>
    <n v="1200"/>
    <x v="7"/>
    <n v="1"/>
    <n v="15.62"/>
    <n v="10"/>
    <x v="1"/>
    <x v="1"/>
    <n v="1080"/>
    <b v="1"/>
    <n v="8.3333333333333329E-2"/>
    <n v="1080"/>
    <n v="7.81"/>
    <d v="2021-04-01T00:00:00"/>
    <s v="Young"/>
    <n v="0"/>
    <s v="No"/>
    <n v="306"/>
    <s v="Low"/>
    <s v="Low"/>
    <n v="0.5"/>
    <s v="Low"/>
    <n v="1"/>
    <d v="2021-04-01T00:00:00"/>
    <s v="0–6 months"/>
    <s v="0–1 tickets"/>
    <s v="11–20 min"/>
    <s v="1000+"/>
    <n v="1200"/>
    <n v="-120"/>
  </r>
  <r>
    <n v="12184"/>
    <n v="23"/>
    <s v="Male"/>
    <s v="Hyderabad"/>
    <d v="2021-07-23T00:00:00"/>
    <d v="2022-04-03T00:00:00"/>
    <x v="2"/>
    <n v="887"/>
    <x v="6"/>
    <n v="2"/>
    <n v="84.68"/>
    <n v="20"/>
    <x v="0"/>
    <x v="1"/>
    <n v="18449.599999999999"/>
    <b v="1"/>
    <n v="1.75"/>
    <n v="878.55238095238087"/>
    <n v="28.22666666666667"/>
    <d v="2021-07-01T00:00:00"/>
    <s v="Young"/>
    <n v="0"/>
    <s v="Yes"/>
    <n v="254"/>
    <s v="High"/>
    <s v="Medium"/>
    <n v="9.0909090909090912E-2"/>
    <s v="Medium"/>
    <n v="2"/>
    <d v="2021-07-01T00:00:00"/>
    <s v="13–24 months"/>
    <s v="2–3 tickets"/>
    <s v="46+ min"/>
    <s v="701–1000"/>
    <n v="18627"/>
    <n v="-177.40000000000146"/>
  </r>
  <r>
    <n v="12185"/>
    <n v="41"/>
    <s v="Male"/>
    <s v="Delhi"/>
    <d v="2021-02-22T00:00:00"/>
    <d v="2023-09-25T00:00:00"/>
    <x v="0"/>
    <n v="746"/>
    <x v="31"/>
    <n v="2"/>
    <n v="29.61"/>
    <n v="0"/>
    <x v="1"/>
    <x v="1"/>
    <n v="17158"/>
    <b v="1"/>
    <n v="1.9166666666666667"/>
    <n v="746"/>
    <n v="9.8699999999999992"/>
    <d v="2021-02-01T00:00:00"/>
    <s v="Middle-aged"/>
    <n v="0"/>
    <s v="Yes"/>
    <n v="945"/>
    <s v="Medium"/>
    <s v="Low"/>
    <n v="8.3333333333333329E-2"/>
    <s v="Medium"/>
    <n v="1"/>
    <d v="2021-02-01T00:00:00"/>
    <s v="13–24 months"/>
    <s v="2–3 tickets"/>
    <s v="21–30 min"/>
    <s v="701–1000"/>
    <n v="17158"/>
    <n v="0"/>
  </r>
  <r>
    <n v="12186"/>
    <n v="46"/>
    <s v="Male"/>
    <s v="Bangalore"/>
    <d v="2022-01-10T00:00:00"/>
    <d v="2021-09-03T00:00:00"/>
    <x v="1"/>
    <n v="1452"/>
    <x v="9"/>
    <n v="2"/>
    <n v="112.5"/>
    <n v="20"/>
    <x v="1"/>
    <x v="1"/>
    <n v="12777.6"/>
    <b v="0"/>
    <n v="0.75"/>
    <n v="1419.7333333333333"/>
    <n v="37.5"/>
    <d v="2022-01-01T00:00:00"/>
    <s v="Middle-aged"/>
    <n v="0"/>
    <s v="No"/>
    <m/>
    <s v="High"/>
    <s v="Medium"/>
    <n v="0.2"/>
    <s v="Medium"/>
    <n v="3"/>
    <d v="2022-01-01T00:00:00"/>
    <s v="7–12 months"/>
    <s v="2–3 tickets"/>
    <s v="46+ min"/>
    <s v="1000+"/>
    <n v="13068"/>
    <n v="-290.39999999999964"/>
  </r>
  <r>
    <n v="12187"/>
    <n v="43"/>
    <s v="Male"/>
    <s v="Mumbai"/>
    <d v="2023-04-22T00:00:00"/>
    <d v="2022-09-07T00:00:00"/>
    <x v="0"/>
    <n v="1412"/>
    <x v="7"/>
    <n v="1"/>
    <n v="64.39"/>
    <n v="0"/>
    <x v="2"/>
    <x v="1"/>
    <n v="1412"/>
    <b v="0"/>
    <n v="8.3333333333333329E-2"/>
    <n v="1412"/>
    <n v="32.195"/>
    <d v="2023-04-01T00:00:00"/>
    <s v="Middle-aged"/>
    <n v="0"/>
    <s v="No"/>
    <m/>
    <s v="High"/>
    <s v="Low"/>
    <n v="0.5"/>
    <s v="Low"/>
    <n v="1"/>
    <d v="2023-04-01T00:00:00"/>
    <s v="0–6 months"/>
    <s v="0–1 tickets"/>
    <s v="46+ min"/>
    <s v="1000+"/>
    <n v="1412"/>
    <n v="0"/>
  </r>
  <r>
    <n v="12188"/>
    <n v="42"/>
    <s v="Male"/>
    <s v="Mumbai"/>
    <d v="2021-02-23T00:00:00"/>
    <d v="2022-02-01T00:00:00"/>
    <x v="2"/>
    <n v="765"/>
    <x v="6"/>
    <n v="4"/>
    <n v="57.91"/>
    <n v="0"/>
    <x v="2"/>
    <x v="1"/>
    <n v="16065"/>
    <b v="1"/>
    <n v="1.75"/>
    <n v="765"/>
    <n v="11.581999999999999"/>
    <d v="2021-02-01T00:00:00"/>
    <s v="Middle-aged"/>
    <n v="0"/>
    <s v="Yes"/>
    <n v="343"/>
    <s v="Medium"/>
    <s v="Low"/>
    <n v="0.18181818181818182"/>
    <s v="Medium"/>
    <n v="2"/>
    <d v="2021-02-01T00:00:00"/>
    <s v="13–24 months"/>
    <s v="4–5 tickets"/>
    <s v="46+ min"/>
    <s v="701–1000"/>
    <n v="16065"/>
    <n v="0"/>
  </r>
  <r>
    <n v="12189"/>
    <n v="29"/>
    <s v="Male"/>
    <s v="Chennai"/>
    <d v="2021-10-03T00:00:00"/>
    <d v="2023-06-03T00:00:00"/>
    <x v="2"/>
    <n v="1233"/>
    <x v="1"/>
    <n v="2"/>
    <n v="54.94"/>
    <n v="10"/>
    <x v="2"/>
    <x v="0"/>
    <n v="27126"/>
    <b v="1"/>
    <n v="1.8333333333333333"/>
    <n v="1233"/>
    <n v="18.313333333333333"/>
    <d v="2021-10-01T00:00:00"/>
    <s v="Adult"/>
    <n v="1"/>
    <s v="Yes"/>
    <n v="608"/>
    <s v="Medium"/>
    <s v="Low"/>
    <n v="8.6956521739130432E-2"/>
    <s v="High"/>
    <n v="2"/>
    <d v="2021-10-01T00:00:00"/>
    <s v="13–24 months"/>
    <s v="2–3 tickets"/>
    <s v="46+ min"/>
    <s v="1000+"/>
    <n v="27126"/>
    <n v="0"/>
  </r>
  <r>
    <n v="12190"/>
    <n v="22"/>
    <s v="Male"/>
    <s v="Bangalore"/>
    <d v="2021-12-01T00:00:00"/>
    <d v="2023-02-25T00:00:00"/>
    <x v="0"/>
    <n v="1493"/>
    <x v="2"/>
    <n v="3"/>
    <n v="84.65"/>
    <n v="0"/>
    <x v="0"/>
    <x v="0"/>
    <n v="5972"/>
    <b v="1"/>
    <n v="0.33333333333333331"/>
    <n v="1493"/>
    <n v="21.162500000000001"/>
    <d v="2021-12-01T00:00:00"/>
    <s v="Young"/>
    <n v="1"/>
    <s v="No"/>
    <n v="451"/>
    <s v="High"/>
    <s v="Low"/>
    <n v="0.6"/>
    <s v="Low"/>
    <n v="1"/>
    <d v="2021-12-01T00:00:00"/>
    <s v="0–6 months"/>
    <s v="2–3 tickets"/>
    <s v="46+ min"/>
    <s v="1000+"/>
    <n v="5972"/>
    <n v="0"/>
  </r>
  <r>
    <n v="12191"/>
    <n v="51"/>
    <s v="Male"/>
    <s v="Pune"/>
    <d v="2021-01-31T00:00:00"/>
    <d v="2021-12-04T00:00:00"/>
    <x v="0"/>
    <n v="427"/>
    <x v="7"/>
    <n v="2"/>
    <n v="62.59"/>
    <n v="5"/>
    <x v="1"/>
    <x v="1"/>
    <n v="405.65"/>
    <b v="1"/>
    <n v="8.3333333333333329E-2"/>
    <n v="405.65"/>
    <n v="20.863333333333333"/>
    <d v="2021-01-01T00:00:00"/>
    <s v="Older"/>
    <n v="0"/>
    <s v="No"/>
    <n v="307"/>
    <s v="High"/>
    <s v="Low"/>
    <n v="1"/>
    <s v="Low"/>
    <n v="1"/>
    <d v="2021-01-01T00:00:00"/>
    <s v="0–6 months"/>
    <s v="2–3 tickets"/>
    <s v="46+ min"/>
    <s v="301–500"/>
    <n v="427"/>
    <n v="-21.350000000000023"/>
  </r>
  <r>
    <n v="12192"/>
    <n v="54"/>
    <s v="Female"/>
    <s v="Hyderabad"/>
    <d v="2021-05-15T00:00:00"/>
    <d v="2023-07-14T00:00:00"/>
    <x v="2"/>
    <n v="1497"/>
    <x v="32"/>
    <n v="3"/>
    <n v="19.79"/>
    <n v="0"/>
    <x v="0"/>
    <x v="1"/>
    <n v="14970"/>
    <b v="1"/>
    <n v="0.83333333333333337"/>
    <n v="1497"/>
    <n v="4.9474999999999998"/>
    <d v="2021-05-01T00:00:00"/>
    <s v="Older"/>
    <n v="0"/>
    <s v="Yes"/>
    <n v="790"/>
    <s v="Low"/>
    <s v="Low"/>
    <n v="0.27272727272727271"/>
    <s v="Medium"/>
    <n v="2"/>
    <d v="2021-05-01T00:00:00"/>
    <s v="7–12 months"/>
    <s v="2–3 tickets"/>
    <s v="11–20 min"/>
    <s v="1000+"/>
    <n v="14970"/>
    <n v="0"/>
  </r>
  <r>
    <n v="12193"/>
    <n v="32"/>
    <s v="Male"/>
    <s v="Delhi"/>
    <d v="2021-02-27T00:00:00"/>
    <d v="2023-07-25T00:00:00"/>
    <x v="2"/>
    <n v="1349"/>
    <x v="15"/>
    <n v="1"/>
    <n v="106.22"/>
    <n v="5"/>
    <x v="0"/>
    <x v="1"/>
    <n v="20167.55"/>
    <b v="1"/>
    <n v="1.25"/>
    <n v="1344.5033333333333"/>
    <n v="53.11"/>
    <d v="2021-02-01T00:00:00"/>
    <s v="Adult"/>
    <n v="0"/>
    <s v="Yes"/>
    <n v="878"/>
    <s v="High"/>
    <s v="Low"/>
    <n v="6.25E-2"/>
    <s v="High"/>
    <n v="2"/>
    <d v="2021-02-01T00:00:00"/>
    <s v="13–24 months"/>
    <s v="0–1 tickets"/>
    <s v="46+ min"/>
    <s v="1000+"/>
    <n v="20235"/>
    <n v="-67.450000000000728"/>
  </r>
  <r>
    <n v="12194"/>
    <n v="61"/>
    <s v="Male"/>
    <s v="Pune"/>
    <d v="2021-04-15T00:00:00"/>
    <d v="2022-06-08T00:00:00"/>
    <x v="0"/>
    <n v="872"/>
    <x v="5"/>
    <n v="2"/>
    <n v="54.27"/>
    <n v="15"/>
    <x v="1"/>
    <x v="0"/>
    <n v="25157.200000000001"/>
    <b v="1"/>
    <n v="2.4166666666666665"/>
    <n v="867.48965517241379"/>
    <n v="18.09"/>
    <d v="2021-04-01T00:00:00"/>
    <s v="Older"/>
    <n v="1"/>
    <s v="Yes"/>
    <n v="419"/>
    <s v="Medium"/>
    <s v="Low"/>
    <n v="6.6666666666666666E-2"/>
    <s v="High"/>
    <n v="1"/>
    <d v="2021-04-01T00:00:00"/>
    <s v="25+ months"/>
    <s v="2–3 tickets"/>
    <s v="46+ min"/>
    <s v="701–1000"/>
    <n v="25288"/>
    <n v="-130.79999999999927"/>
  </r>
  <r>
    <n v="12195"/>
    <n v="53"/>
    <s v="Female"/>
    <s v="Hyderabad"/>
    <d v="2021-09-23T00:00:00"/>
    <d v="2022-12-24T00:00:00"/>
    <x v="1"/>
    <n v="810"/>
    <x v="21"/>
    <n v="5"/>
    <n v="13.51"/>
    <n v="5"/>
    <x v="3"/>
    <x v="1"/>
    <n v="4009.5"/>
    <b v="1"/>
    <n v="0.41666666666666669"/>
    <n v="801.9"/>
    <n v="2.2516666666666665"/>
    <d v="2021-09-01T00:00:00"/>
    <s v="Older"/>
    <n v="0"/>
    <s v="No"/>
    <n v="457"/>
    <s v="Low"/>
    <s v="Low"/>
    <n v="0.83333333333333337"/>
    <s v="Low"/>
    <n v="3"/>
    <d v="2021-09-01T00:00:00"/>
    <s v="0–6 months"/>
    <s v="4–5 tickets"/>
    <s v="11–20 min"/>
    <s v="701–1000"/>
    <n v="4050"/>
    <n v="-40.5"/>
  </r>
  <r>
    <n v="12196"/>
    <n v="32"/>
    <s v="Female"/>
    <s v="Mumbai"/>
    <d v="2022-06-06T00:00:00"/>
    <d v="2022-07-11T00:00:00"/>
    <x v="0"/>
    <n v="787"/>
    <x v="5"/>
    <n v="3"/>
    <n v="65.88"/>
    <n v="0"/>
    <x v="3"/>
    <x v="0"/>
    <n v="22823"/>
    <b v="1"/>
    <n v="2.4166666666666665"/>
    <n v="787"/>
    <n v="16.47"/>
    <d v="2022-06-01T00:00:00"/>
    <s v="Adult"/>
    <n v="1"/>
    <s v="Yes"/>
    <n v="35"/>
    <s v="High"/>
    <s v="Low"/>
    <n v="0.1"/>
    <s v="High"/>
    <n v="1"/>
    <d v="2022-06-01T00:00:00"/>
    <s v="25+ months"/>
    <s v="2–3 tickets"/>
    <s v="46+ min"/>
    <s v="701–1000"/>
    <n v="22823"/>
    <n v="0"/>
  </r>
  <r>
    <n v="12197"/>
    <n v="60"/>
    <s v="Male"/>
    <s v="Pune"/>
    <d v="2022-05-11T00:00:00"/>
    <d v="2022-07-13T00:00:00"/>
    <x v="0"/>
    <n v="1190"/>
    <x v="26"/>
    <n v="2"/>
    <n v="79.44"/>
    <n v="15"/>
    <x v="1"/>
    <x v="0"/>
    <n v="31951.5"/>
    <b v="1"/>
    <n v="2.25"/>
    <n v="1183.3888888888889"/>
    <n v="26.48"/>
    <d v="2022-05-01T00:00:00"/>
    <s v="Older"/>
    <n v="1"/>
    <s v="Yes"/>
    <n v="63"/>
    <s v="High"/>
    <s v="Low"/>
    <n v="7.1428571428571425E-2"/>
    <s v="High"/>
    <n v="1"/>
    <d v="2022-05-01T00:00:00"/>
    <s v="25+ months"/>
    <s v="2–3 tickets"/>
    <s v="46+ min"/>
    <s v="1000+"/>
    <n v="32130"/>
    <n v="-178.5"/>
  </r>
  <r>
    <n v="12198"/>
    <n v="40"/>
    <s v="Female"/>
    <s v="Hyderabad"/>
    <d v="2021-09-10T00:00:00"/>
    <d v="2021-10-03T00:00:00"/>
    <x v="2"/>
    <n v="878"/>
    <x v="0"/>
    <n v="0"/>
    <n v="36.69"/>
    <n v="20"/>
    <x v="3"/>
    <x v="1"/>
    <n v="21774.400000000001"/>
    <b v="1"/>
    <n v="2.0833333333333335"/>
    <n v="870.97600000000011"/>
    <n v="36.69"/>
    <d v="2021-09-01T00:00:00"/>
    <s v="Middle-aged"/>
    <n v="0"/>
    <s v="Yes"/>
    <n v="23"/>
    <s v="Medium"/>
    <s v="Medium"/>
    <n v="0"/>
    <s v="High"/>
    <n v="2"/>
    <d v="2021-09-01T00:00:00"/>
    <s v="25+ months"/>
    <s v="0–1 tickets"/>
    <s v="31–45 min"/>
    <s v="701–1000"/>
    <n v="21950"/>
    <n v="-175.59999999999854"/>
  </r>
  <r>
    <n v="12199"/>
    <n v="23"/>
    <s v="Male"/>
    <s v="Mumbai"/>
    <d v="2021-10-22T00:00:00"/>
    <d v="2022-05-03T00:00:00"/>
    <x v="0"/>
    <n v="1249"/>
    <x v="24"/>
    <n v="1"/>
    <n v="97.04"/>
    <n v="5"/>
    <x v="2"/>
    <x v="1"/>
    <n v="19921.55"/>
    <b v="1"/>
    <n v="1.3333333333333333"/>
    <n v="1245.096875"/>
    <n v="48.52"/>
    <d v="2021-10-01T00:00:00"/>
    <s v="Young"/>
    <n v="0"/>
    <s v="Yes"/>
    <n v="193"/>
    <s v="High"/>
    <s v="Low"/>
    <n v="5.8823529411764705E-2"/>
    <s v="High"/>
    <n v="1"/>
    <d v="2021-10-01T00:00:00"/>
    <s v="13–24 months"/>
    <s v="0–1 tickets"/>
    <s v="46+ min"/>
    <s v="1000+"/>
    <n v="19984"/>
    <n v="-62.450000000000728"/>
  </r>
  <r>
    <n v="12200"/>
    <n v="63"/>
    <s v="Male"/>
    <s v="Mumbai"/>
    <d v="2022-10-30T00:00:00"/>
    <d v="2022-05-07T00:00:00"/>
    <x v="1"/>
    <n v="705"/>
    <x v="24"/>
    <n v="2"/>
    <n v="82.02"/>
    <n v="20"/>
    <x v="1"/>
    <x v="1"/>
    <n v="11139"/>
    <b v="0"/>
    <n v="1.3333333333333333"/>
    <n v="696.1875"/>
    <n v="27.34"/>
    <d v="2022-10-01T00:00:00"/>
    <s v="Older"/>
    <n v="0"/>
    <s v="No"/>
    <m/>
    <s v="High"/>
    <s v="Medium"/>
    <n v="0.11764705882352941"/>
    <s v="Medium"/>
    <n v="3"/>
    <d v="2022-10-01T00:00:00"/>
    <s v="13–24 months"/>
    <s v="2–3 tickets"/>
    <s v="46+ min"/>
    <s v="701–1000"/>
    <n v="11280"/>
    <n v="-141"/>
  </r>
  <r>
    <n v="12201"/>
    <n v="61"/>
    <s v="Female"/>
    <s v="Mumbai"/>
    <d v="2021-06-07T00:00:00"/>
    <d v="2022-12-15T00:00:00"/>
    <x v="0"/>
    <n v="1349"/>
    <x v="0"/>
    <n v="4"/>
    <n v="79.790000000000006"/>
    <n v="15"/>
    <x v="0"/>
    <x v="0"/>
    <n v="33522.65"/>
    <b v="1"/>
    <n v="2.0833333333333335"/>
    <n v="1340.9059999999999"/>
    <n v="15.958000000000002"/>
    <d v="2021-06-01T00:00:00"/>
    <s v="Older"/>
    <n v="1"/>
    <s v="Yes"/>
    <n v="556"/>
    <s v="High"/>
    <s v="Low"/>
    <n v="0.15384615384615385"/>
    <s v="High"/>
    <n v="1"/>
    <d v="2021-06-01T00:00:00"/>
    <s v="25+ months"/>
    <s v="4–5 tickets"/>
    <s v="46+ min"/>
    <s v="1000+"/>
    <n v="33725"/>
    <n v="-202.34999999999854"/>
  </r>
  <r>
    <n v="12202"/>
    <n v="60"/>
    <s v="Female"/>
    <s v="unknown"/>
    <d v="2022-07-03T00:00:00"/>
    <d v="2021-11-25T00:00:00"/>
    <x v="0"/>
    <n v="1406"/>
    <x v="7"/>
    <n v="1"/>
    <n v="53.39"/>
    <n v="5"/>
    <x v="2"/>
    <x v="1"/>
    <n v="1335.7"/>
    <b v="0"/>
    <n v="8.3333333333333329E-2"/>
    <n v="1335.7"/>
    <n v="26.695"/>
    <d v="2022-07-01T00:00:00"/>
    <s v="Older"/>
    <n v="0"/>
    <s v="No"/>
    <m/>
    <s v="Medium"/>
    <s v="Low"/>
    <n v="0.5"/>
    <s v="Low"/>
    <n v="1"/>
    <d v="2022-07-01T00:00:00"/>
    <s v="0–6 months"/>
    <s v="0–1 tickets"/>
    <s v="46+ min"/>
    <s v="1000+"/>
    <n v="1406"/>
    <n v="-70.299999999999955"/>
  </r>
  <r>
    <n v="12203"/>
    <n v="62"/>
    <s v="Male"/>
    <s v="Mumbai"/>
    <d v="2022-09-23T00:00:00"/>
    <d v="2023-03-13T00:00:00"/>
    <x v="0"/>
    <n v="663"/>
    <x v="21"/>
    <n v="5"/>
    <n v="115.62"/>
    <n v="0"/>
    <x v="0"/>
    <x v="1"/>
    <n v="3315"/>
    <b v="1"/>
    <n v="0.41666666666666669"/>
    <n v="663"/>
    <n v="19.27"/>
    <d v="2022-09-01T00:00:00"/>
    <s v="Older"/>
    <n v="0"/>
    <s v="No"/>
    <n v="171"/>
    <s v="High"/>
    <s v="Low"/>
    <n v="0.83333333333333337"/>
    <s v="Low"/>
    <n v="1"/>
    <d v="2022-09-01T00:00:00"/>
    <s v="0–6 months"/>
    <s v="4–5 tickets"/>
    <s v="46+ min"/>
    <s v="501–700"/>
    <n v="3315"/>
    <n v="0"/>
  </r>
  <r>
    <n v="12204"/>
    <n v="38"/>
    <s v="Male"/>
    <s v="Chennai"/>
    <d v="2021-03-08T00:00:00"/>
    <d v="2023-09-17T00:00:00"/>
    <x v="2"/>
    <n v="1383"/>
    <x v="28"/>
    <n v="3"/>
    <n v="36.53"/>
    <n v="5"/>
    <x v="3"/>
    <x v="1"/>
    <n v="27590.85"/>
    <b v="1"/>
    <n v="1.6666666666666667"/>
    <n v="1379.5425"/>
    <n v="9.1325000000000003"/>
    <d v="2021-03-01T00:00:00"/>
    <s v="Middle-aged"/>
    <n v="0"/>
    <s v="Yes"/>
    <n v="923"/>
    <s v="Medium"/>
    <s v="Low"/>
    <n v="0.14285714285714285"/>
    <s v="High"/>
    <n v="2"/>
    <d v="2021-03-01T00:00:00"/>
    <s v="13–24 months"/>
    <s v="2–3 tickets"/>
    <s v="31–45 min"/>
    <s v="1000+"/>
    <n v="27660"/>
    <n v="-69.150000000001455"/>
  </r>
  <r>
    <n v="12205"/>
    <n v="40"/>
    <s v="Female"/>
    <s v="Pune"/>
    <d v="2023-01-24T00:00:00"/>
    <d v="2021-11-17T00:00:00"/>
    <x v="2"/>
    <n v="850"/>
    <x v="21"/>
    <n v="2"/>
    <n v="71.44"/>
    <n v="0"/>
    <x v="1"/>
    <x v="1"/>
    <n v="4250"/>
    <b v="0"/>
    <n v="0.41666666666666669"/>
    <n v="850"/>
    <n v="23.813333333333333"/>
    <d v="2023-01-01T00:00:00"/>
    <s v="Middle-aged"/>
    <n v="0"/>
    <s v="No"/>
    <m/>
    <s v="High"/>
    <s v="Low"/>
    <n v="0.33333333333333331"/>
    <s v="Low"/>
    <n v="2"/>
    <d v="2023-01-01T00:00:00"/>
    <s v="0–6 months"/>
    <s v="2–3 tickets"/>
    <s v="46+ min"/>
    <s v="701–1000"/>
    <n v="4250"/>
    <n v="0"/>
  </r>
  <r>
    <n v="12206"/>
    <n v="60"/>
    <s v="Male"/>
    <s v="Hyderabad"/>
    <d v="2021-10-26T00:00:00"/>
    <d v="2021-07-09T00:00:00"/>
    <x v="2"/>
    <n v="591"/>
    <x v="5"/>
    <n v="5"/>
    <n v="40.54"/>
    <n v="10"/>
    <x v="2"/>
    <x v="1"/>
    <n v="17079.900000000001"/>
    <b v="0"/>
    <n v="2.4166666666666665"/>
    <n v="588.96206896551735"/>
    <n v="6.7566666666666668"/>
    <d v="2021-10-01T00:00:00"/>
    <s v="Older"/>
    <n v="0"/>
    <s v="Yes"/>
    <m/>
    <s v="Medium"/>
    <s v="Low"/>
    <n v="0.16666666666666666"/>
    <s v="Medium"/>
    <n v="2"/>
    <d v="2021-10-01T00:00:00"/>
    <s v="25+ months"/>
    <s v="4–5 tickets"/>
    <s v="31–45 min"/>
    <s v="501–700"/>
    <n v="17139"/>
    <n v="-59.099999999998545"/>
  </r>
  <r>
    <n v="12207"/>
    <n v="33"/>
    <s v="Female"/>
    <s v="Chennai"/>
    <d v="2022-04-08T00:00:00"/>
    <d v="2021-08-08T00:00:00"/>
    <x v="0"/>
    <n v="1088"/>
    <x v="22"/>
    <n v="3"/>
    <n v="90.65"/>
    <n v="5"/>
    <x v="1"/>
    <x v="0"/>
    <n v="36937.599999999999"/>
    <b v="0"/>
    <n v="2.8333333333333335"/>
    <n v="1086.3999999999999"/>
    <n v="22.662500000000001"/>
    <d v="2022-04-01T00:00:00"/>
    <s v="Adult"/>
    <n v="1"/>
    <s v="Yes"/>
    <m/>
    <s v="High"/>
    <s v="Low"/>
    <n v="8.5714285714285715E-2"/>
    <s v="High"/>
    <n v="1"/>
    <d v="2022-04-01T00:00:00"/>
    <s v="25+ months"/>
    <s v="2–3 tickets"/>
    <s v="46+ min"/>
    <s v="1000+"/>
    <n v="36992"/>
    <n v="-54.400000000001455"/>
  </r>
  <r>
    <n v="12208"/>
    <n v="64"/>
    <s v="Male"/>
    <s v="Chennai"/>
    <d v="2022-12-26T00:00:00"/>
    <d v="2022-01-22T00:00:00"/>
    <x v="0"/>
    <n v="1115"/>
    <x v="10"/>
    <n v="1"/>
    <n v="10.5"/>
    <n v="5"/>
    <x v="2"/>
    <x v="0"/>
    <n v="20014.25"/>
    <b v="0"/>
    <n v="1.5"/>
    <n v="1111.9027777777778"/>
    <n v="5.25"/>
    <d v="2022-12-01T00:00:00"/>
    <s v="Older"/>
    <n v="1"/>
    <s v="Yes"/>
    <m/>
    <s v="Low"/>
    <s v="Low"/>
    <n v="5.2631578947368418E-2"/>
    <s v="High"/>
    <n v="1"/>
    <d v="2022-12-01T00:00:00"/>
    <s v="13–24 months"/>
    <s v="0–1 tickets"/>
    <s v="11–20 min"/>
    <s v="1000+"/>
    <n v="20070"/>
    <n v="-55.75"/>
  </r>
  <r>
    <n v="12209"/>
    <n v="32"/>
    <s v="Female"/>
    <s v="Bangalore"/>
    <d v="2023-03-31T00:00:00"/>
    <d v="2022-12-12T00:00:00"/>
    <x v="1"/>
    <n v="490"/>
    <x v="4"/>
    <n v="2"/>
    <n v="10.28"/>
    <n v="10"/>
    <x v="2"/>
    <x v="1"/>
    <n v="882"/>
    <b v="0"/>
    <n v="0.16666666666666666"/>
    <n v="441"/>
    <n v="3.4266666666666663"/>
    <d v="2023-03-01T00:00:00"/>
    <s v="Adult"/>
    <n v="0"/>
    <s v="No"/>
    <m/>
    <s v="Low"/>
    <s v="Low"/>
    <n v="0.66666666666666663"/>
    <s v="Low"/>
    <n v="3"/>
    <d v="2023-03-01T00:00:00"/>
    <s v="0–6 months"/>
    <s v="2–3 tickets"/>
    <s v="11–20 min"/>
    <s v="301–500"/>
    <n v="980"/>
    <n v="-98"/>
  </r>
  <r>
    <n v="12210"/>
    <n v="42"/>
    <s v="Female"/>
    <s v="Bangalore"/>
    <d v="2021-04-11T00:00:00"/>
    <d v="2022-06-16T00:00:00"/>
    <x v="0"/>
    <n v="760"/>
    <x v="24"/>
    <n v="3"/>
    <n v="98.25"/>
    <n v="20"/>
    <x v="2"/>
    <x v="1"/>
    <n v="12008"/>
    <b v="1"/>
    <n v="1.3333333333333333"/>
    <n v="750.5"/>
    <n v="24.5625"/>
    <d v="2021-04-01T00:00:00"/>
    <s v="Middle-aged"/>
    <n v="0"/>
    <s v="No"/>
    <n v="431"/>
    <s v="High"/>
    <s v="Medium"/>
    <n v="0.17647058823529413"/>
    <s v="Medium"/>
    <n v="1"/>
    <d v="2021-04-01T00:00:00"/>
    <s v="13–24 months"/>
    <s v="2–3 tickets"/>
    <s v="46+ min"/>
    <s v="701–1000"/>
    <n v="12160"/>
    <n v="-152"/>
  </r>
  <r>
    <n v="12211"/>
    <n v="53"/>
    <s v="Female"/>
    <s v="Bangalore"/>
    <d v="2021-02-25T00:00:00"/>
    <d v="2021-07-27T00:00:00"/>
    <x v="1"/>
    <n v="963"/>
    <x v="5"/>
    <n v="0"/>
    <n v="54.94"/>
    <n v="15"/>
    <x v="1"/>
    <x v="1"/>
    <n v="27782.55"/>
    <b v="1"/>
    <n v="2.4166666666666665"/>
    <n v="958.01896551724133"/>
    <n v="54.94"/>
    <d v="2021-02-01T00:00:00"/>
    <s v="Older"/>
    <n v="0"/>
    <s v="Yes"/>
    <n v="152"/>
    <s v="Medium"/>
    <s v="Low"/>
    <n v="0"/>
    <s v="High"/>
    <n v="3"/>
    <d v="2021-02-01T00:00:00"/>
    <s v="25+ months"/>
    <s v="0–1 tickets"/>
    <s v="46+ min"/>
    <s v="701–1000"/>
    <n v="27927"/>
    <n v="-144.45000000000073"/>
  </r>
  <r>
    <n v="12212"/>
    <n v="28"/>
    <s v="Female"/>
    <s v="Delhi"/>
    <d v="2021-11-28T00:00:00"/>
    <d v="2022-03-04T00:00:00"/>
    <x v="0"/>
    <n v="532"/>
    <x v="33"/>
    <n v="2"/>
    <n v="44.24"/>
    <n v="0"/>
    <x v="2"/>
    <x v="1"/>
    <n v="17556"/>
    <b v="1"/>
    <n v="2.75"/>
    <n v="532"/>
    <n v="14.746666666666668"/>
    <d v="2021-11-01T00:00:00"/>
    <s v="Adult"/>
    <n v="0"/>
    <s v="Yes"/>
    <n v="96"/>
    <s v="Medium"/>
    <s v="Low"/>
    <n v="5.8823529411764705E-2"/>
    <s v="Medium"/>
    <n v="1"/>
    <d v="2021-11-01T00:00:00"/>
    <s v="25+ months"/>
    <s v="2–3 tickets"/>
    <s v="31–45 min"/>
    <s v="501–700"/>
    <n v="17556"/>
    <n v="0"/>
  </r>
  <r>
    <n v="12213"/>
    <n v="32"/>
    <s v="Female"/>
    <s v="Bangalore"/>
    <d v="2023-04-16T00:00:00"/>
    <d v="2023-09-28T00:00:00"/>
    <x v="1"/>
    <n v="773"/>
    <x v="24"/>
    <n v="3"/>
    <n v="74.87"/>
    <n v="20"/>
    <x v="2"/>
    <x v="0"/>
    <n v="12213.4"/>
    <b v="1"/>
    <n v="1.3333333333333333"/>
    <n v="763.33749999999998"/>
    <n v="18.717500000000001"/>
    <d v="2023-04-01T00:00:00"/>
    <s v="Adult"/>
    <n v="1"/>
    <s v="No"/>
    <n v="165"/>
    <s v="High"/>
    <s v="Medium"/>
    <n v="0.17647058823529413"/>
    <s v="Medium"/>
    <n v="3"/>
    <d v="2023-04-01T00:00:00"/>
    <s v="13–24 months"/>
    <s v="2–3 tickets"/>
    <s v="46+ min"/>
    <s v="701–1000"/>
    <n v="12368"/>
    <n v="-154.60000000000036"/>
  </r>
  <r>
    <n v="12214"/>
    <n v="21"/>
    <s v="Male"/>
    <s v="Hyderabad"/>
    <d v="2023-01-21T00:00:00"/>
    <d v="2021-09-07T00:00:00"/>
    <x v="0"/>
    <n v="957"/>
    <x v="12"/>
    <n v="2"/>
    <n v="85.72"/>
    <n v="15"/>
    <x v="1"/>
    <x v="1"/>
    <n v="33351.449999999997"/>
    <b v="0"/>
    <n v="2.9166666666666665"/>
    <n v="952.89857142857136"/>
    <n v="28.573333333333334"/>
    <d v="2023-01-01T00:00:00"/>
    <s v="Young"/>
    <n v="0"/>
    <s v="Yes"/>
    <m/>
    <s v="High"/>
    <s v="Low"/>
    <n v="5.5555555555555552E-2"/>
    <s v="High"/>
    <n v="1"/>
    <d v="2023-01-01T00:00:00"/>
    <s v="25+ months"/>
    <s v="2–3 tickets"/>
    <s v="46+ min"/>
    <s v="701–1000"/>
    <n v="33495"/>
    <n v="-143.55000000000291"/>
  </r>
  <r>
    <n v="12215"/>
    <n v="38"/>
    <s v="Male"/>
    <s v="Chennai"/>
    <d v="2022-01-28T00:00:00"/>
    <d v="2022-11-09T00:00:00"/>
    <x v="2"/>
    <n v="570"/>
    <x v="18"/>
    <n v="0"/>
    <n v="62.59"/>
    <n v="0"/>
    <x v="0"/>
    <x v="1"/>
    <n v="9690"/>
    <b v="1"/>
    <n v="1.4166666666666667"/>
    <n v="570"/>
    <n v="62.59"/>
    <d v="2022-01-01T00:00:00"/>
    <s v="Middle-aged"/>
    <n v="0"/>
    <s v="No"/>
    <n v="285"/>
    <s v="High"/>
    <s v="Low"/>
    <n v="0"/>
    <s v="Medium"/>
    <n v="2"/>
    <d v="2022-01-01T00:00:00"/>
    <s v="13–24 months"/>
    <s v="0–1 tickets"/>
    <s v="46+ min"/>
    <s v="501–700"/>
    <n v="9690"/>
    <n v="0"/>
  </r>
  <r>
    <n v="12216"/>
    <n v="30"/>
    <s v="Male"/>
    <s v="Hyderabad"/>
    <d v="2023-01-13T00:00:00"/>
    <d v="2022-04-21T00:00:00"/>
    <x v="0"/>
    <n v="1457"/>
    <x v="2"/>
    <n v="1"/>
    <n v="26.32"/>
    <n v="0"/>
    <x v="3"/>
    <x v="0"/>
    <n v="5828"/>
    <b v="0"/>
    <n v="0.33333333333333331"/>
    <n v="1457"/>
    <n v="13.16"/>
    <d v="2023-01-01T00:00:00"/>
    <s v="Adult"/>
    <n v="1"/>
    <s v="No"/>
    <m/>
    <s v="Medium"/>
    <s v="Low"/>
    <n v="0.2"/>
    <s v="Low"/>
    <n v="1"/>
    <d v="2023-01-01T00:00:00"/>
    <s v="0–6 months"/>
    <s v="0–1 tickets"/>
    <s v="21–30 min"/>
    <s v="1000+"/>
    <n v="5828"/>
    <n v="0"/>
  </r>
  <r>
    <n v="12217"/>
    <n v="39"/>
    <s v="Female"/>
    <s v="Pune"/>
    <d v="2023-05-24T00:00:00"/>
    <d v="2022-09-04T00:00:00"/>
    <x v="0"/>
    <n v="470"/>
    <x v="2"/>
    <n v="1"/>
    <n v="115.19"/>
    <n v="0"/>
    <x v="1"/>
    <x v="1"/>
    <n v="1880"/>
    <b v="0"/>
    <n v="0.33333333333333331"/>
    <n v="470"/>
    <n v="57.594999999999999"/>
    <d v="2023-05-01T00:00:00"/>
    <s v="Middle-aged"/>
    <n v="0"/>
    <s v="No"/>
    <m/>
    <s v="High"/>
    <s v="Low"/>
    <n v="0.2"/>
    <s v="Low"/>
    <n v="1"/>
    <d v="2023-05-01T00:00:00"/>
    <s v="0–6 months"/>
    <s v="0–1 tickets"/>
    <s v="46+ min"/>
    <s v="301–500"/>
    <n v="1880"/>
    <n v="0"/>
  </r>
  <r>
    <n v="12218"/>
    <n v="36"/>
    <s v="Female"/>
    <s v="Bangalore"/>
    <d v="2022-01-16T00:00:00"/>
    <d v="2021-11-26T00:00:00"/>
    <x v="0"/>
    <n v="327"/>
    <x v="0"/>
    <n v="2"/>
    <n v="72.81"/>
    <n v="10"/>
    <x v="1"/>
    <x v="0"/>
    <n v="8142.3"/>
    <b v="0"/>
    <n v="2.0833333333333335"/>
    <n v="325.69200000000001"/>
    <n v="24.27"/>
    <d v="2022-01-01T00:00:00"/>
    <s v="Middle-aged"/>
    <n v="1"/>
    <s v="No"/>
    <m/>
    <s v="High"/>
    <s v="Low"/>
    <n v="7.6923076923076927E-2"/>
    <s v="Low"/>
    <n v="1"/>
    <d v="2022-01-01T00:00:00"/>
    <s v="25+ months"/>
    <s v="2–3 tickets"/>
    <s v="46+ min"/>
    <s v="301–500"/>
    <n v="8175"/>
    <n v="-32.699999999999818"/>
  </r>
  <r>
    <n v="12219"/>
    <n v="51"/>
    <s v="Male"/>
    <s v="Delhi"/>
    <d v="2021-04-02T00:00:00"/>
    <d v="2023-09-22T00:00:00"/>
    <x v="0"/>
    <n v="435"/>
    <x v="33"/>
    <n v="2"/>
    <n v="49.86"/>
    <n v="0"/>
    <x v="2"/>
    <x v="1"/>
    <n v="14355"/>
    <b v="1"/>
    <n v="2.75"/>
    <n v="435"/>
    <n v="16.62"/>
    <d v="2021-04-01T00:00:00"/>
    <s v="Older"/>
    <n v="0"/>
    <s v="Yes"/>
    <n v="903"/>
    <s v="Medium"/>
    <s v="Low"/>
    <n v="5.8823529411764705E-2"/>
    <s v="Medium"/>
    <n v="1"/>
    <d v="2021-04-01T00:00:00"/>
    <s v="25+ months"/>
    <s v="2–3 tickets"/>
    <s v="46+ min"/>
    <s v="301–500"/>
    <n v="14355"/>
    <n v="0"/>
  </r>
  <r>
    <n v="12220"/>
    <n v="41"/>
    <s v="Male"/>
    <s v="Pune"/>
    <d v="2023-03-02T00:00:00"/>
    <d v="2022-12-26T00:00:00"/>
    <x v="0"/>
    <n v="1224"/>
    <x v="25"/>
    <n v="3"/>
    <n v="97.17"/>
    <n v="15"/>
    <x v="1"/>
    <x v="1"/>
    <n v="16952.400000000001"/>
    <b v="0"/>
    <n v="1.1666666666666667"/>
    <n v="1210.8857142857144"/>
    <n v="24.2925"/>
    <d v="2023-03-01T00:00:00"/>
    <s v="Middle-aged"/>
    <n v="0"/>
    <s v="Yes"/>
    <m/>
    <s v="High"/>
    <s v="Low"/>
    <n v="0.2"/>
    <s v="Medium"/>
    <n v="1"/>
    <d v="2023-03-01T00:00:00"/>
    <s v="13–24 months"/>
    <s v="2–3 tickets"/>
    <s v="46+ min"/>
    <s v="1000+"/>
    <n v="17136"/>
    <n v="-183.59999999999854"/>
  </r>
  <r>
    <n v="12221"/>
    <n v="21"/>
    <s v="Male"/>
    <s v="Delhi"/>
    <d v="2022-03-23T00:00:00"/>
    <d v="2021-09-27T00:00:00"/>
    <x v="2"/>
    <n v="704"/>
    <x v="30"/>
    <n v="4"/>
    <n v="65.39"/>
    <n v="0"/>
    <x v="1"/>
    <x v="0"/>
    <n v="16896"/>
    <b v="0"/>
    <n v="2"/>
    <n v="704"/>
    <n v="13.077999999999999"/>
    <d v="2022-03-01T00:00:00"/>
    <s v="Young"/>
    <n v="1"/>
    <s v="Yes"/>
    <m/>
    <s v="High"/>
    <s v="Low"/>
    <n v="0.16"/>
    <s v="Medium"/>
    <n v="2"/>
    <d v="2022-03-01T00:00:00"/>
    <s v="13–24 months"/>
    <s v="4–5 tickets"/>
    <s v="46+ min"/>
    <s v="701–1000"/>
    <n v="16896"/>
    <n v="0"/>
  </r>
  <r>
    <n v="12222"/>
    <n v="63"/>
    <s v="Female"/>
    <s v="Pune"/>
    <d v="2021-04-19T00:00:00"/>
    <d v="2022-09-12T00:00:00"/>
    <x v="2"/>
    <n v="1276"/>
    <x v="11"/>
    <n v="2"/>
    <n v="32.79"/>
    <n v="0"/>
    <x v="3"/>
    <x v="1"/>
    <n v="14036"/>
    <b v="1"/>
    <n v="0.91666666666666663"/>
    <n v="1276"/>
    <n v="10.93"/>
    <d v="2021-04-01T00:00:00"/>
    <s v="Older"/>
    <n v="0"/>
    <s v="Yes"/>
    <n v="511"/>
    <s v="Medium"/>
    <s v="Low"/>
    <n v="0.16666666666666666"/>
    <s v="Medium"/>
    <n v="2"/>
    <d v="2021-04-01T00:00:00"/>
    <s v="7–12 months"/>
    <s v="2–3 tickets"/>
    <s v="31–45 min"/>
    <s v="1000+"/>
    <n v="14036"/>
    <n v="0"/>
  </r>
  <r>
    <n v="12223"/>
    <n v="44"/>
    <s v="Male"/>
    <s v="Chennai"/>
    <d v="2021-11-13T00:00:00"/>
    <d v="2022-12-01T00:00:00"/>
    <x v="2"/>
    <n v="1187"/>
    <x v="0"/>
    <n v="0"/>
    <n v="28.77"/>
    <n v="15"/>
    <x v="1"/>
    <x v="1"/>
    <n v="29496.95"/>
    <b v="1"/>
    <n v="2.0833333333333335"/>
    <n v="1179.8779999999999"/>
    <n v="28.77"/>
    <d v="2021-11-01T00:00:00"/>
    <s v="Middle-aged"/>
    <n v="0"/>
    <s v="Yes"/>
    <n v="383"/>
    <s v="Medium"/>
    <s v="Low"/>
    <n v="0"/>
    <s v="High"/>
    <n v="2"/>
    <d v="2021-11-01T00:00:00"/>
    <s v="25+ months"/>
    <s v="0–1 tickets"/>
    <s v="21–30 min"/>
    <s v="1000+"/>
    <n v="29675"/>
    <n v="-178.04999999999927"/>
  </r>
  <r>
    <n v="12224"/>
    <n v="46"/>
    <s v="Female"/>
    <s v="Hyderabad"/>
    <d v="2021-06-17T00:00:00"/>
    <d v="2023-03-08T00:00:00"/>
    <x v="2"/>
    <n v="1155"/>
    <x v="29"/>
    <n v="0"/>
    <n v="50.64"/>
    <n v="10"/>
    <x v="2"/>
    <x v="1"/>
    <n v="32282.25"/>
    <b v="1"/>
    <n v="2.3333333333333335"/>
    <n v="1152.9375"/>
    <n v="50.64"/>
    <d v="2021-06-01T00:00:00"/>
    <s v="Middle-aged"/>
    <n v="0"/>
    <s v="Yes"/>
    <n v="629"/>
    <s v="Medium"/>
    <s v="Low"/>
    <n v="0"/>
    <s v="High"/>
    <n v="2"/>
    <d v="2021-06-01T00:00:00"/>
    <s v="25+ months"/>
    <s v="0–1 tickets"/>
    <s v="46+ min"/>
    <s v="1000+"/>
    <n v="32340"/>
    <n v="-57.75"/>
  </r>
  <r>
    <n v="12225"/>
    <n v="64"/>
    <s v="Other"/>
    <s v="Mumbai"/>
    <d v="2023-03-23T00:00:00"/>
    <d v="2022-08-29T00:00:00"/>
    <x v="2"/>
    <n v="743"/>
    <x v="16"/>
    <n v="3"/>
    <n v="103.89"/>
    <n v="0"/>
    <x v="3"/>
    <x v="1"/>
    <n v="5201"/>
    <b v="0"/>
    <n v="0.58333333333333337"/>
    <n v="743"/>
    <n v="25.9725"/>
    <d v="2023-03-01T00:00:00"/>
    <s v="Older"/>
    <n v="0"/>
    <s v="No"/>
    <m/>
    <s v="High"/>
    <s v="Low"/>
    <n v="0.375"/>
    <s v="Low"/>
    <n v="2"/>
    <d v="2023-03-01T00:00:00"/>
    <s v="7–12 months"/>
    <s v="2–3 tickets"/>
    <s v="46+ min"/>
    <s v="701–1000"/>
    <n v="5201"/>
    <n v="0"/>
  </r>
  <r>
    <n v="12226"/>
    <n v="45"/>
    <s v="Male"/>
    <s v="Hyderabad"/>
    <d v="2022-03-11T00:00:00"/>
    <d v="2021-06-26T00:00:00"/>
    <x v="0"/>
    <n v="733"/>
    <x v="32"/>
    <n v="2"/>
    <n v="12.07"/>
    <n v="15"/>
    <x v="1"/>
    <x v="1"/>
    <n v="7220.05"/>
    <b v="0"/>
    <n v="0.83333333333333337"/>
    <n v="722.005"/>
    <n v="4.0233333333333334"/>
    <d v="2022-03-01T00:00:00"/>
    <s v="Middle-aged"/>
    <n v="0"/>
    <s v="No"/>
    <m/>
    <s v="Low"/>
    <s v="Low"/>
    <n v="0.18181818181818182"/>
    <s v="Low"/>
    <n v="1"/>
    <d v="2022-03-01T00:00:00"/>
    <s v="7–12 months"/>
    <s v="2–3 tickets"/>
    <s v="11–20 min"/>
    <s v="701–1000"/>
    <n v="7330"/>
    <n v="-109.94999999999982"/>
  </r>
  <r>
    <n v="12227"/>
    <n v="52"/>
    <s v="Male"/>
    <s v="Bangalore"/>
    <d v="2022-03-18T00:00:00"/>
    <d v="2022-10-03T00:00:00"/>
    <x v="2"/>
    <n v="808"/>
    <x v="27"/>
    <n v="1"/>
    <n v="30.13"/>
    <n v="20"/>
    <x v="2"/>
    <x v="0"/>
    <n v="24886.400000000001"/>
    <b v="1"/>
    <n v="2.5833333333333335"/>
    <n v="802.78709677419363"/>
    <n v="15.065"/>
    <d v="2022-03-01T00:00:00"/>
    <s v="Older"/>
    <n v="1"/>
    <s v="Yes"/>
    <n v="199"/>
    <s v="Medium"/>
    <s v="Medium"/>
    <n v="3.125E-2"/>
    <s v="High"/>
    <n v="2"/>
    <d v="2022-03-01T00:00:00"/>
    <s v="25+ months"/>
    <s v="0–1 tickets"/>
    <s v="31–45 min"/>
    <s v="701–1000"/>
    <n v="25048"/>
    <n v="-161.59999999999854"/>
  </r>
  <r>
    <n v="12228"/>
    <n v="41"/>
    <s v="Male"/>
    <s v="Mumbai"/>
    <d v="2021-08-06T00:00:00"/>
    <d v="2021-06-08T00:00:00"/>
    <x v="0"/>
    <n v="333"/>
    <x v="17"/>
    <n v="5"/>
    <n v="107.71"/>
    <n v="15"/>
    <x v="3"/>
    <x v="1"/>
    <n v="6277.05"/>
    <b v="0"/>
    <n v="1.5833333333333333"/>
    <n v="330.37105263157895"/>
    <n v="17.951666666666664"/>
    <d v="2021-08-01T00:00:00"/>
    <s v="Middle-aged"/>
    <n v="0"/>
    <s v="No"/>
    <m/>
    <s v="High"/>
    <s v="Low"/>
    <n v="0.25"/>
    <s v="Low"/>
    <n v="1"/>
    <d v="2021-08-01T00:00:00"/>
    <s v="13–24 months"/>
    <s v="4–5 tickets"/>
    <s v="46+ min"/>
    <s v="301–500"/>
    <n v="6327"/>
    <n v="-49.949999999999818"/>
  </r>
  <r>
    <n v="12229"/>
    <n v="33"/>
    <s v="Male"/>
    <s v="Delhi"/>
    <d v="2021-08-10T00:00:00"/>
    <d v="2022-10-29T00:00:00"/>
    <x v="1"/>
    <n v="1325"/>
    <x v="10"/>
    <n v="1"/>
    <n v="19"/>
    <n v="10"/>
    <x v="1"/>
    <x v="1"/>
    <n v="23717.5"/>
    <b v="1"/>
    <n v="1.5"/>
    <n v="1317.6388888888889"/>
    <n v="9.5"/>
    <d v="2021-08-01T00:00:00"/>
    <s v="Adult"/>
    <n v="0"/>
    <s v="Yes"/>
    <n v="445"/>
    <s v="Low"/>
    <s v="Low"/>
    <n v="5.2631578947368418E-2"/>
    <s v="High"/>
    <n v="3"/>
    <d v="2021-08-01T00:00:00"/>
    <s v="13–24 months"/>
    <s v="0–1 tickets"/>
    <s v="11–20 min"/>
    <s v="1000+"/>
    <n v="23850"/>
    <n v="-132.5"/>
  </r>
  <r>
    <n v="12230"/>
    <n v="59"/>
    <s v="Male"/>
    <s v="unknown"/>
    <d v="2022-11-04T00:00:00"/>
    <d v="2022-11-15T00:00:00"/>
    <x v="0"/>
    <n v="661"/>
    <x v="20"/>
    <n v="3"/>
    <n v="62.59"/>
    <n v="20"/>
    <x v="2"/>
    <x v="1"/>
    <n v="3833.8"/>
    <b v="1"/>
    <n v="0.5"/>
    <n v="638.9666666666667"/>
    <n v="15.647500000000001"/>
    <d v="2022-11-01T00:00:00"/>
    <s v="Older"/>
    <n v="0"/>
    <s v="No"/>
    <n v="11"/>
    <s v="High"/>
    <s v="Medium"/>
    <n v="0.42857142857142855"/>
    <s v="Low"/>
    <n v="1"/>
    <d v="2022-11-01T00:00:00"/>
    <s v="0–6 months"/>
    <s v="2–3 tickets"/>
    <s v="46+ min"/>
    <s v="501–700"/>
    <n v="3966"/>
    <n v="-132.19999999999982"/>
  </r>
  <r>
    <n v="12231"/>
    <n v="53"/>
    <s v="Male"/>
    <s v="Chennai"/>
    <d v="2022-06-12T00:00:00"/>
    <d v="2021-10-27T00:00:00"/>
    <x v="0"/>
    <n v="905"/>
    <x v="29"/>
    <n v="4"/>
    <n v="29.55"/>
    <n v="10"/>
    <x v="3"/>
    <x v="1"/>
    <n v="25294.75"/>
    <b v="0"/>
    <n v="2.3333333333333335"/>
    <n v="903.38392857142856"/>
    <n v="5.91"/>
    <d v="2022-06-01T00:00:00"/>
    <s v="Older"/>
    <n v="0"/>
    <s v="Yes"/>
    <m/>
    <s v="Medium"/>
    <s v="Low"/>
    <n v="0.13793103448275862"/>
    <s v="High"/>
    <n v="1"/>
    <d v="2022-06-01T00:00:00"/>
    <s v="25+ months"/>
    <s v="4–5 tickets"/>
    <s v="21–30 min"/>
    <s v="701–1000"/>
    <n v="25340"/>
    <n v="-45.25"/>
  </r>
  <r>
    <n v="12232"/>
    <n v="47"/>
    <s v="Female"/>
    <s v="unknown"/>
    <d v="2021-10-05T00:00:00"/>
    <d v="2022-10-01T00:00:00"/>
    <x v="2"/>
    <n v="1015"/>
    <x v="16"/>
    <n v="4"/>
    <n v="74.67"/>
    <n v="5"/>
    <x v="2"/>
    <x v="0"/>
    <n v="7054.25"/>
    <b v="1"/>
    <n v="0.58333333333333337"/>
    <n v="1007.75"/>
    <n v="14.934000000000001"/>
    <d v="2021-10-01T00:00:00"/>
    <s v="Middle-aged"/>
    <n v="1"/>
    <s v="No"/>
    <n v="361"/>
    <s v="High"/>
    <s v="Low"/>
    <n v="0.5"/>
    <s v="Low"/>
    <n v="2"/>
    <d v="2021-10-01T00:00:00"/>
    <s v="7–12 months"/>
    <s v="4–5 tickets"/>
    <s v="46+ min"/>
    <s v="1000+"/>
    <n v="7105"/>
    <n v="-50.75"/>
  </r>
  <r>
    <n v="12233"/>
    <n v="35"/>
    <s v="Male"/>
    <s v="unknown"/>
    <d v="2022-07-23T00:00:00"/>
    <d v="2021-06-25T00:00:00"/>
    <x v="0"/>
    <n v="549"/>
    <x v="34"/>
    <n v="6"/>
    <n v="49.06"/>
    <n v="15"/>
    <x v="3"/>
    <x v="0"/>
    <n v="6505.65"/>
    <b v="0"/>
    <n v="1"/>
    <n v="542.13749999999993"/>
    <n v="7.0085714285714289"/>
    <d v="2022-07-01T00:00:00"/>
    <s v="Adult"/>
    <n v="1"/>
    <s v="No"/>
    <m/>
    <s v="Medium"/>
    <s v="Low"/>
    <n v="0.46153846153846156"/>
    <s v="Low"/>
    <n v="1"/>
    <d v="2022-07-01T00:00:00"/>
    <s v="7–12 months"/>
    <s v="6+ tickets"/>
    <s v="46+ min"/>
    <s v="501–700"/>
    <n v="6588"/>
    <n v="-82.350000000000364"/>
  </r>
  <r>
    <n v="12234"/>
    <n v="19"/>
    <s v="Female"/>
    <s v="Delhi"/>
    <d v="2022-07-28T00:00:00"/>
    <d v="2023-03-17T00:00:00"/>
    <x v="1"/>
    <n v="446"/>
    <x v="22"/>
    <n v="1"/>
    <n v="16.690000000000001"/>
    <n v="15"/>
    <x v="1"/>
    <x v="1"/>
    <n v="15097.1"/>
    <b v="1"/>
    <n v="2.8333333333333335"/>
    <n v="444.0323529411765"/>
    <n v="8.3450000000000006"/>
    <d v="2022-07-01T00:00:00"/>
    <s v="Young"/>
    <n v="0"/>
    <s v="Yes"/>
    <n v="232"/>
    <s v="Low"/>
    <s v="Low"/>
    <n v="2.8571428571428571E-2"/>
    <s v="Medium"/>
    <n v="3"/>
    <d v="2022-07-01T00:00:00"/>
    <s v="25+ months"/>
    <s v="0–1 tickets"/>
    <s v="11–20 min"/>
    <s v="301–500"/>
    <n v="15164"/>
    <n v="-66.899999999999636"/>
  </r>
  <r>
    <n v="12235"/>
    <n v="41"/>
    <s v="Female"/>
    <s v="Pune"/>
    <d v="2023-05-25T00:00:00"/>
    <d v="2023-06-27T00:00:00"/>
    <x v="1"/>
    <n v="647"/>
    <x v="0"/>
    <n v="4"/>
    <n v="71.98"/>
    <n v="0"/>
    <x v="0"/>
    <x v="1"/>
    <n v="16175"/>
    <b v="1"/>
    <n v="2.0833333333333335"/>
    <n v="647"/>
    <n v="14.396000000000001"/>
    <d v="2023-05-01T00:00:00"/>
    <s v="Middle-aged"/>
    <n v="0"/>
    <s v="Yes"/>
    <n v="33"/>
    <s v="High"/>
    <s v="Low"/>
    <n v="0.15384615384615385"/>
    <s v="Medium"/>
    <n v="3"/>
    <d v="2023-05-01T00:00:00"/>
    <s v="25+ months"/>
    <s v="4–5 tickets"/>
    <s v="46+ min"/>
    <s v="501–700"/>
    <n v="16175"/>
    <n v="0"/>
  </r>
  <r>
    <n v="12236"/>
    <n v="21"/>
    <s v="Female"/>
    <s v="Bangalore"/>
    <d v="2022-04-11T00:00:00"/>
    <d v="2022-12-07T00:00:00"/>
    <x v="0"/>
    <n v="698"/>
    <x v="18"/>
    <n v="4"/>
    <n v="83.55"/>
    <n v="0"/>
    <x v="3"/>
    <x v="1"/>
    <n v="11866"/>
    <b v="1"/>
    <n v="1.4166666666666667"/>
    <n v="698"/>
    <n v="16.71"/>
    <d v="2022-04-01T00:00:00"/>
    <s v="Young"/>
    <n v="0"/>
    <s v="No"/>
    <n v="240"/>
    <s v="High"/>
    <s v="Low"/>
    <n v="0.22222222222222221"/>
    <s v="Medium"/>
    <n v="1"/>
    <d v="2022-04-01T00:00:00"/>
    <s v="13–24 months"/>
    <s v="4–5 tickets"/>
    <s v="46+ min"/>
    <s v="501–700"/>
    <n v="11866"/>
    <n v="0"/>
  </r>
  <r>
    <n v="12237"/>
    <n v="43"/>
    <s v="Male"/>
    <s v="Mumbai"/>
    <d v="2023-04-19T00:00:00"/>
    <d v="2022-07-30T00:00:00"/>
    <x v="0"/>
    <n v="1499"/>
    <x v="33"/>
    <n v="1"/>
    <n v="83.23"/>
    <n v="10"/>
    <x v="1"/>
    <x v="1"/>
    <n v="49317.1"/>
    <b v="0"/>
    <n v="2.75"/>
    <n v="1494.4575757575758"/>
    <n v="41.615000000000002"/>
    <d v="2023-04-01T00:00:00"/>
    <s v="Middle-aged"/>
    <n v="0"/>
    <s v="Yes"/>
    <m/>
    <s v="High"/>
    <s v="Low"/>
    <n v="2.9411764705882353E-2"/>
    <s v="High"/>
    <n v="1"/>
    <d v="2023-04-01T00:00:00"/>
    <s v="25+ months"/>
    <s v="0–1 tickets"/>
    <s v="46+ min"/>
    <s v="1000+"/>
    <n v="49467"/>
    <n v="-149.90000000000146"/>
  </r>
  <r>
    <n v="12238"/>
    <n v="42"/>
    <s v="Female"/>
    <s v="Delhi"/>
    <d v="2023-01-24T00:00:00"/>
    <d v="2022-03-20T00:00:00"/>
    <x v="2"/>
    <n v="424"/>
    <x v="31"/>
    <n v="1"/>
    <n v="78.260000000000005"/>
    <n v="0"/>
    <x v="3"/>
    <x v="1"/>
    <n v="9752"/>
    <b v="0"/>
    <n v="1.9166666666666667"/>
    <n v="424"/>
    <n v="39.130000000000003"/>
    <d v="2023-01-01T00:00:00"/>
    <s v="Middle-aged"/>
    <n v="0"/>
    <s v="No"/>
    <m/>
    <s v="High"/>
    <s v="Low"/>
    <n v="4.1666666666666664E-2"/>
    <s v="Medium"/>
    <n v="2"/>
    <d v="2023-01-01T00:00:00"/>
    <s v="13–24 months"/>
    <s v="0–1 tickets"/>
    <s v="46+ min"/>
    <s v="301–500"/>
    <n v="9752"/>
    <n v="0"/>
  </r>
  <r>
    <n v="12239"/>
    <n v="47"/>
    <s v="Male"/>
    <s v="Bangalore"/>
    <d v="2022-08-25T00:00:00"/>
    <d v="2021-12-02T00:00:00"/>
    <x v="2"/>
    <n v="1062"/>
    <x v="9"/>
    <n v="3"/>
    <n v="62.53"/>
    <n v="15"/>
    <x v="0"/>
    <x v="1"/>
    <n v="9398.7000000000007"/>
    <b v="0"/>
    <n v="0.75"/>
    <n v="1044.3000000000002"/>
    <n v="15.6325"/>
    <d v="2022-08-01T00:00:00"/>
    <s v="Middle-aged"/>
    <n v="0"/>
    <s v="No"/>
    <m/>
    <s v="High"/>
    <s v="Low"/>
    <n v="0.3"/>
    <s v="Medium"/>
    <n v="2"/>
    <d v="2022-08-01T00:00:00"/>
    <s v="7–12 months"/>
    <s v="2–3 tickets"/>
    <s v="46+ min"/>
    <s v="1000+"/>
    <n v="9558"/>
    <n v="-159.29999999999927"/>
  </r>
  <r>
    <n v="12240"/>
    <n v="28"/>
    <s v="Female"/>
    <s v="Mumbai"/>
    <d v="2022-08-07T00:00:00"/>
    <d v="2022-12-06T00:00:00"/>
    <x v="0"/>
    <n v="697"/>
    <x v="20"/>
    <n v="7"/>
    <n v="64.739999999999995"/>
    <n v="15"/>
    <x v="2"/>
    <x v="1"/>
    <n v="4077.45"/>
    <b v="1"/>
    <n v="0.5"/>
    <n v="679.57499999999993"/>
    <n v="8.0924999999999994"/>
    <d v="2022-08-01T00:00:00"/>
    <s v="Adult"/>
    <n v="0"/>
    <s v="No"/>
    <n v="121"/>
    <s v="High"/>
    <s v="Low"/>
    <n v="1"/>
    <s v="Low"/>
    <n v="1"/>
    <d v="2022-08-01T00:00:00"/>
    <s v="0–6 months"/>
    <s v="6+ tickets"/>
    <s v="46+ min"/>
    <s v="501–700"/>
    <n v="4182"/>
    <n v="-104.55000000000018"/>
  </r>
  <r>
    <n v="12241"/>
    <n v="41"/>
    <s v="Female"/>
    <s v="Delhi"/>
    <d v="2023-04-18T00:00:00"/>
    <d v="2022-08-05T00:00:00"/>
    <x v="2"/>
    <n v="430"/>
    <x v="4"/>
    <n v="7"/>
    <n v="78.099999999999994"/>
    <n v="0"/>
    <x v="0"/>
    <x v="0"/>
    <n v="860"/>
    <b v="0"/>
    <n v="0.16666666666666666"/>
    <n v="430"/>
    <n v="9.7624999999999993"/>
    <d v="2023-04-01T00:00:00"/>
    <s v="Middle-aged"/>
    <n v="1"/>
    <s v="No"/>
    <m/>
    <s v="High"/>
    <s v="Low"/>
    <n v="2.3333333333333335"/>
    <s v="Low"/>
    <n v="2"/>
    <d v="2023-04-01T00:00:00"/>
    <s v="0–6 months"/>
    <s v="6+ tickets"/>
    <s v="46+ min"/>
    <s v="301–500"/>
    <n v="860"/>
    <n v="0"/>
  </r>
  <r>
    <n v="12242"/>
    <n v="48"/>
    <s v="Female"/>
    <s v="unknown"/>
    <d v="2021-01-30T00:00:00"/>
    <d v="2023-01-25T00:00:00"/>
    <x v="2"/>
    <n v="904"/>
    <x v="9"/>
    <n v="1"/>
    <n v="84.38"/>
    <n v="10"/>
    <x v="0"/>
    <x v="0"/>
    <n v="8045.6"/>
    <b v="1"/>
    <n v="0.75"/>
    <n v="893.95555555555563"/>
    <n v="42.19"/>
    <d v="2021-01-01T00:00:00"/>
    <s v="Middle-aged"/>
    <n v="1"/>
    <s v="No"/>
    <n v="725"/>
    <s v="High"/>
    <s v="Low"/>
    <n v="0.1"/>
    <s v="Low"/>
    <n v="2"/>
    <d v="2021-01-01T00:00:00"/>
    <s v="7–12 months"/>
    <s v="0–1 tickets"/>
    <s v="46+ min"/>
    <s v="701–1000"/>
    <n v="8136"/>
    <n v="-90.399999999999636"/>
  </r>
  <r>
    <n v="12243"/>
    <n v="61"/>
    <s v="Male"/>
    <s v="Delhi"/>
    <d v="2021-12-25T00:00:00"/>
    <d v="2022-04-13T00:00:00"/>
    <x v="0"/>
    <n v="1191"/>
    <x v="13"/>
    <n v="2"/>
    <n v="80.31"/>
    <n v="15"/>
    <x v="2"/>
    <x v="1"/>
    <n v="3394.35"/>
    <b v="1"/>
    <n v="0.25"/>
    <n v="1131.45"/>
    <n v="26.77"/>
    <d v="2021-12-01T00:00:00"/>
    <s v="Older"/>
    <n v="0"/>
    <s v="No"/>
    <n v="109"/>
    <s v="High"/>
    <s v="Low"/>
    <n v="0.5"/>
    <s v="Low"/>
    <n v="1"/>
    <d v="2021-12-01T00:00:00"/>
    <s v="0–6 months"/>
    <s v="2–3 tickets"/>
    <s v="46+ min"/>
    <s v="1000+"/>
    <n v="3573"/>
    <n v="-178.65000000000009"/>
  </r>
  <r>
    <n v="12244"/>
    <n v="27"/>
    <s v="Female"/>
    <s v="Hyderabad"/>
    <d v="2021-10-15T00:00:00"/>
    <d v="2022-07-03T00:00:00"/>
    <x v="0"/>
    <n v="1121"/>
    <x v="24"/>
    <n v="3"/>
    <n v="72.5"/>
    <n v="10"/>
    <x v="0"/>
    <x v="0"/>
    <n v="17823.900000000001"/>
    <b v="1"/>
    <n v="1.3333333333333333"/>
    <n v="1113.9937500000001"/>
    <n v="18.125"/>
    <d v="2021-10-01T00:00:00"/>
    <s v="Adult"/>
    <n v="1"/>
    <s v="Yes"/>
    <n v="261"/>
    <s v="High"/>
    <s v="Low"/>
    <n v="0.17647058823529413"/>
    <s v="Medium"/>
    <n v="1"/>
    <d v="2021-10-01T00:00:00"/>
    <s v="13–24 months"/>
    <s v="2–3 tickets"/>
    <s v="46+ min"/>
    <s v="1000+"/>
    <n v="17936"/>
    <n v="-112.09999999999854"/>
  </r>
  <r>
    <n v="12245"/>
    <n v="56"/>
    <s v="Male"/>
    <s v="Delhi"/>
    <d v="2021-03-27T00:00:00"/>
    <d v="2022-04-20T00:00:00"/>
    <x v="2"/>
    <n v="1201"/>
    <x v="0"/>
    <n v="2"/>
    <n v="22.92"/>
    <n v="15"/>
    <x v="1"/>
    <x v="1"/>
    <n v="29844.85"/>
    <b v="1"/>
    <n v="2.0833333333333335"/>
    <n v="1193.7939999999999"/>
    <n v="7.6400000000000006"/>
    <d v="2021-03-01T00:00:00"/>
    <s v="Older"/>
    <n v="0"/>
    <s v="Yes"/>
    <n v="389"/>
    <s v="Medium"/>
    <s v="Low"/>
    <n v="7.6923076923076927E-2"/>
    <s v="High"/>
    <n v="2"/>
    <d v="2021-03-01T00:00:00"/>
    <s v="25+ months"/>
    <s v="2–3 tickets"/>
    <s v="21–30 min"/>
    <s v="1000+"/>
    <n v="30025"/>
    <n v="-180.15000000000146"/>
  </r>
  <r>
    <n v="12246"/>
    <n v="30"/>
    <s v="Male"/>
    <s v="Hyderabad"/>
    <d v="2021-08-22T00:00:00"/>
    <d v="2022-12-17T00:00:00"/>
    <x v="0"/>
    <n v="1244"/>
    <x v="30"/>
    <n v="4"/>
    <n v="29.22"/>
    <n v="10"/>
    <x v="3"/>
    <x v="0"/>
    <n v="29731.599999999999"/>
    <b v="1"/>
    <n v="2"/>
    <n v="1238.8166666666666"/>
    <n v="5.8439999999999994"/>
    <d v="2021-08-01T00:00:00"/>
    <s v="Adult"/>
    <n v="1"/>
    <s v="Yes"/>
    <n v="482"/>
    <s v="Medium"/>
    <s v="Low"/>
    <n v="0.16"/>
    <s v="High"/>
    <n v="1"/>
    <d v="2021-08-01T00:00:00"/>
    <s v="13–24 months"/>
    <s v="4–5 tickets"/>
    <s v="21–30 min"/>
    <s v="1000+"/>
    <n v="29856"/>
    <n v="-124.40000000000146"/>
  </r>
  <r>
    <n v="12247"/>
    <n v="48"/>
    <s v="Male"/>
    <s v="Mumbai"/>
    <d v="2023-01-17T00:00:00"/>
    <d v="2023-01-17T00:00:00"/>
    <x v="1"/>
    <n v="1031"/>
    <x v="5"/>
    <n v="3"/>
    <n v="34.93"/>
    <n v="10"/>
    <x v="0"/>
    <x v="0"/>
    <n v="29795.9"/>
    <b v="1"/>
    <n v="2.4166666666666665"/>
    <n v="1027.4448275862069"/>
    <n v="8.7324999999999999"/>
    <d v="2023-01-01T00:00:00"/>
    <s v="Middle-aged"/>
    <n v="1"/>
    <s v="Yes"/>
    <n v="0"/>
    <s v="Medium"/>
    <s v="Low"/>
    <n v="0.1"/>
    <s v="High"/>
    <n v="3"/>
    <d v="2023-01-01T00:00:00"/>
    <s v="25+ months"/>
    <s v="2–3 tickets"/>
    <s v="31–45 min"/>
    <s v="1000+"/>
    <n v="29899"/>
    <n v="-103.09999999999854"/>
  </r>
  <r>
    <n v="12248"/>
    <n v="24"/>
    <s v="Male"/>
    <s v="Delhi"/>
    <d v="2021-11-09T00:00:00"/>
    <d v="2022-11-28T00:00:00"/>
    <x v="0"/>
    <n v="633"/>
    <x v="8"/>
    <n v="0"/>
    <n v="110.76"/>
    <n v="10"/>
    <x v="3"/>
    <x v="0"/>
    <n v="16394.7"/>
    <b v="1"/>
    <n v="2.1666666666666665"/>
    <n v="630.56538461538469"/>
    <n v="110.76"/>
    <d v="2021-11-01T00:00:00"/>
    <s v="Young"/>
    <n v="1"/>
    <s v="Yes"/>
    <n v="384"/>
    <s v="High"/>
    <s v="Low"/>
    <n v="0"/>
    <s v="Medium"/>
    <n v="1"/>
    <d v="2021-11-01T00:00:00"/>
    <s v="25+ months"/>
    <s v="0–1 tickets"/>
    <s v="46+ min"/>
    <s v="501–700"/>
    <n v="16458"/>
    <n v="-63.299999999999272"/>
  </r>
  <r>
    <n v="12249"/>
    <n v="59"/>
    <s v="Male"/>
    <s v="Mumbai"/>
    <d v="2021-12-31T00:00:00"/>
    <d v="2021-08-15T00:00:00"/>
    <x v="2"/>
    <n v="1343"/>
    <x v="12"/>
    <n v="1"/>
    <n v="92.33"/>
    <n v="0"/>
    <x v="3"/>
    <x v="1"/>
    <n v="47005"/>
    <b v="0"/>
    <n v="2.9166666666666665"/>
    <n v="1343"/>
    <n v="46.164999999999999"/>
    <d v="2021-12-01T00:00:00"/>
    <s v="Older"/>
    <n v="0"/>
    <s v="Yes"/>
    <m/>
    <s v="High"/>
    <s v="Low"/>
    <n v="2.7777777777777776E-2"/>
    <s v="High"/>
    <n v="2"/>
    <d v="2021-12-01T00:00:00"/>
    <s v="25+ months"/>
    <s v="0–1 tickets"/>
    <s v="46+ min"/>
    <s v="1000+"/>
    <n v="47005"/>
    <n v="0"/>
  </r>
  <r>
    <n v="12250"/>
    <n v="59"/>
    <s v="Female"/>
    <s v="Mumbai"/>
    <d v="2023-02-16T00:00:00"/>
    <d v="2023-10-13T00:00:00"/>
    <x v="1"/>
    <n v="504"/>
    <x v="31"/>
    <n v="1"/>
    <n v="68.58"/>
    <n v="5"/>
    <x v="2"/>
    <x v="1"/>
    <n v="11566.8"/>
    <b v="1"/>
    <n v="1.9166666666666667"/>
    <n v="502.90434782608691"/>
    <n v="34.29"/>
    <d v="2023-02-01T00:00:00"/>
    <s v="Older"/>
    <n v="0"/>
    <s v="No"/>
    <n v="239"/>
    <s v="High"/>
    <s v="Low"/>
    <n v="4.1666666666666664E-2"/>
    <s v="Medium"/>
    <n v="3"/>
    <d v="2023-02-01T00:00:00"/>
    <s v="13–24 months"/>
    <s v="0–1 tickets"/>
    <s v="46+ min"/>
    <s v="501–700"/>
    <n v="11592"/>
    <n v="-25.200000000000728"/>
  </r>
  <r>
    <n v="12251"/>
    <n v="53"/>
    <s v="Female"/>
    <s v="Bangalore"/>
    <d v="2023-03-10T00:00:00"/>
    <d v="2023-05-10T00:00:00"/>
    <x v="1"/>
    <n v="1255"/>
    <x v="2"/>
    <n v="4"/>
    <n v="33.99"/>
    <n v="10"/>
    <x v="0"/>
    <x v="1"/>
    <n v="4894.5"/>
    <b v="1"/>
    <n v="0.33333333333333331"/>
    <n v="1223.625"/>
    <n v="6.798"/>
    <d v="2023-03-01T00:00:00"/>
    <s v="Older"/>
    <n v="0"/>
    <s v="No"/>
    <n v="61"/>
    <s v="Medium"/>
    <s v="Low"/>
    <n v="0.8"/>
    <s v="Low"/>
    <n v="3"/>
    <d v="2023-03-01T00:00:00"/>
    <s v="0–6 months"/>
    <s v="4–5 tickets"/>
    <s v="31–45 min"/>
    <s v="1000+"/>
    <n v="5020"/>
    <n v="-125.5"/>
  </r>
  <r>
    <n v="12252"/>
    <n v="37"/>
    <s v="Male"/>
    <s v="Mumbai"/>
    <d v="2023-04-19T00:00:00"/>
    <d v="2022-09-29T00:00:00"/>
    <x v="0"/>
    <n v="654"/>
    <x v="25"/>
    <n v="5"/>
    <n v="17.75"/>
    <n v="10"/>
    <x v="2"/>
    <x v="1"/>
    <n v="9090.6"/>
    <b v="0"/>
    <n v="1.1666666666666667"/>
    <n v="649.32857142857142"/>
    <n v="2.9583333333333335"/>
    <d v="2023-04-01T00:00:00"/>
    <s v="Middle-aged"/>
    <n v="0"/>
    <s v="No"/>
    <m/>
    <s v="Low"/>
    <s v="Low"/>
    <n v="0.33333333333333331"/>
    <s v="Medium"/>
    <n v="1"/>
    <d v="2023-04-01T00:00:00"/>
    <s v="13–24 months"/>
    <s v="4–5 tickets"/>
    <s v="11–20 min"/>
    <s v="501–700"/>
    <n v="9156"/>
    <n v="-65.399999999999636"/>
  </r>
  <r>
    <n v="12253"/>
    <n v="21"/>
    <s v="Male"/>
    <s v="Mumbai"/>
    <d v="2021-09-26T00:00:00"/>
    <d v="2023-08-07T00:00:00"/>
    <x v="0"/>
    <n v="1496"/>
    <x v="16"/>
    <n v="2"/>
    <n v="108.36"/>
    <n v="15"/>
    <x v="2"/>
    <x v="1"/>
    <n v="10247.6"/>
    <b v="1"/>
    <n v="0.58333333333333337"/>
    <n v="1463.9428571428573"/>
    <n v="36.119999999999997"/>
    <d v="2021-09-01T00:00:00"/>
    <s v="Young"/>
    <n v="0"/>
    <s v="No"/>
    <n v="680"/>
    <s v="High"/>
    <s v="Low"/>
    <n v="0.25"/>
    <s v="Medium"/>
    <n v="1"/>
    <d v="2021-09-01T00:00:00"/>
    <s v="7–12 months"/>
    <s v="2–3 tickets"/>
    <s v="46+ min"/>
    <s v="1000+"/>
    <n v="10472"/>
    <n v="-224.39999999999964"/>
  </r>
  <r>
    <n v="12254"/>
    <n v="24"/>
    <s v="Male"/>
    <s v="Delhi"/>
    <d v="2022-11-29T00:00:00"/>
    <d v="2021-08-27T00:00:00"/>
    <x v="2"/>
    <n v="1123"/>
    <x v="14"/>
    <n v="2"/>
    <n v="107.66"/>
    <n v="5"/>
    <x v="3"/>
    <x v="0"/>
    <n v="8927.85"/>
    <b v="0"/>
    <n v="0.66666666666666663"/>
    <n v="1115.98125"/>
    <n v="35.886666666666663"/>
    <d v="2022-11-01T00:00:00"/>
    <s v="Young"/>
    <n v="1"/>
    <s v="No"/>
    <m/>
    <s v="High"/>
    <s v="Low"/>
    <n v="0.22222222222222221"/>
    <s v="Medium"/>
    <n v="2"/>
    <d v="2022-11-01T00:00:00"/>
    <s v="7–12 months"/>
    <s v="2–3 tickets"/>
    <s v="46+ min"/>
    <s v="1000+"/>
    <n v="8984"/>
    <n v="-56.149999999999636"/>
  </r>
  <r>
    <n v="12255"/>
    <n v="18"/>
    <s v="Male"/>
    <s v="Delhi"/>
    <d v="2021-05-11T00:00:00"/>
    <d v="2023-06-17T00:00:00"/>
    <x v="0"/>
    <n v="1325"/>
    <x v="17"/>
    <n v="6"/>
    <n v="17.73"/>
    <n v="15"/>
    <x v="1"/>
    <x v="1"/>
    <n v="24976.25"/>
    <b v="1"/>
    <n v="1.5833333333333333"/>
    <n v="1314.5394736842106"/>
    <n v="2.5328571428571429"/>
    <d v="2021-05-01T00:00:00"/>
    <s v="Young"/>
    <n v="0"/>
    <s v="Yes"/>
    <n v="767"/>
    <s v="Low"/>
    <s v="Low"/>
    <n v="0.3"/>
    <s v="High"/>
    <n v="1"/>
    <d v="2021-05-01T00:00:00"/>
    <s v="13–24 months"/>
    <s v="6+ tickets"/>
    <s v="11–20 min"/>
    <s v="1000+"/>
    <n v="25175"/>
    <n v="-198.75"/>
  </r>
  <r>
    <n v="12256"/>
    <n v="61"/>
    <s v="Male"/>
    <s v="Chennai"/>
    <d v="2023-03-14T00:00:00"/>
    <d v="2022-01-18T00:00:00"/>
    <x v="0"/>
    <n v="1240"/>
    <x v="4"/>
    <n v="2"/>
    <n v="96.68"/>
    <n v="15"/>
    <x v="3"/>
    <x v="1"/>
    <n v="2294"/>
    <b v="0"/>
    <n v="0.16666666666666666"/>
    <n v="1147"/>
    <n v="32.226666666666667"/>
    <d v="2023-03-01T00:00:00"/>
    <s v="Older"/>
    <n v="0"/>
    <s v="No"/>
    <m/>
    <s v="High"/>
    <s v="Low"/>
    <n v="0.66666666666666663"/>
    <s v="Low"/>
    <n v="1"/>
    <d v="2023-03-01T00:00:00"/>
    <s v="0–6 months"/>
    <s v="2–3 tickets"/>
    <s v="46+ min"/>
    <s v="1000+"/>
    <n v="2480"/>
    <n v="-186"/>
  </r>
  <r>
    <n v="12257"/>
    <n v="62"/>
    <s v="Female"/>
    <s v="Bangalore"/>
    <d v="2023-02-28T00:00:00"/>
    <d v="2021-06-07T00:00:00"/>
    <x v="1"/>
    <n v="467"/>
    <x v="7"/>
    <n v="3"/>
    <n v="56.36"/>
    <n v="10"/>
    <x v="2"/>
    <x v="0"/>
    <n v="420.3"/>
    <b v="0"/>
    <n v="8.3333333333333329E-2"/>
    <n v="420.3"/>
    <n v="14.09"/>
    <d v="2023-02-01T00:00:00"/>
    <s v="Older"/>
    <n v="1"/>
    <s v="No"/>
    <m/>
    <s v="Medium"/>
    <s v="Low"/>
    <n v="1.5"/>
    <s v="Low"/>
    <n v="3"/>
    <d v="2023-02-01T00:00:00"/>
    <s v="0–6 months"/>
    <s v="2–3 tickets"/>
    <s v="46+ min"/>
    <s v="301–500"/>
    <n v="467"/>
    <n v="-46.699999999999989"/>
  </r>
  <r>
    <n v="12258"/>
    <n v="59"/>
    <s v="Male"/>
    <s v="Mumbai"/>
    <d v="2023-04-12T00:00:00"/>
    <d v="2023-08-13T00:00:00"/>
    <x v="0"/>
    <n v="667"/>
    <x v="19"/>
    <n v="2"/>
    <n v="42.26"/>
    <n v="20"/>
    <x v="0"/>
    <x v="0"/>
    <n v="8537.6"/>
    <b v="1"/>
    <n v="1.0833333333333333"/>
    <n v="656.73846153846159"/>
    <n v="14.086666666666666"/>
    <d v="2023-04-01T00:00:00"/>
    <s v="Older"/>
    <n v="1"/>
    <s v="No"/>
    <n v="123"/>
    <s v="Medium"/>
    <s v="Medium"/>
    <n v="0.14285714285714285"/>
    <s v="Low"/>
    <n v="1"/>
    <d v="2023-04-01T00:00:00"/>
    <s v="13–24 months"/>
    <s v="2–3 tickets"/>
    <s v="31–45 min"/>
    <s v="501–700"/>
    <n v="8671"/>
    <n v="-133.39999999999964"/>
  </r>
  <r>
    <n v="12259"/>
    <n v="64"/>
    <s v="Male"/>
    <s v="Bangalore"/>
    <d v="2021-12-17T00:00:00"/>
    <d v="2022-12-02T00:00:00"/>
    <x v="0"/>
    <n v="835"/>
    <x v="30"/>
    <n v="5"/>
    <n v="90"/>
    <n v="5"/>
    <x v="1"/>
    <x v="1"/>
    <n v="19998.25"/>
    <b v="1"/>
    <n v="2"/>
    <n v="833.26041666666663"/>
    <n v="15"/>
    <d v="2021-12-01T00:00:00"/>
    <s v="Older"/>
    <n v="0"/>
    <s v="Yes"/>
    <n v="350"/>
    <s v="High"/>
    <s v="Low"/>
    <n v="0.2"/>
    <s v="High"/>
    <n v="1"/>
    <d v="2021-12-01T00:00:00"/>
    <s v="13–24 months"/>
    <s v="4–5 tickets"/>
    <s v="46+ min"/>
    <s v="701–1000"/>
    <n v="20040"/>
    <n v="-41.75"/>
  </r>
  <r>
    <n v="12260"/>
    <n v="30"/>
    <s v="Male"/>
    <s v="Hyderabad"/>
    <d v="2021-06-29T00:00:00"/>
    <d v="2021-07-22T00:00:00"/>
    <x v="0"/>
    <n v="1262"/>
    <x v="23"/>
    <n v="0"/>
    <n v="75.650000000000006"/>
    <n v="15"/>
    <x v="1"/>
    <x v="1"/>
    <n v="40194.699999999997"/>
    <b v="1"/>
    <n v="2.6666666666666665"/>
    <n v="1256.0843749999999"/>
    <n v="75.650000000000006"/>
    <d v="2021-06-01T00:00:00"/>
    <s v="Adult"/>
    <n v="0"/>
    <s v="Yes"/>
    <n v="23"/>
    <s v="High"/>
    <s v="Low"/>
    <n v="0"/>
    <s v="High"/>
    <n v="1"/>
    <d v="2021-06-01T00:00:00"/>
    <s v="25+ months"/>
    <s v="0–1 tickets"/>
    <s v="46+ min"/>
    <s v="1000+"/>
    <n v="40384"/>
    <n v="-189.30000000000291"/>
  </r>
  <r>
    <n v="12261"/>
    <n v="39"/>
    <s v="Female"/>
    <s v="Mumbai"/>
    <d v="2023-03-13T00:00:00"/>
    <d v="2023-03-17T00:00:00"/>
    <x v="2"/>
    <n v="879"/>
    <x v="3"/>
    <n v="0"/>
    <n v="94.7"/>
    <n v="20"/>
    <x v="0"/>
    <x v="1"/>
    <n v="26194.2"/>
    <b v="1"/>
    <n v="2.5"/>
    <n v="873.14"/>
    <n v="94.7"/>
    <d v="2023-03-01T00:00:00"/>
    <s v="Middle-aged"/>
    <n v="0"/>
    <s v="Yes"/>
    <n v="4"/>
    <s v="High"/>
    <s v="Medium"/>
    <n v="0"/>
    <s v="High"/>
    <n v="2"/>
    <d v="2023-03-01T00:00:00"/>
    <s v="25+ months"/>
    <s v="0–1 tickets"/>
    <s v="46+ min"/>
    <s v="701–1000"/>
    <n v="26370"/>
    <n v="-175.79999999999927"/>
  </r>
  <r>
    <n v="12262"/>
    <n v="38"/>
    <s v="Female"/>
    <s v="Bangalore"/>
    <d v="2022-04-25T00:00:00"/>
    <d v="2022-07-01T00:00:00"/>
    <x v="2"/>
    <n v="1249"/>
    <x v="20"/>
    <n v="0"/>
    <n v="13.55"/>
    <n v="20"/>
    <x v="0"/>
    <x v="1"/>
    <n v="7244.2"/>
    <b v="1"/>
    <n v="0.5"/>
    <n v="1207.3666666666666"/>
    <n v="13.55"/>
    <d v="2022-04-01T00:00:00"/>
    <s v="Middle-aged"/>
    <n v="0"/>
    <s v="No"/>
    <n v="67"/>
    <s v="Low"/>
    <s v="Medium"/>
    <n v="0"/>
    <s v="Low"/>
    <n v="2"/>
    <d v="2022-04-01T00:00:00"/>
    <s v="0–6 months"/>
    <s v="0–1 tickets"/>
    <s v="11–20 min"/>
    <s v="1000+"/>
    <n v="7494"/>
    <n v="-249.80000000000018"/>
  </r>
  <r>
    <n v="12263"/>
    <n v="39"/>
    <s v="Female"/>
    <s v="Chennai"/>
    <d v="2023-06-08T00:00:00"/>
    <d v="2022-01-07T00:00:00"/>
    <x v="0"/>
    <n v="506"/>
    <x v="33"/>
    <n v="1"/>
    <n v="41.64"/>
    <n v="15"/>
    <x v="1"/>
    <x v="0"/>
    <n v="16622.099999999999"/>
    <b v="0"/>
    <n v="2.75"/>
    <n v="503.69999999999993"/>
    <n v="20.82"/>
    <d v="2023-06-01T00:00:00"/>
    <s v="Middle-aged"/>
    <n v="1"/>
    <s v="Yes"/>
    <m/>
    <s v="Medium"/>
    <s v="Low"/>
    <n v="2.9411764705882353E-2"/>
    <s v="Medium"/>
    <n v="1"/>
    <d v="2023-06-01T00:00:00"/>
    <s v="25+ months"/>
    <s v="0–1 tickets"/>
    <s v="31–45 min"/>
    <s v="501–700"/>
    <n v="16698"/>
    <n v="-75.900000000001455"/>
  </r>
  <r>
    <n v="12264"/>
    <n v="45"/>
    <s v="Female"/>
    <s v="Chennai"/>
    <d v="2021-06-12T00:00:00"/>
    <d v="2022-08-02T00:00:00"/>
    <x v="0"/>
    <n v="1372"/>
    <x v="31"/>
    <n v="3"/>
    <n v="41.72"/>
    <n v="10"/>
    <x v="2"/>
    <x v="1"/>
    <n v="31418.799999999999"/>
    <b v="1"/>
    <n v="1.9166666666666667"/>
    <n v="1366.0347826086957"/>
    <n v="10.43"/>
    <d v="2021-06-01T00:00:00"/>
    <s v="Middle-aged"/>
    <n v="0"/>
    <s v="Yes"/>
    <n v="416"/>
    <s v="Medium"/>
    <s v="Low"/>
    <n v="0.125"/>
    <s v="High"/>
    <n v="1"/>
    <d v="2021-06-01T00:00:00"/>
    <s v="13–24 months"/>
    <s v="2–3 tickets"/>
    <s v="31–45 min"/>
    <s v="1000+"/>
    <n v="31556"/>
    <n v="-137.20000000000073"/>
  </r>
  <r>
    <n v="12265"/>
    <n v="26"/>
    <s v="Male"/>
    <s v="Mumbai"/>
    <d v="2023-02-22T00:00:00"/>
    <d v="2023-06-22T00:00:00"/>
    <x v="0"/>
    <n v="843"/>
    <x v="32"/>
    <n v="1"/>
    <n v="42.92"/>
    <n v="0"/>
    <x v="1"/>
    <x v="0"/>
    <n v="8430"/>
    <b v="1"/>
    <n v="0.83333333333333337"/>
    <n v="843"/>
    <n v="21.46"/>
    <d v="2023-02-01T00:00:00"/>
    <s v="Adult"/>
    <n v="1"/>
    <s v="No"/>
    <n v="120"/>
    <s v="Medium"/>
    <s v="Low"/>
    <n v="9.0909090909090912E-2"/>
    <s v="Low"/>
    <n v="1"/>
    <d v="2023-02-01T00:00:00"/>
    <s v="7–12 months"/>
    <s v="0–1 tickets"/>
    <s v="31–45 min"/>
    <s v="701–1000"/>
    <n v="8430"/>
    <n v="0"/>
  </r>
  <r>
    <n v="12266"/>
    <n v="43"/>
    <s v="Male"/>
    <s v="Hyderabad"/>
    <d v="2023-06-07T00:00:00"/>
    <d v="2021-10-21T00:00:00"/>
    <x v="2"/>
    <n v="428"/>
    <x v="15"/>
    <n v="3"/>
    <n v="62.79"/>
    <n v="15"/>
    <x v="1"/>
    <x v="0"/>
    <n v="6355.8"/>
    <b v="0"/>
    <n v="1.25"/>
    <n v="423.72"/>
    <n v="15.6975"/>
    <d v="2023-06-01T00:00:00"/>
    <s v="Middle-aged"/>
    <n v="1"/>
    <s v="No"/>
    <m/>
    <s v="High"/>
    <s v="Low"/>
    <n v="0.1875"/>
    <s v="Low"/>
    <n v="2"/>
    <d v="2023-06-01T00:00:00"/>
    <s v="13–24 months"/>
    <s v="2–3 tickets"/>
    <s v="46+ min"/>
    <s v="301–500"/>
    <n v="6420"/>
    <n v="-64.199999999999818"/>
  </r>
  <r>
    <n v="12267"/>
    <n v="26"/>
    <s v="Female"/>
    <s v="Chennai"/>
    <d v="2021-04-06T00:00:00"/>
    <d v="2023-10-09T00:00:00"/>
    <x v="0"/>
    <n v="913"/>
    <x v="31"/>
    <n v="1"/>
    <n v="37.549999999999997"/>
    <n v="10"/>
    <x v="1"/>
    <x v="1"/>
    <n v="20907.7"/>
    <b v="1"/>
    <n v="1.9166666666666667"/>
    <n v="909.03043478260872"/>
    <n v="18.774999999999999"/>
    <d v="2021-04-01T00:00:00"/>
    <s v="Adult"/>
    <n v="0"/>
    <s v="Yes"/>
    <n v="916"/>
    <s v="Medium"/>
    <s v="Low"/>
    <n v="4.1666666666666664E-2"/>
    <s v="High"/>
    <n v="1"/>
    <d v="2021-04-01T00:00:00"/>
    <s v="13–24 months"/>
    <s v="0–1 tickets"/>
    <s v="31–45 min"/>
    <s v="701–1000"/>
    <n v="20999"/>
    <n v="-91.299999999999272"/>
  </r>
  <r>
    <n v="12268"/>
    <n v="32"/>
    <s v="Male"/>
    <s v="Chennai"/>
    <d v="2023-02-13T00:00:00"/>
    <d v="2022-05-29T00:00:00"/>
    <x v="1"/>
    <n v="334"/>
    <x v="7"/>
    <n v="3"/>
    <n v="56.1"/>
    <n v="5"/>
    <x v="2"/>
    <x v="0"/>
    <n v="317.3"/>
    <b v="0"/>
    <n v="8.3333333333333329E-2"/>
    <n v="317.3"/>
    <n v="14.025"/>
    <d v="2023-02-01T00:00:00"/>
    <s v="Adult"/>
    <n v="1"/>
    <s v="No"/>
    <m/>
    <s v="Medium"/>
    <s v="Low"/>
    <n v="1.5"/>
    <s v="Low"/>
    <n v="3"/>
    <d v="2023-02-01T00:00:00"/>
    <s v="0–6 months"/>
    <s v="2–3 tickets"/>
    <s v="46+ min"/>
    <s v="301–500"/>
    <n v="334"/>
    <n v="-16.699999999999989"/>
  </r>
  <r>
    <n v="12269"/>
    <n v="27"/>
    <s v="Female"/>
    <s v="Hyderabad"/>
    <d v="2022-05-25T00:00:00"/>
    <d v="2022-06-17T00:00:00"/>
    <x v="0"/>
    <n v="1118"/>
    <x v="14"/>
    <n v="1"/>
    <n v="47.29"/>
    <n v="10"/>
    <x v="0"/>
    <x v="1"/>
    <n v="8832.2000000000007"/>
    <b v="1"/>
    <n v="0.66666666666666663"/>
    <n v="1104.0250000000001"/>
    <n v="23.645"/>
    <d v="2022-05-01T00:00:00"/>
    <s v="Adult"/>
    <n v="0"/>
    <s v="No"/>
    <n v="23"/>
    <s v="Medium"/>
    <s v="Low"/>
    <n v="0.1111111111111111"/>
    <s v="Medium"/>
    <n v="1"/>
    <d v="2022-05-01T00:00:00"/>
    <s v="7–12 months"/>
    <s v="0–1 tickets"/>
    <s v="46+ min"/>
    <s v="1000+"/>
    <n v="8944"/>
    <n v="-111.79999999999927"/>
  </r>
  <r>
    <n v="12270"/>
    <n v="41"/>
    <s v="Male"/>
    <s v="Bangalore"/>
    <d v="2021-12-31T00:00:00"/>
    <d v="2022-12-13T00:00:00"/>
    <x v="1"/>
    <n v="498"/>
    <x v="13"/>
    <n v="4"/>
    <n v="89.56"/>
    <n v="20"/>
    <x v="0"/>
    <x v="0"/>
    <n v="1394.4"/>
    <b v="1"/>
    <n v="0.25"/>
    <n v="464.8"/>
    <n v="17.911999999999999"/>
    <d v="2021-12-01T00:00:00"/>
    <s v="Middle-aged"/>
    <n v="1"/>
    <s v="No"/>
    <n v="347"/>
    <s v="High"/>
    <s v="Medium"/>
    <n v="1"/>
    <s v="Low"/>
    <n v="3"/>
    <d v="2021-12-01T00:00:00"/>
    <s v="0–6 months"/>
    <s v="4–5 tickets"/>
    <s v="46+ min"/>
    <s v="301–500"/>
    <n v="1494"/>
    <n v="-99.599999999999909"/>
  </r>
  <r>
    <n v="12271"/>
    <n v="59"/>
    <s v="Male"/>
    <s v="Chennai"/>
    <d v="2021-12-19T00:00:00"/>
    <d v="2022-03-04T00:00:00"/>
    <x v="0"/>
    <n v="376"/>
    <x v="25"/>
    <n v="1"/>
    <n v="74.400000000000006"/>
    <n v="5"/>
    <x v="0"/>
    <x v="0"/>
    <n v="5245.2"/>
    <b v="1"/>
    <n v="1.1666666666666667"/>
    <n v="374.65714285714284"/>
    <n v="37.200000000000003"/>
    <d v="2021-12-01T00:00:00"/>
    <s v="Older"/>
    <n v="1"/>
    <s v="No"/>
    <n v="75"/>
    <s v="High"/>
    <s v="Low"/>
    <n v="6.6666666666666666E-2"/>
    <s v="Low"/>
    <n v="1"/>
    <d v="2021-12-01T00:00:00"/>
    <s v="13–24 months"/>
    <s v="0–1 tickets"/>
    <s v="46+ min"/>
    <s v="301–500"/>
    <n v="5264"/>
    <n v="-18.800000000000182"/>
  </r>
  <r>
    <n v="12272"/>
    <n v="25"/>
    <s v="Female"/>
    <s v="Delhi"/>
    <d v="2023-03-11T00:00:00"/>
    <d v="2022-02-26T00:00:00"/>
    <x v="2"/>
    <n v="668"/>
    <x v="18"/>
    <n v="6"/>
    <n v="80.17"/>
    <n v="5"/>
    <x v="2"/>
    <x v="0"/>
    <n v="11322.6"/>
    <b v="0"/>
    <n v="1.4166666666666667"/>
    <n v="666.03529411764703"/>
    <n v="11.452857142857143"/>
    <d v="2023-03-01T00:00:00"/>
    <s v="Young"/>
    <n v="1"/>
    <s v="No"/>
    <m/>
    <s v="High"/>
    <s v="Low"/>
    <n v="0.33333333333333331"/>
    <s v="Medium"/>
    <n v="2"/>
    <d v="2023-03-01T00:00:00"/>
    <s v="13–24 months"/>
    <s v="6+ tickets"/>
    <s v="46+ min"/>
    <s v="501–700"/>
    <n v="11356"/>
    <n v="-33.399999999999636"/>
  </r>
  <r>
    <n v="12273"/>
    <n v="41"/>
    <s v="Female"/>
    <s v="Pune"/>
    <d v="2022-03-12T00:00:00"/>
    <d v="2021-06-14T00:00:00"/>
    <x v="0"/>
    <n v="1132"/>
    <x v="22"/>
    <n v="6"/>
    <n v="29.22"/>
    <n v="0"/>
    <x v="2"/>
    <x v="1"/>
    <n v="38488"/>
    <b v="0"/>
    <n v="2.8333333333333335"/>
    <n v="1132"/>
    <n v="4.1742857142857144"/>
    <d v="2022-03-01T00:00:00"/>
    <s v="Middle-aged"/>
    <n v="0"/>
    <s v="Yes"/>
    <m/>
    <s v="Medium"/>
    <s v="Low"/>
    <n v="0.17142857142857143"/>
    <s v="High"/>
    <n v="1"/>
    <d v="2022-03-01T00:00:00"/>
    <s v="25+ months"/>
    <s v="6+ tickets"/>
    <s v="21–30 min"/>
    <s v="1000+"/>
    <n v="38488"/>
    <n v="0"/>
  </r>
  <r>
    <n v="12274"/>
    <n v="33"/>
    <s v="Female"/>
    <s v="Pune"/>
    <d v="2021-03-24T00:00:00"/>
    <d v="2022-03-25T00:00:00"/>
    <x v="0"/>
    <n v="825"/>
    <x v="20"/>
    <n v="3"/>
    <n v="42.43"/>
    <n v="0"/>
    <x v="0"/>
    <x v="1"/>
    <n v="4950"/>
    <b v="1"/>
    <n v="0.5"/>
    <n v="825"/>
    <n v="10.6075"/>
    <d v="2021-03-01T00:00:00"/>
    <s v="Adult"/>
    <n v="0"/>
    <s v="No"/>
    <n v="366"/>
    <s v="Medium"/>
    <s v="Low"/>
    <n v="0.42857142857142855"/>
    <s v="Low"/>
    <n v="1"/>
    <d v="2021-03-01T00:00:00"/>
    <s v="0–6 months"/>
    <s v="2–3 tickets"/>
    <s v="31–45 min"/>
    <s v="701–1000"/>
    <n v="4950"/>
    <n v="0"/>
  </r>
  <r>
    <n v="12275"/>
    <n v="41"/>
    <s v="Male"/>
    <s v="Chennai"/>
    <d v="2021-08-13T00:00:00"/>
    <d v="2022-09-07T00:00:00"/>
    <x v="1"/>
    <n v="648"/>
    <x v="21"/>
    <n v="1"/>
    <n v="7.43"/>
    <n v="15"/>
    <x v="3"/>
    <x v="1"/>
    <n v="3142.8"/>
    <b v="1"/>
    <n v="0.41666666666666669"/>
    <n v="628.56000000000006"/>
    <n v="3.7149999999999999"/>
    <d v="2021-08-01T00:00:00"/>
    <s v="Middle-aged"/>
    <n v="0"/>
    <s v="No"/>
    <n v="390"/>
    <s v="Low"/>
    <s v="Low"/>
    <n v="0.16666666666666666"/>
    <s v="Low"/>
    <n v="3"/>
    <d v="2021-08-01T00:00:00"/>
    <s v="0–6 months"/>
    <s v="0–1 tickets"/>
    <s v="0–10 min"/>
    <s v="501–700"/>
    <n v="3240"/>
    <n v="-97.199999999999818"/>
  </r>
  <r>
    <n v="12276"/>
    <n v="44"/>
    <s v="Female"/>
    <s v="Bangalore"/>
    <d v="2022-02-16T00:00:00"/>
    <d v="2022-11-09T00:00:00"/>
    <x v="1"/>
    <n v="805"/>
    <x v="5"/>
    <n v="1"/>
    <n v="17.46"/>
    <n v="10"/>
    <x v="3"/>
    <x v="1"/>
    <n v="23264.5"/>
    <b v="1"/>
    <n v="2.4166666666666665"/>
    <n v="802.22413793103453"/>
    <n v="8.73"/>
    <d v="2022-02-01T00:00:00"/>
    <s v="Middle-aged"/>
    <n v="0"/>
    <s v="Yes"/>
    <n v="266"/>
    <s v="Low"/>
    <s v="Low"/>
    <n v="3.3333333333333333E-2"/>
    <s v="High"/>
    <n v="3"/>
    <d v="2022-02-01T00:00:00"/>
    <s v="25+ months"/>
    <s v="0–1 tickets"/>
    <s v="11–20 min"/>
    <s v="701–1000"/>
    <n v="23345"/>
    <n v="-80.5"/>
  </r>
  <r>
    <n v="12277"/>
    <n v="54"/>
    <s v="Male"/>
    <s v="Bangalore"/>
    <d v="2023-01-05T00:00:00"/>
    <d v="2022-01-20T00:00:00"/>
    <x v="0"/>
    <n v="942"/>
    <x v="12"/>
    <n v="2"/>
    <n v="35.479999999999997"/>
    <n v="15"/>
    <x v="0"/>
    <x v="1"/>
    <n v="32828.699999999997"/>
    <b v="0"/>
    <n v="2.9166666666666665"/>
    <n v="937.96285714285705"/>
    <n v="11.826666666666666"/>
    <d v="2023-01-01T00:00:00"/>
    <s v="Older"/>
    <n v="0"/>
    <s v="Yes"/>
    <m/>
    <s v="Medium"/>
    <s v="Low"/>
    <n v="5.5555555555555552E-2"/>
    <s v="High"/>
    <n v="1"/>
    <d v="2023-01-01T00:00:00"/>
    <s v="25+ months"/>
    <s v="2–3 tickets"/>
    <s v="31–45 min"/>
    <s v="701–1000"/>
    <n v="32970"/>
    <n v="-141.30000000000291"/>
  </r>
  <r>
    <n v="12278"/>
    <n v="21"/>
    <s v="Male"/>
    <s v="Mumbai"/>
    <d v="2021-04-28T00:00:00"/>
    <d v="2022-12-27T00:00:00"/>
    <x v="2"/>
    <n v="537"/>
    <x v="10"/>
    <n v="2"/>
    <n v="12.53"/>
    <n v="0"/>
    <x v="3"/>
    <x v="0"/>
    <n v="9666"/>
    <b v="1"/>
    <n v="1.5"/>
    <n v="537"/>
    <n v="4.1766666666666667"/>
    <d v="2021-04-01T00:00:00"/>
    <s v="Young"/>
    <n v="1"/>
    <s v="No"/>
    <n v="608"/>
    <s v="Low"/>
    <s v="Low"/>
    <n v="0.10526315789473684"/>
    <s v="Medium"/>
    <n v="2"/>
    <d v="2021-04-01T00:00:00"/>
    <s v="13–24 months"/>
    <s v="2–3 tickets"/>
    <s v="11–20 min"/>
    <s v="501–700"/>
    <n v="9666"/>
    <n v="0"/>
  </r>
  <r>
    <n v="12279"/>
    <n v="41"/>
    <s v="Male"/>
    <s v="Delhi"/>
    <d v="2022-04-27T00:00:00"/>
    <d v="2023-05-09T00:00:00"/>
    <x v="2"/>
    <n v="437"/>
    <x v="3"/>
    <n v="0"/>
    <n v="74.3"/>
    <n v="10"/>
    <x v="3"/>
    <x v="1"/>
    <n v="13022.6"/>
    <b v="1"/>
    <n v="2.5"/>
    <n v="434.0866666666667"/>
    <n v="74.3"/>
    <d v="2022-04-01T00:00:00"/>
    <s v="Middle-aged"/>
    <n v="0"/>
    <s v="No"/>
    <n v="377"/>
    <s v="High"/>
    <s v="Low"/>
    <n v="0"/>
    <s v="Medium"/>
    <n v="2"/>
    <d v="2022-04-01T00:00:00"/>
    <s v="25+ months"/>
    <s v="0–1 tickets"/>
    <s v="46+ min"/>
    <s v="301–500"/>
    <n v="13110"/>
    <n v="-87.399999999999636"/>
  </r>
  <r>
    <n v="12280"/>
    <n v="36"/>
    <s v="Male"/>
    <s v="Bangalore"/>
    <d v="2021-07-11T00:00:00"/>
    <d v="2021-06-27T00:00:00"/>
    <x v="1"/>
    <n v="1465"/>
    <x v="15"/>
    <n v="2"/>
    <n v="119.78"/>
    <n v="0"/>
    <x v="0"/>
    <x v="1"/>
    <n v="21975"/>
    <b v="0"/>
    <n v="1.25"/>
    <n v="1465"/>
    <n v="39.926666666666669"/>
    <d v="2021-07-01T00:00:00"/>
    <s v="Middle-aged"/>
    <n v="0"/>
    <s v="Yes"/>
    <m/>
    <s v="High"/>
    <s v="Low"/>
    <n v="0.125"/>
    <s v="High"/>
    <n v="3"/>
    <d v="2021-07-01T00:00:00"/>
    <s v="13–24 months"/>
    <s v="2–3 tickets"/>
    <s v="46+ min"/>
    <s v="1000+"/>
    <n v="21975"/>
    <n v="0"/>
  </r>
  <r>
    <n v="12281"/>
    <n v="53"/>
    <s v="Male"/>
    <s v="Hyderabad"/>
    <d v="2022-08-14T00:00:00"/>
    <d v="2022-09-14T00:00:00"/>
    <x v="0"/>
    <n v="911"/>
    <x v="15"/>
    <n v="1"/>
    <n v="16.59"/>
    <n v="10"/>
    <x v="0"/>
    <x v="1"/>
    <n v="13573.9"/>
    <b v="1"/>
    <n v="1.25"/>
    <n v="904.92666666666662"/>
    <n v="8.2949999999999999"/>
    <d v="2022-08-01T00:00:00"/>
    <s v="Older"/>
    <n v="0"/>
    <s v="Yes"/>
    <n v="31"/>
    <s v="Low"/>
    <s v="Low"/>
    <n v="6.25E-2"/>
    <s v="Medium"/>
    <n v="1"/>
    <d v="2022-08-01T00:00:00"/>
    <s v="13–24 months"/>
    <s v="0–1 tickets"/>
    <s v="11–20 min"/>
    <s v="701–1000"/>
    <n v="13665"/>
    <n v="-91.100000000000364"/>
  </r>
  <r>
    <n v="12282"/>
    <n v="56"/>
    <s v="Male"/>
    <s v="Delhi"/>
    <d v="2022-08-13T00:00:00"/>
    <d v="2021-09-01T00:00:00"/>
    <x v="2"/>
    <n v="979"/>
    <x v="24"/>
    <n v="5"/>
    <n v="99.44"/>
    <n v="20"/>
    <x v="2"/>
    <x v="1"/>
    <n v="15468.2"/>
    <b v="0"/>
    <n v="1.3333333333333333"/>
    <n v="966.76250000000005"/>
    <n v="16.573333333333334"/>
    <d v="2022-08-01T00:00:00"/>
    <s v="Older"/>
    <n v="0"/>
    <s v="Yes"/>
    <m/>
    <s v="High"/>
    <s v="Medium"/>
    <n v="0.29411764705882354"/>
    <s v="Medium"/>
    <n v="2"/>
    <d v="2022-08-01T00:00:00"/>
    <s v="13–24 months"/>
    <s v="4–5 tickets"/>
    <s v="46+ min"/>
    <s v="701–1000"/>
    <n v="15664"/>
    <n v="-195.79999999999927"/>
  </r>
  <r>
    <n v="12283"/>
    <n v="27"/>
    <s v="Male"/>
    <s v="Pune"/>
    <d v="2022-10-21T00:00:00"/>
    <d v="2023-02-07T00:00:00"/>
    <x v="2"/>
    <n v="1138"/>
    <x v="33"/>
    <n v="1"/>
    <n v="18.66"/>
    <n v="15"/>
    <x v="3"/>
    <x v="1"/>
    <n v="37383.300000000003"/>
    <b v="1"/>
    <n v="2.75"/>
    <n v="1132.8272727272729"/>
    <n v="9.33"/>
    <d v="2022-10-01T00:00:00"/>
    <s v="Adult"/>
    <n v="0"/>
    <s v="Yes"/>
    <n v="109"/>
    <s v="Low"/>
    <s v="Low"/>
    <n v="2.9411764705882353E-2"/>
    <s v="High"/>
    <n v="2"/>
    <d v="2022-10-01T00:00:00"/>
    <s v="25+ months"/>
    <s v="0–1 tickets"/>
    <s v="11–20 min"/>
    <s v="1000+"/>
    <n v="37554"/>
    <n v="-170.69999999999709"/>
  </r>
  <r>
    <n v="12284"/>
    <n v="41"/>
    <s v="Male"/>
    <s v="Delhi"/>
    <d v="2021-04-17T00:00:00"/>
    <d v="2022-04-05T00:00:00"/>
    <x v="0"/>
    <n v="1237"/>
    <x v="32"/>
    <n v="1"/>
    <n v="82.04"/>
    <n v="15"/>
    <x v="3"/>
    <x v="1"/>
    <n v="12184.45"/>
    <b v="1"/>
    <n v="0.83333333333333337"/>
    <n v="1218.4450000000002"/>
    <n v="41.02"/>
    <d v="2021-04-01T00:00:00"/>
    <s v="Middle-aged"/>
    <n v="0"/>
    <s v="No"/>
    <n v="353"/>
    <s v="High"/>
    <s v="Low"/>
    <n v="9.0909090909090912E-2"/>
    <s v="Medium"/>
    <n v="1"/>
    <d v="2021-04-01T00:00:00"/>
    <s v="7–12 months"/>
    <s v="0–1 tickets"/>
    <s v="46+ min"/>
    <s v="1000+"/>
    <n v="12370"/>
    <n v="-185.54999999999927"/>
  </r>
  <r>
    <n v="12285"/>
    <n v="35"/>
    <s v="Male"/>
    <s v="Hyderabad"/>
    <d v="2022-01-17T00:00:00"/>
    <d v="2021-07-22T00:00:00"/>
    <x v="1"/>
    <n v="654"/>
    <x v="17"/>
    <n v="2"/>
    <n v="78.959999999999994"/>
    <n v="0"/>
    <x v="0"/>
    <x v="1"/>
    <n v="12426"/>
    <b v="0"/>
    <n v="1.5833333333333333"/>
    <n v="654"/>
    <n v="26.319999999999997"/>
    <d v="2022-01-01T00:00:00"/>
    <s v="Adult"/>
    <n v="0"/>
    <s v="No"/>
    <m/>
    <s v="High"/>
    <s v="Low"/>
    <n v="0.1"/>
    <s v="Medium"/>
    <n v="3"/>
    <d v="2022-01-01T00:00:00"/>
    <s v="13–24 months"/>
    <s v="2–3 tickets"/>
    <s v="46+ min"/>
    <s v="501–700"/>
    <n v="12426"/>
    <n v="0"/>
  </r>
  <r>
    <n v="12286"/>
    <n v="36"/>
    <s v="Male"/>
    <s v="Chennai"/>
    <d v="2023-02-22T00:00:00"/>
    <d v="2022-04-15T00:00:00"/>
    <x v="0"/>
    <n v="877"/>
    <x v="13"/>
    <n v="0"/>
    <n v="108.81"/>
    <n v="0"/>
    <x v="1"/>
    <x v="0"/>
    <n v="2631"/>
    <b v="0"/>
    <n v="0.25"/>
    <n v="877"/>
    <n v="108.81"/>
    <d v="2023-02-01T00:00:00"/>
    <s v="Middle-aged"/>
    <n v="1"/>
    <s v="No"/>
    <m/>
    <s v="High"/>
    <s v="Low"/>
    <n v="0"/>
    <s v="Low"/>
    <n v="1"/>
    <d v="2023-02-01T00:00:00"/>
    <s v="0–6 months"/>
    <s v="0–1 tickets"/>
    <s v="46+ min"/>
    <s v="701–1000"/>
    <n v="2631"/>
    <n v="0"/>
  </r>
  <r>
    <n v="12287"/>
    <n v="53"/>
    <s v="Male"/>
    <s v="Hyderabad"/>
    <d v="2022-01-25T00:00:00"/>
    <d v="2021-11-28T00:00:00"/>
    <x v="0"/>
    <n v="1146"/>
    <x v="2"/>
    <n v="1"/>
    <n v="18.100000000000001"/>
    <n v="15"/>
    <x v="0"/>
    <x v="1"/>
    <n v="4412.1000000000004"/>
    <b v="0"/>
    <n v="0.33333333333333331"/>
    <n v="1103.0250000000001"/>
    <n v="9.0500000000000007"/>
    <d v="2022-01-01T00:00:00"/>
    <s v="Older"/>
    <n v="0"/>
    <s v="No"/>
    <m/>
    <s v="Low"/>
    <s v="Low"/>
    <n v="0.2"/>
    <s v="Low"/>
    <n v="1"/>
    <d v="2022-01-01T00:00:00"/>
    <s v="0–6 months"/>
    <s v="0–1 tickets"/>
    <s v="11–20 min"/>
    <s v="1000+"/>
    <n v="4584"/>
    <n v="-171.89999999999964"/>
  </r>
  <r>
    <n v="12288"/>
    <n v="27"/>
    <s v="Female"/>
    <s v="unknown"/>
    <d v="2021-09-01T00:00:00"/>
    <d v="2022-12-21T00:00:00"/>
    <x v="2"/>
    <n v="858"/>
    <x v="11"/>
    <n v="3"/>
    <n v="41.28"/>
    <n v="15"/>
    <x v="2"/>
    <x v="1"/>
    <n v="9309.2999999999993"/>
    <b v="1"/>
    <n v="0.91666666666666663"/>
    <n v="846.3"/>
    <n v="10.32"/>
    <d v="2021-09-01T00:00:00"/>
    <s v="Adult"/>
    <n v="0"/>
    <s v="No"/>
    <n v="476"/>
    <s v="Medium"/>
    <s v="Low"/>
    <n v="0.25"/>
    <s v="Medium"/>
    <n v="2"/>
    <d v="2021-09-01T00:00:00"/>
    <s v="7–12 months"/>
    <s v="2–3 tickets"/>
    <s v="31–45 min"/>
    <s v="701–1000"/>
    <n v="9438"/>
    <n v="-128.70000000000073"/>
  </r>
  <r>
    <n v="12289"/>
    <n v="50"/>
    <s v="Male"/>
    <s v="Chennai"/>
    <d v="2022-08-08T00:00:00"/>
    <d v="2021-09-28T00:00:00"/>
    <x v="2"/>
    <n v="1148"/>
    <x v="33"/>
    <n v="0"/>
    <n v="15.44"/>
    <n v="5"/>
    <x v="1"/>
    <x v="1"/>
    <n v="37826.6"/>
    <b v="0"/>
    <n v="2.75"/>
    <n v="1146.2606060606061"/>
    <n v="15.44"/>
    <d v="2022-08-01T00:00:00"/>
    <s v="Middle-aged"/>
    <n v="0"/>
    <s v="Yes"/>
    <m/>
    <s v="Low"/>
    <s v="Low"/>
    <n v="0"/>
    <s v="High"/>
    <n v="2"/>
    <d v="2022-08-01T00:00:00"/>
    <s v="25+ months"/>
    <s v="0–1 tickets"/>
    <s v="11–20 min"/>
    <s v="1000+"/>
    <n v="37884"/>
    <n v="-57.400000000001455"/>
  </r>
  <r>
    <n v="12290"/>
    <n v="22"/>
    <s v="Male"/>
    <s v="Chennai"/>
    <d v="2023-05-19T00:00:00"/>
    <d v="2023-08-29T00:00:00"/>
    <x v="0"/>
    <n v="1469"/>
    <x v="29"/>
    <n v="4"/>
    <n v="51.85"/>
    <n v="10"/>
    <x v="1"/>
    <x v="1"/>
    <n v="40985.1"/>
    <b v="1"/>
    <n v="2.3333333333333335"/>
    <n v="1463.7535714285714"/>
    <n v="10.370000000000001"/>
    <d v="2023-05-01T00:00:00"/>
    <s v="Young"/>
    <n v="0"/>
    <s v="Yes"/>
    <n v="102"/>
    <s v="Medium"/>
    <s v="Low"/>
    <n v="0.13793103448275862"/>
    <s v="High"/>
    <n v="1"/>
    <d v="2023-05-01T00:00:00"/>
    <s v="25+ months"/>
    <s v="4–5 tickets"/>
    <s v="46+ min"/>
    <s v="1000+"/>
    <n v="41132"/>
    <n v="-146.90000000000146"/>
  </r>
  <r>
    <n v="12291"/>
    <n v="64"/>
    <s v="Male"/>
    <s v="Chennai"/>
    <d v="2022-04-13T00:00:00"/>
    <d v="2023-10-23T00:00:00"/>
    <x v="0"/>
    <n v="1475"/>
    <x v="23"/>
    <n v="1"/>
    <n v="109.83"/>
    <n v="5"/>
    <x v="1"/>
    <x v="1"/>
    <n v="47126.25"/>
    <b v="1"/>
    <n v="2.6666666666666665"/>
    <n v="1472.6953125"/>
    <n v="54.914999999999999"/>
    <d v="2022-04-01T00:00:00"/>
    <s v="Older"/>
    <n v="0"/>
    <s v="Yes"/>
    <n v="558"/>
    <s v="High"/>
    <s v="Low"/>
    <n v="3.0303030303030304E-2"/>
    <s v="High"/>
    <n v="1"/>
    <d v="2022-04-01T00:00:00"/>
    <s v="25+ months"/>
    <s v="0–1 tickets"/>
    <s v="46+ min"/>
    <s v="1000+"/>
    <n v="47200"/>
    <n v="-73.75"/>
  </r>
  <r>
    <n v="12292"/>
    <n v="41"/>
    <s v="Female"/>
    <s v="Chennai"/>
    <d v="2023-05-16T00:00:00"/>
    <d v="2021-07-13T00:00:00"/>
    <x v="1"/>
    <n v="439"/>
    <x v="24"/>
    <n v="0"/>
    <n v="94.88"/>
    <n v="5"/>
    <x v="2"/>
    <x v="1"/>
    <n v="7002.05"/>
    <b v="0"/>
    <n v="1.3333333333333333"/>
    <n v="437.62812500000001"/>
    <n v="94.88"/>
    <d v="2023-05-01T00:00:00"/>
    <s v="Middle-aged"/>
    <n v="0"/>
    <s v="No"/>
    <m/>
    <s v="High"/>
    <s v="Low"/>
    <n v="0"/>
    <s v="Low"/>
    <n v="3"/>
    <d v="2023-05-01T00:00:00"/>
    <s v="13–24 months"/>
    <s v="0–1 tickets"/>
    <s v="46+ min"/>
    <s v="301–500"/>
    <n v="7024"/>
    <n v="-21.949999999999818"/>
  </r>
  <r>
    <n v="12293"/>
    <n v="61"/>
    <s v="Female"/>
    <s v="Chennai"/>
    <d v="2022-06-22T00:00:00"/>
    <d v="2023-03-09T00:00:00"/>
    <x v="0"/>
    <n v="962"/>
    <x v="9"/>
    <n v="4"/>
    <n v="88.13"/>
    <n v="15"/>
    <x v="3"/>
    <x v="0"/>
    <n v="8513.7000000000007"/>
    <b v="1"/>
    <n v="0.75"/>
    <n v="945.9666666666667"/>
    <n v="17.625999999999998"/>
    <d v="2022-06-01T00:00:00"/>
    <s v="Older"/>
    <n v="1"/>
    <s v="No"/>
    <n v="260"/>
    <s v="High"/>
    <s v="Low"/>
    <n v="0.4"/>
    <s v="Low"/>
    <n v="1"/>
    <d v="2022-06-01T00:00:00"/>
    <s v="7–12 months"/>
    <s v="4–5 tickets"/>
    <s v="46+ min"/>
    <s v="701–1000"/>
    <n v="8658"/>
    <n v="-144.29999999999927"/>
  </r>
  <r>
    <n v="12294"/>
    <n v="51"/>
    <s v="Female"/>
    <s v="Hyderabad"/>
    <d v="2021-07-29T00:00:00"/>
    <d v="2023-11-02T00:00:00"/>
    <x v="2"/>
    <n v="320"/>
    <x v="11"/>
    <n v="3"/>
    <n v="66.3"/>
    <n v="10"/>
    <x v="0"/>
    <x v="1"/>
    <n v="3488"/>
    <b v="1"/>
    <n v="0.91666666666666663"/>
    <n v="317.09090909090907"/>
    <n v="16.574999999999999"/>
    <d v="2021-07-01T00:00:00"/>
    <s v="Older"/>
    <n v="0"/>
    <s v="No"/>
    <n v="826"/>
    <s v="High"/>
    <s v="Low"/>
    <n v="0.25"/>
    <s v="Low"/>
    <n v="2"/>
    <d v="2021-07-01T00:00:00"/>
    <s v="7–12 months"/>
    <s v="2–3 tickets"/>
    <s v="46+ min"/>
    <s v="301–500"/>
    <n v="3520"/>
    <n v="-32"/>
  </r>
  <r>
    <n v="12295"/>
    <n v="50"/>
    <s v="Female"/>
    <s v="Mumbai"/>
    <d v="2022-08-27T00:00:00"/>
    <d v="2022-02-15T00:00:00"/>
    <x v="2"/>
    <n v="363"/>
    <x v="20"/>
    <n v="1"/>
    <n v="106.6"/>
    <n v="15"/>
    <x v="2"/>
    <x v="1"/>
    <n v="2123.5500000000002"/>
    <b v="0"/>
    <n v="0.5"/>
    <n v="353.92500000000001"/>
    <n v="53.3"/>
    <d v="2022-08-01T00:00:00"/>
    <s v="Middle-aged"/>
    <n v="0"/>
    <s v="No"/>
    <m/>
    <s v="High"/>
    <s v="Low"/>
    <n v="0.14285714285714285"/>
    <s v="Low"/>
    <n v="2"/>
    <d v="2022-08-01T00:00:00"/>
    <s v="0–6 months"/>
    <s v="0–1 tickets"/>
    <s v="46+ min"/>
    <s v="301–500"/>
    <n v="2178"/>
    <n v="-54.449999999999818"/>
  </r>
  <r>
    <n v="12296"/>
    <n v="38"/>
    <s v="Female"/>
    <s v="Mumbai"/>
    <d v="2022-09-29T00:00:00"/>
    <d v="2021-12-14T00:00:00"/>
    <x v="0"/>
    <n v="1395"/>
    <x v="26"/>
    <n v="3"/>
    <n v="62.59"/>
    <n v="5"/>
    <x v="2"/>
    <x v="1"/>
    <n v="37595.25"/>
    <b v="0"/>
    <n v="2.25"/>
    <n v="1392.4166666666667"/>
    <n v="15.647500000000001"/>
    <d v="2022-09-01T00:00:00"/>
    <s v="Middle-aged"/>
    <n v="0"/>
    <s v="Yes"/>
    <m/>
    <s v="High"/>
    <s v="Low"/>
    <n v="0.10714285714285714"/>
    <s v="High"/>
    <n v="1"/>
    <d v="2022-09-01T00:00:00"/>
    <s v="25+ months"/>
    <s v="2–3 tickets"/>
    <s v="46+ min"/>
    <s v="1000+"/>
    <n v="37665"/>
    <n v="-69.75"/>
  </r>
  <r>
    <n v="12297"/>
    <n v="34"/>
    <s v="Female"/>
    <s v="unknown"/>
    <d v="2021-03-14T00:00:00"/>
    <d v="2023-03-07T00:00:00"/>
    <x v="1"/>
    <n v="1289"/>
    <x v="34"/>
    <n v="2"/>
    <n v="22.21"/>
    <n v="5"/>
    <x v="1"/>
    <x v="1"/>
    <n v="15403.55"/>
    <b v="1"/>
    <n v="1"/>
    <n v="1283.6291666666666"/>
    <n v="7.4033333333333333"/>
    <d v="2021-03-01T00:00:00"/>
    <s v="Adult"/>
    <n v="0"/>
    <s v="Yes"/>
    <n v="723"/>
    <s v="Medium"/>
    <s v="Low"/>
    <n v="0.15384615384615385"/>
    <s v="Medium"/>
    <n v="3"/>
    <d v="2021-03-01T00:00:00"/>
    <s v="7–12 months"/>
    <s v="2–3 tickets"/>
    <s v="21–30 min"/>
    <s v="1000+"/>
    <n v="15468"/>
    <n v="-64.450000000000728"/>
  </r>
  <r>
    <n v="12298"/>
    <n v="39"/>
    <s v="Female"/>
    <s v="Mumbai"/>
    <d v="2022-09-27T00:00:00"/>
    <d v="2022-02-10T00:00:00"/>
    <x v="2"/>
    <n v="461"/>
    <x v="1"/>
    <n v="3"/>
    <n v="101.32"/>
    <n v="15"/>
    <x v="1"/>
    <x v="1"/>
    <n v="10072.85"/>
    <b v="0"/>
    <n v="1.8333333333333333"/>
    <n v="457.8568181818182"/>
    <n v="25.33"/>
    <d v="2022-09-01T00:00:00"/>
    <s v="Middle-aged"/>
    <n v="0"/>
    <s v="No"/>
    <m/>
    <s v="High"/>
    <s v="Low"/>
    <n v="0.13043478260869565"/>
    <s v="Medium"/>
    <n v="2"/>
    <d v="2022-09-01T00:00:00"/>
    <s v="13–24 months"/>
    <s v="2–3 tickets"/>
    <s v="46+ min"/>
    <s v="301–500"/>
    <n v="10142"/>
    <n v="-69.149999999999636"/>
  </r>
  <r>
    <n v="12299"/>
    <n v="41"/>
    <s v="Male"/>
    <s v="Pune"/>
    <d v="2021-11-05T00:00:00"/>
    <d v="2023-06-02T00:00:00"/>
    <x v="2"/>
    <n v="429"/>
    <x v="6"/>
    <n v="1"/>
    <n v="37.159999999999997"/>
    <n v="0"/>
    <x v="2"/>
    <x v="1"/>
    <n v="9009"/>
    <b v="1"/>
    <n v="1.75"/>
    <n v="429"/>
    <n v="18.579999999999998"/>
    <d v="2021-11-01T00:00:00"/>
    <s v="Middle-aged"/>
    <n v="0"/>
    <s v="No"/>
    <n v="574"/>
    <s v="Medium"/>
    <s v="Low"/>
    <n v="4.5454545454545456E-2"/>
    <s v="Medium"/>
    <n v="2"/>
    <d v="2021-11-01T00:00:00"/>
    <s v="13–24 months"/>
    <s v="0–1 tickets"/>
    <s v="31–45 min"/>
    <s v="301–500"/>
    <n v="9009"/>
    <n v="0"/>
  </r>
  <r>
    <n v="12300"/>
    <n v="32"/>
    <s v="Male"/>
    <s v="unknown"/>
    <d v="2022-11-27T00:00:00"/>
    <d v="2022-05-02T00:00:00"/>
    <x v="2"/>
    <n v="880"/>
    <x v="33"/>
    <n v="1"/>
    <n v="11.17"/>
    <n v="0"/>
    <x v="3"/>
    <x v="0"/>
    <n v="29040"/>
    <b v="0"/>
    <n v="2.75"/>
    <n v="880"/>
    <n v="5.585"/>
    <d v="2022-11-01T00:00:00"/>
    <s v="Adult"/>
    <n v="1"/>
    <s v="Yes"/>
    <m/>
    <s v="Low"/>
    <s v="Low"/>
    <n v="2.9411764705882353E-2"/>
    <s v="High"/>
    <n v="2"/>
    <d v="2022-11-01T00:00:00"/>
    <s v="25+ months"/>
    <s v="0–1 tickets"/>
    <s v="11–20 min"/>
    <s v="701–1000"/>
    <n v="29040"/>
    <n v="0"/>
  </r>
  <r>
    <n v="12301"/>
    <n v="52"/>
    <s v="Male"/>
    <s v="Hyderabad"/>
    <d v="2022-11-30T00:00:00"/>
    <d v="2022-12-05T00:00:00"/>
    <x v="2"/>
    <n v="524"/>
    <x v="18"/>
    <n v="2"/>
    <n v="19.489999999999998"/>
    <n v="15"/>
    <x v="1"/>
    <x v="1"/>
    <n v="8829.4"/>
    <b v="1"/>
    <n v="1.4166666666666667"/>
    <n v="519.37647058823529"/>
    <n v="6.4966666666666661"/>
    <d v="2022-11-01T00:00:00"/>
    <s v="Older"/>
    <n v="0"/>
    <s v="No"/>
    <n v="5"/>
    <s v="Low"/>
    <s v="Low"/>
    <n v="0.1111111111111111"/>
    <s v="Medium"/>
    <n v="2"/>
    <d v="2022-11-01T00:00:00"/>
    <s v="13–24 months"/>
    <s v="2–3 tickets"/>
    <s v="11–20 min"/>
    <s v="501–700"/>
    <n v="8908"/>
    <n v="-78.600000000000364"/>
  </r>
  <r>
    <n v="12302"/>
    <n v="45"/>
    <s v="Female"/>
    <s v="Chennai"/>
    <d v="2022-12-11T00:00:00"/>
    <d v="2022-10-15T00:00:00"/>
    <x v="2"/>
    <n v="879"/>
    <x v="5"/>
    <n v="1"/>
    <n v="75.040000000000006"/>
    <n v="20"/>
    <x v="2"/>
    <x v="0"/>
    <n v="25315.200000000001"/>
    <b v="0"/>
    <n v="2.4166666666666665"/>
    <n v="872.93793103448274"/>
    <n v="37.520000000000003"/>
    <d v="2022-12-01T00:00:00"/>
    <s v="Middle-aged"/>
    <n v="1"/>
    <s v="Yes"/>
    <m/>
    <s v="High"/>
    <s v="Medium"/>
    <n v="3.3333333333333333E-2"/>
    <s v="High"/>
    <n v="2"/>
    <d v="2022-12-01T00:00:00"/>
    <s v="25+ months"/>
    <s v="0–1 tickets"/>
    <s v="46+ min"/>
    <s v="701–1000"/>
    <n v="25491"/>
    <n v="-175.79999999999927"/>
  </r>
  <r>
    <n v="12303"/>
    <n v="24"/>
    <s v="Female"/>
    <s v="Chennai"/>
    <d v="2022-08-13T00:00:00"/>
    <d v="2023-11-17T00:00:00"/>
    <x v="1"/>
    <n v="1282"/>
    <x v="32"/>
    <n v="6"/>
    <n v="74.81"/>
    <n v="20"/>
    <x v="1"/>
    <x v="0"/>
    <n v="12563.6"/>
    <b v="1"/>
    <n v="0.83333333333333337"/>
    <n v="1256.3600000000001"/>
    <n v="10.687142857142858"/>
    <d v="2022-08-01T00:00:00"/>
    <s v="Young"/>
    <n v="1"/>
    <s v="No"/>
    <n v="461"/>
    <s v="High"/>
    <s v="Medium"/>
    <n v="0.54545454545454541"/>
    <s v="Medium"/>
    <n v="3"/>
    <d v="2022-08-01T00:00:00"/>
    <s v="7–12 months"/>
    <s v="6+ tickets"/>
    <s v="46+ min"/>
    <s v="1000+"/>
    <n v="12820"/>
    <n v="-256.39999999999964"/>
  </r>
  <r>
    <n v="12304"/>
    <n v="49"/>
    <s v="Female"/>
    <s v="Hyderabad"/>
    <d v="2023-05-10T00:00:00"/>
    <d v="2022-02-10T00:00:00"/>
    <x v="0"/>
    <n v="1304"/>
    <x v="10"/>
    <n v="3"/>
    <n v="34.92"/>
    <n v="0"/>
    <x v="0"/>
    <x v="1"/>
    <n v="23472"/>
    <b v="0"/>
    <n v="1.5"/>
    <n v="1304"/>
    <n v="8.73"/>
    <d v="2023-05-01T00:00:00"/>
    <s v="Middle-aged"/>
    <n v="0"/>
    <s v="Yes"/>
    <m/>
    <s v="Medium"/>
    <s v="Low"/>
    <n v="0.15789473684210525"/>
    <s v="High"/>
    <n v="1"/>
    <d v="2023-05-01T00:00:00"/>
    <s v="13–24 months"/>
    <s v="2–3 tickets"/>
    <s v="31–45 min"/>
    <s v="1000+"/>
    <n v="23472"/>
    <n v="0"/>
  </r>
  <r>
    <n v="12305"/>
    <n v="28"/>
    <s v="Male"/>
    <s v="Pune"/>
    <d v="2021-07-05T00:00:00"/>
    <d v="2022-10-27T00:00:00"/>
    <x v="0"/>
    <n v="406"/>
    <x v="19"/>
    <n v="5"/>
    <n v="88.63"/>
    <n v="10"/>
    <x v="0"/>
    <x v="0"/>
    <n v="5237.3999999999996"/>
    <b v="1"/>
    <n v="1.0833333333333333"/>
    <n v="402.87692307692305"/>
    <n v="14.771666666666667"/>
    <d v="2021-07-01T00:00:00"/>
    <s v="Adult"/>
    <n v="1"/>
    <s v="No"/>
    <n v="479"/>
    <s v="High"/>
    <s v="Low"/>
    <n v="0.35714285714285715"/>
    <s v="Low"/>
    <n v="1"/>
    <d v="2021-07-01T00:00:00"/>
    <s v="13–24 months"/>
    <s v="4–5 tickets"/>
    <s v="46+ min"/>
    <s v="301–500"/>
    <n v="5278"/>
    <n v="-40.600000000000364"/>
  </r>
  <r>
    <n v="12306"/>
    <n v="27"/>
    <s v="Male"/>
    <s v="Mumbai"/>
    <d v="2023-05-06T00:00:00"/>
    <d v="2023-05-08T00:00:00"/>
    <x v="0"/>
    <n v="920"/>
    <x v="26"/>
    <n v="1"/>
    <n v="93.97"/>
    <n v="5"/>
    <x v="0"/>
    <x v="1"/>
    <n v="24794"/>
    <b v="1"/>
    <n v="2.25"/>
    <n v="918.2962962962963"/>
    <n v="46.984999999999999"/>
    <d v="2023-05-01T00:00:00"/>
    <s v="Adult"/>
    <n v="0"/>
    <s v="Yes"/>
    <n v="2"/>
    <s v="High"/>
    <s v="Low"/>
    <n v="3.5714285714285712E-2"/>
    <s v="High"/>
    <n v="1"/>
    <d v="2023-05-01T00:00:00"/>
    <s v="25+ months"/>
    <s v="0–1 tickets"/>
    <s v="46+ min"/>
    <s v="701–1000"/>
    <n v="24840"/>
    <n v="-46"/>
  </r>
  <r>
    <n v="12307"/>
    <n v="26"/>
    <s v="Male"/>
    <s v="Hyderabad"/>
    <d v="2021-09-10T00:00:00"/>
    <d v="2022-01-28T00:00:00"/>
    <x v="0"/>
    <n v="1139"/>
    <x v="32"/>
    <n v="1"/>
    <n v="110.86"/>
    <n v="10"/>
    <x v="1"/>
    <x v="1"/>
    <n v="11276.1"/>
    <b v="1"/>
    <n v="0.83333333333333337"/>
    <n v="1127.6100000000001"/>
    <n v="55.43"/>
    <d v="2021-09-01T00:00:00"/>
    <s v="Adult"/>
    <n v="0"/>
    <s v="No"/>
    <n v="140"/>
    <s v="High"/>
    <s v="Low"/>
    <n v="9.0909090909090912E-2"/>
    <s v="Medium"/>
    <n v="1"/>
    <d v="2021-09-01T00:00:00"/>
    <s v="7–12 months"/>
    <s v="0–1 tickets"/>
    <s v="46+ min"/>
    <s v="1000+"/>
    <n v="11390"/>
    <n v="-113.89999999999964"/>
  </r>
  <r>
    <n v="12308"/>
    <n v="31"/>
    <s v="Male"/>
    <s v="Bangalore"/>
    <d v="2021-01-13T00:00:00"/>
    <d v="2021-10-27T00:00:00"/>
    <x v="0"/>
    <n v="1426"/>
    <x v="23"/>
    <n v="3"/>
    <n v="72.27"/>
    <n v="0"/>
    <x v="1"/>
    <x v="0"/>
    <n v="45632"/>
    <b v="1"/>
    <n v="2.6666666666666665"/>
    <n v="1426"/>
    <n v="18.067499999999999"/>
    <d v="2021-01-01T00:00:00"/>
    <s v="Adult"/>
    <n v="1"/>
    <s v="Yes"/>
    <n v="287"/>
    <s v="High"/>
    <s v="Low"/>
    <n v="9.0909090909090912E-2"/>
    <s v="High"/>
    <n v="1"/>
    <d v="2021-01-01T00:00:00"/>
    <s v="25+ months"/>
    <s v="2–3 tickets"/>
    <s v="46+ min"/>
    <s v="1000+"/>
    <n v="45632"/>
    <n v="0"/>
  </r>
  <r>
    <n v="12309"/>
    <n v="30"/>
    <s v="Female"/>
    <s v="Chennai"/>
    <d v="2021-10-26T00:00:00"/>
    <d v="2023-05-11T00:00:00"/>
    <x v="1"/>
    <n v="1464"/>
    <x v="13"/>
    <n v="0"/>
    <n v="94.63"/>
    <n v="15"/>
    <x v="3"/>
    <x v="0"/>
    <n v="4172.3999999999996"/>
    <b v="1"/>
    <n v="0.25"/>
    <n v="1390.8"/>
    <n v="94.63"/>
    <d v="2021-10-01T00:00:00"/>
    <s v="Adult"/>
    <n v="1"/>
    <s v="No"/>
    <n v="562"/>
    <s v="High"/>
    <s v="Low"/>
    <n v="0"/>
    <s v="Low"/>
    <n v="3"/>
    <d v="2021-10-01T00:00:00"/>
    <s v="0–6 months"/>
    <s v="0–1 tickets"/>
    <s v="46+ min"/>
    <s v="1000+"/>
    <n v="4392"/>
    <n v="-219.60000000000036"/>
  </r>
  <r>
    <n v="12310"/>
    <n v="42"/>
    <s v="Female"/>
    <s v="Delhi"/>
    <d v="2021-03-17T00:00:00"/>
    <d v="2022-03-26T00:00:00"/>
    <x v="2"/>
    <n v="876"/>
    <x v="1"/>
    <n v="1"/>
    <n v="91.61"/>
    <n v="20"/>
    <x v="0"/>
    <x v="1"/>
    <n v="19096.8"/>
    <b v="1"/>
    <n v="1.8333333333333333"/>
    <n v="868.0363636363636"/>
    <n v="45.805"/>
    <d v="2021-03-01T00:00:00"/>
    <s v="Middle-aged"/>
    <n v="0"/>
    <s v="Yes"/>
    <n v="374"/>
    <s v="High"/>
    <s v="Medium"/>
    <n v="4.3478260869565216E-2"/>
    <s v="Medium"/>
    <n v="2"/>
    <d v="2021-03-01T00:00:00"/>
    <s v="13–24 months"/>
    <s v="0–1 tickets"/>
    <s v="46+ min"/>
    <s v="701–1000"/>
    <n v="19272"/>
    <n v="-175.20000000000073"/>
  </r>
  <r>
    <n v="12311"/>
    <n v="19"/>
    <s v="Male"/>
    <s v="Bangalore"/>
    <d v="2021-02-20T00:00:00"/>
    <d v="2023-06-27T00:00:00"/>
    <x v="2"/>
    <n v="1457"/>
    <x v="26"/>
    <n v="0"/>
    <n v="34.65"/>
    <n v="0"/>
    <x v="3"/>
    <x v="1"/>
    <n v="39339"/>
    <b v="1"/>
    <n v="2.25"/>
    <n v="1457"/>
    <n v="34.65"/>
    <d v="2021-02-01T00:00:00"/>
    <s v="Young"/>
    <n v="0"/>
    <s v="Yes"/>
    <n v="857"/>
    <s v="Medium"/>
    <s v="Low"/>
    <n v="0"/>
    <s v="High"/>
    <n v="2"/>
    <d v="2021-02-01T00:00:00"/>
    <s v="25+ months"/>
    <s v="0–1 tickets"/>
    <s v="31–45 min"/>
    <s v="1000+"/>
    <n v="39339"/>
    <n v="0"/>
  </r>
  <r>
    <n v="12312"/>
    <n v="52"/>
    <s v="Female"/>
    <s v="Pune"/>
    <d v="2023-02-26T00:00:00"/>
    <d v="2023-09-28T00:00:00"/>
    <x v="2"/>
    <n v="498"/>
    <x v="13"/>
    <n v="2"/>
    <n v="40.68"/>
    <n v="10"/>
    <x v="2"/>
    <x v="1"/>
    <n v="1444.2"/>
    <b v="1"/>
    <n v="0.25"/>
    <n v="481.40000000000003"/>
    <n v="13.56"/>
    <d v="2023-02-01T00:00:00"/>
    <s v="Older"/>
    <n v="0"/>
    <s v="No"/>
    <n v="214"/>
    <s v="Medium"/>
    <s v="Low"/>
    <n v="0.5"/>
    <s v="Low"/>
    <n v="2"/>
    <d v="2023-02-01T00:00:00"/>
    <s v="0–6 months"/>
    <s v="2–3 tickets"/>
    <s v="31–45 min"/>
    <s v="301–500"/>
    <n v="1494"/>
    <n v="-49.799999999999955"/>
  </r>
  <r>
    <n v="12313"/>
    <n v="41"/>
    <s v="Male"/>
    <s v="Bangalore"/>
    <d v="2021-05-29T00:00:00"/>
    <d v="2023-02-10T00:00:00"/>
    <x v="1"/>
    <n v="809"/>
    <x v="33"/>
    <n v="2"/>
    <n v="60.03"/>
    <n v="10"/>
    <x v="2"/>
    <x v="0"/>
    <n v="26616.1"/>
    <b v="1"/>
    <n v="2.75"/>
    <n v="806.5484848484848"/>
    <n v="20.010000000000002"/>
    <d v="2021-05-01T00:00:00"/>
    <s v="Middle-aged"/>
    <n v="1"/>
    <s v="Yes"/>
    <n v="622"/>
    <s v="High"/>
    <s v="Low"/>
    <n v="5.8823529411764705E-2"/>
    <s v="High"/>
    <n v="3"/>
    <d v="2021-05-01T00:00:00"/>
    <s v="25+ months"/>
    <s v="2–3 tickets"/>
    <s v="46+ min"/>
    <s v="701–1000"/>
    <n v="26697"/>
    <n v="-80.900000000001455"/>
  </r>
  <r>
    <n v="12314"/>
    <n v="38"/>
    <s v="Other"/>
    <s v="Hyderabad"/>
    <d v="2023-01-01T00:00:00"/>
    <d v="2022-08-27T00:00:00"/>
    <x v="2"/>
    <n v="966"/>
    <x v="4"/>
    <n v="2"/>
    <n v="7.19"/>
    <n v="0"/>
    <x v="0"/>
    <x v="1"/>
    <n v="1932"/>
    <b v="0"/>
    <n v="0.16666666666666666"/>
    <n v="966"/>
    <n v="2.3966666666666669"/>
    <d v="2023-01-01T00:00:00"/>
    <s v="Middle-aged"/>
    <n v="0"/>
    <s v="No"/>
    <m/>
    <s v="Low"/>
    <s v="Low"/>
    <n v="0.66666666666666663"/>
    <s v="Low"/>
    <n v="2"/>
    <d v="2023-01-01T00:00:00"/>
    <s v="0–6 months"/>
    <s v="2–3 tickets"/>
    <s v="0–10 min"/>
    <s v="701–1000"/>
    <n v="1932"/>
    <n v="0"/>
  </r>
  <r>
    <n v="12315"/>
    <n v="35"/>
    <s v="Male"/>
    <s v="Mumbai"/>
    <d v="2021-05-02T00:00:00"/>
    <d v="2022-06-28T00:00:00"/>
    <x v="1"/>
    <n v="378"/>
    <x v="11"/>
    <n v="1"/>
    <n v="39.200000000000003"/>
    <n v="5"/>
    <x v="3"/>
    <x v="1"/>
    <n v="4139.1000000000004"/>
    <b v="1"/>
    <n v="0.91666666666666663"/>
    <n v="376.28181818181821"/>
    <n v="19.600000000000001"/>
    <d v="2021-05-01T00:00:00"/>
    <s v="Adult"/>
    <n v="0"/>
    <s v="No"/>
    <n v="422"/>
    <s v="Medium"/>
    <s v="Low"/>
    <n v="8.3333333333333329E-2"/>
    <s v="Low"/>
    <n v="3"/>
    <d v="2021-05-01T00:00:00"/>
    <s v="7–12 months"/>
    <s v="0–1 tickets"/>
    <s v="31–45 min"/>
    <s v="301–500"/>
    <n v="4158"/>
    <n v="-18.899999999999636"/>
  </r>
  <r>
    <n v="12316"/>
    <n v="20"/>
    <s v="Male"/>
    <s v="Chennai"/>
    <d v="2021-07-30T00:00:00"/>
    <d v="2021-12-29T00:00:00"/>
    <x v="0"/>
    <n v="1193"/>
    <x v="32"/>
    <n v="1"/>
    <n v="59.5"/>
    <n v="10"/>
    <x v="1"/>
    <x v="1"/>
    <n v="11810.7"/>
    <b v="1"/>
    <n v="0.83333333333333337"/>
    <n v="1181.0700000000002"/>
    <n v="29.75"/>
    <d v="2021-07-01T00:00:00"/>
    <s v="Young"/>
    <n v="0"/>
    <s v="No"/>
    <n v="152"/>
    <s v="Medium"/>
    <s v="Low"/>
    <n v="9.0909090909090912E-2"/>
    <s v="Medium"/>
    <n v="1"/>
    <d v="2021-07-01T00:00:00"/>
    <s v="7–12 months"/>
    <s v="0–1 tickets"/>
    <s v="46+ min"/>
    <s v="1000+"/>
    <n v="11930"/>
    <n v="-119.29999999999927"/>
  </r>
  <r>
    <n v="12317"/>
    <n v="59"/>
    <s v="Male"/>
    <s v="unknown"/>
    <d v="2021-10-07T00:00:00"/>
    <d v="2023-03-30T00:00:00"/>
    <x v="1"/>
    <n v="811"/>
    <x v="33"/>
    <n v="1"/>
    <n v="17.43"/>
    <n v="5"/>
    <x v="3"/>
    <x v="0"/>
    <n v="26722.45"/>
    <b v="1"/>
    <n v="2.75"/>
    <n v="809.7712121212121"/>
    <n v="8.7149999999999999"/>
    <d v="2021-10-01T00:00:00"/>
    <s v="Older"/>
    <n v="1"/>
    <s v="Yes"/>
    <n v="539"/>
    <s v="Low"/>
    <s v="Low"/>
    <n v="2.9411764705882353E-2"/>
    <s v="High"/>
    <n v="3"/>
    <d v="2021-10-01T00:00:00"/>
    <s v="25+ months"/>
    <s v="0–1 tickets"/>
    <s v="11–20 min"/>
    <s v="701–1000"/>
    <n v="26763"/>
    <n v="-40.549999999999272"/>
  </r>
  <r>
    <n v="12318"/>
    <n v="56"/>
    <s v="Male"/>
    <s v="Pune"/>
    <d v="2022-06-22T00:00:00"/>
    <d v="2022-11-20T00:00:00"/>
    <x v="2"/>
    <n v="549"/>
    <x v="16"/>
    <n v="1"/>
    <n v="19.52"/>
    <n v="5"/>
    <x v="2"/>
    <x v="1"/>
    <n v="3815.55"/>
    <b v="1"/>
    <n v="0.58333333333333337"/>
    <n v="545.07857142857142"/>
    <n v="9.76"/>
    <d v="2022-06-01T00:00:00"/>
    <s v="Older"/>
    <n v="0"/>
    <s v="No"/>
    <n v="151"/>
    <s v="Low"/>
    <s v="Low"/>
    <n v="0.125"/>
    <s v="Low"/>
    <n v="2"/>
    <d v="2022-06-01T00:00:00"/>
    <s v="7–12 months"/>
    <s v="0–1 tickets"/>
    <s v="11–20 min"/>
    <s v="501–700"/>
    <n v="3843"/>
    <n v="-27.449999999999818"/>
  </r>
  <r>
    <n v="12319"/>
    <n v="58"/>
    <s v="Male"/>
    <s v="Delhi"/>
    <d v="2022-11-16T00:00:00"/>
    <d v="2023-01-15T00:00:00"/>
    <x v="0"/>
    <n v="1188"/>
    <x v="15"/>
    <n v="1"/>
    <n v="58.27"/>
    <n v="15"/>
    <x v="3"/>
    <x v="1"/>
    <n v="17641.8"/>
    <b v="1"/>
    <n v="1.25"/>
    <n v="1176.1199999999999"/>
    <n v="29.135000000000002"/>
    <d v="2022-11-01T00:00:00"/>
    <s v="Older"/>
    <n v="0"/>
    <s v="Yes"/>
    <n v="60"/>
    <s v="Medium"/>
    <s v="Low"/>
    <n v="6.25E-2"/>
    <s v="Medium"/>
    <n v="1"/>
    <d v="2022-11-01T00:00:00"/>
    <s v="13–24 months"/>
    <s v="0–1 tickets"/>
    <s v="46+ min"/>
    <s v="1000+"/>
    <n v="17820"/>
    <n v="-178.20000000000073"/>
  </r>
  <r>
    <n v="12320"/>
    <n v="28"/>
    <s v="Female"/>
    <s v="Bangalore"/>
    <d v="2021-06-05T00:00:00"/>
    <d v="2023-01-16T00:00:00"/>
    <x v="2"/>
    <n v="1323"/>
    <x v="8"/>
    <n v="0"/>
    <n v="89.06"/>
    <n v="0"/>
    <x v="2"/>
    <x v="1"/>
    <n v="34398"/>
    <b v="1"/>
    <n v="2.1666666666666665"/>
    <n v="1323"/>
    <n v="89.06"/>
    <d v="2021-06-01T00:00:00"/>
    <s v="Adult"/>
    <n v="0"/>
    <s v="Yes"/>
    <n v="590"/>
    <s v="High"/>
    <s v="Low"/>
    <n v="0"/>
    <s v="High"/>
    <n v="2"/>
    <d v="2021-06-01T00:00:00"/>
    <s v="25+ months"/>
    <s v="0–1 tickets"/>
    <s v="46+ min"/>
    <s v="1000+"/>
    <n v="34398"/>
    <n v="0"/>
  </r>
  <r>
    <n v="12321"/>
    <n v="56"/>
    <s v="Female"/>
    <s v="Delhi"/>
    <d v="2021-08-26T00:00:00"/>
    <d v="2021-10-09T00:00:00"/>
    <x v="2"/>
    <n v="898"/>
    <x v="11"/>
    <n v="2"/>
    <n v="100.88"/>
    <n v="0"/>
    <x v="2"/>
    <x v="1"/>
    <n v="9878"/>
    <b v="1"/>
    <n v="0.91666666666666663"/>
    <n v="898"/>
    <n v="33.626666666666665"/>
    <d v="2021-08-01T00:00:00"/>
    <s v="Older"/>
    <n v="0"/>
    <s v="No"/>
    <n v="44"/>
    <s v="High"/>
    <s v="Low"/>
    <n v="0.16666666666666666"/>
    <s v="Medium"/>
    <n v="2"/>
    <d v="2021-08-01T00:00:00"/>
    <s v="7–12 months"/>
    <s v="2–3 tickets"/>
    <s v="46+ min"/>
    <s v="701–1000"/>
    <n v="9878"/>
    <n v="0"/>
  </r>
  <r>
    <n v="12322"/>
    <n v="41"/>
    <s v="Female"/>
    <s v="Mumbai"/>
    <d v="2022-01-11T00:00:00"/>
    <d v="2022-04-25T00:00:00"/>
    <x v="0"/>
    <n v="1052"/>
    <x v="26"/>
    <n v="3"/>
    <n v="67.83"/>
    <n v="5"/>
    <x v="3"/>
    <x v="1"/>
    <n v="28351.4"/>
    <b v="1"/>
    <n v="2.25"/>
    <n v="1050.051851851852"/>
    <n v="16.9575"/>
    <d v="2022-01-01T00:00:00"/>
    <s v="Middle-aged"/>
    <n v="0"/>
    <s v="Yes"/>
    <n v="104"/>
    <s v="High"/>
    <s v="Low"/>
    <n v="0.10714285714285714"/>
    <s v="High"/>
    <n v="1"/>
    <d v="2022-01-01T00:00:00"/>
    <s v="25+ months"/>
    <s v="2–3 tickets"/>
    <s v="46+ min"/>
    <s v="1000+"/>
    <n v="28404"/>
    <n v="-52.599999999998545"/>
  </r>
  <r>
    <n v="12323"/>
    <n v="63"/>
    <s v="Male"/>
    <s v="Mumbai"/>
    <d v="2021-03-23T00:00:00"/>
    <d v="2023-02-02T00:00:00"/>
    <x v="2"/>
    <n v="899"/>
    <x v="16"/>
    <n v="2"/>
    <n v="59.6"/>
    <n v="15"/>
    <x v="1"/>
    <x v="1"/>
    <n v="6158.15"/>
    <b v="1"/>
    <n v="0.58333333333333337"/>
    <n v="879.73571428571427"/>
    <n v="19.866666666666667"/>
    <d v="2021-03-01T00:00:00"/>
    <s v="Older"/>
    <n v="0"/>
    <s v="No"/>
    <n v="681"/>
    <s v="Medium"/>
    <s v="Low"/>
    <n v="0.25"/>
    <s v="Low"/>
    <n v="2"/>
    <d v="2021-03-01T00:00:00"/>
    <s v="7–12 months"/>
    <s v="2–3 tickets"/>
    <s v="46+ min"/>
    <s v="701–1000"/>
    <n v="6293"/>
    <n v="-134.85000000000036"/>
  </r>
  <r>
    <n v="12324"/>
    <n v="36"/>
    <s v="Female"/>
    <s v="Delhi"/>
    <d v="2022-05-07T00:00:00"/>
    <d v="2022-02-11T00:00:00"/>
    <x v="0"/>
    <n v="1274"/>
    <x v="7"/>
    <n v="6"/>
    <n v="49.19"/>
    <n v="10"/>
    <x v="2"/>
    <x v="1"/>
    <n v="1146.5999999999999"/>
    <b v="0"/>
    <n v="8.3333333333333329E-2"/>
    <n v="1146.5999999999999"/>
    <n v="7.0271428571428567"/>
    <d v="2022-05-01T00:00:00"/>
    <s v="Middle-aged"/>
    <n v="0"/>
    <s v="No"/>
    <m/>
    <s v="Medium"/>
    <s v="Low"/>
    <n v="3"/>
    <s v="Low"/>
    <n v="1"/>
    <d v="2022-05-01T00:00:00"/>
    <s v="0–6 months"/>
    <s v="6+ tickets"/>
    <s v="46+ min"/>
    <s v="1000+"/>
    <n v="1274"/>
    <n v="-127.40000000000009"/>
  </r>
  <r>
    <n v="12325"/>
    <n v="21"/>
    <s v="Male"/>
    <s v="Chennai"/>
    <d v="2021-12-22T00:00:00"/>
    <d v="2022-09-22T00:00:00"/>
    <x v="0"/>
    <n v="782"/>
    <x v="32"/>
    <n v="2"/>
    <n v="27.19"/>
    <n v="10"/>
    <x v="3"/>
    <x v="0"/>
    <n v="7741.8"/>
    <b v="1"/>
    <n v="0.83333333333333337"/>
    <n v="774.18000000000006"/>
    <n v="9.0633333333333344"/>
    <d v="2021-12-01T00:00:00"/>
    <s v="Young"/>
    <n v="1"/>
    <s v="No"/>
    <n v="274"/>
    <s v="Medium"/>
    <s v="Low"/>
    <n v="0.18181818181818182"/>
    <s v="Low"/>
    <n v="1"/>
    <d v="2021-12-01T00:00:00"/>
    <s v="7–12 months"/>
    <s v="2–3 tickets"/>
    <s v="21–30 min"/>
    <s v="701–1000"/>
    <n v="7820"/>
    <n v="-78.199999999999818"/>
  </r>
  <r>
    <n v="12326"/>
    <n v="43"/>
    <s v="Male"/>
    <s v="Mumbai"/>
    <d v="2021-09-30T00:00:00"/>
    <d v="2022-12-13T00:00:00"/>
    <x v="1"/>
    <n v="1135"/>
    <x v="6"/>
    <n v="7"/>
    <n v="21.85"/>
    <n v="0"/>
    <x v="2"/>
    <x v="1"/>
    <n v="23835"/>
    <b v="1"/>
    <n v="1.75"/>
    <n v="1135"/>
    <n v="2.7312500000000002"/>
    <d v="2021-09-01T00:00:00"/>
    <s v="Middle-aged"/>
    <n v="0"/>
    <s v="Yes"/>
    <n v="439"/>
    <s v="Medium"/>
    <s v="Low"/>
    <n v="0.31818181818181818"/>
    <s v="High"/>
    <n v="3"/>
    <d v="2021-09-01T00:00:00"/>
    <s v="13–24 months"/>
    <s v="6+ tickets"/>
    <s v="21–30 min"/>
    <s v="1000+"/>
    <n v="23835"/>
    <n v="0"/>
  </r>
  <r>
    <n v="12327"/>
    <n v="55"/>
    <s v="Female"/>
    <s v="Delhi"/>
    <d v="2022-08-03T00:00:00"/>
    <d v="2021-08-02T00:00:00"/>
    <x v="2"/>
    <n v="471"/>
    <x v="15"/>
    <n v="0"/>
    <n v="96.07"/>
    <n v="5"/>
    <x v="0"/>
    <x v="1"/>
    <n v="7041.45"/>
    <b v="0"/>
    <n v="1.25"/>
    <n v="469.43"/>
    <n v="96.07"/>
    <d v="2022-08-01T00:00:00"/>
    <s v="Older"/>
    <n v="0"/>
    <s v="No"/>
    <m/>
    <s v="High"/>
    <s v="Low"/>
    <n v="0"/>
    <s v="Low"/>
    <n v="2"/>
    <d v="2022-08-01T00:00:00"/>
    <s v="13–24 months"/>
    <s v="0–1 tickets"/>
    <s v="46+ min"/>
    <s v="301–500"/>
    <n v="7065"/>
    <n v="-23.550000000000182"/>
  </r>
  <r>
    <n v="12328"/>
    <n v="59"/>
    <s v="Female"/>
    <s v="Bangalore"/>
    <d v="2021-02-13T00:00:00"/>
    <d v="2022-04-07T00:00:00"/>
    <x v="1"/>
    <n v="1168"/>
    <x v="3"/>
    <n v="2"/>
    <n v="58.48"/>
    <n v="15"/>
    <x v="1"/>
    <x v="0"/>
    <n v="34864.800000000003"/>
    <b v="1"/>
    <n v="2.5"/>
    <n v="1162.1600000000001"/>
    <n v="19.493333333333332"/>
    <d v="2021-02-01T00:00:00"/>
    <s v="Older"/>
    <n v="1"/>
    <s v="Yes"/>
    <n v="418"/>
    <s v="Medium"/>
    <s v="Low"/>
    <n v="6.4516129032258063E-2"/>
    <s v="High"/>
    <n v="3"/>
    <d v="2021-02-01T00:00:00"/>
    <s v="25+ months"/>
    <s v="2–3 tickets"/>
    <s v="46+ min"/>
    <s v="1000+"/>
    <n v="35040"/>
    <n v="-175.19999999999709"/>
  </r>
  <r>
    <n v="12329"/>
    <n v="49"/>
    <s v="Male"/>
    <s v="Delhi"/>
    <d v="2022-07-27T00:00:00"/>
    <d v="2022-07-12T00:00:00"/>
    <x v="2"/>
    <n v="316"/>
    <x v="3"/>
    <n v="2"/>
    <n v="95.89"/>
    <n v="15"/>
    <x v="0"/>
    <x v="1"/>
    <n v="9432.6"/>
    <b v="0"/>
    <n v="2.5"/>
    <n v="314.42"/>
    <n v="31.963333333333335"/>
    <d v="2022-07-01T00:00:00"/>
    <s v="Middle-aged"/>
    <n v="0"/>
    <s v="No"/>
    <m/>
    <s v="High"/>
    <s v="Low"/>
    <n v="6.4516129032258063E-2"/>
    <s v="Medium"/>
    <n v="2"/>
    <d v="2022-07-01T00:00:00"/>
    <s v="25+ months"/>
    <s v="2–3 tickets"/>
    <s v="46+ min"/>
    <s v="301–500"/>
    <n v="9480"/>
    <n v="-47.399999999999636"/>
  </r>
  <r>
    <n v="12330"/>
    <n v="56"/>
    <s v="Male"/>
    <s v="Delhi"/>
    <d v="2021-05-03T00:00:00"/>
    <d v="2023-08-11T00:00:00"/>
    <x v="0"/>
    <n v="693"/>
    <x v="14"/>
    <n v="4"/>
    <n v="85.97"/>
    <n v="10"/>
    <x v="2"/>
    <x v="1"/>
    <n v="5474.7"/>
    <b v="1"/>
    <n v="0.66666666666666663"/>
    <n v="684.33749999999998"/>
    <n v="17.193999999999999"/>
    <d v="2021-05-01T00:00:00"/>
    <s v="Older"/>
    <n v="0"/>
    <s v="No"/>
    <n v="830"/>
    <s v="High"/>
    <s v="Low"/>
    <n v="0.44444444444444442"/>
    <s v="Low"/>
    <n v="1"/>
    <d v="2021-05-01T00:00:00"/>
    <s v="7–12 months"/>
    <s v="4–5 tickets"/>
    <s v="46+ min"/>
    <s v="501–700"/>
    <n v="5544"/>
    <n v="-69.300000000000182"/>
  </r>
  <r>
    <n v="12331"/>
    <n v="62"/>
    <s v="Other"/>
    <s v="Hyderabad"/>
    <d v="2021-12-15T00:00:00"/>
    <d v="2021-09-13T00:00:00"/>
    <x v="2"/>
    <n v="533"/>
    <x v="30"/>
    <n v="2"/>
    <n v="27.3"/>
    <n v="10"/>
    <x v="1"/>
    <x v="1"/>
    <n v="12738.7"/>
    <b v="0"/>
    <n v="2"/>
    <n v="530.7791666666667"/>
    <n v="9.1"/>
    <d v="2021-12-01T00:00:00"/>
    <s v="Older"/>
    <n v="0"/>
    <s v="No"/>
    <m/>
    <s v="Medium"/>
    <s v="Low"/>
    <n v="0.08"/>
    <s v="Medium"/>
    <n v="2"/>
    <d v="2021-12-01T00:00:00"/>
    <s v="13–24 months"/>
    <s v="2–3 tickets"/>
    <s v="21–30 min"/>
    <s v="501–700"/>
    <n v="12792"/>
    <n v="-53.299999999999272"/>
  </r>
  <r>
    <n v="12332"/>
    <n v="63"/>
    <s v="Male"/>
    <s v="Mumbai"/>
    <d v="2022-12-09T00:00:00"/>
    <d v="2023-02-07T00:00:00"/>
    <x v="2"/>
    <n v="547"/>
    <x v="17"/>
    <n v="1"/>
    <n v="63.69"/>
    <n v="20"/>
    <x v="3"/>
    <x v="1"/>
    <n v="10283.6"/>
    <b v="1"/>
    <n v="1.5833333333333333"/>
    <n v="541.2421052631579"/>
    <n v="31.844999999999999"/>
    <d v="2022-12-01T00:00:00"/>
    <s v="Older"/>
    <n v="0"/>
    <s v="No"/>
    <n v="60"/>
    <s v="High"/>
    <s v="Medium"/>
    <n v="0.05"/>
    <s v="Medium"/>
    <n v="2"/>
    <d v="2022-12-01T00:00:00"/>
    <s v="13–24 months"/>
    <s v="0–1 tickets"/>
    <s v="46+ min"/>
    <s v="501–700"/>
    <n v="10393"/>
    <n v="-109.39999999999964"/>
  </r>
  <r>
    <n v="12333"/>
    <n v="53"/>
    <s v="Male"/>
    <s v="Chennai"/>
    <d v="2021-11-26T00:00:00"/>
    <d v="2023-09-15T00:00:00"/>
    <x v="1"/>
    <n v="351"/>
    <x v="13"/>
    <n v="1"/>
    <n v="56.06"/>
    <n v="20"/>
    <x v="3"/>
    <x v="1"/>
    <n v="982.8"/>
    <b v="1"/>
    <n v="0.25"/>
    <n v="327.59999999999997"/>
    <n v="28.03"/>
    <d v="2021-11-01T00:00:00"/>
    <s v="Older"/>
    <n v="0"/>
    <s v="No"/>
    <n v="658"/>
    <s v="Medium"/>
    <s v="Medium"/>
    <n v="0.25"/>
    <s v="Low"/>
    <n v="3"/>
    <d v="2021-11-01T00:00:00"/>
    <s v="0–6 months"/>
    <s v="0–1 tickets"/>
    <s v="46+ min"/>
    <s v="301–500"/>
    <n v="1053"/>
    <n v="-70.200000000000045"/>
  </r>
  <r>
    <n v="12334"/>
    <n v="41"/>
    <s v="Female"/>
    <s v="Chennai"/>
    <d v="2022-02-13T00:00:00"/>
    <d v="2021-06-15T00:00:00"/>
    <x v="0"/>
    <n v="314"/>
    <x v="15"/>
    <n v="6"/>
    <n v="53.75"/>
    <n v="5"/>
    <x v="1"/>
    <x v="1"/>
    <n v="4694.3"/>
    <b v="0"/>
    <n v="1.25"/>
    <n v="312.95333333333332"/>
    <n v="7.6785714285714288"/>
    <d v="2022-02-01T00:00:00"/>
    <s v="Middle-aged"/>
    <n v="0"/>
    <s v="No"/>
    <m/>
    <s v="Medium"/>
    <s v="Low"/>
    <n v="0.375"/>
    <s v="Low"/>
    <n v="1"/>
    <d v="2022-02-01T00:00:00"/>
    <s v="13–24 months"/>
    <s v="6+ tickets"/>
    <s v="46+ min"/>
    <s v="301–500"/>
    <n v="4710"/>
    <n v="-15.699999999999818"/>
  </r>
  <r>
    <n v="12335"/>
    <n v="54"/>
    <s v="Male"/>
    <s v="Hyderabad"/>
    <d v="2021-11-19T00:00:00"/>
    <d v="2023-04-18T00:00:00"/>
    <x v="1"/>
    <n v="740"/>
    <x v="20"/>
    <n v="3"/>
    <n v="67.400000000000006"/>
    <n v="20"/>
    <x v="0"/>
    <x v="1"/>
    <n v="4292"/>
    <b v="1"/>
    <n v="0.5"/>
    <n v="715.33333333333337"/>
    <n v="16.850000000000001"/>
    <d v="2021-11-01T00:00:00"/>
    <s v="Older"/>
    <n v="0"/>
    <s v="No"/>
    <n v="515"/>
    <s v="High"/>
    <s v="Medium"/>
    <n v="0.42857142857142855"/>
    <s v="Low"/>
    <n v="3"/>
    <d v="2021-11-01T00:00:00"/>
    <s v="0–6 months"/>
    <s v="2–3 tickets"/>
    <s v="46+ min"/>
    <s v="701–1000"/>
    <n v="4440"/>
    <n v="-148"/>
  </r>
  <r>
    <n v="12336"/>
    <n v="50"/>
    <s v="Male"/>
    <s v="Pune"/>
    <d v="2021-04-21T00:00:00"/>
    <d v="2022-02-14T00:00:00"/>
    <x v="1"/>
    <n v="1435"/>
    <x v="10"/>
    <n v="0"/>
    <n v="117.94"/>
    <n v="15"/>
    <x v="0"/>
    <x v="1"/>
    <n v="25614.75"/>
    <b v="1"/>
    <n v="1.5"/>
    <n v="1423.0416666666667"/>
    <n v="117.94"/>
    <d v="2021-04-01T00:00:00"/>
    <s v="Middle-aged"/>
    <n v="0"/>
    <s v="Yes"/>
    <n v="299"/>
    <s v="High"/>
    <s v="Low"/>
    <n v="0"/>
    <s v="High"/>
    <n v="3"/>
    <d v="2021-04-01T00:00:00"/>
    <s v="13–24 months"/>
    <s v="0–1 tickets"/>
    <s v="46+ min"/>
    <s v="1000+"/>
    <n v="25830"/>
    <n v="-215.25"/>
  </r>
  <r>
    <n v="12337"/>
    <n v="53"/>
    <s v="Male"/>
    <s v="Chennai"/>
    <d v="2023-02-09T00:00:00"/>
    <d v="2023-05-24T00:00:00"/>
    <x v="2"/>
    <n v="995"/>
    <x v="17"/>
    <n v="2"/>
    <n v="98.48"/>
    <n v="20"/>
    <x v="1"/>
    <x v="1"/>
    <n v="18706"/>
    <b v="1"/>
    <n v="1.5833333333333333"/>
    <n v="984.52631578947364"/>
    <n v="32.826666666666668"/>
    <d v="2023-02-01T00:00:00"/>
    <s v="Older"/>
    <n v="0"/>
    <s v="Yes"/>
    <n v="104"/>
    <s v="High"/>
    <s v="Medium"/>
    <n v="0.1"/>
    <s v="Medium"/>
    <n v="2"/>
    <d v="2023-02-01T00:00:00"/>
    <s v="13–24 months"/>
    <s v="2–3 tickets"/>
    <s v="46+ min"/>
    <s v="701–1000"/>
    <n v="18905"/>
    <n v="-199"/>
  </r>
  <r>
    <n v="12338"/>
    <n v="20"/>
    <s v="Female"/>
    <s v="Delhi"/>
    <d v="2021-03-30T00:00:00"/>
    <d v="2022-07-17T00:00:00"/>
    <x v="1"/>
    <n v="306"/>
    <x v="3"/>
    <n v="5"/>
    <n v="108.93"/>
    <n v="0"/>
    <x v="3"/>
    <x v="0"/>
    <n v="9180"/>
    <b v="1"/>
    <n v="2.5"/>
    <n v="306"/>
    <n v="18.155000000000001"/>
    <d v="2021-03-01T00:00:00"/>
    <s v="Young"/>
    <n v="1"/>
    <s v="No"/>
    <n v="474"/>
    <s v="High"/>
    <s v="Low"/>
    <n v="0.16129032258064516"/>
    <s v="Medium"/>
    <n v="3"/>
    <d v="2021-03-01T00:00:00"/>
    <s v="25+ months"/>
    <s v="4–5 tickets"/>
    <s v="46+ min"/>
    <s v="301–500"/>
    <n v="9180"/>
    <n v="0"/>
  </r>
  <r>
    <n v="12339"/>
    <n v="26"/>
    <s v="Female"/>
    <s v="Hyderabad"/>
    <d v="2022-03-09T00:00:00"/>
    <d v="2022-02-14T00:00:00"/>
    <x v="0"/>
    <n v="1125"/>
    <x v="19"/>
    <n v="1"/>
    <n v="8.41"/>
    <n v="0"/>
    <x v="1"/>
    <x v="1"/>
    <n v="14625"/>
    <b v="0"/>
    <n v="1.0833333333333333"/>
    <n v="1125"/>
    <n v="4.2050000000000001"/>
    <d v="2022-03-01T00:00:00"/>
    <s v="Adult"/>
    <n v="0"/>
    <s v="Yes"/>
    <m/>
    <s v="Low"/>
    <s v="Low"/>
    <n v="7.1428571428571425E-2"/>
    <s v="Medium"/>
    <n v="1"/>
    <d v="2022-03-01T00:00:00"/>
    <s v="13–24 months"/>
    <s v="0–1 tickets"/>
    <s v="0–10 min"/>
    <s v="1000+"/>
    <n v="14625"/>
    <n v="0"/>
  </r>
  <r>
    <n v="12340"/>
    <n v="25"/>
    <s v="Female"/>
    <s v="Bangalore"/>
    <d v="2022-12-11T00:00:00"/>
    <d v="2023-02-04T00:00:00"/>
    <x v="1"/>
    <n v="1429"/>
    <x v="34"/>
    <n v="2"/>
    <n v="21.14"/>
    <n v="10"/>
    <x v="0"/>
    <x v="1"/>
    <n v="17005.099999999999"/>
    <b v="1"/>
    <n v="1"/>
    <n v="1417.0916666666665"/>
    <n v="7.0466666666666669"/>
    <d v="2022-12-01T00:00:00"/>
    <s v="Young"/>
    <n v="0"/>
    <s v="Yes"/>
    <n v="55"/>
    <s v="Medium"/>
    <s v="Low"/>
    <n v="0.15384615384615385"/>
    <s v="Medium"/>
    <n v="3"/>
    <d v="2022-12-01T00:00:00"/>
    <s v="7–12 months"/>
    <s v="2–3 tickets"/>
    <s v="21–30 min"/>
    <s v="1000+"/>
    <n v="17148"/>
    <n v="-142.90000000000146"/>
  </r>
  <r>
    <n v="12341"/>
    <n v="50"/>
    <s v="Other"/>
    <s v="Mumbai"/>
    <d v="2023-03-05T00:00:00"/>
    <d v="2022-02-15T00:00:00"/>
    <x v="2"/>
    <n v="1336"/>
    <x v="22"/>
    <n v="0"/>
    <n v="14.75"/>
    <n v="10"/>
    <x v="2"/>
    <x v="1"/>
    <n v="45290.400000000001"/>
    <b v="0"/>
    <n v="2.8333333333333335"/>
    <n v="1332.0705882352941"/>
    <n v="14.75"/>
    <d v="2023-03-01T00:00:00"/>
    <s v="Middle-aged"/>
    <n v="0"/>
    <s v="Yes"/>
    <m/>
    <s v="Low"/>
    <s v="Low"/>
    <n v="0"/>
    <s v="High"/>
    <n v="2"/>
    <d v="2023-03-01T00:00:00"/>
    <s v="25+ months"/>
    <s v="0–1 tickets"/>
    <s v="11–20 min"/>
    <s v="1000+"/>
    <n v="45424"/>
    <n v="-133.59999999999854"/>
  </r>
  <r>
    <n v="12342"/>
    <n v="23"/>
    <s v="Female"/>
    <s v="Mumbai"/>
    <d v="2022-12-13T00:00:00"/>
    <d v="2023-10-04T00:00:00"/>
    <x v="0"/>
    <n v="1469"/>
    <x v="34"/>
    <n v="3"/>
    <n v="35.270000000000003"/>
    <n v="5"/>
    <x v="3"/>
    <x v="1"/>
    <n v="17554.55"/>
    <b v="1"/>
    <n v="1"/>
    <n v="1462.8791666666666"/>
    <n v="8.8175000000000008"/>
    <d v="2022-12-01T00:00:00"/>
    <s v="Young"/>
    <n v="0"/>
    <s v="Yes"/>
    <n v="295"/>
    <s v="Medium"/>
    <s v="Low"/>
    <n v="0.23076923076923078"/>
    <s v="Medium"/>
    <n v="1"/>
    <d v="2022-12-01T00:00:00"/>
    <s v="7–12 months"/>
    <s v="2–3 tickets"/>
    <s v="31–45 min"/>
    <s v="1000+"/>
    <n v="17628"/>
    <n v="-73.450000000000728"/>
  </r>
  <r>
    <n v="12343"/>
    <n v="58"/>
    <s v="Male"/>
    <s v="Mumbai"/>
    <d v="2021-04-09T00:00:00"/>
    <d v="2023-04-02T00:00:00"/>
    <x v="1"/>
    <n v="777"/>
    <x v="30"/>
    <n v="1"/>
    <n v="55.82"/>
    <n v="0"/>
    <x v="1"/>
    <x v="1"/>
    <n v="18648"/>
    <b v="1"/>
    <n v="2"/>
    <n v="777"/>
    <n v="27.91"/>
    <d v="2021-04-01T00:00:00"/>
    <s v="Older"/>
    <n v="0"/>
    <s v="Yes"/>
    <n v="723"/>
    <s v="Medium"/>
    <s v="Low"/>
    <n v="0.04"/>
    <s v="Medium"/>
    <n v="3"/>
    <d v="2021-04-01T00:00:00"/>
    <s v="13–24 months"/>
    <s v="0–1 tickets"/>
    <s v="46+ min"/>
    <s v="701–1000"/>
    <n v="18648"/>
    <n v="0"/>
  </r>
  <r>
    <n v="12344"/>
    <n v="56"/>
    <s v="Male"/>
    <s v="Delhi"/>
    <d v="2022-06-23T00:00:00"/>
    <d v="2021-07-15T00:00:00"/>
    <x v="2"/>
    <n v="930"/>
    <x v="2"/>
    <n v="2"/>
    <n v="62.59"/>
    <n v="5"/>
    <x v="2"/>
    <x v="0"/>
    <n v="3673.5"/>
    <b v="0"/>
    <n v="0.33333333333333331"/>
    <n v="918.375"/>
    <n v="20.863333333333333"/>
    <d v="2022-06-01T00:00:00"/>
    <s v="Older"/>
    <n v="1"/>
    <s v="No"/>
    <m/>
    <s v="High"/>
    <s v="Low"/>
    <n v="0.4"/>
    <s v="Low"/>
    <n v="2"/>
    <d v="2022-06-01T00:00:00"/>
    <s v="0–6 months"/>
    <s v="2–3 tickets"/>
    <s v="46+ min"/>
    <s v="701–1000"/>
    <n v="3720"/>
    <n v="-46.5"/>
  </r>
  <r>
    <n v="12345"/>
    <n v="21"/>
    <s v="Female"/>
    <s v="Bangalore"/>
    <d v="2022-08-24T00:00:00"/>
    <d v="2023-08-22T00:00:00"/>
    <x v="2"/>
    <n v="1014"/>
    <x v="25"/>
    <n v="2"/>
    <n v="62.6"/>
    <n v="5"/>
    <x v="0"/>
    <x v="0"/>
    <n v="14145.3"/>
    <b v="1"/>
    <n v="1.1666666666666667"/>
    <n v="1010.3785714285714"/>
    <n v="20.866666666666667"/>
    <d v="2022-08-01T00:00:00"/>
    <s v="Young"/>
    <n v="1"/>
    <s v="Yes"/>
    <n v="363"/>
    <s v="High"/>
    <s v="Low"/>
    <n v="0.13333333333333333"/>
    <s v="Medium"/>
    <n v="2"/>
    <d v="2022-08-01T00:00:00"/>
    <s v="13–24 months"/>
    <s v="2–3 tickets"/>
    <s v="46+ min"/>
    <s v="1000+"/>
    <n v="14196"/>
    <n v="-50.700000000000728"/>
  </r>
  <r>
    <n v="12346"/>
    <n v="30"/>
    <s v="Female"/>
    <s v="Hyderabad"/>
    <d v="2021-05-26T00:00:00"/>
    <d v="2023-07-03T00:00:00"/>
    <x v="2"/>
    <n v="414"/>
    <x v="18"/>
    <n v="3"/>
    <n v="108.87"/>
    <n v="20"/>
    <x v="3"/>
    <x v="1"/>
    <n v="6955.2"/>
    <b v="1"/>
    <n v="1.4166666666666667"/>
    <n v="409.12941176470588"/>
    <n v="27.217500000000001"/>
    <d v="2021-05-01T00:00:00"/>
    <s v="Adult"/>
    <n v="0"/>
    <s v="No"/>
    <n v="768"/>
    <s v="High"/>
    <s v="Medium"/>
    <n v="0.16666666666666666"/>
    <s v="Low"/>
    <n v="2"/>
    <d v="2021-05-01T00:00:00"/>
    <s v="13–24 months"/>
    <s v="2–3 tickets"/>
    <s v="46+ min"/>
    <s v="301–500"/>
    <n v="7038"/>
    <n v="-82.800000000000182"/>
  </r>
  <r>
    <n v="12347"/>
    <n v="41"/>
    <s v="Female"/>
    <s v="Hyderabad"/>
    <d v="2022-11-25T00:00:00"/>
    <d v="2022-04-27T00:00:00"/>
    <x v="0"/>
    <n v="808"/>
    <x v="13"/>
    <n v="3"/>
    <n v="113.08"/>
    <n v="10"/>
    <x v="1"/>
    <x v="1"/>
    <n v="2343.1999999999998"/>
    <b v="0"/>
    <n v="0.25"/>
    <n v="781.06666666666661"/>
    <n v="28.27"/>
    <d v="2022-11-01T00:00:00"/>
    <s v="Middle-aged"/>
    <n v="0"/>
    <s v="No"/>
    <m/>
    <s v="High"/>
    <s v="Low"/>
    <n v="0.75"/>
    <s v="Low"/>
    <n v="1"/>
    <d v="2022-11-01T00:00:00"/>
    <s v="0–6 months"/>
    <s v="2–3 tickets"/>
    <s v="46+ min"/>
    <s v="701–1000"/>
    <n v="2424"/>
    <n v="-80.800000000000182"/>
  </r>
  <r>
    <n v="12348"/>
    <n v="41"/>
    <s v="Female"/>
    <s v="Mumbai"/>
    <d v="2021-09-14T00:00:00"/>
    <d v="2021-11-12T00:00:00"/>
    <x v="2"/>
    <n v="1475"/>
    <x v="31"/>
    <n v="1"/>
    <n v="23.8"/>
    <n v="5"/>
    <x v="0"/>
    <x v="1"/>
    <n v="33851.25"/>
    <b v="1"/>
    <n v="1.9166666666666667"/>
    <n v="1471.7934782608695"/>
    <n v="11.9"/>
    <d v="2021-09-01T00:00:00"/>
    <s v="Middle-aged"/>
    <n v="0"/>
    <s v="Yes"/>
    <n v="59"/>
    <s v="Medium"/>
    <s v="Low"/>
    <n v="4.1666666666666664E-2"/>
    <s v="High"/>
    <n v="2"/>
    <d v="2021-09-01T00:00:00"/>
    <s v="13–24 months"/>
    <s v="0–1 tickets"/>
    <s v="21–30 min"/>
    <s v="1000+"/>
    <n v="33925"/>
    <n v="-73.75"/>
  </r>
  <r>
    <n v="12349"/>
    <n v="61"/>
    <s v="Male"/>
    <s v="Bangalore"/>
    <d v="2021-07-08T00:00:00"/>
    <d v="2021-12-10T00:00:00"/>
    <x v="1"/>
    <n v="356"/>
    <x v="19"/>
    <n v="1"/>
    <n v="103.08"/>
    <n v="5"/>
    <x v="1"/>
    <x v="1"/>
    <n v="4610.2"/>
    <b v="1"/>
    <n v="1.0833333333333333"/>
    <n v="354.6307692307692"/>
    <n v="51.54"/>
    <d v="2021-07-01T00:00:00"/>
    <s v="Older"/>
    <n v="0"/>
    <s v="No"/>
    <n v="155"/>
    <s v="High"/>
    <s v="Low"/>
    <n v="7.1428571428571425E-2"/>
    <s v="Low"/>
    <n v="3"/>
    <d v="2021-07-01T00:00:00"/>
    <s v="13–24 months"/>
    <s v="0–1 tickets"/>
    <s v="46+ min"/>
    <s v="301–500"/>
    <n v="4628"/>
    <n v="-17.800000000000182"/>
  </r>
  <r>
    <n v="12350"/>
    <n v="44"/>
    <s v="Male"/>
    <s v="Bangalore"/>
    <d v="2021-08-28T00:00:00"/>
    <d v="2022-11-03T00:00:00"/>
    <x v="0"/>
    <n v="681"/>
    <x v="9"/>
    <n v="1"/>
    <n v="60.4"/>
    <n v="10"/>
    <x v="1"/>
    <x v="1"/>
    <n v="6060.9"/>
    <b v="1"/>
    <n v="0.75"/>
    <n v="673.43333333333328"/>
    <n v="30.2"/>
    <d v="2021-08-01T00:00:00"/>
    <s v="Middle-aged"/>
    <n v="0"/>
    <s v="No"/>
    <n v="432"/>
    <s v="High"/>
    <s v="Low"/>
    <n v="0.1"/>
    <s v="Low"/>
    <n v="1"/>
    <d v="2021-08-01T00:00:00"/>
    <s v="7–12 months"/>
    <s v="0–1 tickets"/>
    <s v="46+ min"/>
    <s v="501–700"/>
    <n v="6129"/>
    <n v="-68.100000000000364"/>
  </r>
  <r>
    <n v="12351"/>
    <n v="49"/>
    <s v="Male"/>
    <s v="Bangalore"/>
    <d v="2023-05-21T00:00:00"/>
    <d v="2022-07-06T00:00:00"/>
    <x v="0"/>
    <n v="1480"/>
    <x v="6"/>
    <n v="0"/>
    <n v="57.13"/>
    <n v="10"/>
    <x v="3"/>
    <x v="1"/>
    <n v="30932"/>
    <b v="0"/>
    <n v="1.75"/>
    <n v="1472.952380952381"/>
    <n v="57.13"/>
    <d v="2023-05-01T00:00:00"/>
    <s v="Middle-aged"/>
    <n v="0"/>
    <s v="Yes"/>
    <m/>
    <s v="Medium"/>
    <s v="Low"/>
    <n v="0"/>
    <s v="High"/>
    <n v="1"/>
    <d v="2023-05-01T00:00:00"/>
    <s v="13–24 months"/>
    <s v="0–1 tickets"/>
    <s v="46+ min"/>
    <s v="1000+"/>
    <n v="31080"/>
    <n v="-148"/>
  </r>
  <r>
    <n v="12352"/>
    <n v="38"/>
    <s v="Male"/>
    <s v="Chennai"/>
    <d v="2023-06-18T00:00:00"/>
    <d v="2022-06-09T00:00:00"/>
    <x v="0"/>
    <n v="1251"/>
    <x v="14"/>
    <n v="5"/>
    <n v="95.27"/>
    <n v="0"/>
    <x v="0"/>
    <x v="1"/>
    <n v="10008"/>
    <b v="0"/>
    <n v="0.66666666666666663"/>
    <n v="1251"/>
    <n v="15.878333333333332"/>
    <d v="2023-06-01T00:00:00"/>
    <s v="Middle-aged"/>
    <n v="0"/>
    <s v="No"/>
    <m/>
    <s v="High"/>
    <s v="Low"/>
    <n v="0.55555555555555558"/>
    <s v="Medium"/>
    <n v="1"/>
    <d v="2023-06-01T00:00:00"/>
    <s v="7–12 months"/>
    <s v="4–5 tickets"/>
    <s v="46+ min"/>
    <s v="1000+"/>
    <n v="10008"/>
    <n v="0"/>
  </r>
  <r>
    <n v="12353"/>
    <n v="25"/>
    <s v="Male"/>
    <s v="Chennai"/>
    <d v="2022-05-18T00:00:00"/>
    <d v="2021-08-04T00:00:00"/>
    <x v="0"/>
    <n v="1456"/>
    <x v="18"/>
    <n v="2"/>
    <n v="15.71"/>
    <n v="10"/>
    <x v="0"/>
    <x v="1"/>
    <n v="24606.400000000001"/>
    <b v="0"/>
    <n v="1.4166666666666667"/>
    <n v="1447.4352941176471"/>
    <n v="5.2366666666666672"/>
    <d v="2022-05-01T00:00:00"/>
    <s v="Young"/>
    <n v="0"/>
    <s v="Yes"/>
    <m/>
    <s v="Low"/>
    <s v="Low"/>
    <n v="0.1111111111111111"/>
    <s v="High"/>
    <n v="1"/>
    <d v="2022-05-01T00:00:00"/>
    <s v="13–24 months"/>
    <s v="2–3 tickets"/>
    <s v="11–20 min"/>
    <s v="1000+"/>
    <n v="24752"/>
    <n v="-145.59999999999854"/>
  </r>
  <r>
    <n v="12354"/>
    <n v="41"/>
    <s v="Female"/>
    <s v="Mumbai"/>
    <d v="2022-12-09T00:00:00"/>
    <d v="2022-06-22T00:00:00"/>
    <x v="2"/>
    <n v="1486"/>
    <x v="24"/>
    <n v="2"/>
    <n v="106.49"/>
    <n v="20"/>
    <x v="2"/>
    <x v="1"/>
    <n v="23478.799999999999"/>
    <b v="0"/>
    <n v="1.3333333333333333"/>
    <n v="1467.425"/>
    <n v="35.496666666666663"/>
    <d v="2022-12-01T00:00:00"/>
    <s v="Middle-aged"/>
    <n v="0"/>
    <s v="Yes"/>
    <m/>
    <s v="High"/>
    <s v="Medium"/>
    <n v="0.11764705882352941"/>
    <s v="High"/>
    <n v="2"/>
    <d v="2022-12-01T00:00:00"/>
    <s v="13–24 months"/>
    <s v="2–3 tickets"/>
    <s v="46+ min"/>
    <s v="1000+"/>
    <n v="23776"/>
    <n v="-297.20000000000073"/>
  </r>
  <r>
    <n v="12355"/>
    <n v="25"/>
    <s v="Female"/>
    <s v="Bangalore"/>
    <d v="2023-03-20T00:00:00"/>
    <d v="2022-10-08T00:00:00"/>
    <x v="2"/>
    <n v="574"/>
    <x v="24"/>
    <n v="2"/>
    <n v="82.15"/>
    <n v="0"/>
    <x v="0"/>
    <x v="1"/>
    <n v="9184"/>
    <b v="0"/>
    <n v="1.3333333333333333"/>
    <n v="574"/>
    <n v="27.383333333333336"/>
    <d v="2023-03-01T00:00:00"/>
    <s v="Young"/>
    <n v="0"/>
    <s v="No"/>
    <m/>
    <s v="High"/>
    <s v="Low"/>
    <n v="0.11764705882352941"/>
    <s v="Medium"/>
    <n v="2"/>
    <d v="2023-03-01T00:00:00"/>
    <s v="13–24 months"/>
    <s v="2–3 tickets"/>
    <s v="46+ min"/>
    <s v="501–700"/>
    <n v="9184"/>
    <n v="0"/>
  </r>
  <r>
    <n v="12356"/>
    <n v="20"/>
    <s v="Male"/>
    <s v="Pune"/>
    <d v="2022-11-08T00:00:00"/>
    <d v="2023-08-03T00:00:00"/>
    <x v="1"/>
    <n v="1400"/>
    <x v="29"/>
    <n v="2"/>
    <n v="105.66"/>
    <n v="5"/>
    <x v="0"/>
    <x v="1"/>
    <n v="39130"/>
    <b v="1"/>
    <n v="2.3333333333333335"/>
    <n v="1397.5"/>
    <n v="35.22"/>
    <d v="2022-11-01T00:00:00"/>
    <s v="Young"/>
    <n v="0"/>
    <s v="Yes"/>
    <n v="268"/>
    <s v="High"/>
    <s v="Low"/>
    <n v="6.8965517241379309E-2"/>
    <s v="High"/>
    <n v="3"/>
    <d v="2022-11-01T00:00:00"/>
    <s v="25+ months"/>
    <s v="2–3 tickets"/>
    <s v="46+ min"/>
    <s v="1000+"/>
    <n v="39200"/>
    <n v="-70"/>
  </r>
  <r>
    <n v="12357"/>
    <n v="61"/>
    <s v="Male"/>
    <s v="Bangalore"/>
    <d v="2023-03-30T00:00:00"/>
    <d v="2023-04-24T00:00:00"/>
    <x v="2"/>
    <n v="343"/>
    <x v="24"/>
    <n v="1"/>
    <n v="119.36"/>
    <n v="20"/>
    <x v="3"/>
    <x v="1"/>
    <n v="5419.4"/>
    <b v="1"/>
    <n v="1.3333333333333333"/>
    <n v="338.71249999999998"/>
    <n v="59.68"/>
    <d v="2023-03-01T00:00:00"/>
    <s v="Older"/>
    <n v="0"/>
    <s v="No"/>
    <n v="25"/>
    <s v="High"/>
    <s v="Medium"/>
    <n v="5.8823529411764705E-2"/>
    <s v="Low"/>
    <n v="2"/>
    <d v="2023-03-01T00:00:00"/>
    <s v="13–24 months"/>
    <s v="0–1 tickets"/>
    <s v="46+ min"/>
    <s v="301–500"/>
    <n v="5488"/>
    <n v="-68.600000000000364"/>
  </r>
  <r>
    <n v="12358"/>
    <n v="20"/>
    <s v="Female"/>
    <s v="Hyderabad"/>
    <d v="2021-09-28T00:00:00"/>
    <d v="2022-07-20T00:00:00"/>
    <x v="0"/>
    <n v="1017"/>
    <x v="25"/>
    <n v="1"/>
    <n v="64.569999999999993"/>
    <n v="20"/>
    <x v="2"/>
    <x v="1"/>
    <n v="14034.6"/>
    <b v="1"/>
    <n v="1.1666666666666667"/>
    <n v="1002.4714285714286"/>
    <n v="32.284999999999997"/>
    <d v="2021-09-01T00:00:00"/>
    <s v="Young"/>
    <n v="0"/>
    <s v="Yes"/>
    <n v="295"/>
    <s v="High"/>
    <s v="Medium"/>
    <n v="6.6666666666666666E-2"/>
    <s v="Medium"/>
    <n v="1"/>
    <d v="2021-09-01T00:00:00"/>
    <s v="13–24 months"/>
    <s v="0–1 tickets"/>
    <s v="46+ min"/>
    <s v="1000+"/>
    <n v="14238"/>
    <n v="-203.39999999999964"/>
  </r>
  <r>
    <n v="12359"/>
    <n v="39"/>
    <s v="Male"/>
    <s v="Hyderabad"/>
    <d v="2022-06-04T00:00:00"/>
    <d v="2023-08-03T00:00:00"/>
    <x v="1"/>
    <n v="617"/>
    <x v="28"/>
    <n v="1"/>
    <n v="15.73"/>
    <n v="0"/>
    <x v="3"/>
    <x v="1"/>
    <n v="12340"/>
    <b v="1"/>
    <n v="1.6666666666666667"/>
    <n v="617"/>
    <n v="7.8650000000000002"/>
    <d v="2022-06-01T00:00:00"/>
    <s v="Middle-aged"/>
    <n v="0"/>
    <s v="No"/>
    <n v="425"/>
    <s v="Low"/>
    <s v="Low"/>
    <n v="4.7619047619047616E-2"/>
    <s v="Medium"/>
    <n v="3"/>
    <d v="2022-06-01T00:00:00"/>
    <s v="13–24 months"/>
    <s v="0–1 tickets"/>
    <s v="11–20 min"/>
    <s v="501–700"/>
    <n v="12340"/>
    <n v="0"/>
  </r>
  <r>
    <n v="12360"/>
    <n v="23"/>
    <s v="Female"/>
    <s v="Mumbai"/>
    <d v="2022-07-04T00:00:00"/>
    <d v="2023-07-31T00:00:00"/>
    <x v="2"/>
    <n v="833"/>
    <x v="22"/>
    <n v="0"/>
    <n v="24.15"/>
    <n v="5"/>
    <x v="0"/>
    <x v="1"/>
    <n v="28280.35"/>
    <b v="1"/>
    <n v="2.8333333333333335"/>
    <n v="831.77499999999998"/>
    <n v="24.15"/>
    <d v="2022-07-01T00:00:00"/>
    <s v="Young"/>
    <n v="0"/>
    <s v="Yes"/>
    <n v="392"/>
    <s v="Medium"/>
    <s v="Low"/>
    <n v="0"/>
    <s v="High"/>
    <n v="2"/>
    <d v="2022-07-01T00:00:00"/>
    <s v="25+ months"/>
    <s v="0–1 tickets"/>
    <s v="21–30 min"/>
    <s v="701–1000"/>
    <n v="28322"/>
    <n v="-41.650000000001455"/>
  </r>
  <r>
    <n v="12361"/>
    <n v="19"/>
    <s v="Female"/>
    <s v="Pune"/>
    <d v="2021-04-24T00:00:00"/>
    <d v="2021-06-30T00:00:00"/>
    <x v="2"/>
    <n v="1477"/>
    <x v="5"/>
    <n v="4"/>
    <n v="42.22"/>
    <n v="0"/>
    <x v="2"/>
    <x v="1"/>
    <n v="42833"/>
    <b v="1"/>
    <n v="2.4166666666666665"/>
    <n v="1477"/>
    <n v="8.4439999999999991"/>
    <d v="2021-04-01T00:00:00"/>
    <s v="Young"/>
    <n v="0"/>
    <s v="Yes"/>
    <n v="67"/>
    <s v="Medium"/>
    <s v="Low"/>
    <n v="0.13333333333333333"/>
    <s v="High"/>
    <n v="2"/>
    <d v="2021-04-01T00:00:00"/>
    <s v="25+ months"/>
    <s v="4–5 tickets"/>
    <s v="31–45 min"/>
    <s v="1000+"/>
    <n v="42833"/>
    <n v="0"/>
  </r>
  <r>
    <n v="12362"/>
    <n v="40"/>
    <s v="Female"/>
    <s v="Bangalore"/>
    <d v="2021-12-05T00:00:00"/>
    <d v="2022-02-21T00:00:00"/>
    <x v="2"/>
    <n v="536"/>
    <x v="13"/>
    <n v="3"/>
    <n v="16.91"/>
    <n v="15"/>
    <x v="3"/>
    <x v="1"/>
    <n v="1527.6"/>
    <b v="1"/>
    <n v="0.25"/>
    <n v="509.2"/>
    <n v="4.2275"/>
    <d v="2021-12-01T00:00:00"/>
    <s v="Middle-aged"/>
    <n v="0"/>
    <s v="No"/>
    <n v="78"/>
    <s v="Low"/>
    <s v="Low"/>
    <n v="0.75"/>
    <s v="Low"/>
    <n v="2"/>
    <d v="2021-12-01T00:00:00"/>
    <s v="0–6 months"/>
    <s v="2–3 tickets"/>
    <s v="11–20 min"/>
    <s v="501–700"/>
    <n v="1608"/>
    <n v="-80.400000000000091"/>
  </r>
  <r>
    <n v="12363"/>
    <n v="61"/>
    <s v="Female"/>
    <s v="Pune"/>
    <d v="2022-07-22T00:00:00"/>
    <d v="2022-04-24T00:00:00"/>
    <x v="1"/>
    <n v="1192"/>
    <x v="32"/>
    <n v="2"/>
    <n v="98.76"/>
    <n v="15"/>
    <x v="2"/>
    <x v="1"/>
    <n v="11741.2"/>
    <b v="0"/>
    <n v="0.83333333333333337"/>
    <n v="1174.1200000000001"/>
    <n v="32.92"/>
    <d v="2022-07-01T00:00:00"/>
    <s v="Older"/>
    <n v="0"/>
    <s v="No"/>
    <m/>
    <s v="High"/>
    <s v="Low"/>
    <n v="0.18181818181818182"/>
    <s v="Medium"/>
    <n v="3"/>
    <d v="2022-07-01T00:00:00"/>
    <s v="7–12 months"/>
    <s v="2–3 tickets"/>
    <s v="46+ min"/>
    <s v="1000+"/>
    <n v="11920"/>
    <n v="-178.79999999999927"/>
  </r>
  <r>
    <n v="12364"/>
    <n v="19"/>
    <s v="Female"/>
    <s v="Mumbai"/>
    <d v="2021-12-25T00:00:00"/>
    <d v="2022-10-05T00:00:00"/>
    <x v="2"/>
    <n v="816"/>
    <x v="28"/>
    <n v="5"/>
    <n v="39.14"/>
    <n v="0"/>
    <x v="0"/>
    <x v="1"/>
    <n v="16320"/>
    <b v="1"/>
    <n v="1.6666666666666667"/>
    <n v="816"/>
    <n v="6.5233333333333334"/>
    <d v="2021-12-01T00:00:00"/>
    <s v="Young"/>
    <n v="0"/>
    <s v="Yes"/>
    <n v="284"/>
    <s v="Medium"/>
    <s v="Low"/>
    <n v="0.23809523809523808"/>
    <s v="Medium"/>
    <n v="2"/>
    <d v="2021-12-01T00:00:00"/>
    <s v="13–24 months"/>
    <s v="4–5 tickets"/>
    <s v="31–45 min"/>
    <s v="701–1000"/>
    <n v="16320"/>
    <n v="0"/>
  </r>
  <r>
    <n v="12365"/>
    <n v="55"/>
    <s v="Male"/>
    <s v="Hyderabad"/>
    <d v="2022-10-12T00:00:00"/>
    <d v="2022-01-03T00:00:00"/>
    <x v="0"/>
    <n v="337"/>
    <x v="4"/>
    <n v="4"/>
    <n v="117.23"/>
    <n v="5"/>
    <x v="2"/>
    <x v="1"/>
    <n v="657.15"/>
    <b v="0"/>
    <n v="0.16666666666666666"/>
    <n v="328.57499999999999"/>
    <n v="23.446000000000002"/>
    <d v="2022-10-01T00:00:00"/>
    <s v="Older"/>
    <n v="0"/>
    <s v="No"/>
    <m/>
    <s v="High"/>
    <s v="Low"/>
    <n v="1.3333333333333333"/>
    <s v="Low"/>
    <n v="1"/>
    <d v="2022-10-01T00:00:00"/>
    <s v="0–6 months"/>
    <s v="4–5 tickets"/>
    <s v="46+ min"/>
    <s v="301–500"/>
    <n v="674"/>
    <n v="-16.850000000000023"/>
  </r>
  <r>
    <n v="12366"/>
    <n v="34"/>
    <s v="Male"/>
    <s v="Hyderabad"/>
    <d v="2022-09-06T00:00:00"/>
    <d v="2022-04-16T00:00:00"/>
    <x v="2"/>
    <n v="953"/>
    <x v="26"/>
    <n v="3"/>
    <n v="85.8"/>
    <n v="5"/>
    <x v="2"/>
    <x v="1"/>
    <n v="25683.35"/>
    <b v="0"/>
    <n v="2.25"/>
    <n v="951.23518518518517"/>
    <n v="21.45"/>
    <d v="2022-09-01T00:00:00"/>
    <s v="Adult"/>
    <n v="0"/>
    <s v="Yes"/>
    <m/>
    <s v="High"/>
    <s v="Low"/>
    <n v="0.10714285714285714"/>
    <s v="High"/>
    <n v="2"/>
    <d v="2022-09-01T00:00:00"/>
    <s v="25+ months"/>
    <s v="2–3 tickets"/>
    <s v="46+ min"/>
    <s v="701–1000"/>
    <n v="25731"/>
    <n v="-47.650000000001455"/>
  </r>
  <r>
    <n v="12367"/>
    <n v="52"/>
    <s v="Male"/>
    <s v="Chennai"/>
    <d v="2021-11-30T00:00:00"/>
    <d v="2022-07-04T00:00:00"/>
    <x v="0"/>
    <n v="1046"/>
    <x v="23"/>
    <n v="3"/>
    <n v="24.94"/>
    <n v="10"/>
    <x v="2"/>
    <x v="0"/>
    <n v="33367.4"/>
    <b v="1"/>
    <n v="2.6666666666666665"/>
    <n v="1042.73125"/>
    <n v="6.2350000000000003"/>
    <d v="2021-11-01T00:00:00"/>
    <s v="Older"/>
    <n v="1"/>
    <s v="Yes"/>
    <n v="216"/>
    <s v="Medium"/>
    <s v="Low"/>
    <n v="9.0909090909090912E-2"/>
    <s v="High"/>
    <n v="1"/>
    <d v="2021-11-01T00:00:00"/>
    <s v="25+ months"/>
    <s v="2–3 tickets"/>
    <s v="21–30 min"/>
    <s v="1000+"/>
    <n v="33472"/>
    <n v="-104.59999999999854"/>
  </r>
  <r>
    <n v="12368"/>
    <n v="51"/>
    <s v="Other"/>
    <s v="Mumbai"/>
    <d v="2022-11-20T00:00:00"/>
    <d v="2023-11-08T00:00:00"/>
    <x v="0"/>
    <n v="1140"/>
    <x v="32"/>
    <n v="2"/>
    <n v="59.74"/>
    <n v="20"/>
    <x v="0"/>
    <x v="1"/>
    <n v="11172"/>
    <b v="1"/>
    <n v="0.83333333333333337"/>
    <n v="1117.2"/>
    <n v="19.913333333333334"/>
    <d v="2022-11-01T00:00:00"/>
    <s v="Older"/>
    <n v="0"/>
    <s v="No"/>
    <n v="353"/>
    <s v="Medium"/>
    <s v="Medium"/>
    <n v="0.18181818181818182"/>
    <s v="Medium"/>
    <n v="1"/>
    <d v="2022-11-01T00:00:00"/>
    <s v="7–12 months"/>
    <s v="2–3 tickets"/>
    <s v="46+ min"/>
    <s v="1000+"/>
    <n v="11400"/>
    <n v="-228"/>
  </r>
  <r>
    <n v="12369"/>
    <n v="40"/>
    <s v="Male"/>
    <s v="Mumbai"/>
    <d v="2021-06-18T00:00:00"/>
    <d v="2021-09-13T00:00:00"/>
    <x v="0"/>
    <n v="747"/>
    <x v="18"/>
    <n v="1"/>
    <n v="58.69"/>
    <n v="0"/>
    <x v="0"/>
    <x v="1"/>
    <n v="12699"/>
    <b v="1"/>
    <n v="1.4166666666666667"/>
    <n v="747"/>
    <n v="29.344999999999999"/>
    <d v="2021-06-01T00:00:00"/>
    <s v="Middle-aged"/>
    <n v="0"/>
    <s v="No"/>
    <n v="87"/>
    <s v="Medium"/>
    <s v="Low"/>
    <n v="5.5555555555555552E-2"/>
    <s v="Medium"/>
    <n v="1"/>
    <d v="2021-06-01T00:00:00"/>
    <s v="13–24 months"/>
    <s v="0–1 tickets"/>
    <s v="46+ min"/>
    <s v="701–1000"/>
    <n v="12699"/>
    <n v="0"/>
  </r>
  <r>
    <n v="12370"/>
    <n v="47"/>
    <s v="Male"/>
    <s v="Bangalore"/>
    <d v="2021-12-05T00:00:00"/>
    <d v="2023-04-27T00:00:00"/>
    <x v="0"/>
    <n v="983"/>
    <x v="33"/>
    <n v="4"/>
    <n v="61.64"/>
    <n v="20"/>
    <x v="2"/>
    <x v="1"/>
    <n v="32242.400000000001"/>
    <b v="1"/>
    <n v="2.75"/>
    <n v="977.04242424242432"/>
    <n v="12.327999999999999"/>
    <d v="2021-12-01T00:00:00"/>
    <s v="Middle-aged"/>
    <n v="0"/>
    <s v="Yes"/>
    <n v="508"/>
    <s v="High"/>
    <s v="Medium"/>
    <n v="0.11764705882352941"/>
    <s v="High"/>
    <n v="1"/>
    <d v="2021-12-01T00:00:00"/>
    <s v="25+ months"/>
    <s v="4–5 tickets"/>
    <s v="46+ min"/>
    <s v="701–1000"/>
    <n v="32439"/>
    <n v="-196.59999999999854"/>
  </r>
  <r>
    <n v="12371"/>
    <n v="41"/>
    <s v="Female"/>
    <s v="Bangalore"/>
    <d v="2023-03-09T00:00:00"/>
    <d v="2022-04-26T00:00:00"/>
    <x v="0"/>
    <n v="424"/>
    <x v="20"/>
    <n v="3"/>
    <n v="66.599999999999994"/>
    <n v="20"/>
    <x v="3"/>
    <x v="0"/>
    <n v="2459.1999999999998"/>
    <b v="0"/>
    <n v="0.5"/>
    <n v="409.86666666666662"/>
    <n v="16.649999999999999"/>
    <d v="2023-03-01T00:00:00"/>
    <s v="Middle-aged"/>
    <n v="1"/>
    <s v="No"/>
    <m/>
    <s v="High"/>
    <s v="Medium"/>
    <n v="0.42857142857142855"/>
    <s v="Low"/>
    <n v="1"/>
    <d v="2023-03-01T00:00:00"/>
    <s v="0–6 months"/>
    <s v="2–3 tickets"/>
    <s v="46+ min"/>
    <s v="301–500"/>
    <n v="2544"/>
    <n v="-84.800000000000182"/>
  </r>
  <r>
    <n v="12372"/>
    <n v="41"/>
    <s v="Female"/>
    <s v="Chennai"/>
    <d v="2021-09-18T00:00:00"/>
    <d v="2023-03-22T00:00:00"/>
    <x v="0"/>
    <n v="1388"/>
    <x v="10"/>
    <n v="2"/>
    <n v="8.58"/>
    <n v="15"/>
    <x v="3"/>
    <x v="0"/>
    <n v="24775.8"/>
    <b v="1"/>
    <n v="1.5"/>
    <n v="1376.4333333333334"/>
    <n v="2.86"/>
    <d v="2021-09-01T00:00:00"/>
    <s v="Middle-aged"/>
    <n v="1"/>
    <s v="Yes"/>
    <n v="550"/>
    <s v="Low"/>
    <s v="Low"/>
    <n v="0.10526315789473684"/>
    <s v="High"/>
    <n v="1"/>
    <d v="2021-09-01T00:00:00"/>
    <s v="13–24 months"/>
    <s v="2–3 tickets"/>
    <s v="0–10 min"/>
    <s v="1000+"/>
    <n v="24984"/>
    <n v="-208.20000000000073"/>
  </r>
  <r>
    <n v="12373"/>
    <n v="61"/>
    <s v="Female"/>
    <s v="Delhi"/>
    <d v="2023-06-06T00:00:00"/>
    <d v="2023-02-07T00:00:00"/>
    <x v="2"/>
    <n v="1092"/>
    <x v="9"/>
    <n v="5"/>
    <n v="83.92"/>
    <n v="15"/>
    <x v="0"/>
    <x v="1"/>
    <n v="9664.2000000000007"/>
    <b v="0"/>
    <n v="0.75"/>
    <n v="1073.8000000000002"/>
    <n v="13.986666666666666"/>
    <d v="2023-06-01T00:00:00"/>
    <s v="Older"/>
    <n v="0"/>
    <s v="No"/>
    <m/>
    <s v="High"/>
    <s v="Low"/>
    <n v="0.5"/>
    <s v="Medium"/>
    <n v="2"/>
    <d v="2023-06-01T00:00:00"/>
    <s v="7–12 months"/>
    <s v="4–5 tickets"/>
    <s v="46+ min"/>
    <s v="1000+"/>
    <n v="9828"/>
    <n v="-163.79999999999927"/>
  </r>
  <r>
    <n v="12374"/>
    <n v="53"/>
    <s v="Male"/>
    <s v="unknown"/>
    <d v="2023-01-05T00:00:00"/>
    <d v="2021-07-17T00:00:00"/>
    <x v="1"/>
    <n v="1083"/>
    <x v="14"/>
    <n v="3"/>
    <n v="61.03"/>
    <n v="0"/>
    <x v="1"/>
    <x v="1"/>
    <n v="8664"/>
    <b v="0"/>
    <n v="0.66666666666666663"/>
    <n v="1083"/>
    <n v="15.2575"/>
    <d v="2023-01-01T00:00:00"/>
    <s v="Older"/>
    <n v="0"/>
    <s v="No"/>
    <m/>
    <s v="High"/>
    <s v="Low"/>
    <n v="0.33333333333333331"/>
    <s v="Low"/>
    <n v="3"/>
    <d v="2023-01-01T00:00:00"/>
    <s v="7–12 months"/>
    <s v="2–3 tickets"/>
    <s v="46+ min"/>
    <s v="1000+"/>
    <n v="8664"/>
    <n v="0"/>
  </r>
  <r>
    <n v="12375"/>
    <n v="22"/>
    <s v="Male"/>
    <s v="Delhi"/>
    <d v="2021-07-18T00:00:00"/>
    <d v="2023-01-20T00:00:00"/>
    <x v="1"/>
    <n v="525"/>
    <x v="0"/>
    <n v="1"/>
    <n v="95.96"/>
    <n v="0"/>
    <x v="3"/>
    <x v="1"/>
    <n v="13125"/>
    <b v="1"/>
    <n v="2.0833333333333335"/>
    <n v="525"/>
    <n v="47.98"/>
    <d v="2021-07-01T00:00:00"/>
    <s v="Young"/>
    <n v="0"/>
    <s v="No"/>
    <n v="551"/>
    <s v="High"/>
    <s v="Low"/>
    <n v="3.8461538461538464E-2"/>
    <s v="Medium"/>
    <n v="3"/>
    <d v="2021-07-01T00:00:00"/>
    <s v="25+ months"/>
    <s v="0–1 tickets"/>
    <s v="46+ min"/>
    <s v="501–700"/>
    <n v="13125"/>
    <n v="0"/>
  </r>
  <r>
    <n v="12376"/>
    <n v="30"/>
    <s v="Male"/>
    <s v="Delhi"/>
    <d v="2021-07-30T00:00:00"/>
    <d v="2023-08-30T00:00:00"/>
    <x v="0"/>
    <n v="764"/>
    <x v="27"/>
    <n v="1"/>
    <n v="98.77"/>
    <n v="5"/>
    <x v="2"/>
    <x v="1"/>
    <n v="23645.8"/>
    <b v="1"/>
    <n v="2.5833333333333335"/>
    <n v="762.76774193548385"/>
    <n v="49.384999999999998"/>
    <d v="2021-07-01T00:00:00"/>
    <s v="Adult"/>
    <n v="0"/>
    <s v="Yes"/>
    <n v="761"/>
    <s v="High"/>
    <s v="Low"/>
    <n v="3.125E-2"/>
    <s v="High"/>
    <n v="1"/>
    <d v="2021-07-01T00:00:00"/>
    <s v="25+ months"/>
    <s v="0–1 tickets"/>
    <s v="46+ min"/>
    <s v="701–1000"/>
    <n v="23684"/>
    <n v="-38.200000000000728"/>
  </r>
  <r>
    <n v="12377"/>
    <n v="46"/>
    <s v="Male"/>
    <s v="Mumbai"/>
    <d v="2021-10-14T00:00:00"/>
    <d v="2023-03-03T00:00:00"/>
    <x v="2"/>
    <n v="942"/>
    <x v="2"/>
    <n v="3"/>
    <n v="31.51"/>
    <n v="0"/>
    <x v="1"/>
    <x v="0"/>
    <n v="3768"/>
    <b v="1"/>
    <n v="0.33333333333333331"/>
    <n v="942"/>
    <n v="7.8775000000000004"/>
    <d v="2021-10-01T00:00:00"/>
    <s v="Middle-aged"/>
    <n v="1"/>
    <s v="No"/>
    <n v="505"/>
    <s v="Medium"/>
    <s v="Low"/>
    <n v="0.6"/>
    <s v="Low"/>
    <n v="2"/>
    <d v="2021-10-01T00:00:00"/>
    <s v="0–6 months"/>
    <s v="2–3 tickets"/>
    <s v="31–45 min"/>
    <s v="701–1000"/>
    <n v="3768"/>
    <n v="0"/>
  </r>
  <r>
    <n v="12378"/>
    <n v="48"/>
    <s v="Male"/>
    <s v="Pune"/>
    <d v="2022-11-23T00:00:00"/>
    <d v="2023-07-10T00:00:00"/>
    <x v="1"/>
    <n v="592"/>
    <x v="28"/>
    <n v="0"/>
    <n v="10.57"/>
    <n v="5"/>
    <x v="0"/>
    <x v="0"/>
    <n v="11810.4"/>
    <b v="1"/>
    <n v="1.6666666666666667"/>
    <n v="590.52"/>
    <n v="10.57"/>
    <d v="2022-11-01T00:00:00"/>
    <s v="Middle-aged"/>
    <n v="1"/>
    <s v="No"/>
    <n v="229"/>
    <s v="Low"/>
    <s v="Low"/>
    <n v="0"/>
    <s v="Medium"/>
    <n v="3"/>
    <d v="2022-11-01T00:00:00"/>
    <s v="13–24 months"/>
    <s v="0–1 tickets"/>
    <s v="11–20 min"/>
    <s v="501–700"/>
    <n v="11840"/>
    <n v="-29.600000000000364"/>
  </r>
  <r>
    <n v="12379"/>
    <n v="64"/>
    <s v="Male"/>
    <s v="Mumbai"/>
    <d v="2023-02-01T00:00:00"/>
    <d v="2022-04-10T00:00:00"/>
    <x v="0"/>
    <n v="1020"/>
    <x v="29"/>
    <n v="4"/>
    <n v="85.87"/>
    <n v="5"/>
    <x v="3"/>
    <x v="0"/>
    <n v="28509"/>
    <b v="0"/>
    <n v="2.3333333333333335"/>
    <n v="1018.1785714285714"/>
    <n v="17.173999999999999"/>
    <d v="2023-02-01T00:00:00"/>
    <s v="Older"/>
    <n v="1"/>
    <s v="Yes"/>
    <m/>
    <s v="High"/>
    <s v="Low"/>
    <n v="0.13793103448275862"/>
    <s v="High"/>
    <n v="1"/>
    <d v="2023-02-01T00:00:00"/>
    <s v="25+ months"/>
    <s v="4–5 tickets"/>
    <s v="46+ min"/>
    <s v="1000+"/>
    <n v="28560"/>
    <n v="-51"/>
  </r>
  <r>
    <n v="12380"/>
    <n v="33"/>
    <s v="Female"/>
    <s v="Pune"/>
    <d v="2023-01-13T00:00:00"/>
    <d v="2021-10-25T00:00:00"/>
    <x v="2"/>
    <n v="1055"/>
    <x v="7"/>
    <n v="1"/>
    <n v="117.44"/>
    <n v="0"/>
    <x v="1"/>
    <x v="1"/>
    <n v="1055"/>
    <b v="0"/>
    <n v="8.3333333333333329E-2"/>
    <n v="1055"/>
    <n v="58.72"/>
    <d v="2023-01-01T00:00:00"/>
    <s v="Adult"/>
    <n v="0"/>
    <s v="No"/>
    <m/>
    <s v="High"/>
    <s v="Low"/>
    <n v="0.5"/>
    <s v="Low"/>
    <n v="2"/>
    <d v="2023-01-01T00:00:00"/>
    <s v="0–6 months"/>
    <s v="0–1 tickets"/>
    <s v="46+ min"/>
    <s v="1000+"/>
    <n v="1055"/>
    <n v="0"/>
  </r>
  <r>
    <n v="12381"/>
    <n v="59"/>
    <s v="Male"/>
    <s v="Hyderabad"/>
    <d v="2022-04-17T00:00:00"/>
    <d v="2022-09-05T00:00:00"/>
    <x v="2"/>
    <n v="465"/>
    <x v="31"/>
    <n v="1"/>
    <n v="56.37"/>
    <n v="5"/>
    <x v="0"/>
    <x v="1"/>
    <n v="10671.75"/>
    <b v="1"/>
    <n v="1.9166666666666667"/>
    <n v="463.98913043478262"/>
    <n v="28.184999999999999"/>
    <d v="2022-04-01T00:00:00"/>
    <s v="Older"/>
    <n v="0"/>
    <s v="No"/>
    <n v="141"/>
    <s v="Medium"/>
    <s v="Low"/>
    <n v="4.1666666666666664E-2"/>
    <s v="Medium"/>
    <n v="2"/>
    <d v="2022-04-01T00:00:00"/>
    <s v="13–24 months"/>
    <s v="0–1 tickets"/>
    <s v="46+ min"/>
    <s v="301–500"/>
    <n v="10695"/>
    <n v="-23.25"/>
  </r>
  <r>
    <n v="12382"/>
    <n v="47"/>
    <s v="Female"/>
    <s v="Mumbai"/>
    <d v="2022-04-27T00:00:00"/>
    <d v="2023-01-05T00:00:00"/>
    <x v="0"/>
    <n v="1068"/>
    <x v="19"/>
    <n v="2"/>
    <n v="34.86"/>
    <n v="20"/>
    <x v="0"/>
    <x v="1"/>
    <n v="13670.4"/>
    <b v="1"/>
    <n v="1.0833333333333333"/>
    <n v="1051.5692307692307"/>
    <n v="11.62"/>
    <d v="2022-04-01T00:00:00"/>
    <s v="Middle-aged"/>
    <n v="0"/>
    <s v="Yes"/>
    <n v="253"/>
    <s v="Medium"/>
    <s v="Medium"/>
    <n v="0.14285714285714285"/>
    <s v="Medium"/>
    <n v="1"/>
    <d v="2022-04-01T00:00:00"/>
    <s v="13–24 months"/>
    <s v="2–3 tickets"/>
    <s v="31–45 min"/>
    <s v="1000+"/>
    <n v="13884"/>
    <n v="-213.60000000000036"/>
  </r>
  <r>
    <n v="12383"/>
    <n v="33"/>
    <s v="Female"/>
    <s v="Mumbai"/>
    <d v="2021-01-23T00:00:00"/>
    <d v="2022-09-29T00:00:00"/>
    <x v="1"/>
    <n v="1306"/>
    <x v="24"/>
    <n v="3"/>
    <n v="23.02"/>
    <n v="5"/>
    <x v="2"/>
    <x v="1"/>
    <n v="20830.7"/>
    <b v="1"/>
    <n v="1.3333333333333333"/>
    <n v="1301.91875"/>
    <n v="5.7549999999999999"/>
    <d v="2021-01-01T00:00:00"/>
    <s v="Adult"/>
    <n v="0"/>
    <s v="Yes"/>
    <n v="614"/>
    <s v="Medium"/>
    <s v="Low"/>
    <n v="0.17647058823529413"/>
    <s v="High"/>
    <n v="3"/>
    <d v="2021-01-01T00:00:00"/>
    <s v="13–24 months"/>
    <s v="2–3 tickets"/>
    <s v="21–30 min"/>
    <s v="1000+"/>
    <n v="20896"/>
    <n v="-65.299999999999272"/>
  </r>
  <r>
    <n v="12384"/>
    <n v="29"/>
    <s v="Male"/>
    <s v="Mumbai"/>
    <d v="2022-07-14T00:00:00"/>
    <d v="2023-03-14T00:00:00"/>
    <x v="1"/>
    <n v="1170"/>
    <x v="8"/>
    <n v="2"/>
    <n v="38.06"/>
    <n v="20"/>
    <x v="3"/>
    <x v="1"/>
    <n v="30186"/>
    <b v="1"/>
    <n v="2.1666666666666665"/>
    <n v="1161"/>
    <n v="12.686666666666667"/>
    <d v="2022-07-01T00:00:00"/>
    <s v="Adult"/>
    <n v="0"/>
    <s v="Yes"/>
    <n v="243"/>
    <s v="Medium"/>
    <s v="Medium"/>
    <n v="7.407407407407407E-2"/>
    <s v="High"/>
    <n v="3"/>
    <d v="2022-07-01T00:00:00"/>
    <s v="25+ months"/>
    <s v="2–3 tickets"/>
    <s v="31–45 min"/>
    <s v="1000+"/>
    <n v="30420"/>
    <n v="-234"/>
  </r>
  <r>
    <n v="12385"/>
    <n v="34"/>
    <s v="Female"/>
    <s v="Chennai"/>
    <d v="2021-04-19T00:00:00"/>
    <d v="2022-07-15T00:00:00"/>
    <x v="0"/>
    <n v="1375"/>
    <x v="27"/>
    <n v="2"/>
    <n v="62.59"/>
    <n v="20"/>
    <x v="1"/>
    <x v="1"/>
    <n v="42350"/>
    <b v="1"/>
    <n v="2.5833333333333335"/>
    <n v="1366.1290322580646"/>
    <n v="20.863333333333333"/>
    <d v="2021-04-01T00:00:00"/>
    <s v="Adult"/>
    <n v="0"/>
    <s v="Yes"/>
    <n v="452"/>
    <s v="High"/>
    <s v="Medium"/>
    <n v="6.25E-2"/>
    <s v="High"/>
    <n v="1"/>
    <d v="2021-04-01T00:00:00"/>
    <s v="25+ months"/>
    <s v="2–3 tickets"/>
    <s v="46+ min"/>
    <s v="1000+"/>
    <n v="42625"/>
    <n v="-275"/>
  </r>
  <r>
    <n v="12386"/>
    <n v="33"/>
    <s v="Male"/>
    <s v="Mumbai"/>
    <d v="2021-10-23T00:00:00"/>
    <d v="2021-06-27T00:00:00"/>
    <x v="0"/>
    <n v="866"/>
    <x v="7"/>
    <n v="2"/>
    <n v="53.75"/>
    <n v="20"/>
    <x v="2"/>
    <x v="1"/>
    <n v="692.8"/>
    <b v="0"/>
    <n v="8.3333333333333329E-2"/>
    <n v="692.8"/>
    <n v="17.916666666666668"/>
    <d v="2021-10-01T00:00:00"/>
    <s v="Adult"/>
    <n v="0"/>
    <s v="No"/>
    <m/>
    <s v="Medium"/>
    <s v="Medium"/>
    <n v="1"/>
    <s v="Low"/>
    <n v="1"/>
    <d v="2021-10-01T00:00:00"/>
    <s v="0–6 months"/>
    <s v="2–3 tickets"/>
    <s v="46+ min"/>
    <s v="701–1000"/>
    <n v="866"/>
    <n v="-173.20000000000005"/>
  </r>
  <r>
    <n v="12387"/>
    <n v="29"/>
    <s v="Male"/>
    <s v="Bangalore"/>
    <d v="2021-01-06T00:00:00"/>
    <d v="2021-06-29T00:00:00"/>
    <x v="0"/>
    <n v="1337"/>
    <x v="18"/>
    <n v="1"/>
    <n v="80.37"/>
    <n v="10"/>
    <x v="3"/>
    <x v="1"/>
    <n v="22595.3"/>
    <b v="1"/>
    <n v="1.4166666666666667"/>
    <n v="1329.1352941176469"/>
    <n v="40.185000000000002"/>
    <d v="2021-01-01T00:00:00"/>
    <s v="Adult"/>
    <n v="0"/>
    <s v="Yes"/>
    <n v="174"/>
    <s v="High"/>
    <s v="Low"/>
    <n v="5.5555555555555552E-2"/>
    <s v="High"/>
    <n v="1"/>
    <d v="2021-01-01T00:00:00"/>
    <s v="13–24 months"/>
    <s v="0–1 tickets"/>
    <s v="46+ min"/>
    <s v="1000+"/>
    <n v="22729"/>
    <n v="-133.70000000000073"/>
  </r>
  <r>
    <n v="12388"/>
    <n v="25"/>
    <s v="Female"/>
    <s v="Bangalore"/>
    <d v="2022-07-04T00:00:00"/>
    <d v="2022-02-26T00:00:00"/>
    <x v="0"/>
    <n v="901"/>
    <x v="24"/>
    <n v="1"/>
    <n v="62.59"/>
    <n v="10"/>
    <x v="1"/>
    <x v="1"/>
    <n v="14325.9"/>
    <b v="0"/>
    <n v="1.3333333333333333"/>
    <n v="895.36874999999998"/>
    <n v="31.295000000000002"/>
    <d v="2022-07-01T00:00:00"/>
    <s v="Young"/>
    <n v="0"/>
    <s v="Yes"/>
    <m/>
    <s v="High"/>
    <s v="Low"/>
    <n v="5.8823529411764705E-2"/>
    <s v="Medium"/>
    <n v="1"/>
    <d v="2022-07-01T00:00:00"/>
    <s v="13–24 months"/>
    <s v="0–1 tickets"/>
    <s v="46+ min"/>
    <s v="701–1000"/>
    <n v="14416"/>
    <n v="-90.100000000000364"/>
  </r>
  <r>
    <n v="12389"/>
    <n v="37"/>
    <s v="Male"/>
    <s v="Pune"/>
    <d v="2022-11-12T00:00:00"/>
    <d v="2023-04-17T00:00:00"/>
    <x v="2"/>
    <n v="1412"/>
    <x v="32"/>
    <n v="3"/>
    <n v="10.86"/>
    <n v="5"/>
    <x v="0"/>
    <x v="0"/>
    <n v="14049.4"/>
    <b v="1"/>
    <n v="0.83333333333333337"/>
    <n v="1404.94"/>
    <n v="2.7149999999999999"/>
    <d v="2022-11-01T00:00:00"/>
    <s v="Middle-aged"/>
    <n v="1"/>
    <s v="Yes"/>
    <n v="156"/>
    <s v="Low"/>
    <s v="Low"/>
    <n v="0.27272727272727271"/>
    <s v="Medium"/>
    <n v="2"/>
    <d v="2022-11-01T00:00:00"/>
    <s v="7–12 months"/>
    <s v="2–3 tickets"/>
    <s v="11–20 min"/>
    <s v="1000+"/>
    <n v="14120"/>
    <n v="-70.600000000000364"/>
  </r>
  <r>
    <n v="12390"/>
    <n v="20"/>
    <s v="Other"/>
    <s v="Hyderabad"/>
    <d v="2023-05-18T00:00:00"/>
    <d v="2022-10-14T00:00:00"/>
    <x v="2"/>
    <n v="1204"/>
    <x v="27"/>
    <n v="0"/>
    <n v="47.93"/>
    <n v="0"/>
    <x v="0"/>
    <x v="1"/>
    <n v="37324"/>
    <b v="0"/>
    <n v="2.5833333333333335"/>
    <n v="1204"/>
    <n v="47.93"/>
    <d v="2023-05-01T00:00:00"/>
    <s v="Young"/>
    <n v="0"/>
    <s v="Yes"/>
    <m/>
    <s v="Medium"/>
    <s v="Low"/>
    <n v="0"/>
    <s v="High"/>
    <n v="2"/>
    <d v="2023-05-01T00:00:00"/>
    <s v="25+ months"/>
    <s v="0–1 tickets"/>
    <s v="46+ min"/>
    <s v="1000+"/>
    <n v="37324"/>
    <n v="0"/>
  </r>
  <r>
    <n v="12391"/>
    <n v="41"/>
    <s v="Male"/>
    <s v="Chennai"/>
    <d v="2023-03-06T00:00:00"/>
    <d v="2022-02-08T00:00:00"/>
    <x v="0"/>
    <n v="340"/>
    <x v="32"/>
    <n v="2"/>
    <n v="103.4"/>
    <n v="5"/>
    <x v="3"/>
    <x v="1"/>
    <n v="3383"/>
    <b v="0"/>
    <n v="0.83333333333333337"/>
    <n v="338.3"/>
    <n v="34.466666666666669"/>
    <d v="2023-03-01T00:00:00"/>
    <s v="Middle-aged"/>
    <n v="0"/>
    <s v="No"/>
    <m/>
    <s v="High"/>
    <s v="Low"/>
    <n v="0.18181818181818182"/>
    <s v="Low"/>
    <n v="1"/>
    <d v="2023-03-01T00:00:00"/>
    <s v="7–12 months"/>
    <s v="2–3 tickets"/>
    <s v="46+ min"/>
    <s v="301–500"/>
    <n v="3400"/>
    <n v="-17"/>
  </r>
  <r>
    <n v="12392"/>
    <n v="47"/>
    <s v="Female"/>
    <s v="Pune"/>
    <d v="2021-07-22T00:00:00"/>
    <d v="2022-06-20T00:00:00"/>
    <x v="1"/>
    <n v="1461"/>
    <x v="22"/>
    <n v="3"/>
    <n v="62.31"/>
    <n v="10"/>
    <x v="2"/>
    <x v="1"/>
    <n v="49527.9"/>
    <b v="1"/>
    <n v="2.8333333333333335"/>
    <n v="1456.7029411764706"/>
    <n v="15.577500000000001"/>
    <d v="2021-07-01T00:00:00"/>
    <s v="Middle-aged"/>
    <n v="0"/>
    <s v="Yes"/>
    <n v="333"/>
    <s v="High"/>
    <s v="Low"/>
    <n v="8.5714285714285715E-2"/>
    <s v="High"/>
    <n v="3"/>
    <d v="2021-07-01T00:00:00"/>
    <s v="25+ months"/>
    <s v="2–3 tickets"/>
    <s v="46+ min"/>
    <s v="1000+"/>
    <n v="49674"/>
    <n v="-146.09999999999854"/>
  </r>
  <r>
    <n v="12393"/>
    <n v="62"/>
    <s v="Male"/>
    <s v="Bangalore"/>
    <d v="2021-11-21T00:00:00"/>
    <d v="2021-07-30T00:00:00"/>
    <x v="0"/>
    <n v="1329"/>
    <x v="20"/>
    <n v="4"/>
    <n v="115.95"/>
    <n v="15"/>
    <x v="1"/>
    <x v="1"/>
    <n v="7774.65"/>
    <b v="0"/>
    <n v="0.5"/>
    <n v="1295.7749999999999"/>
    <n v="23.19"/>
    <d v="2021-11-01T00:00:00"/>
    <s v="Older"/>
    <n v="0"/>
    <s v="No"/>
    <m/>
    <s v="High"/>
    <s v="Low"/>
    <n v="0.5714285714285714"/>
    <s v="Low"/>
    <n v="1"/>
    <d v="2021-11-01T00:00:00"/>
    <s v="0–6 months"/>
    <s v="4–5 tickets"/>
    <s v="46+ min"/>
    <s v="1000+"/>
    <n v="7974"/>
    <n v="-199.35000000000036"/>
  </r>
  <r>
    <n v="12394"/>
    <n v="40"/>
    <s v="Male"/>
    <s v="Chennai"/>
    <d v="2023-04-05T00:00:00"/>
    <d v="2021-09-15T00:00:00"/>
    <x v="0"/>
    <n v="541"/>
    <x v="29"/>
    <n v="5"/>
    <n v="62.92"/>
    <n v="15"/>
    <x v="1"/>
    <x v="0"/>
    <n v="15066.85"/>
    <b v="0"/>
    <n v="2.3333333333333335"/>
    <n v="538.10178571428571"/>
    <n v="10.486666666666666"/>
    <d v="2023-04-01T00:00:00"/>
    <s v="Middle-aged"/>
    <n v="1"/>
    <s v="Yes"/>
    <m/>
    <s v="High"/>
    <s v="Low"/>
    <n v="0.17241379310344829"/>
    <s v="Medium"/>
    <n v="1"/>
    <d v="2023-04-01T00:00:00"/>
    <s v="25+ months"/>
    <s v="4–5 tickets"/>
    <s v="46+ min"/>
    <s v="501–700"/>
    <n v="15148"/>
    <n v="-81.149999999999636"/>
  </r>
  <r>
    <n v="12395"/>
    <n v="45"/>
    <s v="Male"/>
    <s v="Chennai"/>
    <d v="2023-02-24T00:00:00"/>
    <d v="2022-01-06T00:00:00"/>
    <x v="0"/>
    <n v="461"/>
    <x v="29"/>
    <n v="0"/>
    <n v="36.729999999999997"/>
    <n v="5"/>
    <x v="0"/>
    <x v="1"/>
    <n v="12884.95"/>
    <b v="0"/>
    <n v="2.3333333333333335"/>
    <n v="460.17678571428576"/>
    <n v="36.729999999999997"/>
    <d v="2023-02-01T00:00:00"/>
    <s v="Middle-aged"/>
    <n v="0"/>
    <s v="No"/>
    <m/>
    <s v="Medium"/>
    <s v="Low"/>
    <n v="0"/>
    <s v="Medium"/>
    <n v="1"/>
    <d v="2023-02-01T00:00:00"/>
    <s v="25+ months"/>
    <s v="0–1 tickets"/>
    <s v="31–45 min"/>
    <s v="301–500"/>
    <n v="12908"/>
    <n v="-23.049999999999272"/>
  </r>
  <r>
    <n v="12396"/>
    <n v="57"/>
    <s v="Female"/>
    <s v="Hyderabad"/>
    <d v="2021-09-01T00:00:00"/>
    <d v="2022-08-15T00:00:00"/>
    <x v="2"/>
    <n v="1318"/>
    <x v="19"/>
    <n v="2"/>
    <n v="62.59"/>
    <n v="10"/>
    <x v="3"/>
    <x v="1"/>
    <n v="17002.2"/>
    <b v="1"/>
    <n v="1.0833333333333333"/>
    <n v="1307.8615384615384"/>
    <n v="20.863333333333333"/>
    <d v="2021-09-01T00:00:00"/>
    <s v="Older"/>
    <n v="0"/>
    <s v="Yes"/>
    <n v="348"/>
    <s v="High"/>
    <s v="Low"/>
    <n v="0.14285714285714285"/>
    <s v="Medium"/>
    <n v="2"/>
    <d v="2021-09-01T00:00:00"/>
    <s v="13–24 months"/>
    <s v="2–3 tickets"/>
    <s v="46+ min"/>
    <s v="1000+"/>
    <n v="17134"/>
    <n v="-131.79999999999927"/>
  </r>
  <r>
    <n v="12397"/>
    <n v="22"/>
    <s v="Female"/>
    <s v="Chennai"/>
    <d v="2021-11-23T00:00:00"/>
    <d v="2023-07-11T00:00:00"/>
    <x v="0"/>
    <n v="991"/>
    <x v="34"/>
    <n v="2"/>
    <n v="84.87"/>
    <n v="20"/>
    <x v="2"/>
    <x v="1"/>
    <n v="11693.8"/>
    <b v="1"/>
    <n v="1"/>
    <n v="974.48333333333323"/>
    <n v="28.290000000000003"/>
    <d v="2021-11-01T00:00:00"/>
    <s v="Young"/>
    <n v="0"/>
    <s v="No"/>
    <n v="595"/>
    <s v="High"/>
    <s v="Medium"/>
    <n v="0.15384615384615385"/>
    <s v="Medium"/>
    <n v="1"/>
    <d v="2021-11-01T00:00:00"/>
    <s v="7–12 months"/>
    <s v="2–3 tickets"/>
    <s v="46+ min"/>
    <s v="701–1000"/>
    <n v="11892"/>
    <n v="-198.20000000000073"/>
  </r>
  <r>
    <n v="12398"/>
    <n v="37"/>
    <s v="Female"/>
    <s v="Mumbai"/>
    <d v="2021-02-16T00:00:00"/>
    <d v="2023-10-31T00:00:00"/>
    <x v="0"/>
    <n v="1108"/>
    <x v="4"/>
    <n v="1"/>
    <n v="66.680000000000007"/>
    <n v="10"/>
    <x v="0"/>
    <x v="1"/>
    <n v="2105.1999999999998"/>
    <b v="1"/>
    <n v="0.16666666666666666"/>
    <n v="1052.5999999999999"/>
    <n v="33.340000000000003"/>
    <d v="2021-02-01T00:00:00"/>
    <s v="Middle-aged"/>
    <n v="0"/>
    <s v="No"/>
    <n v="987"/>
    <s v="High"/>
    <s v="Low"/>
    <n v="0.33333333333333331"/>
    <s v="Low"/>
    <n v="1"/>
    <d v="2021-02-01T00:00:00"/>
    <s v="0–6 months"/>
    <s v="0–1 tickets"/>
    <s v="46+ min"/>
    <s v="1000+"/>
    <n v="2216"/>
    <n v="-110.80000000000018"/>
  </r>
  <r>
    <n v="12399"/>
    <n v="57"/>
    <s v="Female"/>
    <s v="Chennai"/>
    <d v="2023-01-31T00:00:00"/>
    <d v="2023-03-20T00:00:00"/>
    <x v="0"/>
    <n v="1278"/>
    <x v="14"/>
    <n v="0"/>
    <n v="74.459999999999994"/>
    <n v="5"/>
    <x v="0"/>
    <x v="0"/>
    <n v="10160.1"/>
    <b v="1"/>
    <n v="0.66666666666666663"/>
    <n v="1270.0125"/>
    <n v="74.459999999999994"/>
    <d v="2023-01-01T00:00:00"/>
    <s v="Older"/>
    <n v="1"/>
    <s v="No"/>
    <n v="48"/>
    <s v="High"/>
    <s v="Low"/>
    <n v="0"/>
    <s v="Medium"/>
    <n v="1"/>
    <d v="2023-01-01T00:00:00"/>
    <s v="7–12 months"/>
    <s v="0–1 tickets"/>
    <s v="46+ min"/>
    <s v="1000+"/>
    <n v="10224"/>
    <n v="-63.899999999999636"/>
  </r>
  <r>
    <n v="12400"/>
    <n v="61"/>
    <s v="Female"/>
    <s v="Hyderabad"/>
    <d v="2022-08-14T00:00:00"/>
    <d v="2022-12-16T00:00:00"/>
    <x v="1"/>
    <n v="817"/>
    <x v="9"/>
    <n v="1"/>
    <n v="91.84"/>
    <n v="10"/>
    <x v="2"/>
    <x v="1"/>
    <n v="7271.3"/>
    <b v="1"/>
    <n v="0.75"/>
    <n v="807.92222222222222"/>
    <n v="45.92"/>
    <d v="2022-08-01T00:00:00"/>
    <s v="Older"/>
    <n v="0"/>
    <s v="No"/>
    <n v="124"/>
    <s v="High"/>
    <s v="Low"/>
    <n v="0.1"/>
    <s v="Low"/>
    <n v="3"/>
    <d v="2022-08-01T00:00:00"/>
    <s v="7–12 months"/>
    <s v="0–1 tickets"/>
    <s v="46+ min"/>
    <s v="701–1000"/>
    <n v="7353"/>
    <n v="-81.699999999999818"/>
  </r>
  <r>
    <n v="12401"/>
    <n v="18"/>
    <s v="Female"/>
    <s v="Pune"/>
    <d v="2022-09-14T00:00:00"/>
    <d v="2022-12-24T00:00:00"/>
    <x v="1"/>
    <n v="1197"/>
    <x v="14"/>
    <n v="3"/>
    <n v="88.48"/>
    <n v="15"/>
    <x v="1"/>
    <x v="1"/>
    <n v="9396.4500000000007"/>
    <b v="1"/>
    <n v="0.66666666666666663"/>
    <n v="1174.5562500000001"/>
    <n v="22.12"/>
    <d v="2022-09-01T00:00:00"/>
    <s v="Young"/>
    <n v="0"/>
    <s v="No"/>
    <n v="101"/>
    <s v="High"/>
    <s v="Low"/>
    <n v="0.33333333333333331"/>
    <s v="Medium"/>
    <n v="3"/>
    <d v="2022-09-01T00:00:00"/>
    <s v="7–12 months"/>
    <s v="2–3 tickets"/>
    <s v="46+ min"/>
    <s v="1000+"/>
    <n v="9576"/>
    <n v="-179.54999999999927"/>
  </r>
  <r>
    <n v="12402"/>
    <n v="47"/>
    <s v="Female"/>
    <s v="Hyderabad"/>
    <d v="2021-01-13T00:00:00"/>
    <d v="2022-11-28T00:00:00"/>
    <x v="0"/>
    <n v="1082"/>
    <x v="13"/>
    <n v="1"/>
    <n v="9.99"/>
    <n v="20"/>
    <x v="1"/>
    <x v="1"/>
    <n v="3029.6"/>
    <b v="1"/>
    <n v="0.25"/>
    <n v="1009.8666666666667"/>
    <n v="4.9950000000000001"/>
    <d v="2021-01-01T00:00:00"/>
    <s v="Middle-aged"/>
    <n v="0"/>
    <s v="No"/>
    <n v="684"/>
    <s v="Low"/>
    <s v="Medium"/>
    <n v="0.25"/>
    <s v="Low"/>
    <n v="1"/>
    <d v="2021-01-01T00:00:00"/>
    <s v="0–6 months"/>
    <s v="0–1 tickets"/>
    <s v="0–10 min"/>
    <s v="1000+"/>
    <n v="3246"/>
    <n v="-216.40000000000009"/>
  </r>
  <r>
    <n v="12403"/>
    <n v="38"/>
    <s v="Female"/>
    <s v="unknown"/>
    <d v="2022-01-15T00:00:00"/>
    <d v="2021-09-04T00:00:00"/>
    <x v="0"/>
    <n v="1083"/>
    <x v="9"/>
    <n v="2"/>
    <n v="97.3"/>
    <n v="5"/>
    <x v="3"/>
    <x v="1"/>
    <n v="9692.85"/>
    <b v="0"/>
    <n v="0.75"/>
    <n v="1076.9833333333333"/>
    <n v="32.43333333333333"/>
    <d v="2022-01-01T00:00:00"/>
    <s v="Middle-aged"/>
    <n v="0"/>
    <s v="No"/>
    <m/>
    <s v="High"/>
    <s v="Low"/>
    <n v="0.2"/>
    <s v="Medium"/>
    <n v="1"/>
    <d v="2022-01-01T00:00:00"/>
    <s v="7–12 months"/>
    <s v="2–3 tickets"/>
    <s v="46+ min"/>
    <s v="1000+"/>
    <n v="9747"/>
    <n v="-54.149999999999636"/>
  </r>
  <r>
    <n v="12404"/>
    <n v="37"/>
    <s v="Female"/>
    <s v="Bangalore"/>
    <d v="2021-12-31T00:00:00"/>
    <d v="2021-08-28T00:00:00"/>
    <x v="2"/>
    <n v="1479"/>
    <x v="19"/>
    <n v="0"/>
    <n v="66.260000000000005"/>
    <n v="5"/>
    <x v="0"/>
    <x v="1"/>
    <n v="19153.05"/>
    <b v="0"/>
    <n v="1.0833333333333333"/>
    <n v="1473.3115384615385"/>
    <n v="66.260000000000005"/>
    <d v="2021-12-01T00:00:00"/>
    <s v="Middle-aged"/>
    <n v="0"/>
    <s v="Yes"/>
    <m/>
    <s v="High"/>
    <s v="Low"/>
    <n v="0"/>
    <s v="Medium"/>
    <n v="2"/>
    <d v="2021-12-01T00:00:00"/>
    <s v="13–24 months"/>
    <s v="0–1 tickets"/>
    <s v="46+ min"/>
    <s v="1000+"/>
    <n v="19227"/>
    <n v="-73.950000000000728"/>
  </r>
  <r>
    <n v="12405"/>
    <n v="23"/>
    <s v="Female"/>
    <s v="unknown"/>
    <d v="2022-08-25T00:00:00"/>
    <d v="2023-09-06T00:00:00"/>
    <x v="2"/>
    <n v="384"/>
    <x v="9"/>
    <n v="2"/>
    <n v="50.05"/>
    <n v="0"/>
    <x v="3"/>
    <x v="0"/>
    <n v="3456"/>
    <b v="1"/>
    <n v="0.75"/>
    <n v="384"/>
    <n v="16.683333333333334"/>
    <d v="2022-08-01T00:00:00"/>
    <s v="Young"/>
    <n v="1"/>
    <s v="No"/>
    <n v="377"/>
    <s v="Medium"/>
    <s v="Low"/>
    <n v="0.2"/>
    <s v="Low"/>
    <n v="2"/>
    <d v="2022-08-01T00:00:00"/>
    <s v="7–12 months"/>
    <s v="2–3 tickets"/>
    <s v="46+ min"/>
    <s v="301–500"/>
    <n v="3456"/>
    <n v="0"/>
  </r>
  <r>
    <n v="12406"/>
    <n v="39"/>
    <s v="Male"/>
    <s v="Bangalore"/>
    <d v="2021-12-08T00:00:00"/>
    <d v="2022-01-17T00:00:00"/>
    <x v="0"/>
    <n v="1333"/>
    <x v="27"/>
    <n v="4"/>
    <n v="66.81"/>
    <n v="20"/>
    <x v="1"/>
    <x v="1"/>
    <n v="41056.400000000001"/>
    <b v="1"/>
    <n v="2.5833333333333335"/>
    <n v="1324.4"/>
    <n v="13.362"/>
    <d v="2021-12-01T00:00:00"/>
    <s v="Middle-aged"/>
    <n v="0"/>
    <s v="Yes"/>
    <n v="40"/>
    <s v="High"/>
    <s v="Medium"/>
    <n v="0.125"/>
    <s v="High"/>
    <n v="1"/>
    <d v="2021-12-01T00:00:00"/>
    <s v="25+ months"/>
    <s v="4–5 tickets"/>
    <s v="46+ min"/>
    <s v="1000+"/>
    <n v="41323"/>
    <n v="-266.59999999999854"/>
  </r>
  <r>
    <n v="12407"/>
    <n v="35"/>
    <s v="Female"/>
    <s v="Pune"/>
    <d v="2023-05-10T00:00:00"/>
    <d v="2022-03-02T00:00:00"/>
    <x v="1"/>
    <n v="437"/>
    <x v="0"/>
    <n v="1"/>
    <n v="75.430000000000007"/>
    <n v="5"/>
    <x v="2"/>
    <x v="1"/>
    <n v="10903.15"/>
    <b v="0"/>
    <n v="2.0833333333333335"/>
    <n v="436.12599999999998"/>
    <n v="37.715000000000003"/>
    <d v="2023-05-01T00:00:00"/>
    <s v="Adult"/>
    <n v="0"/>
    <s v="No"/>
    <m/>
    <s v="High"/>
    <s v="Low"/>
    <n v="3.8461538461538464E-2"/>
    <s v="Medium"/>
    <n v="3"/>
    <d v="2023-05-01T00:00:00"/>
    <s v="25+ months"/>
    <s v="0–1 tickets"/>
    <s v="46+ min"/>
    <s v="301–500"/>
    <n v="10925"/>
    <n v="-21.850000000000364"/>
  </r>
  <r>
    <n v="12408"/>
    <n v="25"/>
    <s v="Female"/>
    <s v="Delhi"/>
    <d v="2023-03-03T00:00:00"/>
    <d v="2022-02-01T00:00:00"/>
    <x v="2"/>
    <n v="1053"/>
    <x v="14"/>
    <n v="2"/>
    <n v="22.19"/>
    <n v="10"/>
    <x v="1"/>
    <x v="0"/>
    <n v="8318.7000000000007"/>
    <b v="0"/>
    <n v="0.66666666666666663"/>
    <n v="1039.8375000000001"/>
    <n v="7.3966666666666674"/>
    <d v="2023-03-01T00:00:00"/>
    <s v="Young"/>
    <n v="1"/>
    <s v="No"/>
    <m/>
    <s v="Medium"/>
    <s v="Low"/>
    <n v="0.22222222222222221"/>
    <s v="Low"/>
    <n v="2"/>
    <d v="2023-03-01T00:00:00"/>
    <s v="7–12 months"/>
    <s v="2–3 tickets"/>
    <s v="21–30 min"/>
    <s v="1000+"/>
    <n v="8424"/>
    <n v="-105.29999999999927"/>
  </r>
  <r>
    <n v="12409"/>
    <n v="56"/>
    <s v="Male"/>
    <s v="Pune"/>
    <d v="2021-08-09T00:00:00"/>
    <d v="2021-09-19T00:00:00"/>
    <x v="2"/>
    <n v="1205"/>
    <x v="27"/>
    <n v="2"/>
    <n v="53"/>
    <n v="10"/>
    <x v="1"/>
    <x v="1"/>
    <n v="37234.5"/>
    <b v="1"/>
    <n v="2.5833333333333335"/>
    <n v="1201.1129032258063"/>
    <n v="17.666666666666668"/>
    <d v="2021-08-01T00:00:00"/>
    <s v="Older"/>
    <n v="0"/>
    <s v="Yes"/>
    <n v="41"/>
    <s v="Medium"/>
    <s v="Low"/>
    <n v="6.25E-2"/>
    <s v="High"/>
    <n v="2"/>
    <d v="2021-08-01T00:00:00"/>
    <s v="25+ months"/>
    <s v="2–3 tickets"/>
    <s v="46+ min"/>
    <s v="1000+"/>
    <n v="37355"/>
    <n v="-120.5"/>
  </r>
  <r>
    <n v="12410"/>
    <n v="49"/>
    <s v="Male"/>
    <s v="Mumbai"/>
    <d v="2021-03-14T00:00:00"/>
    <d v="2022-01-20T00:00:00"/>
    <x v="2"/>
    <n v="1012"/>
    <x v="27"/>
    <n v="1"/>
    <n v="43.59"/>
    <n v="10"/>
    <x v="0"/>
    <x v="1"/>
    <n v="31270.799999999999"/>
    <b v="1"/>
    <n v="2.5833333333333335"/>
    <n v="1008.7354838709678"/>
    <n v="21.795000000000002"/>
    <d v="2021-03-01T00:00:00"/>
    <s v="Middle-aged"/>
    <n v="0"/>
    <s v="Yes"/>
    <n v="312"/>
    <s v="Medium"/>
    <s v="Low"/>
    <n v="3.125E-2"/>
    <s v="High"/>
    <n v="2"/>
    <d v="2021-03-01T00:00:00"/>
    <s v="25+ months"/>
    <s v="0–1 tickets"/>
    <s v="31–45 min"/>
    <s v="1000+"/>
    <n v="31372"/>
    <n v="-101.20000000000073"/>
  </r>
  <r>
    <n v="12411"/>
    <n v="50"/>
    <s v="Male"/>
    <s v="Chennai"/>
    <d v="2023-01-16T00:00:00"/>
    <d v="2022-03-05T00:00:00"/>
    <x v="1"/>
    <n v="455"/>
    <x v="18"/>
    <n v="4"/>
    <n v="45.3"/>
    <n v="10"/>
    <x v="1"/>
    <x v="1"/>
    <n v="7689.5"/>
    <b v="0"/>
    <n v="1.4166666666666667"/>
    <n v="452.3235294117647"/>
    <n v="9.0599999999999987"/>
    <d v="2023-01-01T00:00:00"/>
    <s v="Middle-aged"/>
    <n v="0"/>
    <s v="No"/>
    <m/>
    <s v="Medium"/>
    <s v="Low"/>
    <n v="0.22222222222222221"/>
    <s v="Low"/>
    <n v="3"/>
    <d v="2023-01-01T00:00:00"/>
    <s v="13–24 months"/>
    <s v="4–5 tickets"/>
    <s v="46+ min"/>
    <s v="301–500"/>
    <n v="7735"/>
    <n v="-45.5"/>
  </r>
  <r>
    <n v="12412"/>
    <n v="33"/>
    <s v="Female"/>
    <s v="Hyderabad"/>
    <d v="2023-02-11T00:00:00"/>
    <d v="2022-09-20T00:00:00"/>
    <x v="2"/>
    <n v="707"/>
    <x v="17"/>
    <n v="1"/>
    <n v="15.5"/>
    <n v="5"/>
    <x v="3"/>
    <x v="1"/>
    <n v="13397.65"/>
    <b v="0"/>
    <n v="1.5833333333333333"/>
    <n v="705.13947368421054"/>
    <n v="7.75"/>
    <d v="2023-02-01T00:00:00"/>
    <s v="Adult"/>
    <n v="0"/>
    <s v="No"/>
    <m/>
    <s v="Low"/>
    <s v="Low"/>
    <n v="0.05"/>
    <s v="Medium"/>
    <n v="2"/>
    <d v="2023-02-01T00:00:00"/>
    <s v="13–24 months"/>
    <s v="0–1 tickets"/>
    <s v="11–20 min"/>
    <s v="701–1000"/>
    <n v="13433"/>
    <n v="-35.350000000000364"/>
  </r>
  <r>
    <n v="12413"/>
    <n v="29"/>
    <s v="Female"/>
    <s v="Delhi"/>
    <d v="2022-09-17T00:00:00"/>
    <d v="2022-07-22T00:00:00"/>
    <x v="0"/>
    <n v="1086"/>
    <x v="13"/>
    <n v="1"/>
    <n v="23.38"/>
    <n v="15"/>
    <x v="2"/>
    <x v="1"/>
    <n v="3095.1"/>
    <b v="0"/>
    <n v="0.25"/>
    <n v="1031.7"/>
    <n v="11.69"/>
    <d v="2022-09-01T00:00:00"/>
    <s v="Adult"/>
    <n v="0"/>
    <s v="No"/>
    <m/>
    <s v="Medium"/>
    <s v="Low"/>
    <n v="0.25"/>
    <s v="Low"/>
    <n v="1"/>
    <d v="2022-09-01T00:00:00"/>
    <s v="0–6 months"/>
    <s v="0–1 tickets"/>
    <s v="21–30 min"/>
    <s v="1000+"/>
    <n v="3258"/>
    <n v="-162.90000000000009"/>
  </r>
  <r>
    <n v="12414"/>
    <n v="55"/>
    <s v="Male"/>
    <s v="Mumbai"/>
    <d v="2021-02-15T00:00:00"/>
    <d v="2023-04-09T00:00:00"/>
    <x v="0"/>
    <n v="879"/>
    <x v="3"/>
    <n v="1"/>
    <n v="23.61"/>
    <n v="20"/>
    <x v="0"/>
    <x v="1"/>
    <n v="26194.2"/>
    <b v="1"/>
    <n v="2.5"/>
    <n v="873.14"/>
    <n v="11.805"/>
    <d v="2021-02-01T00:00:00"/>
    <s v="Older"/>
    <n v="0"/>
    <s v="Yes"/>
    <n v="783"/>
    <s v="Medium"/>
    <s v="Medium"/>
    <n v="3.2258064516129031E-2"/>
    <s v="High"/>
    <n v="1"/>
    <d v="2021-02-01T00:00:00"/>
    <s v="25+ months"/>
    <s v="0–1 tickets"/>
    <s v="21–30 min"/>
    <s v="701–1000"/>
    <n v="26370"/>
    <n v="-175.79999999999927"/>
  </r>
  <r>
    <n v="12415"/>
    <n v="51"/>
    <s v="Female"/>
    <s v="Bangalore"/>
    <d v="2022-05-19T00:00:00"/>
    <d v="2021-10-06T00:00:00"/>
    <x v="2"/>
    <n v="853"/>
    <x v="32"/>
    <n v="3"/>
    <n v="47.92"/>
    <n v="10"/>
    <x v="2"/>
    <x v="0"/>
    <n v="8444.7000000000007"/>
    <b v="0"/>
    <n v="0.83333333333333337"/>
    <n v="844.47"/>
    <n v="11.98"/>
    <d v="2022-05-01T00:00:00"/>
    <s v="Older"/>
    <n v="1"/>
    <s v="No"/>
    <m/>
    <s v="Medium"/>
    <s v="Low"/>
    <n v="0.27272727272727271"/>
    <s v="Low"/>
    <n v="2"/>
    <d v="2022-05-01T00:00:00"/>
    <s v="7–12 months"/>
    <s v="2–3 tickets"/>
    <s v="46+ min"/>
    <s v="701–1000"/>
    <n v="8530"/>
    <n v="-85.299999999999272"/>
  </r>
  <r>
    <n v="12416"/>
    <n v="31"/>
    <s v="Female"/>
    <s v="Hyderabad"/>
    <d v="2021-10-01T00:00:00"/>
    <d v="2022-01-23T00:00:00"/>
    <x v="0"/>
    <n v="695"/>
    <x v="5"/>
    <n v="3"/>
    <n v="107.87"/>
    <n v="5"/>
    <x v="3"/>
    <x v="1"/>
    <n v="20120.25"/>
    <b v="1"/>
    <n v="2.4166666666666665"/>
    <n v="693.80172413793105"/>
    <n v="26.967500000000001"/>
    <d v="2021-10-01T00:00:00"/>
    <s v="Adult"/>
    <n v="0"/>
    <s v="Yes"/>
    <n v="114"/>
    <s v="High"/>
    <s v="Low"/>
    <n v="0.1"/>
    <s v="High"/>
    <n v="1"/>
    <d v="2021-10-01T00:00:00"/>
    <s v="25+ months"/>
    <s v="2–3 tickets"/>
    <s v="46+ min"/>
    <s v="501–700"/>
    <n v="20155"/>
    <n v="-34.75"/>
  </r>
  <r>
    <n v="12417"/>
    <n v="53"/>
    <s v="Male"/>
    <s v="Pune"/>
    <d v="2022-07-09T00:00:00"/>
    <d v="2023-08-12T00:00:00"/>
    <x v="2"/>
    <n v="1457"/>
    <x v="10"/>
    <n v="3"/>
    <n v="28.69"/>
    <n v="5"/>
    <x v="3"/>
    <x v="0"/>
    <n v="26153.15"/>
    <b v="1"/>
    <n v="1.5"/>
    <n v="1452.9527777777778"/>
    <n v="7.1725000000000003"/>
    <d v="2022-07-01T00:00:00"/>
    <s v="Older"/>
    <n v="1"/>
    <s v="Yes"/>
    <n v="399"/>
    <s v="Medium"/>
    <s v="Low"/>
    <n v="0.15789473684210525"/>
    <s v="High"/>
    <n v="2"/>
    <d v="2022-07-01T00:00:00"/>
    <s v="13–24 months"/>
    <s v="2–3 tickets"/>
    <s v="21–30 min"/>
    <s v="1000+"/>
    <n v="26226"/>
    <n v="-72.849999999998545"/>
  </r>
  <r>
    <n v="12418"/>
    <n v="50"/>
    <s v="Female"/>
    <s v="Bangalore"/>
    <d v="2021-07-27T00:00:00"/>
    <d v="2023-02-09T00:00:00"/>
    <x v="1"/>
    <n v="1109"/>
    <x v="34"/>
    <n v="4"/>
    <n v="52.86"/>
    <n v="10"/>
    <x v="1"/>
    <x v="1"/>
    <n v="13197.1"/>
    <b v="1"/>
    <n v="1"/>
    <n v="1099.7583333333334"/>
    <n v="10.571999999999999"/>
    <d v="2021-07-01T00:00:00"/>
    <s v="Middle-aged"/>
    <n v="0"/>
    <s v="No"/>
    <n v="562"/>
    <s v="Medium"/>
    <s v="Low"/>
    <n v="0.30769230769230771"/>
    <s v="Medium"/>
    <n v="3"/>
    <d v="2021-07-01T00:00:00"/>
    <s v="7–12 months"/>
    <s v="4–5 tickets"/>
    <s v="46+ min"/>
    <s v="1000+"/>
    <n v="13308"/>
    <n v="-110.89999999999964"/>
  </r>
  <r>
    <n v="12419"/>
    <n v="40"/>
    <s v="Other"/>
    <s v="Mumbai"/>
    <d v="2023-05-11T00:00:00"/>
    <d v="2021-10-06T00:00:00"/>
    <x v="2"/>
    <n v="1261"/>
    <x v="31"/>
    <n v="2"/>
    <n v="40.840000000000003"/>
    <n v="0"/>
    <x v="3"/>
    <x v="0"/>
    <n v="29003"/>
    <b v="0"/>
    <n v="1.9166666666666667"/>
    <n v="1261"/>
    <n v="13.613333333333335"/>
    <d v="2023-05-01T00:00:00"/>
    <s v="Middle-aged"/>
    <n v="1"/>
    <s v="Yes"/>
    <m/>
    <s v="Medium"/>
    <s v="Low"/>
    <n v="8.3333333333333329E-2"/>
    <s v="High"/>
    <n v="2"/>
    <d v="2023-05-01T00:00:00"/>
    <s v="13–24 months"/>
    <s v="2–3 tickets"/>
    <s v="31–45 min"/>
    <s v="1000+"/>
    <n v="29003"/>
    <n v="0"/>
  </r>
  <r>
    <n v="12420"/>
    <n v="62"/>
    <s v="Female"/>
    <s v="Mumbai"/>
    <d v="2022-09-07T00:00:00"/>
    <d v="2023-05-08T00:00:00"/>
    <x v="1"/>
    <n v="841"/>
    <x v="11"/>
    <n v="3"/>
    <n v="62.59"/>
    <n v="5"/>
    <x v="1"/>
    <x v="1"/>
    <n v="9208.9500000000007"/>
    <b v="1"/>
    <n v="0.91666666666666663"/>
    <n v="837.17727272727279"/>
    <n v="15.647500000000001"/>
    <d v="2022-09-01T00:00:00"/>
    <s v="Older"/>
    <n v="0"/>
    <s v="No"/>
    <n v="243"/>
    <s v="High"/>
    <s v="Low"/>
    <n v="0.25"/>
    <s v="Medium"/>
    <n v="3"/>
    <d v="2022-09-01T00:00:00"/>
    <s v="7–12 months"/>
    <s v="2–3 tickets"/>
    <s v="46+ min"/>
    <s v="701–1000"/>
    <n v="9251"/>
    <n v="-42.049999999999272"/>
  </r>
  <r>
    <n v="12421"/>
    <n v="19"/>
    <s v="Female"/>
    <s v="Pune"/>
    <d v="2021-05-04T00:00:00"/>
    <d v="2023-09-29T00:00:00"/>
    <x v="0"/>
    <n v="1332"/>
    <x v="9"/>
    <n v="0"/>
    <n v="10.76"/>
    <n v="10"/>
    <x v="0"/>
    <x v="1"/>
    <n v="11721.6"/>
    <b v="1"/>
    <n v="0.75"/>
    <n v="1302.4000000000001"/>
    <n v="10.76"/>
    <d v="2021-05-01T00:00:00"/>
    <s v="Young"/>
    <n v="0"/>
    <s v="No"/>
    <n v="878"/>
    <s v="Low"/>
    <s v="Low"/>
    <n v="0"/>
    <s v="Medium"/>
    <n v="1"/>
    <d v="2021-05-01T00:00:00"/>
    <s v="7–12 months"/>
    <s v="0–1 tickets"/>
    <s v="11–20 min"/>
    <s v="1000+"/>
    <n v="11988"/>
    <n v="-266.39999999999964"/>
  </r>
  <r>
    <n v="12422"/>
    <n v="58"/>
    <s v="Other"/>
    <s v="Delhi"/>
    <d v="2021-01-10T00:00:00"/>
    <d v="2022-06-29T00:00:00"/>
    <x v="1"/>
    <n v="1286"/>
    <x v="30"/>
    <n v="2"/>
    <n v="27.6"/>
    <n v="20"/>
    <x v="2"/>
    <x v="1"/>
    <n v="30606.799999999999"/>
    <b v="1"/>
    <n v="2"/>
    <n v="1275.2833333333333"/>
    <n v="9.2000000000000011"/>
    <d v="2021-01-01T00:00:00"/>
    <s v="Older"/>
    <n v="0"/>
    <s v="Yes"/>
    <n v="535"/>
    <s v="Medium"/>
    <s v="Medium"/>
    <n v="0.08"/>
    <s v="High"/>
    <n v="3"/>
    <d v="2021-01-01T00:00:00"/>
    <s v="13–24 months"/>
    <s v="2–3 tickets"/>
    <s v="21–30 min"/>
    <s v="1000+"/>
    <n v="30864"/>
    <n v="-257.20000000000073"/>
  </r>
  <r>
    <n v="12423"/>
    <n v="38"/>
    <s v="Female"/>
    <s v="Pune"/>
    <d v="2021-11-25T00:00:00"/>
    <d v="2022-09-18T00:00:00"/>
    <x v="2"/>
    <n v="469"/>
    <x v="0"/>
    <n v="1"/>
    <n v="29.22"/>
    <n v="0"/>
    <x v="1"/>
    <x v="1"/>
    <n v="11725"/>
    <b v="1"/>
    <n v="2.0833333333333335"/>
    <n v="469"/>
    <n v="14.61"/>
    <d v="2021-11-01T00:00:00"/>
    <s v="Middle-aged"/>
    <n v="0"/>
    <s v="No"/>
    <n v="297"/>
    <s v="Medium"/>
    <s v="Low"/>
    <n v="3.8461538461538464E-2"/>
    <s v="Medium"/>
    <n v="2"/>
    <d v="2021-11-01T00:00:00"/>
    <s v="25+ months"/>
    <s v="0–1 tickets"/>
    <s v="21–30 min"/>
    <s v="301–500"/>
    <n v="11725"/>
    <n v="0"/>
  </r>
  <r>
    <n v="12424"/>
    <n v="19"/>
    <s v="Male"/>
    <s v="Chennai"/>
    <d v="2021-07-06T00:00:00"/>
    <d v="2023-03-17T00:00:00"/>
    <x v="0"/>
    <n v="589"/>
    <x v="0"/>
    <n v="1"/>
    <n v="119.19"/>
    <n v="5"/>
    <x v="1"/>
    <x v="0"/>
    <n v="14695.55"/>
    <b v="1"/>
    <n v="2.0833333333333335"/>
    <n v="587.822"/>
    <n v="59.594999999999999"/>
    <d v="2021-07-01T00:00:00"/>
    <s v="Young"/>
    <n v="1"/>
    <s v="Yes"/>
    <n v="619"/>
    <s v="High"/>
    <s v="Low"/>
    <n v="3.8461538461538464E-2"/>
    <s v="Medium"/>
    <n v="1"/>
    <d v="2021-07-01T00:00:00"/>
    <s v="25+ months"/>
    <s v="0–1 tickets"/>
    <s v="46+ min"/>
    <s v="501–700"/>
    <n v="14725"/>
    <n v="-29.450000000000728"/>
  </r>
  <r>
    <n v="12425"/>
    <n v="44"/>
    <s v="Female"/>
    <s v="Bangalore"/>
    <d v="2022-06-27T00:00:00"/>
    <d v="2022-06-30T00:00:00"/>
    <x v="2"/>
    <n v="1491"/>
    <x v="9"/>
    <n v="0"/>
    <n v="62.59"/>
    <n v="0"/>
    <x v="0"/>
    <x v="1"/>
    <n v="13419"/>
    <b v="1"/>
    <n v="0.75"/>
    <n v="1491"/>
    <n v="62.59"/>
    <d v="2022-06-01T00:00:00"/>
    <s v="Middle-aged"/>
    <n v="0"/>
    <s v="No"/>
    <n v="3"/>
    <s v="High"/>
    <s v="Low"/>
    <n v="0"/>
    <s v="Medium"/>
    <n v="2"/>
    <d v="2022-06-01T00:00:00"/>
    <s v="7–12 months"/>
    <s v="0–1 tickets"/>
    <s v="46+ min"/>
    <s v="1000+"/>
    <n v="13419"/>
    <n v="0"/>
  </r>
  <r>
    <n v="12426"/>
    <n v="26"/>
    <s v="Female"/>
    <s v="Delhi"/>
    <d v="2022-10-30T00:00:00"/>
    <d v="2021-09-19T00:00:00"/>
    <x v="0"/>
    <n v="1468"/>
    <x v="34"/>
    <n v="1"/>
    <n v="20.98"/>
    <n v="5"/>
    <x v="3"/>
    <x v="1"/>
    <n v="17542.599999999999"/>
    <b v="0"/>
    <n v="1"/>
    <n v="1461.8833333333332"/>
    <n v="10.49"/>
    <d v="2022-10-01T00:00:00"/>
    <s v="Adult"/>
    <n v="0"/>
    <s v="Yes"/>
    <m/>
    <s v="Medium"/>
    <s v="Low"/>
    <n v="7.6923076923076927E-2"/>
    <s v="Medium"/>
    <n v="1"/>
    <d v="2022-10-01T00:00:00"/>
    <s v="7–12 months"/>
    <s v="0–1 tickets"/>
    <s v="21–30 min"/>
    <s v="1000+"/>
    <n v="17616"/>
    <n v="-73.400000000001455"/>
  </r>
  <r>
    <n v="12427"/>
    <n v="18"/>
    <s v="Female"/>
    <s v="Hyderabad"/>
    <d v="2021-03-01T00:00:00"/>
    <d v="2021-08-29T00:00:00"/>
    <x v="2"/>
    <n v="1039"/>
    <x v="11"/>
    <n v="2"/>
    <n v="36.299999999999997"/>
    <n v="5"/>
    <x v="1"/>
    <x v="0"/>
    <n v="11377.05"/>
    <b v="1"/>
    <n v="0.91666666666666663"/>
    <n v="1034.2772727272727"/>
    <n v="12.1"/>
    <d v="2021-03-01T00:00:00"/>
    <s v="Young"/>
    <n v="1"/>
    <s v="No"/>
    <n v="181"/>
    <s v="Medium"/>
    <s v="Low"/>
    <n v="0.16666666666666666"/>
    <s v="Medium"/>
    <n v="2"/>
    <d v="2021-03-01T00:00:00"/>
    <s v="7–12 months"/>
    <s v="2–3 tickets"/>
    <s v="31–45 min"/>
    <s v="1000+"/>
    <n v="11429"/>
    <n v="-51.950000000000728"/>
  </r>
  <r>
    <n v="12428"/>
    <n v="28"/>
    <s v="Male"/>
    <s v="Chennai"/>
    <d v="2023-01-31T00:00:00"/>
    <d v="2023-07-03T00:00:00"/>
    <x v="2"/>
    <n v="887"/>
    <x v="29"/>
    <n v="4"/>
    <n v="62.59"/>
    <n v="0"/>
    <x v="3"/>
    <x v="0"/>
    <n v="24836"/>
    <b v="1"/>
    <n v="2.3333333333333335"/>
    <n v="887"/>
    <n v="12.518000000000001"/>
    <d v="2023-01-01T00:00:00"/>
    <s v="Adult"/>
    <n v="1"/>
    <s v="Yes"/>
    <n v="153"/>
    <s v="High"/>
    <s v="Low"/>
    <n v="0.13793103448275862"/>
    <s v="High"/>
    <n v="2"/>
    <d v="2023-01-01T00:00:00"/>
    <s v="25+ months"/>
    <s v="4–5 tickets"/>
    <s v="46+ min"/>
    <s v="701–1000"/>
    <n v="24836"/>
    <n v="0"/>
  </r>
  <r>
    <n v="12429"/>
    <n v="20"/>
    <s v="Female"/>
    <s v="Delhi"/>
    <d v="2023-06-18T00:00:00"/>
    <d v="2022-03-07T00:00:00"/>
    <x v="0"/>
    <n v="1034"/>
    <x v="14"/>
    <n v="5"/>
    <n v="62.59"/>
    <n v="15"/>
    <x v="1"/>
    <x v="1"/>
    <n v="8116.9"/>
    <b v="0"/>
    <n v="0.66666666666666663"/>
    <n v="1014.6125"/>
    <n v="10.431666666666667"/>
    <d v="2023-06-01T00:00:00"/>
    <s v="Young"/>
    <n v="0"/>
    <s v="No"/>
    <m/>
    <s v="High"/>
    <s v="Low"/>
    <n v="0.55555555555555558"/>
    <s v="Low"/>
    <n v="1"/>
    <d v="2023-06-01T00:00:00"/>
    <s v="7–12 months"/>
    <s v="4–5 tickets"/>
    <s v="46+ min"/>
    <s v="1000+"/>
    <n v="8272"/>
    <n v="-155.10000000000036"/>
  </r>
  <r>
    <n v="12430"/>
    <n v="40"/>
    <s v="Male"/>
    <s v="Bangalore"/>
    <d v="2023-06-05T00:00:00"/>
    <d v="2022-04-29T00:00:00"/>
    <x v="2"/>
    <n v="756"/>
    <x v="32"/>
    <n v="1"/>
    <n v="96.68"/>
    <n v="10"/>
    <x v="3"/>
    <x v="1"/>
    <n v="7484.4"/>
    <b v="0"/>
    <n v="0.83333333333333337"/>
    <n v="748.43999999999994"/>
    <n v="48.34"/>
    <d v="2023-06-01T00:00:00"/>
    <s v="Middle-aged"/>
    <n v="0"/>
    <s v="No"/>
    <m/>
    <s v="High"/>
    <s v="Low"/>
    <n v="9.0909090909090912E-2"/>
    <s v="Low"/>
    <n v="2"/>
    <d v="2023-06-01T00:00:00"/>
    <s v="7–12 months"/>
    <s v="0–1 tickets"/>
    <s v="46+ min"/>
    <s v="701–1000"/>
    <n v="7560"/>
    <n v="-75.600000000000364"/>
  </r>
  <r>
    <n v="12431"/>
    <n v="43"/>
    <s v="Female"/>
    <s v="unknown"/>
    <d v="2023-02-21T00:00:00"/>
    <d v="2022-01-10T00:00:00"/>
    <x v="2"/>
    <n v="1000"/>
    <x v="0"/>
    <n v="2"/>
    <n v="62.01"/>
    <n v="10"/>
    <x v="1"/>
    <x v="0"/>
    <n v="24900"/>
    <b v="0"/>
    <n v="2.0833333333333335"/>
    <n v="996"/>
    <n v="20.669999999999998"/>
    <d v="2023-02-01T00:00:00"/>
    <s v="Middle-aged"/>
    <n v="1"/>
    <s v="Yes"/>
    <m/>
    <s v="High"/>
    <s v="Low"/>
    <n v="7.6923076923076927E-2"/>
    <s v="High"/>
    <n v="2"/>
    <d v="2023-02-01T00:00:00"/>
    <s v="25+ months"/>
    <s v="2–3 tickets"/>
    <s v="46+ min"/>
    <s v="701–1000"/>
    <n v="25000"/>
    <n v="-100"/>
  </r>
  <r>
    <n v="12432"/>
    <n v="21"/>
    <s v="Male"/>
    <s v="Hyderabad"/>
    <d v="2022-03-18T00:00:00"/>
    <d v="2021-09-09T00:00:00"/>
    <x v="0"/>
    <n v="1278"/>
    <x v="9"/>
    <n v="2"/>
    <n v="77.59"/>
    <n v="10"/>
    <x v="2"/>
    <x v="0"/>
    <n v="11374.2"/>
    <b v="0"/>
    <n v="0.75"/>
    <n v="1263.8000000000002"/>
    <n v="25.863333333333333"/>
    <d v="2022-03-01T00:00:00"/>
    <s v="Young"/>
    <n v="1"/>
    <s v="No"/>
    <m/>
    <s v="High"/>
    <s v="Low"/>
    <n v="0.2"/>
    <s v="Medium"/>
    <n v="1"/>
    <d v="2022-03-01T00:00:00"/>
    <s v="7–12 months"/>
    <s v="2–3 tickets"/>
    <s v="46+ min"/>
    <s v="1000+"/>
    <n v="11502"/>
    <n v="-127.79999999999927"/>
  </r>
  <r>
    <n v="12433"/>
    <n v="35"/>
    <s v="Male"/>
    <s v="Pune"/>
    <d v="2021-08-05T00:00:00"/>
    <d v="2021-10-10T00:00:00"/>
    <x v="0"/>
    <n v="345"/>
    <x v="14"/>
    <n v="2"/>
    <n v="43.09"/>
    <n v="0"/>
    <x v="2"/>
    <x v="1"/>
    <n v="2760"/>
    <b v="1"/>
    <n v="0.66666666666666663"/>
    <n v="345"/>
    <n v="14.363333333333335"/>
    <d v="2021-08-01T00:00:00"/>
    <s v="Adult"/>
    <n v="0"/>
    <s v="No"/>
    <n v="66"/>
    <s v="Medium"/>
    <s v="Low"/>
    <n v="0.22222222222222221"/>
    <s v="Low"/>
    <n v="1"/>
    <d v="2021-08-01T00:00:00"/>
    <s v="7–12 months"/>
    <s v="2–3 tickets"/>
    <s v="31–45 min"/>
    <s v="301–500"/>
    <n v="2760"/>
    <n v="0"/>
  </r>
  <r>
    <n v="12434"/>
    <n v="23"/>
    <s v="Male"/>
    <s v="unknown"/>
    <d v="2021-01-02T00:00:00"/>
    <d v="2021-06-13T00:00:00"/>
    <x v="0"/>
    <n v="1340"/>
    <x v="13"/>
    <n v="0"/>
    <n v="68.67"/>
    <n v="5"/>
    <x v="2"/>
    <x v="1"/>
    <n v="3953"/>
    <b v="1"/>
    <n v="0.25"/>
    <n v="1317.6666666666667"/>
    <n v="68.67"/>
    <d v="2021-01-01T00:00:00"/>
    <s v="Young"/>
    <n v="0"/>
    <s v="No"/>
    <n v="162"/>
    <s v="High"/>
    <s v="Low"/>
    <n v="0"/>
    <s v="Low"/>
    <n v="1"/>
    <d v="2021-01-01T00:00:00"/>
    <s v="0–6 months"/>
    <s v="0–1 tickets"/>
    <s v="46+ min"/>
    <s v="1000+"/>
    <n v="4020"/>
    <n v="-67"/>
  </r>
  <r>
    <n v="12435"/>
    <n v="52"/>
    <s v="Male"/>
    <s v="Chennai"/>
    <d v="2022-06-20T00:00:00"/>
    <d v="2022-08-31T00:00:00"/>
    <x v="2"/>
    <n v="1446"/>
    <x v="10"/>
    <n v="3"/>
    <n v="34.619999999999997"/>
    <n v="5"/>
    <x v="1"/>
    <x v="1"/>
    <n v="25955.7"/>
    <b v="1"/>
    <n v="1.5"/>
    <n v="1441.9833333333333"/>
    <n v="8.6549999999999994"/>
    <d v="2022-06-01T00:00:00"/>
    <s v="Older"/>
    <n v="0"/>
    <s v="Yes"/>
    <n v="72"/>
    <s v="Medium"/>
    <s v="Low"/>
    <n v="0.15789473684210525"/>
    <s v="High"/>
    <n v="2"/>
    <d v="2022-06-01T00:00:00"/>
    <s v="13–24 months"/>
    <s v="2–3 tickets"/>
    <s v="31–45 min"/>
    <s v="1000+"/>
    <n v="26028"/>
    <n v="-72.299999999999272"/>
  </r>
  <r>
    <n v="12436"/>
    <n v="39"/>
    <s v="Female"/>
    <s v="Chennai"/>
    <d v="2022-12-19T00:00:00"/>
    <d v="2022-08-15T00:00:00"/>
    <x v="1"/>
    <n v="530"/>
    <x v="12"/>
    <n v="2"/>
    <n v="40.42"/>
    <n v="20"/>
    <x v="3"/>
    <x v="0"/>
    <n v="18444"/>
    <b v="0"/>
    <n v="2.9166666666666665"/>
    <n v="526.97142857142853"/>
    <n v="13.473333333333334"/>
    <d v="2022-12-01T00:00:00"/>
    <s v="Middle-aged"/>
    <n v="1"/>
    <s v="Yes"/>
    <m/>
    <s v="Medium"/>
    <s v="Medium"/>
    <n v="5.5555555555555552E-2"/>
    <s v="Medium"/>
    <n v="3"/>
    <d v="2022-12-01T00:00:00"/>
    <s v="25+ months"/>
    <s v="2–3 tickets"/>
    <s v="31–45 min"/>
    <s v="501–700"/>
    <n v="18550"/>
    <n v="-106"/>
  </r>
  <r>
    <n v="12437"/>
    <n v="60"/>
    <s v="Female"/>
    <s v="Mumbai"/>
    <d v="2023-04-12T00:00:00"/>
    <d v="2021-09-06T00:00:00"/>
    <x v="1"/>
    <n v="1249"/>
    <x v="18"/>
    <n v="1"/>
    <n v="62.59"/>
    <n v="5"/>
    <x v="0"/>
    <x v="1"/>
    <n v="21170.55"/>
    <b v="0"/>
    <n v="1.4166666666666667"/>
    <n v="1245.3264705882352"/>
    <n v="31.295000000000002"/>
    <d v="2023-04-01T00:00:00"/>
    <s v="Older"/>
    <n v="0"/>
    <s v="Yes"/>
    <m/>
    <s v="High"/>
    <s v="Low"/>
    <n v="5.5555555555555552E-2"/>
    <s v="High"/>
    <n v="3"/>
    <d v="2023-04-01T00:00:00"/>
    <s v="13–24 months"/>
    <s v="0–1 tickets"/>
    <s v="46+ min"/>
    <s v="1000+"/>
    <n v="21233"/>
    <n v="-62.450000000000728"/>
  </r>
  <r>
    <n v="12438"/>
    <n v="32"/>
    <s v="Female"/>
    <s v="Mumbai"/>
    <d v="2022-12-12T00:00:00"/>
    <d v="2021-09-28T00:00:00"/>
    <x v="2"/>
    <n v="936"/>
    <x v="29"/>
    <n v="4"/>
    <n v="22.29"/>
    <n v="15"/>
    <x v="0"/>
    <x v="1"/>
    <n v="26067.599999999999"/>
    <b v="0"/>
    <n v="2.3333333333333335"/>
    <n v="930.98571428571427"/>
    <n v="4.4580000000000002"/>
    <d v="2022-12-01T00:00:00"/>
    <s v="Adult"/>
    <n v="0"/>
    <s v="Yes"/>
    <m/>
    <s v="Medium"/>
    <s v="Low"/>
    <n v="0.13793103448275862"/>
    <s v="High"/>
    <n v="2"/>
    <d v="2022-12-01T00:00:00"/>
    <s v="25+ months"/>
    <s v="4–5 tickets"/>
    <s v="21–30 min"/>
    <s v="701–1000"/>
    <n v="26208"/>
    <n v="-140.40000000000146"/>
  </r>
  <r>
    <n v="12439"/>
    <n v="39"/>
    <s v="Male"/>
    <s v="Hyderabad"/>
    <d v="2021-12-22T00:00:00"/>
    <d v="2022-03-20T00:00:00"/>
    <x v="2"/>
    <n v="411"/>
    <x v="15"/>
    <n v="0"/>
    <n v="75.98"/>
    <n v="10"/>
    <x v="0"/>
    <x v="1"/>
    <n v="6123.9"/>
    <b v="1"/>
    <n v="1.25"/>
    <n v="408.26"/>
    <n v="75.98"/>
    <d v="2021-12-01T00:00:00"/>
    <s v="Middle-aged"/>
    <n v="0"/>
    <s v="No"/>
    <n v="88"/>
    <s v="High"/>
    <s v="Low"/>
    <n v="0"/>
    <s v="Low"/>
    <n v="2"/>
    <d v="2021-12-01T00:00:00"/>
    <s v="13–24 months"/>
    <s v="0–1 tickets"/>
    <s v="46+ min"/>
    <s v="301–500"/>
    <n v="6165"/>
    <n v="-41.100000000000364"/>
  </r>
  <r>
    <n v="12440"/>
    <n v="54"/>
    <s v="Male"/>
    <s v="Pune"/>
    <d v="2022-09-18T00:00:00"/>
    <d v="2023-08-25T00:00:00"/>
    <x v="0"/>
    <n v="892"/>
    <x v="17"/>
    <n v="4"/>
    <n v="103.01"/>
    <n v="15"/>
    <x v="2"/>
    <x v="1"/>
    <n v="16814.2"/>
    <b v="1"/>
    <n v="1.5833333333333333"/>
    <n v="884.95789473684215"/>
    <n v="20.602"/>
    <d v="2022-09-01T00:00:00"/>
    <s v="Older"/>
    <n v="0"/>
    <s v="Yes"/>
    <n v="341"/>
    <s v="High"/>
    <s v="Low"/>
    <n v="0.2"/>
    <s v="Medium"/>
    <n v="1"/>
    <d v="2022-09-01T00:00:00"/>
    <s v="13–24 months"/>
    <s v="4–5 tickets"/>
    <s v="46+ min"/>
    <s v="701–1000"/>
    <n v="16948"/>
    <n v="-133.79999999999927"/>
  </r>
  <r>
    <n v="12441"/>
    <n v="59"/>
    <s v="Female"/>
    <s v="Hyderabad"/>
    <d v="2023-03-03T00:00:00"/>
    <d v="2023-05-12T00:00:00"/>
    <x v="2"/>
    <n v="1158"/>
    <x v="1"/>
    <n v="4"/>
    <n v="18.850000000000001"/>
    <n v="10"/>
    <x v="2"/>
    <x v="0"/>
    <n v="25360.2"/>
    <b v="1"/>
    <n v="1.8333333333333333"/>
    <n v="1152.7363636363636"/>
    <n v="3.7700000000000005"/>
    <d v="2023-03-01T00:00:00"/>
    <s v="Older"/>
    <n v="1"/>
    <s v="Yes"/>
    <n v="70"/>
    <s v="Low"/>
    <s v="Low"/>
    <n v="0.17391304347826086"/>
    <s v="High"/>
    <n v="2"/>
    <d v="2023-03-01T00:00:00"/>
    <s v="13–24 months"/>
    <s v="4–5 tickets"/>
    <s v="11–20 min"/>
    <s v="1000+"/>
    <n v="25476"/>
    <n v="-115.79999999999927"/>
  </r>
  <r>
    <n v="12442"/>
    <n v="29"/>
    <s v="Female"/>
    <s v="Mumbai"/>
    <d v="2022-10-29T00:00:00"/>
    <d v="2021-06-01T00:00:00"/>
    <x v="0"/>
    <n v="690"/>
    <x v="20"/>
    <n v="1"/>
    <n v="108.21"/>
    <n v="0"/>
    <x v="2"/>
    <x v="1"/>
    <n v="4140"/>
    <b v="0"/>
    <n v="0.5"/>
    <n v="690"/>
    <n v="54.104999999999997"/>
    <d v="2022-10-01T00:00:00"/>
    <s v="Adult"/>
    <n v="0"/>
    <s v="No"/>
    <m/>
    <s v="High"/>
    <s v="Low"/>
    <n v="0.14285714285714285"/>
    <s v="Low"/>
    <n v="1"/>
    <d v="2022-10-01T00:00:00"/>
    <s v="0–6 months"/>
    <s v="0–1 tickets"/>
    <s v="46+ min"/>
    <s v="501–700"/>
    <n v="4140"/>
    <n v="0"/>
  </r>
  <r>
    <n v="12443"/>
    <n v="64"/>
    <s v="Male"/>
    <s v="Mumbai"/>
    <d v="2021-06-14T00:00:00"/>
    <d v="2022-12-24T00:00:00"/>
    <x v="0"/>
    <n v="691"/>
    <x v="16"/>
    <n v="1"/>
    <n v="14.14"/>
    <n v="15"/>
    <x v="3"/>
    <x v="1"/>
    <n v="4733.3500000000004"/>
    <b v="1"/>
    <n v="0.58333333333333337"/>
    <n v="676.19285714285718"/>
    <n v="7.07"/>
    <d v="2021-06-01T00:00:00"/>
    <s v="Older"/>
    <n v="0"/>
    <s v="No"/>
    <n v="558"/>
    <s v="Low"/>
    <s v="Low"/>
    <n v="0.125"/>
    <s v="Low"/>
    <n v="1"/>
    <d v="2021-06-01T00:00:00"/>
    <s v="7–12 months"/>
    <s v="0–1 tickets"/>
    <s v="11–20 min"/>
    <s v="501–700"/>
    <n v="4837"/>
    <n v="-103.64999999999964"/>
  </r>
  <r>
    <n v="12444"/>
    <n v="59"/>
    <s v="Female"/>
    <s v="Chennai"/>
    <d v="2023-01-04T00:00:00"/>
    <d v="2022-02-05T00:00:00"/>
    <x v="2"/>
    <n v="627"/>
    <x v="9"/>
    <n v="1"/>
    <n v="45.12"/>
    <n v="5"/>
    <x v="2"/>
    <x v="1"/>
    <n v="5611.65"/>
    <b v="0"/>
    <n v="0.75"/>
    <n v="623.51666666666665"/>
    <n v="22.56"/>
    <d v="2023-01-01T00:00:00"/>
    <s v="Older"/>
    <n v="0"/>
    <s v="No"/>
    <m/>
    <s v="Medium"/>
    <s v="Low"/>
    <n v="0.1"/>
    <s v="Low"/>
    <n v="2"/>
    <d v="2023-01-01T00:00:00"/>
    <s v="7–12 months"/>
    <s v="0–1 tickets"/>
    <s v="46+ min"/>
    <s v="501–700"/>
    <n v="5643"/>
    <n v="-31.350000000000364"/>
  </r>
  <r>
    <n v="12445"/>
    <n v="55"/>
    <s v="Male"/>
    <s v="Mumbai"/>
    <d v="2021-04-01T00:00:00"/>
    <d v="2023-03-14T00:00:00"/>
    <x v="0"/>
    <n v="1046"/>
    <x v="28"/>
    <n v="4"/>
    <n v="75.209999999999994"/>
    <n v="10"/>
    <x v="3"/>
    <x v="1"/>
    <n v="20815.400000000001"/>
    <b v="1"/>
    <n v="1.6666666666666667"/>
    <n v="1040.77"/>
    <n v="15.041999999999998"/>
    <d v="2021-04-01T00:00:00"/>
    <s v="Older"/>
    <n v="0"/>
    <s v="Yes"/>
    <n v="712"/>
    <s v="High"/>
    <s v="Low"/>
    <n v="0.19047619047619047"/>
    <s v="High"/>
    <n v="1"/>
    <d v="2021-04-01T00:00:00"/>
    <s v="13–24 months"/>
    <s v="4–5 tickets"/>
    <s v="46+ min"/>
    <s v="1000+"/>
    <n v="20920"/>
    <n v="-104.59999999999854"/>
  </r>
  <r>
    <n v="12446"/>
    <n v="35"/>
    <s v="Female"/>
    <s v="Delhi"/>
    <d v="2021-06-16T00:00:00"/>
    <d v="2021-10-27T00:00:00"/>
    <x v="2"/>
    <n v="666"/>
    <x v="11"/>
    <n v="0"/>
    <n v="69.33"/>
    <n v="20"/>
    <x v="3"/>
    <x v="1"/>
    <n v="7192.8"/>
    <b v="1"/>
    <n v="0.91666666666666663"/>
    <n v="653.89090909090908"/>
    <n v="69.33"/>
    <d v="2021-06-01T00:00:00"/>
    <s v="Adult"/>
    <n v="0"/>
    <s v="No"/>
    <n v="133"/>
    <s v="High"/>
    <s v="Medium"/>
    <n v="0"/>
    <s v="Low"/>
    <n v="2"/>
    <d v="2021-06-01T00:00:00"/>
    <s v="7–12 months"/>
    <s v="0–1 tickets"/>
    <s v="46+ min"/>
    <s v="501–700"/>
    <n v="7326"/>
    <n v="-133.19999999999982"/>
  </r>
  <r>
    <n v="12447"/>
    <n v="62"/>
    <s v="Female"/>
    <s v="Bangalore"/>
    <d v="2021-07-26T00:00:00"/>
    <d v="2022-06-30T00:00:00"/>
    <x v="1"/>
    <n v="381"/>
    <x v="4"/>
    <n v="2"/>
    <n v="16.079999999999998"/>
    <n v="15"/>
    <x v="3"/>
    <x v="1"/>
    <n v="704.85"/>
    <b v="1"/>
    <n v="0.16666666666666666"/>
    <n v="352.42500000000001"/>
    <n v="5.3599999999999994"/>
    <d v="2021-07-01T00:00:00"/>
    <s v="Older"/>
    <n v="0"/>
    <s v="No"/>
    <n v="339"/>
    <s v="Low"/>
    <s v="Low"/>
    <n v="0.66666666666666663"/>
    <s v="Low"/>
    <n v="3"/>
    <d v="2021-07-01T00:00:00"/>
    <s v="0–6 months"/>
    <s v="2–3 tickets"/>
    <s v="11–20 min"/>
    <s v="301–500"/>
    <n v="762"/>
    <n v="-57.149999999999977"/>
  </r>
  <r>
    <n v="12448"/>
    <n v="52"/>
    <s v="Male"/>
    <s v="Mumbai"/>
    <d v="2021-10-09T00:00:00"/>
    <d v="2021-07-14T00:00:00"/>
    <x v="0"/>
    <n v="1105"/>
    <x v="1"/>
    <n v="2"/>
    <n v="96.88"/>
    <n v="0"/>
    <x v="1"/>
    <x v="1"/>
    <n v="24310"/>
    <b v="0"/>
    <n v="1.8333333333333333"/>
    <n v="1105"/>
    <n v="32.293333333333329"/>
    <d v="2021-10-01T00:00:00"/>
    <s v="Older"/>
    <n v="0"/>
    <s v="Yes"/>
    <m/>
    <s v="High"/>
    <s v="Low"/>
    <n v="8.6956521739130432E-2"/>
    <s v="High"/>
    <n v="1"/>
    <d v="2021-10-01T00:00:00"/>
    <s v="13–24 months"/>
    <s v="2–3 tickets"/>
    <s v="46+ min"/>
    <s v="1000+"/>
    <n v="24310"/>
    <n v="0"/>
  </r>
  <r>
    <n v="12449"/>
    <n v="47"/>
    <s v="Male"/>
    <s v="Hyderabad"/>
    <d v="2021-03-06T00:00:00"/>
    <d v="2023-10-31T00:00:00"/>
    <x v="0"/>
    <n v="1121"/>
    <x v="21"/>
    <n v="2"/>
    <n v="116.91"/>
    <n v="20"/>
    <x v="0"/>
    <x v="1"/>
    <n v="5380.8"/>
    <b v="1"/>
    <n v="0.41666666666666669"/>
    <n v="1076.1600000000001"/>
    <n v="38.97"/>
    <d v="2021-03-01T00:00:00"/>
    <s v="Middle-aged"/>
    <n v="0"/>
    <s v="No"/>
    <n v="969"/>
    <s v="High"/>
    <s v="Medium"/>
    <n v="0.33333333333333331"/>
    <s v="Low"/>
    <n v="1"/>
    <d v="2021-03-01T00:00:00"/>
    <s v="0–6 months"/>
    <s v="2–3 tickets"/>
    <s v="46+ min"/>
    <s v="1000+"/>
    <n v="5605"/>
    <n v="-224.19999999999982"/>
  </r>
  <r>
    <n v="12450"/>
    <n v="41"/>
    <s v="Female"/>
    <s v="Pune"/>
    <d v="2023-06-07T00:00:00"/>
    <d v="2023-04-29T00:00:00"/>
    <x v="1"/>
    <n v="1399"/>
    <x v="16"/>
    <n v="4"/>
    <n v="25.84"/>
    <n v="10"/>
    <x v="3"/>
    <x v="1"/>
    <n v="9793"/>
    <b v="0"/>
    <n v="0.58333333333333337"/>
    <n v="1399"/>
    <n v="5.1680000000000001"/>
    <d v="2023-06-01T00:00:00"/>
    <s v="Middle-aged"/>
    <n v="0"/>
    <s v="No"/>
    <m/>
    <s v="Medium"/>
    <s v="Low"/>
    <n v="0.5"/>
    <s v="Medium"/>
    <n v="3"/>
    <d v="2023-06-01T00:00:00"/>
    <s v="7–12 months"/>
    <s v="4–5 tickets"/>
    <s v="21–30 min"/>
    <s v="1000+"/>
    <n v="9793"/>
    <n v="0"/>
  </r>
  <r>
    <n v="12451"/>
    <n v="59"/>
    <s v="Male"/>
    <s v="Pune"/>
    <d v="2022-05-31T00:00:00"/>
    <d v="2023-02-10T00:00:00"/>
    <x v="2"/>
    <n v="1251"/>
    <x v="20"/>
    <n v="4"/>
    <n v="107.94"/>
    <n v="10"/>
    <x v="0"/>
    <x v="1"/>
    <n v="7380.9"/>
    <b v="1"/>
    <n v="0.5"/>
    <n v="1230.1499999999999"/>
    <n v="21.588000000000001"/>
    <d v="2022-05-01T00:00:00"/>
    <s v="Older"/>
    <n v="0"/>
    <s v="No"/>
    <n v="255"/>
    <s v="High"/>
    <s v="Low"/>
    <n v="0.5714285714285714"/>
    <s v="Low"/>
    <n v="2"/>
    <d v="2022-05-01T00:00:00"/>
    <s v="0–6 months"/>
    <s v="4–5 tickets"/>
    <s v="46+ min"/>
    <s v="1000+"/>
    <n v="7506"/>
    <n v="-125.10000000000036"/>
  </r>
  <r>
    <n v="12452"/>
    <n v="47"/>
    <s v="Male"/>
    <s v="Pune"/>
    <d v="2021-06-06T00:00:00"/>
    <d v="2021-07-14T00:00:00"/>
    <x v="0"/>
    <n v="671"/>
    <x v="1"/>
    <n v="4"/>
    <n v="69.03"/>
    <n v="15"/>
    <x v="3"/>
    <x v="1"/>
    <n v="14661.35"/>
    <b v="1"/>
    <n v="1.8333333333333333"/>
    <n v="666.42500000000007"/>
    <n v="13.806000000000001"/>
    <d v="2021-06-01T00:00:00"/>
    <s v="Middle-aged"/>
    <n v="0"/>
    <s v="Yes"/>
    <n v="38"/>
    <s v="High"/>
    <s v="Low"/>
    <n v="0.17391304347826086"/>
    <s v="Medium"/>
    <n v="1"/>
    <d v="2021-06-01T00:00:00"/>
    <s v="13–24 months"/>
    <s v="4–5 tickets"/>
    <s v="46+ min"/>
    <s v="501–700"/>
    <n v="14762"/>
    <n v="-100.64999999999964"/>
  </r>
  <r>
    <n v="12453"/>
    <n v="31"/>
    <s v="Female"/>
    <s v="Delhi"/>
    <d v="2023-01-31T00:00:00"/>
    <d v="2021-08-17T00:00:00"/>
    <x v="0"/>
    <n v="563"/>
    <x v="32"/>
    <n v="2"/>
    <n v="112.63"/>
    <n v="0"/>
    <x v="3"/>
    <x v="1"/>
    <n v="5630"/>
    <b v="0"/>
    <n v="0.83333333333333337"/>
    <n v="563"/>
    <n v="37.543333333333329"/>
    <d v="2023-01-01T00:00:00"/>
    <s v="Adult"/>
    <n v="0"/>
    <s v="No"/>
    <m/>
    <s v="High"/>
    <s v="Low"/>
    <n v="0.18181818181818182"/>
    <s v="Low"/>
    <n v="1"/>
    <d v="2023-01-01T00:00:00"/>
    <s v="7–12 months"/>
    <s v="2–3 tickets"/>
    <s v="46+ min"/>
    <s v="501–700"/>
    <n v="5630"/>
    <n v="0"/>
  </r>
  <r>
    <n v="12454"/>
    <n v="23"/>
    <s v="Male"/>
    <s v="Hyderabad"/>
    <d v="2023-02-08T00:00:00"/>
    <d v="2022-01-12T00:00:00"/>
    <x v="2"/>
    <n v="409"/>
    <x v="28"/>
    <n v="4"/>
    <n v="25.25"/>
    <n v="20"/>
    <x v="2"/>
    <x v="1"/>
    <n v="8098.2"/>
    <b v="0"/>
    <n v="1.6666666666666667"/>
    <n v="404.90999999999997"/>
    <n v="5.05"/>
    <d v="2023-02-01T00:00:00"/>
    <s v="Young"/>
    <n v="0"/>
    <s v="No"/>
    <m/>
    <s v="Medium"/>
    <s v="Medium"/>
    <n v="0.19047619047619047"/>
    <s v="Low"/>
    <n v="2"/>
    <d v="2023-02-01T00:00:00"/>
    <s v="13–24 months"/>
    <s v="4–5 tickets"/>
    <s v="21–30 min"/>
    <s v="301–500"/>
    <n v="8180"/>
    <n v="-81.800000000000182"/>
  </r>
  <r>
    <n v="12455"/>
    <n v="20"/>
    <s v="Male"/>
    <s v="Delhi"/>
    <d v="2023-01-17T00:00:00"/>
    <d v="2021-11-09T00:00:00"/>
    <x v="2"/>
    <n v="606"/>
    <x v="29"/>
    <n v="3"/>
    <n v="96.08"/>
    <n v="20"/>
    <x v="0"/>
    <x v="1"/>
    <n v="16846.8"/>
    <b v="0"/>
    <n v="2.3333333333333335"/>
    <n v="601.67142857142858"/>
    <n v="24.02"/>
    <d v="2023-01-01T00:00:00"/>
    <s v="Young"/>
    <n v="0"/>
    <s v="Yes"/>
    <m/>
    <s v="High"/>
    <s v="Medium"/>
    <n v="0.10344827586206896"/>
    <s v="Medium"/>
    <n v="2"/>
    <d v="2023-01-01T00:00:00"/>
    <s v="25+ months"/>
    <s v="2–3 tickets"/>
    <s v="46+ min"/>
    <s v="501–700"/>
    <n v="16968"/>
    <n v="-121.20000000000073"/>
  </r>
  <r>
    <n v="12456"/>
    <n v="33"/>
    <s v="Female"/>
    <s v="Mumbai"/>
    <d v="2021-11-02T00:00:00"/>
    <d v="2023-08-02T00:00:00"/>
    <x v="0"/>
    <n v="525"/>
    <x v="31"/>
    <n v="2"/>
    <n v="11.87"/>
    <n v="5"/>
    <x v="3"/>
    <x v="1"/>
    <n v="12048.75"/>
    <b v="1"/>
    <n v="1.9166666666666667"/>
    <n v="523.85869565217388"/>
    <n v="3.9566666666666666"/>
    <d v="2021-11-01T00:00:00"/>
    <s v="Adult"/>
    <n v="0"/>
    <s v="No"/>
    <n v="638"/>
    <s v="Low"/>
    <s v="Low"/>
    <n v="8.3333333333333329E-2"/>
    <s v="Medium"/>
    <n v="1"/>
    <d v="2021-11-01T00:00:00"/>
    <s v="13–24 months"/>
    <s v="2–3 tickets"/>
    <s v="11–20 min"/>
    <s v="501–700"/>
    <n v="12075"/>
    <n v="-26.25"/>
  </r>
  <r>
    <n v="12457"/>
    <n v="24"/>
    <s v="Female"/>
    <s v="Bangalore"/>
    <d v="2023-05-28T00:00:00"/>
    <d v="2022-02-08T00:00:00"/>
    <x v="0"/>
    <n v="484"/>
    <x v="12"/>
    <n v="4"/>
    <n v="106.57"/>
    <n v="0"/>
    <x v="0"/>
    <x v="1"/>
    <n v="16940"/>
    <b v="0"/>
    <n v="2.9166666666666665"/>
    <n v="484"/>
    <n v="21.314"/>
    <d v="2023-05-01T00:00:00"/>
    <s v="Young"/>
    <n v="0"/>
    <s v="Yes"/>
    <m/>
    <s v="High"/>
    <s v="Low"/>
    <n v="0.1111111111111111"/>
    <s v="Medium"/>
    <n v="1"/>
    <d v="2023-05-01T00:00:00"/>
    <s v="25+ months"/>
    <s v="4–5 tickets"/>
    <s v="46+ min"/>
    <s v="301–500"/>
    <n v="16940"/>
    <n v="0"/>
  </r>
  <r>
    <n v="12458"/>
    <n v="41"/>
    <s v="Female"/>
    <s v="Pune"/>
    <d v="2022-01-30T00:00:00"/>
    <d v="2021-10-10T00:00:00"/>
    <x v="1"/>
    <n v="1263"/>
    <x v="7"/>
    <n v="2"/>
    <n v="82.53"/>
    <n v="15"/>
    <x v="2"/>
    <x v="1"/>
    <n v="1073.55"/>
    <b v="0"/>
    <n v="8.3333333333333329E-2"/>
    <n v="1073.55"/>
    <n v="27.51"/>
    <d v="2022-01-01T00:00:00"/>
    <s v="Middle-aged"/>
    <n v="0"/>
    <s v="No"/>
    <m/>
    <s v="High"/>
    <s v="Low"/>
    <n v="1"/>
    <s v="Low"/>
    <n v="3"/>
    <d v="2022-01-01T00:00:00"/>
    <s v="0–6 months"/>
    <s v="2–3 tickets"/>
    <s v="46+ min"/>
    <s v="1000+"/>
    <n v="1263"/>
    <n v="-189.45000000000005"/>
  </r>
  <r>
    <n v="12459"/>
    <n v="26"/>
    <s v="Female"/>
    <s v="Hyderabad"/>
    <d v="2021-03-15T00:00:00"/>
    <d v="2022-08-22T00:00:00"/>
    <x v="2"/>
    <n v="330"/>
    <x v="5"/>
    <n v="2"/>
    <n v="47.58"/>
    <n v="15"/>
    <x v="3"/>
    <x v="0"/>
    <n v="9520.5"/>
    <b v="1"/>
    <n v="2.4166666666666665"/>
    <n v="328.29310344827587"/>
    <n v="15.86"/>
    <d v="2021-03-01T00:00:00"/>
    <s v="Adult"/>
    <n v="1"/>
    <s v="No"/>
    <n v="525"/>
    <s v="Medium"/>
    <s v="Low"/>
    <n v="6.6666666666666666E-2"/>
    <s v="Medium"/>
    <n v="2"/>
    <d v="2021-03-01T00:00:00"/>
    <s v="25+ months"/>
    <s v="2–3 tickets"/>
    <s v="46+ min"/>
    <s v="301–500"/>
    <n v="9570"/>
    <n v="-49.5"/>
  </r>
  <r>
    <n v="12460"/>
    <n v="32"/>
    <s v="Female"/>
    <s v="Pune"/>
    <d v="2021-07-06T00:00:00"/>
    <d v="2023-11-01T00:00:00"/>
    <x v="1"/>
    <n v="913"/>
    <x v="9"/>
    <n v="1"/>
    <n v="26.9"/>
    <n v="5"/>
    <x v="2"/>
    <x v="1"/>
    <n v="8171.35"/>
    <b v="1"/>
    <n v="0.75"/>
    <n v="907.92777777777781"/>
    <n v="13.45"/>
    <d v="2021-07-01T00:00:00"/>
    <s v="Adult"/>
    <n v="0"/>
    <s v="No"/>
    <n v="848"/>
    <s v="Medium"/>
    <s v="Low"/>
    <n v="0.1"/>
    <s v="Low"/>
    <n v="3"/>
    <d v="2021-07-01T00:00:00"/>
    <s v="7–12 months"/>
    <s v="0–1 tickets"/>
    <s v="21–30 min"/>
    <s v="701–1000"/>
    <n v="8217"/>
    <n v="-45.649999999999636"/>
  </r>
  <r>
    <n v="12461"/>
    <n v="38"/>
    <s v="Female"/>
    <s v="Delhi"/>
    <d v="2022-07-28T00:00:00"/>
    <d v="2023-11-04T00:00:00"/>
    <x v="2"/>
    <n v="398"/>
    <x v="9"/>
    <n v="2"/>
    <n v="98.9"/>
    <n v="20"/>
    <x v="3"/>
    <x v="1"/>
    <n v="3502.4"/>
    <b v="1"/>
    <n v="0.75"/>
    <n v="389.15555555555557"/>
    <n v="32.966666666666669"/>
    <d v="2022-07-01T00:00:00"/>
    <s v="Middle-aged"/>
    <n v="0"/>
    <s v="No"/>
    <n v="464"/>
    <s v="High"/>
    <s v="Medium"/>
    <n v="0.2"/>
    <s v="Low"/>
    <n v="2"/>
    <d v="2022-07-01T00:00:00"/>
    <s v="7–12 months"/>
    <s v="2–3 tickets"/>
    <s v="46+ min"/>
    <s v="301–500"/>
    <n v="3582"/>
    <n v="-79.599999999999909"/>
  </r>
  <r>
    <n v="12462"/>
    <n v="52"/>
    <s v="Male"/>
    <s v="Chennai"/>
    <d v="2021-12-03T00:00:00"/>
    <d v="2022-09-17T00:00:00"/>
    <x v="1"/>
    <n v="1110"/>
    <x v="1"/>
    <n v="0"/>
    <n v="74.37"/>
    <n v="0"/>
    <x v="2"/>
    <x v="1"/>
    <n v="24420"/>
    <b v="1"/>
    <n v="1.8333333333333333"/>
    <n v="1110"/>
    <n v="74.37"/>
    <d v="2021-12-01T00:00:00"/>
    <s v="Older"/>
    <n v="0"/>
    <s v="Yes"/>
    <n v="288"/>
    <s v="High"/>
    <s v="Low"/>
    <n v="0"/>
    <s v="High"/>
    <n v="3"/>
    <d v="2021-12-01T00:00:00"/>
    <s v="13–24 months"/>
    <s v="0–1 tickets"/>
    <s v="46+ min"/>
    <s v="1000+"/>
    <n v="24420"/>
    <n v="0"/>
  </r>
  <r>
    <n v="12463"/>
    <n v="19"/>
    <s v="Female"/>
    <s v="Mumbai"/>
    <d v="2022-11-07T00:00:00"/>
    <d v="2023-03-18T00:00:00"/>
    <x v="0"/>
    <n v="951"/>
    <x v="4"/>
    <n v="2"/>
    <n v="46.45"/>
    <n v="10"/>
    <x v="2"/>
    <x v="1"/>
    <n v="1711.8"/>
    <b v="1"/>
    <n v="0.16666666666666666"/>
    <n v="855.9"/>
    <n v="15.483333333333334"/>
    <d v="2022-11-01T00:00:00"/>
    <s v="Young"/>
    <n v="0"/>
    <s v="No"/>
    <n v="131"/>
    <s v="Medium"/>
    <s v="Low"/>
    <n v="0.66666666666666663"/>
    <s v="Low"/>
    <n v="1"/>
    <d v="2022-11-01T00:00:00"/>
    <s v="0–6 months"/>
    <s v="2–3 tickets"/>
    <s v="46+ min"/>
    <s v="701–1000"/>
    <n v="1902"/>
    <n v="-190.20000000000005"/>
  </r>
  <r>
    <n v="12464"/>
    <n v="44"/>
    <s v="Other"/>
    <s v="Bangalore"/>
    <d v="2022-07-22T00:00:00"/>
    <d v="2023-07-18T00:00:00"/>
    <x v="2"/>
    <n v="1113"/>
    <x v="24"/>
    <n v="1"/>
    <n v="56.04"/>
    <n v="0"/>
    <x v="1"/>
    <x v="1"/>
    <n v="17808"/>
    <b v="1"/>
    <n v="1.3333333333333333"/>
    <n v="1113"/>
    <n v="28.02"/>
    <d v="2022-07-01T00:00:00"/>
    <s v="Middle-aged"/>
    <n v="0"/>
    <s v="Yes"/>
    <n v="361"/>
    <s v="Medium"/>
    <s v="Low"/>
    <n v="5.8823529411764705E-2"/>
    <s v="Medium"/>
    <n v="2"/>
    <d v="2022-07-01T00:00:00"/>
    <s v="13–24 months"/>
    <s v="0–1 tickets"/>
    <s v="46+ min"/>
    <s v="1000+"/>
    <n v="17808"/>
    <n v="0"/>
  </r>
  <r>
    <n v="12465"/>
    <n v="19"/>
    <s v="Male"/>
    <s v="Mumbai"/>
    <d v="2022-09-15T00:00:00"/>
    <d v="2021-09-17T00:00:00"/>
    <x v="0"/>
    <n v="1319"/>
    <x v="20"/>
    <n v="1"/>
    <n v="100.05"/>
    <n v="0"/>
    <x v="3"/>
    <x v="1"/>
    <n v="7914"/>
    <b v="0"/>
    <n v="0.5"/>
    <n v="1319"/>
    <n v="50.024999999999999"/>
    <d v="2022-09-01T00:00:00"/>
    <s v="Young"/>
    <n v="0"/>
    <s v="No"/>
    <m/>
    <s v="High"/>
    <s v="Low"/>
    <n v="0.14285714285714285"/>
    <s v="Low"/>
    <n v="1"/>
    <d v="2022-09-01T00:00:00"/>
    <s v="0–6 months"/>
    <s v="0–1 tickets"/>
    <s v="46+ min"/>
    <s v="1000+"/>
    <n v="7914"/>
    <n v="0"/>
  </r>
  <r>
    <n v="12466"/>
    <n v="52"/>
    <s v="Male"/>
    <s v="Chennai"/>
    <d v="2022-12-31T00:00:00"/>
    <d v="2023-05-07T00:00:00"/>
    <x v="2"/>
    <n v="1277"/>
    <x v="19"/>
    <n v="3"/>
    <n v="43.98"/>
    <n v="0"/>
    <x v="3"/>
    <x v="1"/>
    <n v="16601"/>
    <b v="1"/>
    <n v="1.0833333333333333"/>
    <n v="1277"/>
    <n v="10.994999999999999"/>
    <d v="2022-12-01T00:00:00"/>
    <s v="Older"/>
    <n v="0"/>
    <s v="Yes"/>
    <n v="127"/>
    <s v="Medium"/>
    <s v="Low"/>
    <n v="0.21428571428571427"/>
    <s v="Medium"/>
    <n v="2"/>
    <d v="2022-12-01T00:00:00"/>
    <s v="13–24 months"/>
    <s v="2–3 tickets"/>
    <s v="31–45 min"/>
    <s v="1000+"/>
    <n v="16601"/>
    <n v="0"/>
  </r>
  <r>
    <n v="12467"/>
    <n v="35"/>
    <s v="Female"/>
    <s v="Bangalore"/>
    <d v="2021-08-28T00:00:00"/>
    <d v="2021-07-05T00:00:00"/>
    <x v="2"/>
    <n v="387"/>
    <x v="33"/>
    <n v="3"/>
    <n v="15.31"/>
    <n v="20"/>
    <x v="3"/>
    <x v="1"/>
    <n v="12693.6"/>
    <b v="0"/>
    <n v="2.75"/>
    <n v="384.65454545454548"/>
    <n v="3.8275000000000001"/>
    <d v="2021-08-01T00:00:00"/>
    <s v="Adult"/>
    <n v="0"/>
    <s v="No"/>
    <m/>
    <s v="Low"/>
    <s v="Medium"/>
    <n v="8.8235294117647065E-2"/>
    <s v="Medium"/>
    <n v="2"/>
    <d v="2021-08-01T00:00:00"/>
    <s v="25+ months"/>
    <s v="2–3 tickets"/>
    <s v="11–20 min"/>
    <s v="301–500"/>
    <n v="12771"/>
    <n v="-77.399999999999636"/>
  </r>
  <r>
    <n v="12468"/>
    <n v="31"/>
    <s v="Male"/>
    <s v="Chennai"/>
    <d v="2022-06-17T00:00:00"/>
    <d v="2022-09-10T00:00:00"/>
    <x v="0"/>
    <n v="1386"/>
    <x v="17"/>
    <n v="2"/>
    <n v="109.8"/>
    <n v="20"/>
    <x v="0"/>
    <x v="1"/>
    <n v="26056.799999999999"/>
    <b v="1"/>
    <n v="1.5833333333333333"/>
    <n v="1371.4105263157894"/>
    <n v="36.6"/>
    <d v="2022-06-01T00:00:00"/>
    <s v="Adult"/>
    <n v="0"/>
    <s v="Yes"/>
    <n v="85"/>
    <s v="High"/>
    <s v="Medium"/>
    <n v="0.1"/>
    <s v="High"/>
    <n v="1"/>
    <d v="2022-06-01T00:00:00"/>
    <s v="13–24 months"/>
    <s v="2–3 tickets"/>
    <s v="46+ min"/>
    <s v="1000+"/>
    <n v="26334"/>
    <n v="-277.20000000000073"/>
  </r>
  <r>
    <n v="12469"/>
    <n v="37"/>
    <s v="Male"/>
    <s v="Mumbai"/>
    <d v="2021-05-21T00:00:00"/>
    <d v="2022-03-02T00:00:00"/>
    <x v="1"/>
    <n v="1221"/>
    <x v="15"/>
    <n v="3"/>
    <n v="49.54"/>
    <n v="20"/>
    <x v="1"/>
    <x v="0"/>
    <n v="18070.8"/>
    <b v="1"/>
    <n v="1.25"/>
    <n v="1204.72"/>
    <n v="12.385"/>
    <d v="2021-05-01T00:00:00"/>
    <s v="Middle-aged"/>
    <n v="1"/>
    <s v="Yes"/>
    <n v="285"/>
    <s v="Medium"/>
    <s v="Medium"/>
    <n v="0.1875"/>
    <s v="Medium"/>
    <n v="3"/>
    <d v="2021-05-01T00:00:00"/>
    <s v="13–24 months"/>
    <s v="2–3 tickets"/>
    <s v="46+ min"/>
    <s v="1000+"/>
    <n v="18315"/>
    <n v="-244.20000000000073"/>
  </r>
  <r>
    <n v="12470"/>
    <n v="41"/>
    <s v="Female"/>
    <s v="Delhi"/>
    <d v="2021-09-22T00:00:00"/>
    <d v="2021-12-04T00:00:00"/>
    <x v="1"/>
    <n v="885"/>
    <x v="33"/>
    <n v="2"/>
    <n v="45.06"/>
    <n v="10"/>
    <x v="0"/>
    <x v="0"/>
    <n v="29116.5"/>
    <b v="1"/>
    <n v="2.75"/>
    <n v="882.31818181818187"/>
    <n v="15.020000000000001"/>
    <d v="2021-09-01T00:00:00"/>
    <s v="Middle-aged"/>
    <n v="1"/>
    <s v="Yes"/>
    <n v="73"/>
    <s v="Medium"/>
    <s v="Low"/>
    <n v="5.8823529411764705E-2"/>
    <s v="High"/>
    <n v="3"/>
    <d v="2021-09-01T00:00:00"/>
    <s v="25+ months"/>
    <s v="2–3 tickets"/>
    <s v="46+ min"/>
    <s v="701–1000"/>
    <n v="29205"/>
    <n v="-88.5"/>
  </r>
  <r>
    <n v="12471"/>
    <n v="27"/>
    <s v="Other"/>
    <s v="Mumbai"/>
    <d v="2021-05-19T00:00:00"/>
    <d v="2022-01-29T00:00:00"/>
    <x v="0"/>
    <n v="1117"/>
    <x v="32"/>
    <n v="2"/>
    <n v="28.51"/>
    <n v="20"/>
    <x v="3"/>
    <x v="1"/>
    <n v="10946.6"/>
    <b v="1"/>
    <n v="0.83333333333333337"/>
    <n v="1094.6600000000001"/>
    <n v="9.5033333333333339"/>
    <d v="2021-05-01T00:00:00"/>
    <s v="Adult"/>
    <n v="0"/>
    <s v="No"/>
    <n v="255"/>
    <s v="Medium"/>
    <s v="Medium"/>
    <n v="0.18181818181818182"/>
    <s v="Medium"/>
    <n v="1"/>
    <d v="2021-05-01T00:00:00"/>
    <s v="7–12 months"/>
    <s v="2–3 tickets"/>
    <s v="21–30 min"/>
    <s v="1000+"/>
    <n v="11170"/>
    <n v="-223.39999999999964"/>
  </r>
  <r>
    <n v="12472"/>
    <n v="42"/>
    <s v="Male"/>
    <s v="Mumbai"/>
    <d v="2022-04-04T00:00:00"/>
    <d v="2022-02-19T00:00:00"/>
    <x v="2"/>
    <n v="1231"/>
    <x v="7"/>
    <n v="1"/>
    <n v="108.2"/>
    <n v="5"/>
    <x v="1"/>
    <x v="1"/>
    <n v="1169.45"/>
    <b v="0"/>
    <n v="8.3333333333333329E-2"/>
    <n v="1169.45"/>
    <n v="54.1"/>
    <d v="2022-04-01T00:00:00"/>
    <s v="Middle-aged"/>
    <n v="0"/>
    <s v="No"/>
    <m/>
    <s v="High"/>
    <s v="Low"/>
    <n v="0.5"/>
    <s v="Low"/>
    <n v="2"/>
    <d v="2022-04-01T00:00:00"/>
    <s v="0–6 months"/>
    <s v="0–1 tickets"/>
    <s v="46+ min"/>
    <s v="1000+"/>
    <n v="1231"/>
    <n v="-61.549999999999955"/>
  </r>
  <r>
    <n v="12473"/>
    <n v="19"/>
    <s v="Male"/>
    <s v="Mumbai"/>
    <d v="2021-03-11T00:00:00"/>
    <d v="2022-11-04T00:00:00"/>
    <x v="0"/>
    <n v="1096"/>
    <x v="34"/>
    <n v="2"/>
    <n v="30.01"/>
    <n v="10"/>
    <x v="2"/>
    <x v="1"/>
    <n v="13042.4"/>
    <b v="1"/>
    <n v="1"/>
    <n v="1086.8666666666666"/>
    <n v="10.003333333333334"/>
    <d v="2021-03-01T00:00:00"/>
    <s v="Young"/>
    <n v="0"/>
    <s v="No"/>
    <n v="603"/>
    <s v="Medium"/>
    <s v="Low"/>
    <n v="0.15384615384615385"/>
    <s v="Medium"/>
    <n v="1"/>
    <d v="2021-03-01T00:00:00"/>
    <s v="7–12 months"/>
    <s v="2–3 tickets"/>
    <s v="31–45 min"/>
    <s v="1000+"/>
    <n v="13152"/>
    <n v="-109.60000000000036"/>
  </r>
  <r>
    <n v="12474"/>
    <n v="42"/>
    <s v="Male"/>
    <s v="Hyderabad"/>
    <d v="2022-01-20T00:00:00"/>
    <d v="2023-04-09T00:00:00"/>
    <x v="0"/>
    <n v="1318"/>
    <x v="5"/>
    <n v="0"/>
    <n v="78.22"/>
    <n v="0"/>
    <x v="1"/>
    <x v="1"/>
    <n v="38222"/>
    <b v="1"/>
    <n v="2.4166666666666665"/>
    <n v="1318"/>
    <n v="78.22"/>
    <d v="2022-01-01T00:00:00"/>
    <s v="Middle-aged"/>
    <n v="0"/>
    <s v="Yes"/>
    <n v="444"/>
    <s v="High"/>
    <s v="Low"/>
    <n v="0"/>
    <s v="High"/>
    <n v="1"/>
    <d v="2022-01-01T00:00:00"/>
    <s v="25+ months"/>
    <s v="0–1 tickets"/>
    <s v="46+ min"/>
    <s v="1000+"/>
    <n v="38222"/>
    <n v="0"/>
  </r>
  <r>
    <n v="12475"/>
    <n v="50"/>
    <s v="Female"/>
    <s v="Chennai"/>
    <d v="2022-09-22T00:00:00"/>
    <d v="2022-11-23T00:00:00"/>
    <x v="1"/>
    <n v="1312"/>
    <x v="18"/>
    <n v="1"/>
    <n v="106.29"/>
    <n v="15"/>
    <x v="2"/>
    <x v="1"/>
    <n v="22107.200000000001"/>
    <b v="1"/>
    <n v="1.4166666666666667"/>
    <n v="1300.4235294117648"/>
    <n v="53.145000000000003"/>
    <d v="2022-09-01T00:00:00"/>
    <s v="Middle-aged"/>
    <n v="0"/>
    <s v="Yes"/>
    <n v="62"/>
    <s v="High"/>
    <s v="Low"/>
    <n v="5.5555555555555552E-2"/>
    <s v="High"/>
    <n v="3"/>
    <d v="2022-09-01T00:00:00"/>
    <s v="13–24 months"/>
    <s v="0–1 tickets"/>
    <s v="46+ min"/>
    <s v="1000+"/>
    <n v="22304"/>
    <n v="-196.79999999999927"/>
  </r>
  <r>
    <n v="12476"/>
    <n v="53"/>
    <s v="Male"/>
    <s v="Chennai"/>
    <d v="2021-07-17T00:00:00"/>
    <d v="2023-07-23T00:00:00"/>
    <x v="0"/>
    <n v="1272"/>
    <x v="2"/>
    <n v="2"/>
    <n v="9.02"/>
    <n v="10"/>
    <x v="3"/>
    <x v="1"/>
    <n v="4960.8"/>
    <b v="1"/>
    <n v="0.33333333333333331"/>
    <n v="1240.2"/>
    <n v="3.0066666666666664"/>
    <d v="2021-07-01T00:00:00"/>
    <s v="Older"/>
    <n v="0"/>
    <s v="No"/>
    <n v="736"/>
    <s v="Low"/>
    <s v="Low"/>
    <n v="0.4"/>
    <s v="Low"/>
    <n v="1"/>
    <d v="2021-07-01T00:00:00"/>
    <s v="0–6 months"/>
    <s v="2–3 tickets"/>
    <s v="0–10 min"/>
    <s v="1000+"/>
    <n v="5088"/>
    <n v="-127.19999999999982"/>
  </r>
  <r>
    <n v="12477"/>
    <n v="48"/>
    <s v="Male"/>
    <s v="Pune"/>
    <d v="2021-07-24T00:00:00"/>
    <d v="2021-08-26T00:00:00"/>
    <x v="1"/>
    <n v="932"/>
    <x v="5"/>
    <n v="1"/>
    <n v="100.31"/>
    <n v="10"/>
    <x v="3"/>
    <x v="1"/>
    <n v="26934.799999999999"/>
    <b v="1"/>
    <n v="2.4166666666666665"/>
    <n v="928.78620689655168"/>
    <n v="50.155000000000001"/>
    <d v="2021-07-01T00:00:00"/>
    <s v="Middle-aged"/>
    <n v="0"/>
    <s v="Yes"/>
    <n v="33"/>
    <s v="High"/>
    <s v="Low"/>
    <n v="3.3333333333333333E-2"/>
    <s v="High"/>
    <n v="3"/>
    <d v="2021-07-01T00:00:00"/>
    <s v="25+ months"/>
    <s v="0–1 tickets"/>
    <s v="46+ min"/>
    <s v="701–1000"/>
    <n v="27028"/>
    <n v="-93.200000000000728"/>
  </r>
  <r>
    <n v="12478"/>
    <n v="31"/>
    <s v="Male"/>
    <s v="Chennai"/>
    <d v="2022-12-27T00:00:00"/>
    <d v="2022-11-17T00:00:00"/>
    <x v="0"/>
    <n v="645"/>
    <x v="16"/>
    <n v="1"/>
    <n v="52.22"/>
    <n v="0"/>
    <x v="2"/>
    <x v="0"/>
    <n v="4515"/>
    <b v="0"/>
    <n v="0.58333333333333337"/>
    <n v="645"/>
    <n v="26.11"/>
    <d v="2022-12-01T00:00:00"/>
    <s v="Adult"/>
    <n v="1"/>
    <s v="No"/>
    <m/>
    <s v="Medium"/>
    <s v="Low"/>
    <n v="0.125"/>
    <s v="Low"/>
    <n v="1"/>
    <d v="2022-12-01T00:00:00"/>
    <s v="7–12 months"/>
    <s v="0–1 tickets"/>
    <s v="46+ min"/>
    <s v="501–700"/>
    <n v="4515"/>
    <n v="0"/>
  </r>
  <r>
    <n v="12479"/>
    <n v="18"/>
    <s v="Male"/>
    <s v="Pune"/>
    <d v="2022-07-22T00:00:00"/>
    <d v="2021-12-27T00:00:00"/>
    <x v="2"/>
    <n v="1023"/>
    <x v="19"/>
    <n v="3"/>
    <n v="80.67"/>
    <n v="20"/>
    <x v="1"/>
    <x v="1"/>
    <n v="13094.4"/>
    <b v="0"/>
    <n v="1.0833333333333333"/>
    <n v="1007.2615384615384"/>
    <n v="20.1675"/>
    <d v="2022-07-01T00:00:00"/>
    <s v="Young"/>
    <n v="0"/>
    <s v="No"/>
    <m/>
    <s v="High"/>
    <s v="Medium"/>
    <n v="0.21428571428571427"/>
    <s v="Medium"/>
    <n v="2"/>
    <d v="2022-07-01T00:00:00"/>
    <s v="13–24 months"/>
    <s v="2–3 tickets"/>
    <s v="46+ min"/>
    <s v="1000+"/>
    <n v="13299"/>
    <n v="-204.60000000000036"/>
  </r>
  <r>
    <n v="12480"/>
    <n v="63"/>
    <s v="Female"/>
    <s v="Hyderabad"/>
    <d v="2023-03-10T00:00:00"/>
    <d v="2021-07-16T00:00:00"/>
    <x v="2"/>
    <n v="1200"/>
    <x v="21"/>
    <n v="3"/>
    <n v="47.83"/>
    <n v="20"/>
    <x v="0"/>
    <x v="1"/>
    <n v="5760"/>
    <b v="0"/>
    <n v="0.41666666666666669"/>
    <n v="1152"/>
    <n v="11.9575"/>
    <d v="2023-03-01T00:00:00"/>
    <s v="Older"/>
    <n v="0"/>
    <s v="No"/>
    <m/>
    <s v="Medium"/>
    <s v="Medium"/>
    <n v="0.5"/>
    <s v="Low"/>
    <n v="2"/>
    <d v="2023-03-01T00:00:00"/>
    <s v="0–6 months"/>
    <s v="2–3 tickets"/>
    <s v="46+ min"/>
    <s v="1000+"/>
    <n v="6000"/>
    <n v="-240"/>
  </r>
  <r>
    <n v="12481"/>
    <n v="41"/>
    <s v="Female"/>
    <s v="Delhi"/>
    <d v="2023-03-16T00:00:00"/>
    <d v="2022-09-10T00:00:00"/>
    <x v="0"/>
    <n v="1401"/>
    <x v="20"/>
    <n v="3"/>
    <n v="84.98"/>
    <n v="10"/>
    <x v="1"/>
    <x v="1"/>
    <n v="8265.9"/>
    <b v="0"/>
    <n v="0.5"/>
    <n v="1377.6499999999999"/>
    <n v="21.245000000000001"/>
    <d v="2023-03-01T00:00:00"/>
    <s v="Middle-aged"/>
    <n v="0"/>
    <s v="No"/>
    <m/>
    <s v="High"/>
    <s v="Low"/>
    <n v="0.42857142857142855"/>
    <s v="Low"/>
    <n v="1"/>
    <d v="2023-03-01T00:00:00"/>
    <s v="0–6 months"/>
    <s v="2–3 tickets"/>
    <s v="46+ min"/>
    <s v="1000+"/>
    <n v="8406"/>
    <n v="-140.10000000000036"/>
  </r>
  <r>
    <n v="12482"/>
    <n v="63"/>
    <s v="Female"/>
    <s v="Pune"/>
    <d v="2022-11-18T00:00:00"/>
    <d v="2022-11-22T00:00:00"/>
    <x v="0"/>
    <n v="1337"/>
    <x v="22"/>
    <n v="2"/>
    <n v="34.24"/>
    <n v="20"/>
    <x v="2"/>
    <x v="1"/>
    <n v="45190.6"/>
    <b v="1"/>
    <n v="2.8333333333333335"/>
    <n v="1329.1352941176469"/>
    <n v="11.413333333333334"/>
    <d v="2022-11-01T00:00:00"/>
    <s v="Older"/>
    <n v="0"/>
    <s v="Yes"/>
    <n v="4"/>
    <s v="Medium"/>
    <s v="Medium"/>
    <n v="5.7142857142857141E-2"/>
    <s v="High"/>
    <n v="1"/>
    <d v="2022-11-01T00:00:00"/>
    <s v="25+ months"/>
    <s v="2–3 tickets"/>
    <s v="31–45 min"/>
    <s v="1000+"/>
    <n v="45458"/>
    <n v="-267.40000000000146"/>
  </r>
  <r>
    <n v="12483"/>
    <n v="20"/>
    <s v="Female"/>
    <s v="Mumbai"/>
    <d v="2023-05-09T00:00:00"/>
    <d v="2021-06-26T00:00:00"/>
    <x v="1"/>
    <n v="435"/>
    <x v="16"/>
    <n v="4"/>
    <n v="7.52"/>
    <n v="10"/>
    <x v="2"/>
    <x v="1"/>
    <n v="3001.5"/>
    <b v="0"/>
    <n v="0.58333333333333337"/>
    <n v="428.78571428571428"/>
    <n v="1.504"/>
    <d v="2023-05-01T00:00:00"/>
    <s v="Young"/>
    <n v="0"/>
    <s v="No"/>
    <m/>
    <s v="Low"/>
    <s v="Low"/>
    <n v="0.5"/>
    <s v="Low"/>
    <n v="3"/>
    <d v="2023-05-01T00:00:00"/>
    <s v="7–12 months"/>
    <s v="4–5 tickets"/>
    <s v="0–10 min"/>
    <s v="301–500"/>
    <n v="3045"/>
    <n v="-43.5"/>
  </r>
  <r>
    <n v="12484"/>
    <n v="52"/>
    <s v="Male"/>
    <s v="Delhi"/>
    <d v="2023-06-01T00:00:00"/>
    <d v="2022-02-21T00:00:00"/>
    <x v="2"/>
    <n v="696"/>
    <x v="29"/>
    <n v="2"/>
    <n v="114"/>
    <n v="15"/>
    <x v="0"/>
    <x v="1"/>
    <n v="19383.599999999999"/>
    <b v="0"/>
    <n v="2.3333333333333335"/>
    <n v="692.27142857142849"/>
    <n v="38"/>
    <d v="2023-06-01T00:00:00"/>
    <s v="Older"/>
    <n v="0"/>
    <s v="Yes"/>
    <m/>
    <s v="High"/>
    <s v="Low"/>
    <n v="6.8965517241379309E-2"/>
    <s v="Medium"/>
    <n v="2"/>
    <d v="2023-06-01T00:00:00"/>
    <s v="25+ months"/>
    <s v="2–3 tickets"/>
    <s v="46+ min"/>
    <s v="501–700"/>
    <n v="19488"/>
    <n v="-104.40000000000146"/>
  </r>
  <r>
    <n v="12485"/>
    <n v="58"/>
    <s v="Female"/>
    <s v="Hyderabad"/>
    <d v="2022-10-02T00:00:00"/>
    <d v="2021-11-22T00:00:00"/>
    <x v="0"/>
    <n v="1091"/>
    <x v="32"/>
    <n v="2"/>
    <n v="6.88"/>
    <n v="15"/>
    <x v="0"/>
    <x v="1"/>
    <n v="10746.35"/>
    <b v="0"/>
    <n v="0.83333333333333337"/>
    <n v="1074.635"/>
    <n v="2.2933333333333334"/>
    <d v="2022-10-01T00:00:00"/>
    <s v="Older"/>
    <n v="0"/>
    <s v="No"/>
    <m/>
    <s v="Low"/>
    <s v="Low"/>
    <n v="0.18181818181818182"/>
    <s v="Medium"/>
    <n v="1"/>
    <d v="2022-10-01T00:00:00"/>
    <s v="7–12 months"/>
    <s v="2–3 tickets"/>
    <s v="0–10 min"/>
    <s v="1000+"/>
    <n v="10910"/>
    <n v="-163.64999999999964"/>
  </r>
  <r>
    <n v="12486"/>
    <n v="23"/>
    <s v="Female"/>
    <s v="Chennai"/>
    <d v="2022-03-07T00:00:00"/>
    <d v="2022-10-29T00:00:00"/>
    <x v="2"/>
    <n v="378"/>
    <x v="2"/>
    <n v="1"/>
    <n v="99.77"/>
    <n v="0"/>
    <x v="0"/>
    <x v="1"/>
    <n v="1512"/>
    <b v="1"/>
    <n v="0.33333333333333331"/>
    <n v="378"/>
    <n v="49.884999999999998"/>
    <d v="2022-03-01T00:00:00"/>
    <s v="Young"/>
    <n v="0"/>
    <s v="No"/>
    <n v="236"/>
    <s v="High"/>
    <s v="Low"/>
    <n v="0.2"/>
    <s v="Low"/>
    <n v="2"/>
    <d v="2022-03-01T00:00:00"/>
    <s v="0–6 months"/>
    <s v="0–1 tickets"/>
    <s v="46+ min"/>
    <s v="301–500"/>
    <n v="1512"/>
    <n v="0"/>
  </r>
  <r>
    <n v="12487"/>
    <n v="42"/>
    <s v="Male"/>
    <s v="Pune"/>
    <d v="2023-06-09T00:00:00"/>
    <d v="2022-04-07T00:00:00"/>
    <x v="0"/>
    <n v="1004"/>
    <x v="13"/>
    <n v="1"/>
    <n v="24.45"/>
    <n v="5"/>
    <x v="2"/>
    <x v="1"/>
    <n v="2961.8"/>
    <b v="0"/>
    <n v="0.25"/>
    <n v="987.26666666666677"/>
    <n v="12.225"/>
    <d v="2023-06-01T00:00:00"/>
    <s v="Middle-aged"/>
    <n v="0"/>
    <s v="No"/>
    <m/>
    <s v="Medium"/>
    <s v="Low"/>
    <n v="0.25"/>
    <s v="Low"/>
    <n v="1"/>
    <d v="2023-06-01T00:00:00"/>
    <s v="0–6 months"/>
    <s v="0–1 tickets"/>
    <s v="21–30 min"/>
    <s v="1000+"/>
    <n v="3012"/>
    <n v="-50.199999999999818"/>
  </r>
  <r>
    <n v="12488"/>
    <n v="30"/>
    <s v="Female"/>
    <s v="Mumbai"/>
    <d v="2021-11-21T00:00:00"/>
    <d v="2022-04-18T00:00:00"/>
    <x v="0"/>
    <n v="1281"/>
    <x v="0"/>
    <n v="1"/>
    <n v="50.11"/>
    <n v="5"/>
    <x v="3"/>
    <x v="1"/>
    <n v="31960.95"/>
    <b v="1"/>
    <n v="2.0833333333333335"/>
    <n v="1278.4380000000001"/>
    <n v="25.055"/>
    <d v="2021-11-01T00:00:00"/>
    <s v="Adult"/>
    <n v="0"/>
    <s v="Yes"/>
    <n v="148"/>
    <s v="Medium"/>
    <s v="Low"/>
    <n v="3.8461538461538464E-2"/>
    <s v="High"/>
    <n v="1"/>
    <d v="2021-11-01T00:00:00"/>
    <s v="25+ months"/>
    <s v="0–1 tickets"/>
    <s v="46+ min"/>
    <s v="1000+"/>
    <n v="32025"/>
    <n v="-64.049999999999272"/>
  </r>
  <r>
    <n v="12489"/>
    <n v="51"/>
    <s v="Male"/>
    <s v="unknown"/>
    <d v="2022-03-18T00:00:00"/>
    <d v="2022-12-31T00:00:00"/>
    <x v="2"/>
    <n v="1374"/>
    <x v="31"/>
    <n v="1"/>
    <n v="99.59"/>
    <n v="20"/>
    <x v="1"/>
    <x v="1"/>
    <n v="31327.200000000001"/>
    <b v="1"/>
    <n v="1.9166666666666667"/>
    <n v="1362.0521739130436"/>
    <n v="49.795000000000002"/>
    <d v="2022-03-01T00:00:00"/>
    <s v="Older"/>
    <n v="0"/>
    <s v="Yes"/>
    <n v="288"/>
    <s v="High"/>
    <s v="Medium"/>
    <n v="4.1666666666666664E-2"/>
    <s v="High"/>
    <n v="2"/>
    <d v="2022-03-01T00:00:00"/>
    <s v="13–24 months"/>
    <s v="0–1 tickets"/>
    <s v="46+ min"/>
    <s v="1000+"/>
    <n v="31602"/>
    <n v="-274.79999999999927"/>
  </r>
  <r>
    <n v="12490"/>
    <n v="25"/>
    <s v="Female"/>
    <s v="Bangalore"/>
    <d v="2023-03-15T00:00:00"/>
    <d v="2021-10-13T00:00:00"/>
    <x v="0"/>
    <n v="1043"/>
    <x v="26"/>
    <n v="1"/>
    <n v="28.68"/>
    <n v="5"/>
    <x v="0"/>
    <x v="1"/>
    <n v="28108.85"/>
    <b v="0"/>
    <n v="2.25"/>
    <n v="1041.0685185185184"/>
    <n v="14.34"/>
    <d v="2023-03-01T00:00:00"/>
    <s v="Young"/>
    <n v="0"/>
    <s v="Yes"/>
    <m/>
    <s v="Medium"/>
    <s v="Low"/>
    <n v="3.5714285714285712E-2"/>
    <s v="High"/>
    <n v="1"/>
    <d v="2023-03-01T00:00:00"/>
    <s v="25+ months"/>
    <s v="0–1 tickets"/>
    <s v="21–30 min"/>
    <s v="1000+"/>
    <n v="28161"/>
    <n v="-52.150000000001455"/>
  </r>
  <r>
    <n v="12491"/>
    <n v="38"/>
    <s v="Male"/>
    <s v="Delhi"/>
    <d v="2021-10-15T00:00:00"/>
    <d v="2021-07-25T00:00:00"/>
    <x v="1"/>
    <n v="683"/>
    <x v="25"/>
    <n v="3"/>
    <n v="104.56"/>
    <n v="15"/>
    <x v="2"/>
    <x v="0"/>
    <n v="9459.5499999999993"/>
    <b v="0"/>
    <n v="1.1666666666666667"/>
    <n v="675.68214285714282"/>
    <n v="26.14"/>
    <d v="2021-10-01T00:00:00"/>
    <s v="Middle-aged"/>
    <n v="1"/>
    <s v="No"/>
    <m/>
    <s v="High"/>
    <s v="Low"/>
    <n v="0.2"/>
    <s v="Medium"/>
    <n v="3"/>
    <d v="2021-10-01T00:00:00"/>
    <s v="13–24 months"/>
    <s v="2–3 tickets"/>
    <s v="46+ min"/>
    <s v="501–700"/>
    <n v="9562"/>
    <n v="-102.45000000000073"/>
  </r>
  <r>
    <n v="12492"/>
    <n v="51"/>
    <s v="Other"/>
    <s v="Chennai"/>
    <d v="2021-08-14T00:00:00"/>
    <d v="2022-11-25T00:00:00"/>
    <x v="2"/>
    <n v="674"/>
    <x v="23"/>
    <n v="2"/>
    <n v="62.24"/>
    <n v="0"/>
    <x v="1"/>
    <x v="0"/>
    <n v="21568"/>
    <b v="1"/>
    <n v="2.6666666666666665"/>
    <n v="674"/>
    <n v="20.746666666666666"/>
    <d v="2021-08-01T00:00:00"/>
    <s v="Older"/>
    <n v="1"/>
    <s v="Yes"/>
    <n v="468"/>
    <s v="High"/>
    <s v="Low"/>
    <n v="6.0606060606060608E-2"/>
    <s v="High"/>
    <n v="2"/>
    <d v="2021-08-01T00:00:00"/>
    <s v="25+ months"/>
    <s v="2–3 tickets"/>
    <s v="46+ min"/>
    <s v="501–700"/>
    <n v="21568"/>
    <n v="0"/>
  </r>
  <r>
    <n v="12493"/>
    <n v="21"/>
    <s v="Male"/>
    <s v="Bangalore"/>
    <d v="2021-03-05T00:00:00"/>
    <d v="2023-01-07T00:00:00"/>
    <x v="1"/>
    <n v="505"/>
    <x v="31"/>
    <n v="0"/>
    <n v="47.11"/>
    <n v="15"/>
    <x v="0"/>
    <x v="0"/>
    <n v="11539.25"/>
    <b v="1"/>
    <n v="1.9166666666666667"/>
    <n v="501.70652173913044"/>
    <n v="47.11"/>
    <d v="2021-03-01T00:00:00"/>
    <s v="Young"/>
    <n v="1"/>
    <s v="No"/>
    <n v="673"/>
    <s v="Medium"/>
    <s v="Low"/>
    <n v="0"/>
    <s v="Medium"/>
    <n v="3"/>
    <d v="2021-03-01T00:00:00"/>
    <s v="13–24 months"/>
    <s v="0–1 tickets"/>
    <s v="46+ min"/>
    <s v="501–700"/>
    <n v="11615"/>
    <n v="-75.75"/>
  </r>
  <r>
    <n v="12494"/>
    <n v="42"/>
    <s v="Female"/>
    <s v="Delhi"/>
    <d v="2022-07-14T00:00:00"/>
    <d v="2022-11-13T00:00:00"/>
    <x v="2"/>
    <n v="788"/>
    <x v="13"/>
    <n v="2"/>
    <n v="81.180000000000007"/>
    <n v="10"/>
    <x v="3"/>
    <x v="1"/>
    <n v="2285.1999999999998"/>
    <b v="1"/>
    <n v="0.25"/>
    <n v="761.73333333333323"/>
    <n v="27.060000000000002"/>
    <d v="2022-07-01T00:00:00"/>
    <s v="Middle-aged"/>
    <n v="0"/>
    <s v="No"/>
    <n v="122"/>
    <s v="High"/>
    <s v="Low"/>
    <n v="0.5"/>
    <s v="Low"/>
    <n v="2"/>
    <d v="2022-07-01T00:00:00"/>
    <s v="0–6 months"/>
    <s v="2–3 tickets"/>
    <s v="46+ min"/>
    <s v="701–1000"/>
    <n v="2364"/>
    <n v="-78.800000000000182"/>
  </r>
  <r>
    <n v="12495"/>
    <n v="32"/>
    <s v="Female"/>
    <s v="Hyderabad"/>
    <d v="2022-12-15T00:00:00"/>
    <d v="2021-11-03T00:00:00"/>
    <x v="1"/>
    <n v="1180"/>
    <x v="12"/>
    <n v="1"/>
    <n v="44.26"/>
    <n v="20"/>
    <x v="1"/>
    <x v="0"/>
    <n v="41064"/>
    <b v="0"/>
    <n v="2.9166666666666665"/>
    <n v="1173.2571428571428"/>
    <n v="22.13"/>
    <d v="2022-12-01T00:00:00"/>
    <s v="Adult"/>
    <n v="1"/>
    <s v="Yes"/>
    <m/>
    <s v="Medium"/>
    <s v="Medium"/>
    <n v="2.7777777777777776E-2"/>
    <s v="High"/>
    <n v="3"/>
    <d v="2022-12-01T00:00:00"/>
    <s v="25+ months"/>
    <s v="0–1 tickets"/>
    <s v="31–45 min"/>
    <s v="1000+"/>
    <n v="41300"/>
    <n v="-236"/>
  </r>
  <r>
    <n v="12496"/>
    <n v="21"/>
    <s v="Female"/>
    <s v="Delhi"/>
    <d v="2022-05-13T00:00:00"/>
    <d v="2023-09-27T00:00:00"/>
    <x v="2"/>
    <n v="931"/>
    <x v="19"/>
    <n v="2"/>
    <n v="44.94"/>
    <n v="20"/>
    <x v="1"/>
    <x v="0"/>
    <n v="11916.8"/>
    <b v="1"/>
    <n v="1.0833333333333333"/>
    <n v="916.676923076923"/>
    <n v="14.979999999999999"/>
    <d v="2022-05-01T00:00:00"/>
    <s v="Young"/>
    <n v="1"/>
    <s v="No"/>
    <n v="502"/>
    <s v="Medium"/>
    <s v="Medium"/>
    <n v="0.14285714285714285"/>
    <s v="Medium"/>
    <n v="2"/>
    <d v="2022-05-01T00:00:00"/>
    <s v="13–24 months"/>
    <s v="2–3 tickets"/>
    <s v="31–45 min"/>
    <s v="701–1000"/>
    <n v="12103"/>
    <n v="-186.20000000000073"/>
  </r>
  <r>
    <n v="12497"/>
    <n v="62"/>
    <s v="Male"/>
    <s v="Delhi"/>
    <d v="2023-04-29T00:00:00"/>
    <d v="2023-03-30T00:00:00"/>
    <x v="2"/>
    <n v="891"/>
    <x v="22"/>
    <n v="2"/>
    <n v="89.36"/>
    <n v="5"/>
    <x v="2"/>
    <x v="1"/>
    <n v="30249.45"/>
    <b v="0"/>
    <n v="2.8333333333333335"/>
    <n v="889.689705882353"/>
    <n v="29.786666666666665"/>
    <d v="2023-04-01T00:00:00"/>
    <s v="Older"/>
    <n v="0"/>
    <s v="Yes"/>
    <m/>
    <s v="High"/>
    <s v="Low"/>
    <n v="5.7142857142857141E-2"/>
    <s v="High"/>
    <n v="2"/>
    <d v="2023-04-01T00:00:00"/>
    <s v="25+ months"/>
    <s v="2–3 tickets"/>
    <s v="46+ min"/>
    <s v="701–1000"/>
    <n v="30294"/>
    <n v="-44.549999999999272"/>
  </r>
  <r>
    <n v="12498"/>
    <n v="29"/>
    <s v="Female"/>
    <s v="Delhi"/>
    <d v="2021-03-01T00:00:00"/>
    <d v="2021-10-25T00:00:00"/>
    <x v="1"/>
    <n v="1365"/>
    <x v="30"/>
    <n v="4"/>
    <n v="40.630000000000003"/>
    <n v="10"/>
    <x v="2"/>
    <x v="1"/>
    <n v="32623.5"/>
    <b v="1"/>
    <n v="2"/>
    <n v="1359.3125"/>
    <n v="8.1260000000000012"/>
    <d v="2021-03-01T00:00:00"/>
    <s v="Adult"/>
    <n v="0"/>
    <s v="Yes"/>
    <n v="238"/>
    <s v="Medium"/>
    <s v="Low"/>
    <n v="0.16"/>
    <s v="High"/>
    <n v="3"/>
    <d v="2021-03-01T00:00:00"/>
    <s v="13–24 months"/>
    <s v="4–5 tickets"/>
    <s v="31–45 min"/>
    <s v="1000+"/>
    <n v="32760"/>
    <n v="-136.5"/>
  </r>
  <r>
    <n v="12499"/>
    <n v="49"/>
    <s v="Female"/>
    <s v="Mumbai"/>
    <d v="2022-02-01T00:00:00"/>
    <d v="2022-09-28T00:00:00"/>
    <x v="2"/>
    <n v="832"/>
    <x v="7"/>
    <n v="5"/>
    <n v="28.09"/>
    <n v="5"/>
    <x v="2"/>
    <x v="1"/>
    <n v="790.4"/>
    <b v="1"/>
    <n v="8.3333333333333329E-2"/>
    <n v="790.4"/>
    <n v="4.6816666666666666"/>
    <d v="2022-02-01T00:00:00"/>
    <s v="Middle-aged"/>
    <n v="0"/>
    <s v="No"/>
    <n v="239"/>
    <s v="Medium"/>
    <s v="Low"/>
    <n v="2.5"/>
    <s v="Low"/>
    <n v="2"/>
    <d v="2022-02-01T00:00:00"/>
    <s v="0–6 months"/>
    <s v="4–5 tickets"/>
    <s v="21–30 min"/>
    <s v="701–1000"/>
    <n v="832"/>
    <n v="-41.600000000000023"/>
  </r>
  <r>
    <n v="12500"/>
    <n v="49"/>
    <s v="Male"/>
    <s v="Delhi"/>
    <d v="2021-09-14T00:00:00"/>
    <d v="2023-01-20T00:00:00"/>
    <x v="0"/>
    <n v="821"/>
    <x v="34"/>
    <n v="1"/>
    <n v="97.88"/>
    <n v="5"/>
    <x v="3"/>
    <x v="0"/>
    <n v="9810.9500000000007"/>
    <b v="1"/>
    <n v="1"/>
    <n v="817.57916666666677"/>
    <n v="48.94"/>
    <d v="2021-09-01T00:00:00"/>
    <s v="Middle-aged"/>
    <n v="1"/>
    <s v="No"/>
    <n v="493"/>
    <s v="High"/>
    <s v="Low"/>
    <n v="7.6923076923076927E-2"/>
    <s v="Medium"/>
    <n v="1"/>
    <d v="2021-09-01T00:00:00"/>
    <s v="7–12 months"/>
    <s v="0–1 tickets"/>
    <s v="46+ min"/>
    <s v="701–1000"/>
    <n v="9852"/>
    <n v="-41.0499999999992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6822B-08D2-4093-98C1-57746B26696C}" name="PivotTable7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H2:I7" firstHeaderRow="1" firstDataRow="1" firstDataCol="1"/>
  <pivotFields count="36">
    <pivotField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revenue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D4611-3231-45A6-B98A-FABC082920DA}" name="Customer Churn by Subscription Plan.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6" firstHeaderRow="1" firstDataRow="2" firstDataCol="1"/>
  <pivotFields count="36">
    <pivotField dataField="1" showAll="0"/>
    <pivotField showAll="0"/>
    <pivotField showAll="0"/>
    <pivotField showAll="0"/>
    <pivotField numFmtId="14" showAll="0"/>
    <pivotField numFmtId="14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er_id" fld="0" subtotal="count" baseField="6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63006-F564-42C8-AF44-59AB2ABCBFBF}" name="churn by tenure group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C57" firstHeaderRow="0" firstDataRow="1" firstDataCol="1"/>
  <pivotFields count="36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axis="axisRow" showAll="0">
      <items count="36">
        <item x="7"/>
        <item x="4"/>
        <item x="13"/>
        <item x="2"/>
        <item x="21"/>
        <item x="20"/>
        <item x="16"/>
        <item x="14"/>
        <item x="9"/>
        <item x="32"/>
        <item x="11"/>
        <item x="34"/>
        <item x="19"/>
        <item x="25"/>
        <item x="15"/>
        <item x="24"/>
        <item x="18"/>
        <item x="10"/>
        <item x="17"/>
        <item x="28"/>
        <item x="6"/>
        <item x="1"/>
        <item x="31"/>
        <item x="30"/>
        <item x="0"/>
        <item x="8"/>
        <item x="26"/>
        <item x="29"/>
        <item x="5"/>
        <item x="3"/>
        <item x="27"/>
        <item x="23"/>
        <item x="33"/>
        <item x="22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hurn_flag" fld="21" baseField="0" baseItem="0"/>
    <dataField name="Count of customer_id" fld="0" subtotal="count" baseField="8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F7FA43-6804-41D2-B905-4634EBE6C020}" name="revenue by marketing channel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C17" firstHeaderRow="0" firstDataRow="1" firstDataCol="1"/>
  <pivotFields count="36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0" subtotal="count" baseField="12" baseItem="0"/>
    <dataField name="Sum of total_revenue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F5474-63F8-49C3-9027-5C5C0CAF88DC}" name="churn by subscription plan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8" firstHeaderRow="1" firstDataRow="2" firstDataCol="1"/>
  <pivotFields count="36">
    <pivotField dataField="1" showAll="0"/>
    <pivotField showAll="0"/>
    <pivotField showAll="0"/>
    <pivotField showAll="0"/>
    <pivotField numFmtId="14" showAll="0"/>
    <pivotField numFmtId="14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customer_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5E0FDE9-79FD-44BD-B7BC-F4D6D1674C2F}" autoFormatId="16" applyNumberFormats="0" applyBorderFormats="0" applyFontFormats="0" applyPatternFormats="0" applyAlignmentFormats="0" applyWidthHeightFormats="0">
  <queryTableRefresh nextId="37">
    <queryTableFields count="36">
      <queryTableField id="1" name="customer_id" tableColumnId="1"/>
      <queryTableField id="2" name="age" tableColumnId="2"/>
      <queryTableField id="3" name="gender" tableColumnId="3"/>
      <queryTableField id="4" name="city" tableColumnId="4"/>
      <queryTableField id="5" name="signup_date" tableColumnId="5"/>
      <queryTableField id="6" name="last_active_date" tableColumnId="6"/>
      <queryTableField id="7" name="plan_type" tableColumnId="7"/>
      <queryTableField id="8" name="monthly_fee" tableColumnId="8"/>
      <queryTableField id="9" name="tenure_months" tableColumnId="9"/>
      <queryTableField id="10" name="support_tickets" tableColumnId="10"/>
      <queryTableField id="11" name="avg_session_time" tableColumnId="11"/>
      <queryTableField id="12" name="discount_percent" tableColumnId="12"/>
      <queryTableField id="13" name="marketing_channel" tableColumnId="13"/>
      <queryTableField id="14" name="churned" tableColumnId="14"/>
      <queryTableField id="15" name="total_revenue" tableColumnId="15"/>
      <queryTableField id="16" name="date_valid" tableColumnId="16"/>
      <queryTableField id="17" name="cus_tenure_years" tableColumnId="17"/>
      <queryTableField id="18" name="revenue_per_month" tableColumnId="18"/>
      <queryTableField id="19" name="engagement_score" tableColumnId="19"/>
      <queryTableField id="20" name="signup_month" tableColumnId="20"/>
      <queryTableField id="21" name="age_group" tableColumnId="21"/>
      <queryTableField id="22" name="churn_flag" tableColumnId="22"/>
      <queryTableField id="23" name="high_value_customer" tableColumnId="23"/>
      <queryTableField id="24" name="days_active" tableColumnId="24"/>
      <queryTableField id="25" name="session_usage_category" tableColumnId="25"/>
      <queryTableField id="26" name="discount_category" tableColumnId="26"/>
      <queryTableField id="27" name="support_intensity" tableColumnId="27"/>
      <queryTableField id="28" name="revenue_category" tableColumnId="28"/>
      <queryTableField id="29" name="plan_rank" tableColumnId="29"/>
      <queryTableField id="30" name="signup_revenue_month" tableColumnId="30"/>
      <queryTableField id="31" name="tenure_group" tableColumnId="31"/>
      <queryTableField id="32" name="support_ticket_group" tableColumnId="32"/>
      <queryTableField id="33" name="session_time_group" tableColumnId="33"/>
      <queryTableField id="34" name="monthly_fee_group" tableColumnId="34"/>
      <queryTableField id="35" name="base_revenue" tableColumnId="35"/>
      <queryTableField id="36" name="revenue_difference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3E150AA-8824-4930-8A9D-C3B278EB87C3}" name="cleaned_customer_data" displayName="cleaned_customer_data" ref="A1:AJ2501" tableType="queryTable" totalsRowShown="0">
  <autoFilter ref="A1:AJ2501" xr:uid="{F3E150AA-8824-4930-8A9D-C3B278EB87C3}"/>
  <tableColumns count="36">
    <tableColumn id="1" xr3:uid="{56A65077-F70E-415D-9749-5C8F049D4107}" uniqueName="1" name="customer_id" queryTableFieldId="1"/>
    <tableColumn id="2" xr3:uid="{1457FD56-190D-491A-B3CC-590681F9B0D6}" uniqueName="2" name="age" queryTableFieldId="2"/>
    <tableColumn id="3" xr3:uid="{A75B8C30-C68D-4950-8B6F-01BD6689BD1E}" uniqueName="3" name="gender" queryTableFieldId="3" dataDxfId="17"/>
    <tableColumn id="4" xr3:uid="{A9ADA8CE-8100-4B35-8B1A-6A55EFAF7919}" uniqueName="4" name="city" queryTableFieldId="4" dataDxfId="16"/>
    <tableColumn id="5" xr3:uid="{9BD9811D-BB03-46E5-86A4-80F7112B2465}" uniqueName="5" name="signup_date" queryTableFieldId="5" dataDxfId="15"/>
    <tableColumn id="6" xr3:uid="{DEABF2AF-B930-4EBC-8995-6512FEA46E77}" uniqueName="6" name="last_active_date" queryTableFieldId="6" dataDxfId="14"/>
    <tableColumn id="7" xr3:uid="{4CA62E08-1673-4769-88EA-24FE32B3858A}" uniqueName="7" name="plan_type" queryTableFieldId="7" dataDxfId="13"/>
    <tableColumn id="8" xr3:uid="{5BAEA16B-F8B5-4B18-A018-9EBEF34A9F8A}" uniqueName="8" name="monthly_fee" queryTableFieldId="8"/>
    <tableColumn id="9" xr3:uid="{823B1123-8747-4E35-A1D6-A5ACDC71CDEA}" uniqueName="9" name="tenure_months" queryTableFieldId="9"/>
    <tableColumn id="10" xr3:uid="{949185E3-AF35-4847-904F-03A6F6D62BDF}" uniqueName="10" name="support_tickets" queryTableFieldId="10"/>
    <tableColumn id="11" xr3:uid="{98B6288A-EA15-4530-A8E3-BD78E6DA9967}" uniqueName="11" name="avg_session_time" queryTableFieldId="11"/>
    <tableColumn id="12" xr3:uid="{B76133E5-BCD3-45AB-A33E-3711B606B81D}" uniqueName="12" name="discount_percent" queryTableFieldId="12"/>
    <tableColumn id="13" xr3:uid="{258BB8EE-7461-4E83-8C95-BD6C1C060B51}" uniqueName="13" name="marketing_channel" queryTableFieldId="13" dataDxfId="12"/>
    <tableColumn id="14" xr3:uid="{1499937C-523B-406B-B333-FD7EF6169071}" uniqueName="14" name="churned" queryTableFieldId="14" dataDxfId="11"/>
    <tableColumn id="15" xr3:uid="{3D3B8F46-32A6-4B31-B15D-D74ED622CEF8}" uniqueName="15" name="total_revenue" queryTableFieldId="15"/>
    <tableColumn id="16" xr3:uid="{A261E181-D7F1-4748-8B41-E7DD5E9B7810}" uniqueName="16" name="date_valid" queryTableFieldId="16"/>
    <tableColumn id="17" xr3:uid="{CC59B47E-2E83-4AF9-A0F5-217761CA7170}" uniqueName="17" name="cus_tenure_years" queryTableFieldId="17"/>
    <tableColumn id="18" xr3:uid="{0DF2AEA0-BB56-4CB7-8ECE-F9C22466242D}" uniqueName="18" name="revenue_per_month" queryTableFieldId="18"/>
    <tableColumn id="19" xr3:uid="{03BD256D-D309-4E67-96B3-03BFFFEAE800}" uniqueName="19" name="engagement_score" queryTableFieldId="19"/>
    <tableColumn id="20" xr3:uid="{BA545295-CE88-4A8E-ABB9-9A5FEE1DE1EF}" uniqueName="20" name="signup_month" queryTableFieldId="20" dataDxfId="10"/>
    <tableColumn id="21" xr3:uid="{980BD742-FD40-4E08-A344-53932C3703BE}" uniqueName="21" name="age_group" queryTableFieldId="21" dataDxfId="9"/>
    <tableColumn id="22" xr3:uid="{300F403F-39EC-489F-B924-3C081C997FCA}" uniqueName="22" name="churn_flag" queryTableFieldId="22"/>
    <tableColumn id="23" xr3:uid="{77D094DE-D4CF-4DCE-A3C5-579DE29FB303}" uniqueName="23" name="high_value_customer" queryTableFieldId="23" dataDxfId="8"/>
    <tableColumn id="24" xr3:uid="{C10CD973-E812-4485-A8C1-3B8AD208A3C0}" uniqueName="24" name="days_active" queryTableFieldId="24"/>
    <tableColumn id="25" xr3:uid="{B1C2BA0F-7037-4134-9AE6-F694B8CA5D1F}" uniqueName="25" name="session_usage_category" queryTableFieldId="25" dataDxfId="7"/>
    <tableColumn id="26" xr3:uid="{48138E32-0C25-456A-A7AF-5234D8555112}" uniqueName="26" name="discount_category" queryTableFieldId="26" dataDxfId="6"/>
    <tableColumn id="27" xr3:uid="{380C2D86-B30B-4F17-A6EC-E8432991C7C2}" uniqueName="27" name="support_intensity" queryTableFieldId="27"/>
    <tableColumn id="28" xr3:uid="{C07397FD-1BD0-4B03-8FE7-06E1E5FB1FB7}" uniqueName="28" name="revenue_category" queryTableFieldId="28" dataDxfId="5"/>
    <tableColumn id="29" xr3:uid="{1CF7AFA0-FFFF-4C67-BA32-688585B080CE}" uniqueName="29" name="plan_rank" queryTableFieldId="29"/>
    <tableColumn id="30" xr3:uid="{605B4F05-FAF2-416B-A4F0-CAD3233A700D}" uniqueName="30" name="signup_revenue_month" queryTableFieldId="30" dataDxfId="4"/>
    <tableColumn id="31" xr3:uid="{4DA7346B-76C6-48B8-AB03-758C7AF480F3}" uniqueName="31" name="tenure_group" queryTableFieldId="31" dataDxfId="3"/>
    <tableColumn id="32" xr3:uid="{6C33AD1E-5D2A-4F37-BF7C-2EBBE7AB11BF}" uniqueName="32" name="support_ticket_group" queryTableFieldId="32" dataDxfId="2"/>
    <tableColumn id="33" xr3:uid="{10CA5B21-8CB7-4805-B565-C6636E18D89E}" uniqueName="33" name="session_time_group" queryTableFieldId="33" dataDxfId="1"/>
    <tableColumn id="34" xr3:uid="{DB52CA38-0D1E-49FD-A07A-0721A785D5B7}" uniqueName="34" name="monthly_fee_group" queryTableFieldId="34" dataDxfId="0"/>
    <tableColumn id="35" xr3:uid="{EBDBFFC3-525F-40C1-BD7B-DF2B6A8D9FAE}" uniqueName="35" name="base_revenue" queryTableFieldId="35"/>
    <tableColumn id="36" xr3:uid="{39E7F7C5-B7C2-4AC9-91FF-F019DC180E7F}" uniqueName="36" name="revenue_difference" queryTableFieldId="3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2C05-5ADB-4F3D-98E4-CE8C0F7A1D37}">
  <dimension ref="A1:I7"/>
  <sheetViews>
    <sheetView topLeftCell="A5" workbookViewId="0">
      <selection activeCell="G25" sqref="G25"/>
    </sheetView>
  </sheetViews>
  <sheetFormatPr defaultRowHeight="15" x14ac:dyDescent="0.25"/>
  <cols>
    <col min="1" max="1" width="20.28515625" bestFit="1" customWidth="1"/>
    <col min="2" max="2" width="16.28515625" bestFit="1" customWidth="1"/>
    <col min="3" max="3" width="4.140625" bestFit="1" customWidth="1"/>
    <col min="4" max="5" width="11.28515625" bestFit="1" customWidth="1"/>
    <col min="8" max="8" width="13.140625" bestFit="1" customWidth="1"/>
    <col min="9" max="9" width="20.42578125" bestFit="1" customWidth="1"/>
  </cols>
  <sheetData>
    <row r="1" spans="1:9" x14ac:dyDescent="0.25">
      <c r="A1" s="3" t="s">
        <v>93</v>
      </c>
      <c r="B1" s="3" t="s">
        <v>92</v>
      </c>
    </row>
    <row r="2" spans="1:9" x14ac:dyDescent="0.25">
      <c r="A2" s="3" t="s">
        <v>90</v>
      </c>
      <c r="B2" t="s">
        <v>56</v>
      </c>
      <c r="C2" t="s">
        <v>40</v>
      </c>
      <c r="D2" t="s">
        <v>91</v>
      </c>
      <c r="H2" s="3" t="s">
        <v>90</v>
      </c>
      <c r="I2" t="s">
        <v>94</v>
      </c>
    </row>
    <row r="3" spans="1:9" x14ac:dyDescent="0.25">
      <c r="A3" s="4" t="s">
        <v>38</v>
      </c>
      <c r="B3" s="1">
        <v>834</v>
      </c>
      <c r="C3" s="1">
        <v>267</v>
      </c>
      <c r="D3" s="1">
        <v>1101</v>
      </c>
      <c r="H3" s="4" t="s">
        <v>65</v>
      </c>
      <c r="I3" s="1">
        <v>9358576</v>
      </c>
    </row>
    <row r="4" spans="1:9" x14ac:dyDescent="0.25">
      <c r="A4" s="4" t="s">
        <v>49</v>
      </c>
      <c r="B4" s="1">
        <v>359</v>
      </c>
      <c r="C4" s="1">
        <v>130</v>
      </c>
      <c r="D4" s="1">
        <v>489</v>
      </c>
      <c r="H4" s="4" t="s">
        <v>67</v>
      </c>
      <c r="I4" s="1">
        <v>10446037.049999995</v>
      </c>
    </row>
    <row r="5" spans="1:9" x14ac:dyDescent="0.25">
      <c r="A5" s="4" t="s">
        <v>62</v>
      </c>
      <c r="B5" s="1">
        <v>721</v>
      </c>
      <c r="C5" s="1">
        <v>189</v>
      </c>
      <c r="D5" s="1">
        <v>910</v>
      </c>
      <c r="H5" s="4" t="s">
        <v>50</v>
      </c>
      <c r="I5" s="1">
        <v>10089889.249999996</v>
      </c>
    </row>
    <row r="6" spans="1:9" x14ac:dyDescent="0.25">
      <c r="A6" s="4" t="s">
        <v>91</v>
      </c>
      <c r="B6" s="1">
        <v>1914</v>
      </c>
      <c r="C6" s="1">
        <v>586</v>
      </c>
      <c r="D6" s="1">
        <v>2500</v>
      </c>
      <c r="H6" s="4" t="s">
        <v>39</v>
      </c>
      <c r="I6" s="1">
        <v>9880207.1999999955</v>
      </c>
    </row>
    <row r="7" spans="1:9" x14ac:dyDescent="0.25">
      <c r="H7" s="4" t="s">
        <v>91</v>
      </c>
      <c r="I7" s="1">
        <v>39774709.499999985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C2C67-AC33-4F28-A66D-0C79ECBA940A}">
  <dimension ref="A1:AJ2501"/>
  <sheetViews>
    <sheetView topLeftCell="A2" workbookViewId="0">
      <selection activeCell="E9" sqref="E9"/>
    </sheetView>
  </sheetViews>
  <sheetFormatPr defaultRowHeight="15" x14ac:dyDescent="0.25"/>
  <cols>
    <col min="1" max="1" width="14.28515625" bestFit="1" customWidth="1"/>
    <col min="2" max="2" width="6.42578125" bestFit="1" customWidth="1"/>
    <col min="3" max="3" width="9.5703125" bestFit="1" customWidth="1"/>
    <col min="4" max="4" width="10.5703125" bestFit="1" customWidth="1"/>
    <col min="5" max="5" width="14.140625" bestFit="1" customWidth="1"/>
    <col min="6" max="6" width="17.85546875" bestFit="1" customWidth="1"/>
    <col min="7" max="7" width="12.140625" bestFit="1" customWidth="1"/>
    <col min="8" max="8" width="14.7109375" bestFit="1" customWidth="1"/>
    <col min="9" max="10" width="17.140625" bestFit="1" customWidth="1"/>
    <col min="11" max="11" width="19.140625" bestFit="1" customWidth="1"/>
    <col min="12" max="12" width="18.85546875" bestFit="1" customWidth="1"/>
    <col min="13" max="13" width="20.5703125" bestFit="1" customWidth="1"/>
    <col min="14" max="14" width="10.5703125" bestFit="1" customWidth="1"/>
    <col min="15" max="15" width="16" bestFit="1" customWidth="1"/>
    <col min="16" max="16" width="12.5703125" bestFit="1" customWidth="1"/>
    <col min="17" max="17" width="19" bestFit="1" customWidth="1"/>
    <col min="18" max="18" width="21.85546875" bestFit="1" customWidth="1"/>
    <col min="19" max="19" width="20.42578125" bestFit="1" customWidth="1"/>
    <col min="20" max="20" width="16.140625" bestFit="1" customWidth="1"/>
    <col min="21" max="22" width="12.5703125" bestFit="1" customWidth="1"/>
    <col min="23" max="23" width="22.5703125" bestFit="1" customWidth="1"/>
    <col min="24" max="24" width="13.5703125" bestFit="1" customWidth="1"/>
    <col min="25" max="25" width="25" bestFit="1" customWidth="1"/>
    <col min="26" max="26" width="19.7109375" bestFit="1" customWidth="1"/>
    <col min="27" max="27" width="19.140625" bestFit="1" customWidth="1"/>
    <col min="28" max="28" width="19.5703125" bestFit="1" customWidth="1"/>
    <col min="29" max="29" width="12" bestFit="1" customWidth="1"/>
    <col min="30" max="30" width="24.85546875" bestFit="1" customWidth="1"/>
    <col min="31" max="31" width="15.5703125" bestFit="1" customWidth="1"/>
    <col min="32" max="32" width="22.5703125" bestFit="1" customWidth="1"/>
    <col min="33" max="33" width="21.42578125" bestFit="1" customWidth="1"/>
    <col min="34" max="34" width="21.140625" bestFit="1" customWidth="1"/>
    <col min="35" max="35" width="16" bestFit="1" customWidth="1"/>
    <col min="36" max="36" width="21.28515625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>
        <v>10001</v>
      </c>
      <c r="B2">
        <v>56</v>
      </c>
      <c r="C2" s="1" t="s">
        <v>36</v>
      </c>
      <c r="D2" s="1" t="s">
        <v>37</v>
      </c>
      <c r="E2" s="2">
        <v>44898</v>
      </c>
      <c r="F2" s="2">
        <v>44924</v>
      </c>
      <c r="G2" s="1" t="s">
        <v>38</v>
      </c>
      <c r="H2">
        <v>1214</v>
      </c>
      <c r="I2">
        <v>25</v>
      </c>
      <c r="J2">
        <v>5</v>
      </c>
      <c r="K2">
        <v>15.75</v>
      </c>
      <c r="L2">
        <v>15</v>
      </c>
      <c r="M2" s="1" t="s">
        <v>39</v>
      </c>
      <c r="N2" s="1" t="s">
        <v>40</v>
      </c>
      <c r="O2">
        <v>30167.9</v>
      </c>
      <c r="P2" t="b">
        <v>1</v>
      </c>
      <c r="Q2">
        <v>2.0833333333333335</v>
      </c>
      <c r="R2">
        <v>1206.7160000000001</v>
      </c>
      <c r="S2">
        <v>2.625</v>
      </c>
      <c r="T2" s="2">
        <v>44896</v>
      </c>
      <c r="U2" s="1" t="s">
        <v>41</v>
      </c>
      <c r="V2">
        <v>1</v>
      </c>
      <c r="W2" s="1" t="s">
        <v>40</v>
      </c>
      <c r="X2">
        <v>26</v>
      </c>
      <c r="Y2" s="1" t="s">
        <v>42</v>
      </c>
      <c r="Z2" s="1" t="s">
        <v>42</v>
      </c>
      <c r="AA2">
        <v>0.19230769230769232</v>
      </c>
      <c r="AB2" s="1" t="s">
        <v>43</v>
      </c>
      <c r="AC2">
        <v>1</v>
      </c>
      <c r="AD2" s="2">
        <v>44896</v>
      </c>
      <c r="AE2" s="1" t="s">
        <v>44</v>
      </c>
      <c r="AF2" s="1" t="s">
        <v>45</v>
      </c>
      <c r="AG2" s="1" t="s">
        <v>46</v>
      </c>
      <c r="AH2" s="1" t="s">
        <v>47</v>
      </c>
      <c r="AI2">
        <v>30350</v>
      </c>
      <c r="AJ2">
        <v>-182.09999999999854</v>
      </c>
    </row>
    <row r="3" spans="1:36" x14ac:dyDescent="0.25">
      <c r="A3">
        <v>10002</v>
      </c>
      <c r="B3">
        <v>46</v>
      </c>
      <c r="C3" s="1" t="s">
        <v>36</v>
      </c>
      <c r="D3" s="1" t="s">
        <v>48</v>
      </c>
      <c r="E3" s="2">
        <v>44279</v>
      </c>
      <c r="F3" s="2">
        <v>44586</v>
      </c>
      <c r="G3" s="1" t="s">
        <v>49</v>
      </c>
      <c r="H3">
        <v>1268</v>
      </c>
      <c r="I3">
        <v>22</v>
      </c>
      <c r="J3">
        <v>1</v>
      </c>
      <c r="K3">
        <v>37.159999999999997</v>
      </c>
      <c r="L3">
        <v>20</v>
      </c>
      <c r="M3" s="1" t="s">
        <v>50</v>
      </c>
      <c r="N3" s="1" t="s">
        <v>40</v>
      </c>
      <c r="O3">
        <v>27642.400000000001</v>
      </c>
      <c r="P3" t="b">
        <v>1</v>
      </c>
      <c r="Q3">
        <v>1.8333333333333333</v>
      </c>
      <c r="R3">
        <v>1256.4727272727273</v>
      </c>
      <c r="S3">
        <v>18.579999999999998</v>
      </c>
      <c r="T3" s="2">
        <v>44256</v>
      </c>
      <c r="U3" s="1" t="s">
        <v>51</v>
      </c>
      <c r="V3">
        <v>1</v>
      </c>
      <c r="W3" s="1" t="s">
        <v>40</v>
      </c>
      <c r="X3">
        <v>307</v>
      </c>
      <c r="Y3" s="1" t="s">
        <v>52</v>
      </c>
      <c r="Z3" s="1" t="s">
        <v>52</v>
      </c>
      <c r="AA3">
        <v>4.3478260869565216E-2</v>
      </c>
      <c r="AB3" s="1" t="s">
        <v>43</v>
      </c>
      <c r="AC3">
        <v>3</v>
      </c>
      <c r="AD3" s="2">
        <v>44256</v>
      </c>
      <c r="AE3" s="1" t="s">
        <v>53</v>
      </c>
      <c r="AF3" s="1" t="s">
        <v>54</v>
      </c>
      <c r="AG3" s="1" t="s">
        <v>55</v>
      </c>
      <c r="AH3" s="1" t="s">
        <v>47</v>
      </c>
      <c r="AI3">
        <v>27896</v>
      </c>
      <c r="AJ3">
        <v>-253.59999999999854</v>
      </c>
    </row>
    <row r="4" spans="1:36" x14ac:dyDescent="0.25">
      <c r="A4">
        <v>10003</v>
      </c>
      <c r="B4">
        <v>32</v>
      </c>
      <c r="C4" s="1" t="s">
        <v>36</v>
      </c>
      <c r="D4" s="1" t="s">
        <v>48</v>
      </c>
      <c r="E4" s="2">
        <v>45092</v>
      </c>
      <c r="F4" s="2">
        <v>45148</v>
      </c>
      <c r="G4" s="1" t="s">
        <v>38</v>
      </c>
      <c r="H4">
        <v>783</v>
      </c>
      <c r="I4">
        <v>4</v>
      </c>
      <c r="J4">
        <v>0</v>
      </c>
      <c r="K4">
        <v>41.93</v>
      </c>
      <c r="L4">
        <v>5</v>
      </c>
      <c r="M4" s="1" t="s">
        <v>39</v>
      </c>
      <c r="N4" s="1" t="s">
        <v>56</v>
      </c>
      <c r="O4">
        <v>3092.85</v>
      </c>
      <c r="P4" t="b">
        <v>1</v>
      </c>
      <c r="Q4">
        <v>0.33333333333333331</v>
      </c>
      <c r="R4">
        <v>773.21249999999998</v>
      </c>
      <c r="S4">
        <v>41.93</v>
      </c>
      <c r="T4" s="2">
        <v>45078</v>
      </c>
      <c r="U4" s="1" t="s">
        <v>57</v>
      </c>
      <c r="V4">
        <v>0</v>
      </c>
      <c r="W4" s="1" t="s">
        <v>56</v>
      </c>
      <c r="X4">
        <v>56</v>
      </c>
      <c r="Y4" s="1" t="s">
        <v>52</v>
      </c>
      <c r="Z4" s="1" t="s">
        <v>42</v>
      </c>
      <c r="AA4">
        <v>0</v>
      </c>
      <c r="AB4" s="1" t="s">
        <v>42</v>
      </c>
      <c r="AC4">
        <v>1</v>
      </c>
      <c r="AD4" s="2">
        <v>45078</v>
      </c>
      <c r="AE4" s="1" t="s">
        <v>58</v>
      </c>
      <c r="AF4" s="1" t="s">
        <v>54</v>
      </c>
      <c r="AG4" s="1" t="s">
        <v>55</v>
      </c>
      <c r="AH4" s="1" t="s">
        <v>59</v>
      </c>
      <c r="AI4">
        <v>3132</v>
      </c>
      <c r="AJ4">
        <v>-39.150000000000091</v>
      </c>
    </row>
    <row r="5" spans="1:36" x14ac:dyDescent="0.25">
      <c r="A5">
        <v>10004</v>
      </c>
      <c r="B5">
        <v>60</v>
      </c>
      <c r="C5" s="1" t="s">
        <v>60</v>
      </c>
      <c r="D5" s="1" t="s">
        <v>61</v>
      </c>
      <c r="E5" s="2">
        <v>44878</v>
      </c>
      <c r="F5" s="2">
        <v>44385</v>
      </c>
      <c r="G5" s="1" t="s">
        <v>62</v>
      </c>
      <c r="H5">
        <v>545</v>
      </c>
      <c r="I5">
        <v>4</v>
      </c>
      <c r="J5">
        <v>1</v>
      </c>
      <c r="K5">
        <v>116.41</v>
      </c>
      <c r="L5">
        <v>0</v>
      </c>
      <c r="M5" s="1" t="s">
        <v>50</v>
      </c>
      <c r="N5" s="1" t="s">
        <v>56</v>
      </c>
      <c r="O5">
        <v>2180</v>
      </c>
      <c r="P5" t="b">
        <v>0</v>
      </c>
      <c r="Q5">
        <v>0.33333333333333331</v>
      </c>
      <c r="R5">
        <v>545</v>
      </c>
      <c r="S5">
        <v>58.204999999999998</v>
      </c>
      <c r="T5" s="2">
        <v>44866</v>
      </c>
      <c r="U5" s="1" t="s">
        <v>41</v>
      </c>
      <c r="V5">
        <v>0</v>
      </c>
      <c r="W5" s="1" t="s">
        <v>56</v>
      </c>
      <c r="Y5" s="1" t="s">
        <v>43</v>
      </c>
      <c r="Z5" s="1" t="s">
        <v>42</v>
      </c>
      <c r="AA5">
        <v>0.2</v>
      </c>
      <c r="AB5" s="1" t="s">
        <v>42</v>
      </c>
      <c r="AC5">
        <v>2</v>
      </c>
      <c r="AD5" s="2">
        <v>44866</v>
      </c>
      <c r="AE5" s="1" t="s">
        <v>58</v>
      </c>
      <c r="AF5" s="1" t="s">
        <v>54</v>
      </c>
      <c r="AG5" s="1" t="s">
        <v>63</v>
      </c>
      <c r="AH5" s="1" t="s">
        <v>64</v>
      </c>
      <c r="AI5">
        <v>2180</v>
      </c>
      <c r="AJ5">
        <v>0</v>
      </c>
    </row>
    <row r="6" spans="1:36" x14ac:dyDescent="0.25">
      <c r="A6">
        <v>10005</v>
      </c>
      <c r="B6">
        <v>25</v>
      </c>
      <c r="C6" s="1" t="s">
        <v>36</v>
      </c>
      <c r="D6" s="1" t="s">
        <v>48</v>
      </c>
      <c r="E6" s="2">
        <v>44609</v>
      </c>
      <c r="F6" s="2">
        <v>44372</v>
      </c>
      <c r="G6" s="1" t="s">
        <v>38</v>
      </c>
      <c r="H6">
        <v>1331</v>
      </c>
      <c r="I6">
        <v>30</v>
      </c>
      <c r="J6">
        <v>1</v>
      </c>
      <c r="K6">
        <v>81.89</v>
      </c>
      <c r="L6">
        <v>10</v>
      </c>
      <c r="M6" s="1" t="s">
        <v>65</v>
      </c>
      <c r="N6" s="1" t="s">
        <v>56</v>
      </c>
      <c r="O6">
        <v>39796.9</v>
      </c>
      <c r="P6" t="b">
        <v>0</v>
      </c>
      <c r="Q6">
        <v>2.5</v>
      </c>
      <c r="R6">
        <v>1326.5633333333333</v>
      </c>
      <c r="S6">
        <v>40.945</v>
      </c>
      <c r="T6" s="2">
        <v>44593</v>
      </c>
      <c r="U6" s="1" t="s">
        <v>66</v>
      </c>
      <c r="V6">
        <v>0</v>
      </c>
      <c r="W6" s="1" t="s">
        <v>40</v>
      </c>
      <c r="Y6" s="1" t="s">
        <v>43</v>
      </c>
      <c r="Z6" s="1" t="s">
        <v>42</v>
      </c>
      <c r="AA6">
        <v>3.2258064516129031E-2</v>
      </c>
      <c r="AB6" s="1" t="s">
        <v>43</v>
      </c>
      <c r="AC6">
        <v>1</v>
      </c>
      <c r="AD6" s="2">
        <v>44593</v>
      </c>
      <c r="AE6" s="1" t="s">
        <v>44</v>
      </c>
      <c r="AF6" s="1" t="s">
        <v>54</v>
      </c>
      <c r="AG6" s="1" t="s">
        <v>63</v>
      </c>
      <c r="AH6" s="1" t="s">
        <v>47</v>
      </c>
      <c r="AI6">
        <v>39930</v>
      </c>
      <c r="AJ6">
        <v>-133.09999999999854</v>
      </c>
    </row>
    <row r="7" spans="1:36" x14ac:dyDescent="0.25">
      <c r="A7">
        <v>10006</v>
      </c>
      <c r="B7">
        <v>38</v>
      </c>
      <c r="C7" s="1" t="s">
        <v>60</v>
      </c>
      <c r="D7" s="1" t="s">
        <v>61</v>
      </c>
      <c r="E7" s="2">
        <v>44363</v>
      </c>
      <c r="F7" s="2">
        <v>44757</v>
      </c>
      <c r="G7" s="1" t="s">
        <v>62</v>
      </c>
      <c r="H7">
        <v>451</v>
      </c>
      <c r="I7">
        <v>2</v>
      </c>
      <c r="J7">
        <v>0</v>
      </c>
      <c r="K7">
        <v>53.99</v>
      </c>
      <c r="L7">
        <v>15</v>
      </c>
      <c r="M7" s="1" t="s">
        <v>67</v>
      </c>
      <c r="N7" s="1" t="s">
        <v>56</v>
      </c>
      <c r="O7">
        <v>834.35</v>
      </c>
      <c r="P7" t="b">
        <v>1</v>
      </c>
      <c r="Q7">
        <v>0.16666666666666666</v>
      </c>
      <c r="R7">
        <v>417.17500000000001</v>
      </c>
      <c r="S7">
        <v>53.99</v>
      </c>
      <c r="T7" s="2">
        <v>44348</v>
      </c>
      <c r="U7" s="1" t="s">
        <v>51</v>
      </c>
      <c r="V7">
        <v>0</v>
      </c>
      <c r="W7" s="1" t="s">
        <v>56</v>
      </c>
      <c r="X7">
        <v>394</v>
      </c>
      <c r="Y7" s="1" t="s">
        <v>52</v>
      </c>
      <c r="Z7" s="1" t="s">
        <v>42</v>
      </c>
      <c r="AA7">
        <v>0</v>
      </c>
      <c r="AB7" s="1" t="s">
        <v>42</v>
      </c>
      <c r="AC7">
        <v>2</v>
      </c>
      <c r="AD7" s="2">
        <v>44348</v>
      </c>
      <c r="AE7" s="1" t="s">
        <v>58</v>
      </c>
      <c r="AF7" s="1" t="s">
        <v>54</v>
      </c>
      <c r="AG7" s="1" t="s">
        <v>63</v>
      </c>
      <c r="AH7" s="1" t="s">
        <v>68</v>
      </c>
      <c r="AI7">
        <v>902</v>
      </c>
      <c r="AJ7">
        <v>-67.649999999999977</v>
      </c>
    </row>
    <row r="8" spans="1:36" x14ac:dyDescent="0.25">
      <c r="A8">
        <v>10007</v>
      </c>
      <c r="B8">
        <v>56</v>
      </c>
      <c r="C8" s="1" t="s">
        <v>60</v>
      </c>
      <c r="D8" s="1" t="s">
        <v>69</v>
      </c>
      <c r="E8" s="2">
        <v>44896</v>
      </c>
      <c r="F8" s="2">
        <v>44808</v>
      </c>
      <c r="G8" s="1" t="s">
        <v>38</v>
      </c>
      <c r="H8">
        <v>510</v>
      </c>
      <c r="I8">
        <v>29</v>
      </c>
      <c r="J8">
        <v>4</v>
      </c>
      <c r="K8">
        <v>118.63</v>
      </c>
      <c r="L8">
        <v>0</v>
      </c>
      <c r="M8" s="1" t="s">
        <v>39</v>
      </c>
      <c r="N8" s="1" t="s">
        <v>40</v>
      </c>
      <c r="O8">
        <v>14790</v>
      </c>
      <c r="P8" t="b">
        <v>0</v>
      </c>
      <c r="Q8">
        <v>2.4166666666666665</v>
      </c>
      <c r="R8">
        <v>510</v>
      </c>
      <c r="S8">
        <v>23.725999999999999</v>
      </c>
      <c r="T8" s="2">
        <v>44896</v>
      </c>
      <c r="U8" s="1" t="s">
        <v>41</v>
      </c>
      <c r="V8">
        <v>1</v>
      </c>
      <c r="W8" s="1" t="s">
        <v>40</v>
      </c>
      <c r="Y8" s="1" t="s">
        <v>43</v>
      </c>
      <c r="Z8" s="1" t="s">
        <v>42</v>
      </c>
      <c r="AA8">
        <v>0.13333333333333333</v>
      </c>
      <c r="AB8" s="1" t="s">
        <v>52</v>
      </c>
      <c r="AC8">
        <v>1</v>
      </c>
      <c r="AD8" s="2">
        <v>44896</v>
      </c>
      <c r="AE8" s="1" t="s">
        <v>44</v>
      </c>
      <c r="AF8" s="1" t="s">
        <v>45</v>
      </c>
      <c r="AG8" s="1" t="s">
        <v>63</v>
      </c>
      <c r="AH8" s="1" t="s">
        <v>64</v>
      </c>
      <c r="AI8">
        <v>14790</v>
      </c>
      <c r="AJ8">
        <v>0</v>
      </c>
    </row>
    <row r="9" spans="1:36" x14ac:dyDescent="0.25">
      <c r="A9">
        <v>10008</v>
      </c>
      <c r="B9">
        <v>36</v>
      </c>
      <c r="C9" s="1" t="s">
        <v>36</v>
      </c>
      <c r="D9" s="1" t="s">
        <v>37</v>
      </c>
      <c r="E9" s="2">
        <v>44365</v>
      </c>
      <c r="F9" s="2">
        <v>44918</v>
      </c>
      <c r="G9" s="1" t="s">
        <v>38</v>
      </c>
      <c r="H9">
        <v>666</v>
      </c>
      <c r="I9">
        <v>21</v>
      </c>
      <c r="J9">
        <v>1</v>
      </c>
      <c r="K9">
        <v>22.62</v>
      </c>
      <c r="L9">
        <v>15</v>
      </c>
      <c r="M9" s="1" t="s">
        <v>50</v>
      </c>
      <c r="N9" s="1" t="s">
        <v>56</v>
      </c>
      <c r="O9">
        <v>13886.1</v>
      </c>
      <c r="P9" t="b">
        <v>1</v>
      </c>
      <c r="Q9">
        <v>1.75</v>
      </c>
      <c r="R9">
        <v>661.24285714285713</v>
      </c>
      <c r="S9">
        <v>11.31</v>
      </c>
      <c r="T9" s="2">
        <v>44348</v>
      </c>
      <c r="U9" s="1" t="s">
        <v>51</v>
      </c>
      <c r="V9">
        <v>0</v>
      </c>
      <c r="W9" s="1" t="s">
        <v>40</v>
      </c>
      <c r="X9">
        <v>553</v>
      </c>
      <c r="Y9" s="1" t="s">
        <v>52</v>
      </c>
      <c r="Z9" s="1" t="s">
        <v>42</v>
      </c>
      <c r="AA9">
        <v>4.5454545454545456E-2</v>
      </c>
      <c r="AB9" s="1" t="s">
        <v>52</v>
      </c>
      <c r="AC9">
        <v>1</v>
      </c>
      <c r="AD9" s="2">
        <v>44348</v>
      </c>
      <c r="AE9" s="1" t="s">
        <v>53</v>
      </c>
      <c r="AF9" s="1" t="s">
        <v>54</v>
      </c>
      <c r="AG9" s="1" t="s">
        <v>70</v>
      </c>
      <c r="AH9" s="1" t="s">
        <v>64</v>
      </c>
      <c r="AI9">
        <v>13986</v>
      </c>
      <c r="AJ9">
        <v>-99.899999999999636</v>
      </c>
    </row>
    <row r="10" spans="1:36" x14ac:dyDescent="0.25">
      <c r="A10">
        <v>10009</v>
      </c>
      <c r="B10">
        <v>40</v>
      </c>
      <c r="C10" s="1" t="s">
        <v>60</v>
      </c>
      <c r="D10" s="1" t="s">
        <v>71</v>
      </c>
      <c r="E10" s="2">
        <v>44997</v>
      </c>
      <c r="F10" s="2">
        <v>44764</v>
      </c>
      <c r="G10" s="1" t="s">
        <v>38</v>
      </c>
      <c r="H10">
        <v>1243</v>
      </c>
      <c r="I10">
        <v>21</v>
      </c>
      <c r="J10">
        <v>2</v>
      </c>
      <c r="K10">
        <v>59.75</v>
      </c>
      <c r="L10">
        <v>15</v>
      </c>
      <c r="M10" s="1" t="s">
        <v>50</v>
      </c>
      <c r="N10" s="1" t="s">
        <v>40</v>
      </c>
      <c r="O10">
        <v>25916.55</v>
      </c>
      <c r="P10" t="b">
        <v>0</v>
      </c>
      <c r="Q10">
        <v>1.75</v>
      </c>
      <c r="R10">
        <v>1234.1214285714286</v>
      </c>
      <c r="S10">
        <v>19.916666666666668</v>
      </c>
      <c r="T10" s="2">
        <v>44986</v>
      </c>
      <c r="U10" s="1" t="s">
        <v>51</v>
      </c>
      <c r="V10">
        <v>1</v>
      </c>
      <c r="W10" s="1" t="s">
        <v>40</v>
      </c>
      <c r="Y10" s="1" t="s">
        <v>52</v>
      </c>
      <c r="Z10" s="1" t="s">
        <v>42</v>
      </c>
      <c r="AA10">
        <v>9.0909090909090912E-2</v>
      </c>
      <c r="AB10" s="1" t="s">
        <v>43</v>
      </c>
      <c r="AC10">
        <v>1</v>
      </c>
      <c r="AD10" s="2">
        <v>44986</v>
      </c>
      <c r="AE10" s="1" t="s">
        <v>53</v>
      </c>
      <c r="AF10" s="1" t="s">
        <v>72</v>
      </c>
      <c r="AG10" s="1" t="s">
        <v>63</v>
      </c>
      <c r="AH10" s="1" t="s">
        <v>47</v>
      </c>
      <c r="AI10">
        <v>26103</v>
      </c>
      <c r="AJ10">
        <v>-186.45000000000073</v>
      </c>
    </row>
    <row r="11" spans="1:36" x14ac:dyDescent="0.25">
      <c r="A11">
        <v>10010</v>
      </c>
      <c r="B11">
        <v>28</v>
      </c>
      <c r="C11" s="1" t="s">
        <v>60</v>
      </c>
      <c r="D11" s="1" t="s">
        <v>37</v>
      </c>
      <c r="E11" s="2">
        <v>44425</v>
      </c>
      <c r="F11" s="2">
        <v>44704</v>
      </c>
      <c r="G11" s="1" t="s">
        <v>38</v>
      </c>
      <c r="H11">
        <v>385</v>
      </c>
      <c r="I11">
        <v>21</v>
      </c>
      <c r="J11">
        <v>4</v>
      </c>
      <c r="K11">
        <v>79.41</v>
      </c>
      <c r="L11">
        <v>15</v>
      </c>
      <c r="M11" s="1" t="s">
        <v>67</v>
      </c>
      <c r="N11" s="1" t="s">
        <v>56</v>
      </c>
      <c r="O11">
        <v>8027.25</v>
      </c>
      <c r="P11" t="b">
        <v>1</v>
      </c>
      <c r="Q11">
        <v>1.75</v>
      </c>
      <c r="R11">
        <v>382.25</v>
      </c>
      <c r="S11">
        <v>15.882</v>
      </c>
      <c r="T11" s="2">
        <v>44409</v>
      </c>
      <c r="U11" s="1" t="s">
        <v>57</v>
      </c>
      <c r="V11">
        <v>0</v>
      </c>
      <c r="W11" s="1" t="s">
        <v>56</v>
      </c>
      <c r="X11">
        <v>279</v>
      </c>
      <c r="Y11" s="1" t="s">
        <v>43</v>
      </c>
      <c r="Z11" s="1" t="s">
        <v>42</v>
      </c>
      <c r="AA11">
        <v>0.18181818181818182</v>
      </c>
      <c r="AB11" s="1" t="s">
        <v>42</v>
      </c>
      <c r="AC11">
        <v>1</v>
      </c>
      <c r="AD11" s="2">
        <v>44409</v>
      </c>
      <c r="AE11" s="1" t="s">
        <v>53</v>
      </c>
      <c r="AF11" s="1" t="s">
        <v>45</v>
      </c>
      <c r="AG11" s="1" t="s">
        <v>63</v>
      </c>
      <c r="AH11" s="1" t="s">
        <v>68</v>
      </c>
      <c r="AI11">
        <v>8085</v>
      </c>
      <c r="AJ11">
        <v>-57.75</v>
      </c>
    </row>
    <row r="12" spans="1:36" x14ac:dyDescent="0.25">
      <c r="A12">
        <v>10011</v>
      </c>
      <c r="B12">
        <v>28</v>
      </c>
      <c r="C12" s="1" t="s">
        <v>36</v>
      </c>
      <c r="D12" s="1" t="s">
        <v>61</v>
      </c>
      <c r="E12" s="2">
        <v>44805</v>
      </c>
      <c r="F12" s="2">
        <v>44730</v>
      </c>
      <c r="G12" s="1" t="s">
        <v>38</v>
      </c>
      <c r="H12">
        <v>1378</v>
      </c>
      <c r="I12">
        <v>4</v>
      </c>
      <c r="J12">
        <v>2</v>
      </c>
      <c r="K12">
        <v>11.39</v>
      </c>
      <c r="L12">
        <v>20</v>
      </c>
      <c r="M12" s="1" t="s">
        <v>67</v>
      </c>
      <c r="N12" s="1" t="s">
        <v>56</v>
      </c>
      <c r="O12">
        <v>5236.3999999999996</v>
      </c>
      <c r="P12" t="b">
        <v>0</v>
      </c>
      <c r="Q12">
        <v>0.33333333333333331</v>
      </c>
      <c r="R12">
        <v>1309.0999999999999</v>
      </c>
      <c r="S12">
        <v>3.7966666666666669</v>
      </c>
      <c r="T12" s="2">
        <v>44805</v>
      </c>
      <c r="U12" s="1" t="s">
        <v>57</v>
      </c>
      <c r="V12">
        <v>0</v>
      </c>
      <c r="W12" s="1" t="s">
        <v>56</v>
      </c>
      <c r="Y12" s="1" t="s">
        <v>42</v>
      </c>
      <c r="Z12" s="1" t="s">
        <v>52</v>
      </c>
      <c r="AA12">
        <v>0.4</v>
      </c>
      <c r="AB12" s="1" t="s">
        <v>42</v>
      </c>
      <c r="AC12">
        <v>1</v>
      </c>
      <c r="AD12" s="2">
        <v>44805</v>
      </c>
      <c r="AE12" s="1" t="s">
        <v>58</v>
      </c>
      <c r="AF12" s="1" t="s">
        <v>72</v>
      </c>
      <c r="AG12" s="1" t="s">
        <v>46</v>
      </c>
      <c r="AH12" s="1" t="s">
        <v>47</v>
      </c>
      <c r="AI12">
        <v>5512</v>
      </c>
      <c r="AJ12">
        <v>-275.60000000000036</v>
      </c>
    </row>
    <row r="13" spans="1:36" x14ac:dyDescent="0.25">
      <c r="A13">
        <v>10012</v>
      </c>
      <c r="B13">
        <v>41</v>
      </c>
      <c r="C13" s="1" t="s">
        <v>60</v>
      </c>
      <c r="D13" s="1" t="s">
        <v>61</v>
      </c>
      <c r="E13" s="2">
        <v>44563</v>
      </c>
      <c r="F13" s="2">
        <v>45156</v>
      </c>
      <c r="G13" s="1" t="s">
        <v>62</v>
      </c>
      <c r="H13">
        <v>745</v>
      </c>
      <c r="I13">
        <v>1</v>
      </c>
      <c r="J13">
        <v>4</v>
      </c>
      <c r="K13">
        <v>87.45</v>
      </c>
      <c r="L13">
        <v>20</v>
      </c>
      <c r="M13" s="1" t="s">
        <v>67</v>
      </c>
      <c r="N13" s="1" t="s">
        <v>56</v>
      </c>
      <c r="O13">
        <v>596</v>
      </c>
      <c r="P13" t="b">
        <v>1</v>
      </c>
      <c r="Q13">
        <v>8.3333333333333329E-2</v>
      </c>
      <c r="R13">
        <v>596</v>
      </c>
      <c r="S13">
        <v>17.490000000000002</v>
      </c>
      <c r="T13" s="2">
        <v>44562</v>
      </c>
      <c r="U13" s="1" t="s">
        <v>51</v>
      </c>
      <c r="V13">
        <v>0</v>
      </c>
      <c r="W13" s="1" t="s">
        <v>56</v>
      </c>
      <c r="X13">
        <v>593</v>
      </c>
      <c r="Y13" s="1" t="s">
        <v>43</v>
      </c>
      <c r="Z13" s="1" t="s">
        <v>52</v>
      </c>
      <c r="AA13">
        <v>2</v>
      </c>
      <c r="AB13" s="1" t="s">
        <v>42</v>
      </c>
      <c r="AC13">
        <v>2</v>
      </c>
      <c r="AD13" s="2">
        <v>44562</v>
      </c>
      <c r="AE13" s="1" t="s">
        <v>58</v>
      </c>
      <c r="AF13" s="1" t="s">
        <v>45</v>
      </c>
      <c r="AG13" s="1" t="s">
        <v>63</v>
      </c>
      <c r="AH13" s="1" t="s">
        <v>59</v>
      </c>
      <c r="AI13">
        <v>745</v>
      </c>
      <c r="AJ13">
        <v>-149</v>
      </c>
    </row>
    <row r="14" spans="1:36" x14ac:dyDescent="0.25">
      <c r="A14">
        <v>10013</v>
      </c>
      <c r="B14">
        <v>53</v>
      </c>
      <c r="C14" s="1" t="s">
        <v>60</v>
      </c>
      <c r="D14" s="1" t="s">
        <v>37</v>
      </c>
      <c r="E14" s="2">
        <v>44724</v>
      </c>
      <c r="F14" s="2">
        <v>44505</v>
      </c>
      <c r="G14" s="1" t="s">
        <v>38</v>
      </c>
      <c r="H14">
        <v>919</v>
      </c>
      <c r="I14">
        <v>26</v>
      </c>
      <c r="J14">
        <v>2</v>
      </c>
      <c r="K14">
        <v>16.48</v>
      </c>
      <c r="L14">
        <v>15</v>
      </c>
      <c r="M14" s="1" t="s">
        <v>39</v>
      </c>
      <c r="N14" s="1" t="s">
        <v>56</v>
      </c>
      <c r="O14">
        <v>23756.15</v>
      </c>
      <c r="P14" t="b">
        <v>0</v>
      </c>
      <c r="Q14">
        <v>2.1666666666666665</v>
      </c>
      <c r="R14">
        <v>913.698076923077</v>
      </c>
      <c r="S14">
        <v>5.4933333333333332</v>
      </c>
      <c r="T14" s="2">
        <v>44713</v>
      </c>
      <c r="U14" s="1" t="s">
        <v>41</v>
      </c>
      <c r="V14">
        <v>0</v>
      </c>
      <c r="W14" s="1" t="s">
        <v>40</v>
      </c>
      <c r="Y14" s="1" t="s">
        <v>42</v>
      </c>
      <c r="Z14" s="1" t="s">
        <v>42</v>
      </c>
      <c r="AA14">
        <v>7.407407407407407E-2</v>
      </c>
      <c r="AB14" s="1" t="s">
        <v>43</v>
      </c>
      <c r="AC14">
        <v>1</v>
      </c>
      <c r="AD14" s="2">
        <v>44713</v>
      </c>
      <c r="AE14" s="1" t="s">
        <v>44</v>
      </c>
      <c r="AF14" s="1" t="s">
        <v>72</v>
      </c>
      <c r="AG14" s="1" t="s">
        <v>46</v>
      </c>
      <c r="AH14" s="1" t="s">
        <v>59</v>
      </c>
      <c r="AI14">
        <v>23894</v>
      </c>
      <c r="AJ14">
        <v>-137.84999999999854</v>
      </c>
    </row>
    <row r="15" spans="1:36" x14ac:dyDescent="0.25">
      <c r="A15">
        <v>10014</v>
      </c>
      <c r="B15">
        <v>57</v>
      </c>
      <c r="C15" s="1" t="s">
        <v>36</v>
      </c>
      <c r="D15" s="1" t="s">
        <v>73</v>
      </c>
      <c r="E15" s="2">
        <v>44987</v>
      </c>
      <c r="F15" s="2">
        <v>44916</v>
      </c>
      <c r="G15" s="1" t="s">
        <v>38</v>
      </c>
      <c r="H15">
        <v>603</v>
      </c>
      <c r="I15">
        <v>2</v>
      </c>
      <c r="J15">
        <v>4</v>
      </c>
      <c r="K15">
        <v>21.13</v>
      </c>
      <c r="L15">
        <v>15</v>
      </c>
      <c r="M15" s="1" t="s">
        <v>50</v>
      </c>
      <c r="N15" s="1" t="s">
        <v>56</v>
      </c>
      <c r="O15">
        <v>1115.55</v>
      </c>
      <c r="P15" t="b">
        <v>0</v>
      </c>
      <c r="Q15">
        <v>0.16666666666666666</v>
      </c>
      <c r="R15">
        <v>557.77499999999998</v>
      </c>
      <c r="S15">
        <v>4.226</v>
      </c>
      <c r="T15" s="2">
        <v>44986</v>
      </c>
      <c r="U15" s="1" t="s">
        <v>41</v>
      </c>
      <c r="V15">
        <v>0</v>
      </c>
      <c r="W15" s="1" t="s">
        <v>56</v>
      </c>
      <c r="Y15" s="1" t="s">
        <v>52</v>
      </c>
      <c r="Z15" s="1" t="s">
        <v>42</v>
      </c>
      <c r="AA15">
        <v>1.3333333333333333</v>
      </c>
      <c r="AB15" s="1" t="s">
        <v>42</v>
      </c>
      <c r="AC15">
        <v>1</v>
      </c>
      <c r="AD15" s="2">
        <v>44986</v>
      </c>
      <c r="AE15" s="1" t="s">
        <v>58</v>
      </c>
      <c r="AF15" s="1" t="s">
        <v>45</v>
      </c>
      <c r="AG15" s="1" t="s">
        <v>70</v>
      </c>
      <c r="AH15" s="1" t="s">
        <v>64</v>
      </c>
      <c r="AI15">
        <v>1206</v>
      </c>
      <c r="AJ15">
        <v>-90.450000000000045</v>
      </c>
    </row>
    <row r="16" spans="1:36" x14ac:dyDescent="0.25">
      <c r="A16">
        <v>10015</v>
      </c>
      <c r="B16">
        <v>41</v>
      </c>
      <c r="C16" s="1" t="s">
        <v>36</v>
      </c>
      <c r="D16" s="1" t="s">
        <v>61</v>
      </c>
      <c r="E16" s="2">
        <v>44843</v>
      </c>
      <c r="F16" s="2">
        <v>44780</v>
      </c>
      <c r="G16" s="1" t="s">
        <v>62</v>
      </c>
      <c r="H16">
        <v>431</v>
      </c>
      <c r="I16">
        <v>9</v>
      </c>
      <c r="J16">
        <v>4</v>
      </c>
      <c r="K16">
        <v>23.36</v>
      </c>
      <c r="L16">
        <v>10</v>
      </c>
      <c r="M16" s="1" t="s">
        <v>39</v>
      </c>
      <c r="N16" s="1" t="s">
        <v>56</v>
      </c>
      <c r="O16">
        <v>3835.9</v>
      </c>
      <c r="P16" t="b">
        <v>0</v>
      </c>
      <c r="Q16">
        <v>0.75</v>
      </c>
      <c r="R16">
        <v>426.21111111111111</v>
      </c>
      <c r="S16">
        <v>4.6719999999999997</v>
      </c>
      <c r="T16" s="2">
        <v>44835</v>
      </c>
      <c r="U16" s="1" t="s">
        <v>51</v>
      </c>
      <c r="V16">
        <v>0</v>
      </c>
      <c r="W16" s="1" t="s">
        <v>56</v>
      </c>
      <c r="Y16" s="1" t="s">
        <v>52</v>
      </c>
      <c r="Z16" s="1" t="s">
        <v>42</v>
      </c>
      <c r="AA16">
        <v>0.4</v>
      </c>
      <c r="AB16" s="1" t="s">
        <v>42</v>
      </c>
      <c r="AC16">
        <v>2</v>
      </c>
      <c r="AD16" s="2">
        <v>44835</v>
      </c>
      <c r="AE16" s="1" t="s">
        <v>74</v>
      </c>
      <c r="AF16" s="1" t="s">
        <v>45</v>
      </c>
      <c r="AG16" s="1" t="s">
        <v>70</v>
      </c>
      <c r="AH16" s="1" t="s">
        <v>68</v>
      </c>
      <c r="AI16">
        <v>3879</v>
      </c>
      <c r="AJ16">
        <v>-43.099999999999909</v>
      </c>
    </row>
    <row r="17" spans="1:36" x14ac:dyDescent="0.25">
      <c r="A17">
        <v>10016</v>
      </c>
      <c r="B17">
        <v>20</v>
      </c>
      <c r="C17" s="1" t="s">
        <v>36</v>
      </c>
      <c r="D17" s="1" t="s">
        <v>48</v>
      </c>
      <c r="E17" s="2">
        <v>44734</v>
      </c>
      <c r="F17" s="2">
        <v>44395</v>
      </c>
      <c r="G17" s="1" t="s">
        <v>62</v>
      </c>
      <c r="H17">
        <v>1203</v>
      </c>
      <c r="I17">
        <v>18</v>
      </c>
      <c r="J17">
        <v>3</v>
      </c>
      <c r="K17">
        <v>111.82</v>
      </c>
      <c r="L17">
        <v>0</v>
      </c>
      <c r="M17" s="1" t="s">
        <v>39</v>
      </c>
      <c r="N17" s="1" t="s">
        <v>40</v>
      </c>
      <c r="O17">
        <v>21654</v>
      </c>
      <c r="P17" t="b">
        <v>0</v>
      </c>
      <c r="Q17">
        <v>1.5</v>
      </c>
      <c r="R17">
        <v>1203</v>
      </c>
      <c r="S17">
        <v>27.954999999999998</v>
      </c>
      <c r="T17" s="2">
        <v>44713</v>
      </c>
      <c r="U17" s="1" t="s">
        <v>66</v>
      </c>
      <c r="V17">
        <v>1</v>
      </c>
      <c r="W17" s="1" t="s">
        <v>40</v>
      </c>
      <c r="Y17" s="1" t="s">
        <v>43</v>
      </c>
      <c r="Z17" s="1" t="s">
        <v>42</v>
      </c>
      <c r="AA17">
        <v>0.15789473684210525</v>
      </c>
      <c r="AB17" s="1" t="s">
        <v>43</v>
      </c>
      <c r="AC17">
        <v>2</v>
      </c>
      <c r="AD17" s="2">
        <v>44713</v>
      </c>
      <c r="AE17" s="1" t="s">
        <v>53</v>
      </c>
      <c r="AF17" s="1" t="s">
        <v>72</v>
      </c>
      <c r="AG17" s="1" t="s">
        <v>63</v>
      </c>
      <c r="AH17" s="1" t="s">
        <v>47</v>
      </c>
      <c r="AI17">
        <v>21654</v>
      </c>
      <c r="AJ17">
        <v>0</v>
      </c>
    </row>
    <row r="18" spans="1:36" x14ac:dyDescent="0.25">
      <c r="A18">
        <v>10017</v>
      </c>
      <c r="B18">
        <v>39</v>
      </c>
      <c r="C18" s="1" t="s">
        <v>60</v>
      </c>
      <c r="D18" s="1" t="s">
        <v>48</v>
      </c>
      <c r="E18" s="2">
        <v>45060</v>
      </c>
      <c r="F18" s="2">
        <v>44675</v>
      </c>
      <c r="G18" s="1" t="s">
        <v>49</v>
      </c>
      <c r="H18">
        <v>1287</v>
      </c>
      <c r="I18">
        <v>11</v>
      </c>
      <c r="J18">
        <v>3</v>
      </c>
      <c r="K18">
        <v>83.57</v>
      </c>
      <c r="L18">
        <v>0</v>
      </c>
      <c r="M18" s="1" t="s">
        <v>65</v>
      </c>
      <c r="N18" s="1" t="s">
        <v>56</v>
      </c>
      <c r="O18">
        <v>14157</v>
      </c>
      <c r="P18" t="b">
        <v>0</v>
      </c>
      <c r="Q18">
        <v>0.91666666666666663</v>
      </c>
      <c r="R18">
        <v>1287</v>
      </c>
      <c r="S18">
        <v>20.892499999999998</v>
      </c>
      <c r="T18" s="2">
        <v>45047</v>
      </c>
      <c r="U18" s="1" t="s">
        <v>51</v>
      </c>
      <c r="V18">
        <v>0</v>
      </c>
      <c r="W18" s="1" t="s">
        <v>40</v>
      </c>
      <c r="Y18" s="1" t="s">
        <v>43</v>
      </c>
      <c r="Z18" s="1" t="s">
        <v>42</v>
      </c>
      <c r="AA18">
        <v>0.25</v>
      </c>
      <c r="AB18" s="1" t="s">
        <v>52</v>
      </c>
      <c r="AC18">
        <v>3</v>
      </c>
      <c r="AD18" s="2">
        <v>45047</v>
      </c>
      <c r="AE18" s="1" t="s">
        <v>74</v>
      </c>
      <c r="AF18" s="1" t="s">
        <v>72</v>
      </c>
      <c r="AG18" s="1" t="s">
        <v>63</v>
      </c>
      <c r="AH18" s="1" t="s">
        <v>47</v>
      </c>
      <c r="AI18">
        <v>14157</v>
      </c>
      <c r="AJ18">
        <v>0</v>
      </c>
    </row>
    <row r="19" spans="1:36" x14ac:dyDescent="0.25">
      <c r="A19">
        <v>10018</v>
      </c>
      <c r="B19">
        <v>19</v>
      </c>
      <c r="C19" s="1" t="s">
        <v>60</v>
      </c>
      <c r="D19" s="1" t="s">
        <v>61</v>
      </c>
      <c r="E19" s="2">
        <v>44720</v>
      </c>
      <c r="F19" s="2">
        <v>44780</v>
      </c>
      <c r="G19" s="1" t="s">
        <v>62</v>
      </c>
      <c r="H19">
        <v>346</v>
      </c>
      <c r="I19">
        <v>25</v>
      </c>
      <c r="J19">
        <v>1</v>
      </c>
      <c r="K19">
        <v>80.37</v>
      </c>
      <c r="L19">
        <v>5</v>
      </c>
      <c r="M19" s="1" t="s">
        <v>67</v>
      </c>
      <c r="N19" s="1" t="s">
        <v>56</v>
      </c>
      <c r="O19">
        <v>8632.7000000000007</v>
      </c>
      <c r="P19" t="b">
        <v>1</v>
      </c>
      <c r="Q19">
        <v>2.0833333333333335</v>
      </c>
      <c r="R19">
        <v>345.30800000000005</v>
      </c>
      <c r="S19">
        <v>40.185000000000002</v>
      </c>
      <c r="T19" s="2">
        <v>44713</v>
      </c>
      <c r="U19" s="1" t="s">
        <v>66</v>
      </c>
      <c r="V19">
        <v>0</v>
      </c>
      <c r="W19" s="1" t="s">
        <v>56</v>
      </c>
      <c r="X19">
        <v>60</v>
      </c>
      <c r="Y19" s="1" t="s">
        <v>43</v>
      </c>
      <c r="Z19" s="1" t="s">
        <v>42</v>
      </c>
      <c r="AA19">
        <v>3.8461538461538464E-2</v>
      </c>
      <c r="AB19" s="1" t="s">
        <v>42</v>
      </c>
      <c r="AC19">
        <v>2</v>
      </c>
      <c r="AD19" s="2">
        <v>44713</v>
      </c>
      <c r="AE19" s="1" t="s">
        <v>44</v>
      </c>
      <c r="AF19" s="1" t="s">
        <v>54</v>
      </c>
      <c r="AG19" s="1" t="s">
        <v>63</v>
      </c>
      <c r="AH19" s="1" t="s">
        <v>68</v>
      </c>
      <c r="AI19">
        <v>8650</v>
      </c>
      <c r="AJ19">
        <v>-17.299999999999272</v>
      </c>
    </row>
    <row r="20" spans="1:36" x14ac:dyDescent="0.25">
      <c r="A20">
        <v>10019</v>
      </c>
      <c r="B20">
        <v>41</v>
      </c>
      <c r="C20" s="1" t="s">
        <v>60</v>
      </c>
      <c r="D20" s="1" t="s">
        <v>61</v>
      </c>
      <c r="E20" s="2">
        <v>44268</v>
      </c>
      <c r="F20" s="2">
        <v>44778</v>
      </c>
      <c r="G20" s="1" t="s">
        <v>62</v>
      </c>
      <c r="H20">
        <v>1056</v>
      </c>
      <c r="I20">
        <v>26</v>
      </c>
      <c r="J20">
        <v>1</v>
      </c>
      <c r="K20">
        <v>68.88</v>
      </c>
      <c r="L20">
        <v>5</v>
      </c>
      <c r="M20" s="1" t="s">
        <v>65</v>
      </c>
      <c r="N20" s="1" t="s">
        <v>56</v>
      </c>
      <c r="O20">
        <v>27403.200000000001</v>
      </c>
      <c r="P20" t="b">
        <v>1</v>
      </c>
      <c r="Q20">
        <v>2.1666666666666665</v>
      </c>
      <c r="R20">
        <v>1053.9692307692308</v>
      </c>
      <c r="S20">
        <v>34.44</v>
      </c>
      <c r="T20" s="2">
        <v>44256</v>
      </c>
      <c r="U20" s="1" t="s">
        <v>51</v>
      </c>
      <c r="V20">
        <v>0</v>
      </c>
      <c r="W20" s="1" t="s">
        <v>40</v>
      </c>
      <c r="X20">
        <v>510</v>
      </c>
      <c r="Y20" s="1" t="s">
        <v>43</v>
      </c>
      <c r="Z20" s="1" t="s">
        <v>42</v>
      </c>
      <c r="AA20">
        <v>3.7037037037037035E-2</v>
      </c>
      <c r="AB20" s="1" t="s">
        <v>43</v>
      </c>
      <c r="AC20">
        <v>2</v>
      </c>
      <c r="AD20" s="2">
        <v>44256</v>
      </c>
      <c r="AE20" s="1" t="s">
        <v>44</v>
      </c>
      <c r="AF20" s="1" t="s">
        <v>54</v>
      </c>
      <c r="AG20" s="1" t="s">
        <v>63</v>
      </c>
      <c r="AH20" s="1" t="s">
        <v>47</v>
      </c>
      <c r="AI20">
        <v>27456</v>
      </c>
      <c r="AJ20">
        <v>-52.799999999999272</v>
      </c>
    </row>
    <row r="21" spans="1:36" x14ac:dyDescent="0.25">
      <c r="A21">
        <v>10020</v>
      </c>
      <c r="B21">
        <v>61</v>
      </c>
      <c r="C21" s="1" t="s">
        <v>60</v>
      </c>
      <c r="D21" s="1" t="s">
        <v>73</v>
      </c>
      <c r="E21" s="2">
        <v>44841</v>
      </c>
      <c r="F21" s="2">
        <v>44403</v>
      </c>
      <c r="G21" s="1" t="s">
        <v>62</v>
      </c>
      <c r="H21">
        <v>989</v>
      </c>
      <c r="I21">
        <v>35</v>
      </c>
      <c r="J21">
        <v>3</v>
      </c>
      <c r="K21">
        <v>38.67</v>
      </c>
      <c r="L21">
        <v>5</v>
      </c>
      <c r="M21" s="1" t="s">
        <v>65</v>
      </c>
      <c r="N21" s="1" t="s">
        <v>56</v>
      </c>
      <c r="O21">
        <v>34565.550000000003</v>
      </c>
      <c r="P21" t="b">
        <v>0</v>
      </c>
      <c r="Q21">
        <v>2.9166666666666665</v>
      </c>
      <c r="R21">
        <v>987.58714285714291</v>
      </c>
      <c r="S21">
        <v>9.6675000000000004</v>
      </c>
      <c r="T21" s="2">
        <v>44835</v>
      </c>
      <c r="U21" s="1" t="s">
        <v>41</v>
      </c>
      <c r="V21">
        <v>0</v>
      </c>
      <c r="W21" s="1" t="s">
        <v>40</v>
      </c>
      <c r="Y21" s="1" t="s">
        <v>52</v>
      </c>
      <c r="Z21" s="1" t="s">
        <v>42</v>
      </c>
      <c r="AA21">
        <v>8.3333333333333329E-2</v>
      </c>
      <c r="AB21" s="1" t="s">
        <v>43</v>
      </c>
      <c r="AC21">
        <v>2</v>
      </c>
      <c r="AD21" s="2">
        <v>44835</v>
      </c>
      <c r="AE21" s="1" t="s">
        <v>44</v>
      </c>
      <c r="AF21" s="1" t="s">
        <v>72</v>
      </c>
      <c r="AG21" s="1" t="s">
        <v>55</v>
      </c>
      <c r="AH21" s="1" t="s">
        <v>59</v>
      </c>
      <c r="AI21">
        <v>34615</v>
      </c>
      <c r="AJ21">
        <v>-49.44999999999709</v>
      </c>
    </row>
    <row r="22" spans="1:36" x14ac:dyDescent="0.25">
      <c r="A22">
        <v>10021</v>
      </c>
      <c r="B22">
        <v>47</v>
      </c>
      <c r="C22" s="1" t="s">
        <v>36</v>
      </c>
      <c r="D22" s="1" t="s">
        <v>48</v>
      </c>
      <c r="E22" s="2">
        <v>44302</v>
      </c>
      <c r="F22" s="2">
        <v>44924</v>
      </c>
      <c r="G22" s="1" t="s">
        <v>49</v>
      </c>
      <c r="H22">
        <v>1347</v>
      </c>
      <c r="I22">
        <v>3</v>
      </c>
      <c r="J22">
        <v>2</v>
      </c>
      <c r="K22">
        <v>76.400000000000006</v>
      </c>
      <c r="L22">
        <v>20</v>
      </c>
      <c r="M22" s="1" t="s">
        <v>39</v>
      </c>
      <c r="N22" s="1" t="s">
        <v>56</v>
      </c>
      <c r="O22">
        <v>3771.6</v>
      </c>
      <c r="P22" t="b">
        <v>1</v>
      </c>
      <c r="Q22">
        <v>0.25</v>
      </c>
      <c r="R22">
        <v>1257.2</v>
      </c>
      <c r="S22">
        <v>25.466666666666669</v>
      </c>
      <c r="T22" s="2">
        <v>44287</v>
      </c>
      <c r="U22" s="1" t="s">
        <v>51</v>
      </c>
      <c r="V22">
        <v>0</v>
      </c>
      <c r="W22" s="1" t="s">
        <v>56</v>
      </c>
      <c r="X22">
        <v>622</v>
      </c>
      <c r="Y22" s="1" t="s">
        <v>43</v>
      </c>
      <c r="Z22" s="1" t="s">
        <v>52</v>
      </c>
      <c r="AA22">
        <v>0.5</v>
      </c>
      <c r="AB22" s="1" t="s">
        <v>42</v>
      </c>
      <c r="AC22">
        <v>3</v>
      </c>
      <c r="AD22" s="2">
        <v>44287</v>
      </c>
      <c r="AE22" s="1" t="s">
        <v>58</v>
      </c>
      <c r="AF22" s="1" t="s">
        <v>72</v>
      </c>
      <c r="AG22" s="1" t="s">
        <v>63</v>
      </c>
      <c r="AH22" s="1" t="s">
        <v>47</v>
      </c>
      <c r="AI22">
        <v>4041</v>
      </c>
      <c r="AJ22">
        <v>-269.40000000000009</v>
      </c>
    </row>
    <row r="23" spans="1:36" x14ac:dyDescent="0.25">
      <c r="A23">
        <v>10022</v>
      </c>
      <c r="B23">
        <v>55</v>
      </c>
      <c r="C23" s="1" t="s">
        <v>60</v>
      </c>
      <c r="D23" s="1" t="s">
        <v>61</v>
      </c>
      <c r="E23" s="2">
        <v>44928</v>
      </c>
      <c r="F23" s="2">
        <v>44615</v>
      </c>
      <c r="G23" s="1" t="s">
        <v>49</v>
      </c>
      <c r="H23">
        <v>986</v>
      </c>
      <c r="I23">
        <v>35</v>
      </c>
      <c r="J23">
        <v>3</v>
      </c>
      <c r="K23">
        <v>52.17</v>
      </c>
      <c r="L23">
        <v>20</v>
      </c>
      <c r="M23" s="1" t="s">
        <v>39</v>
      </c>
      <c r="N23" s="1" t="s">
        <v>40</v>
      </c>
      <c r="O23">
        <v>34312.800000000003</v>
      </c>
      <c r="P23" t="b">
        <v>0</v>
      </c>
      <c r="Q23">
        <v>2.9166666666666665</v>
      </c>
      <c r="R23">
        <v>980.36571428571438</v>
      </c>
      <c r="S23">
        <v>13.0425</v>
      </c>
      <c r="T23" s="2">
        <v>44927</v>
      </c>
      <c r="U23" s="1" t="s">
        <v>41</v>
      </c>
      <c r="V23">
        <v>1</v>
      </c>
      <c r="W23" s="1" t="s">
        <v>40</v>
      </c>
      <c r="Y23" s="1" t="s">
        <v>52</v>
      </c>
      <c r="Z23" s="1" t="s">
        <v>52</v>
      </c>
      <c r="AA23">
        <v>8.3333333333333329E-2</v>
      </c>
      <c r="AB23" s="1" t="s">
        <v>43</v>
      </c>
      <c r="AC23">
        <v>3</v>
      </c>
      <c r="AD23" s="2">
        <v>44927</v>
      </c>
      <c r="AE23" s="1" t="s">
        <v>44</v>
      </c>
      <c r="AF23" s="1" t="s">
        <v>72</v>
      </c>
      <c r="AG23" s="1" t="s">
        <v>63</v>
      </c>
      <c r="AH23" s="1" t="s">
        <v>59</v>
      </c>
      <c r="AI23">
        <v>34510</v>
      </c>
      <c r="AJ23">
        <v>-197.19999999999709</v>
      </c>
    </row>
    <row r="24" spans="1:36" x14ac:dyDescent="0.25">
      <c r="A24">
        <v>10023</v>
      </c>
      <c r="B24">
        <v>19</v>
      </c>
      <c r="C24" s="1" t="s">
        <v>60</v>
      </c>
      <c r="D24" s="1" t="s">
        <v>61</v>
      </c>
      <c r="E24" s="2">
        <v>45081</v>
      </c>
      <c r="F24" s="2">
        <v>44416</v>
      </c>
      <c r="G24" s="1" t="s">
        <v>38</v>
      </c>
      <c r="H24">
        <v>1085</v>
      </c>
      <c r="I24">
        <v>22</v>
      </c>
      <c r="J24">
        <v>1</v>
      </c>
      <c r="K24">
        <v>21.72</v>
      </c>
      <c r="L24">
        <v>10</v>
      </c>
      <c r="M24" s="1" t="s">
        <v>50</v>
      </c>
      <c r="N24" s="1" t="s">
        <v>56</v>
      </c>
      <c r="O24">
        <v>23761.5</v>
      </c>
      <c r="P24" t="b">
        <v>0</v>
      </c>
      <c r="Q24">
        <v>1.8333333333333333</v>
      </c>
      <c r="R24">
        <v>1080.0681818181818</v>
      </c>
      <c r="S24">
        <v>10.86</v>
      </c>
      <c r="T24" s="2">
        <v>45078</v>
      </c>
      <c r="U24" s="1" t="s">
        <v>66</v>
      </c>
      <c r="V24">
        <v>0</v>
      </c>
      <c r="W24" s="1" t="s">
        <v>40</v>
      </c>
      <c r="Y24" s="1" t="s">
        <v>52</v>
      </c>
      <c r="Z24" s="1" t="s">
        <v>42</v>
      </c>
      <c r="AA24">
        <v>4.3478260869565216E-2</v>
      </c>
      <c r="AB24" s="1" t="s">
        <v>43</v>
      </c>
      <c r="AC24">
        <v>1</v>
      </c>
      <c r="AD24" s="2">
        <v>45078</v>
      </c>
      <c r="AE24" s="1" t="s">
        <v>53</v>
      </c>
      <c r="AF24" s="1" t="s">
        <v>54</v>
      </c>
      <c r="AG24" s="1" t="s">
        <v>70</v>
      </c>
      <c r="AH24" s="1" t="s">
        <v>47</v>
      </c>
      <c r="AI24">
        <v>23870</v>
      </c>
      <c r="AJ24">
        <v>-108.5</v>
      </c>
    </row>
    <row r="25" spans="1:36" x14ac:dyDescent="0.25">
      <c r="A25">
        <v>10024</v>
      </c>
      <c r="B25">
        <v>38</v>
      </c>
      <c r="C25" s="1" t="s">
        <v>36</v>
      </c>
      <c r="D25" s="1" t="s">
        <v>73</v>
      </c>
      <c r="E25" s="2">
        <v>44885</v>
      </c>
      <c r="F25" s="2">
        <v>45075</v>
      </c>
      <c r="G25" s="1" t="s">
        <v>38</v>
      </c>
      <c r="H25">
        <v>639</v>
      </c>
      <c r="I25">
        <v>8</v>
      </c>
      <c r="J25">
        <v>2</v>
      </c>
      <c r="K25">
        <v>84.3</v>
      </c>
      <c r="L25">
        <v>20</v>
      </c>
      <c r="M25" s="1" t="s">
        <v>65</v>
      </c>
      <c r="N25" s="1" t="s">
        <v>56</v>
      </c>
      <c r="O25">
        <v>4984.2</v>
      </c>
      <c r="P25" t="b">
        <v>1</v>
      </c>
      <c r="Q25">
        <v>0.66666666666666663</v>
      </c>
      <c r="R25">
        <v>623.02499999999998</v>
      </c>
      <c r="S25">
        <v>28.099999999999998</v>
      </c>
      <c r="T25" s="2">
        <v>44866</v>
      </c>
      <c r="U25" s="1" t="s">
        <v>51</v>
      </c>
      <c r="V25">
        <v>0</v>
      </c>
      <c r="W25" s="1" t="s">
        <v>56</v>
      </c>
      <c r="X25">
        <v>190</v>
      </c>
      <c r="Y25" s="1" t="s">
        <v>43</v>
      </c>
      <c r="Z25" s="1" t="s">
        <v>52</v>
      </c>
      <c r="AA25">
        <v>0.22222222222222221</v>
      </c>
      <c r="AB25" s="1" t="s">
        <v>42</v>
      </c>
      <c r="AC25">
        <v>1</v>
      </c>
      <c r="AD25" s="2">
        <v>44866</v>
      </c>
      <c r="AE25" s="1" t="s">
        <v>74</v>
      </c>
      <c r="AF25" s="1" t="s">
        <v>72</v>
      </c>
      <c r="AG25" s="1" t="s">
        <v>63</v>
      </c>
      <c r="AH25" s="1" t="s">
        <v>64</v>
      </c>
      <c r="AI25">
        <v>5112</v>
      </c>
      <c r="AJ25">
        <v>-127.80000000000018</v>
      </c>
    </row>
    <row r="26" spans="1:36" x14ac:dyDescent="0.25">
      <c r="A26">
        <v>10025</v>
      </c>
      <c r="B26">
        <v>50</v>
      </c>
      <c r="C26" s="1" t="s">
        <v>36</v>
      </c>
      <c r="D26" s="1" t="s">
        <v>73</v>
      </c>
      <c r="E26" s="2">
        <v>44478</v>
      </c>
      <c r="F26" s="2">
        <v>44948</v>
      </c>
      <c r="G26" s="1" t="s">
        <v>38</v>
      </c>
      <c r="H26">
        <v>711</v>
      </c>
      <c r="I26">
        <v>15</v>
      </c>
      <c r="J26">
        <v>2</v>
      </c>
      <c r="K26">
        <v>19.899999999999999</v>
      </c>
      <c r="L26">
        <v>5</v>
      </c>
      <c r="M26" s="1" t="s">
        <v>67</v>
      </c>
      <c r="N26" s="1" t="s">
        <v>56</v>
      </c>
      <c r="O26">
        <v>10629.45</v>
      </c>
      <c r="P26" t="b">
        <v>1</v>
      </c>
      <c r="Q26">
        <v>1.25</v>
      </c>
      <c r="R26">
        <v>708.63</v>
      </c>
      <c r="S26">
        <v>6.6333333333333329</v>
      </c>
      <c r="T26" s="2">
        <v>44470</v>
      </c>
      <c r="U26" s="1" t="s">
        <v>51</v>
      </c>
      <c r="V26">
        <v>0</v>
      </c>
      <c r="W26" s="1" t="s">
        <v>56</v>
      </c>
      <c r="X26">
        <v>470</v>
      </c>
      <c r="Y26" s="1" t="s">
        <v>42</v>
      </c>
      <c r="Z26" s="1" t="s">
        <v>42</v>
      </c>
      <c r="AA26">
        <v>0.125</v>
      </c>
      <c r="AB26" s="1" t="s">
        <v>52</v>
      </c>
      <c r="AC26">
        <v>1</v>
      </c>
      <c r="AD26" s="2">
        <v>44470</v>
      </c>
      <c r="AE26" s="1" t="s">
        <v>53</v>
      </c>
      <c r="AF26" s="1" t="s">
        <v>72</v>
      </c>
      <c r="AG26" s="1" t="s">
        <v>46</v>
      </c>
      <c r="AH26" s="1" t="s">
        <v>59</v>
      </c>
      <c r="AI26">
        <v>10665</v>
      </c>
      <c r="AJ26">
        <v>-35.549999999999272</v>
      </c>
    </row>
    <row r="27" spans="1:36" x14ac:dyDescent="0.25">
      <c r="A27">
        <v>10026</v>
      </c>
      <c r="B27">
        <v>29</v>
      </c>
      <c r="C27" s="1" t="s">
        <v>36</v>
      </c>
      <c r="D27" s="1" t="s">
        <v>37</v>
      </c>
      <c r="E27" s="2">
        <v>44329</v>
      </c>
      <c r="F27" s="2">
        <v>44796</v>
      </c>
      <c r="G27" s="1" t="s">
        <v>62</v>
      </c>
      <c r="H27">
        <v>585</v>
      </c>
      <c r="I27">
        <v>7</v>
      </c>
      <c r="J27">
        <v>2</v>
      </c>
      <c r="K27">
        <v>26.93</v>
      </c>
      <c r="L27">
        <v>15</v>
      </c>
      <c r="M27" s="1" t="s">
        <v>65</v>
      </c>
      <c r="N27" s="1" t="s">
        <v>56</v>
      </c>
      <c r="O27">
        <v>4007.25</v>
      </c>
      <c r="P27" t="b">
        <v>1</v>
      </c>
      <c r="Q27">
        <v>0.58333333333333337</v>
      </c>
      <c r="R27">
        <v>572.46428571428567</v>
      </c>
      <c r="S27">
        <v>8.9766666666666666</v>
      </c>
      <c r="T27" s="2">
        <v>44317</v>
      </c>
      <c r="U27" s="1" t="s">
        <v>57</v>
      </c>
      <c r="V27">
        <v>0</v>
      </c>
      <c r="W27" s="1" t="s">
        <v>56</v>
      </c>
      <c r="X27">
        <v>467</v>
      </c>
      <c r="Y27" s="1" t="s">
        <v>52</v>
      </c>
      <c r="Z27" s="1" t="s">
        <v>42</v>
      </c>
      <c r="AA27">
        <v>0.25</v>
      </c>
      <c r="AB27" s="1" t="s">
        <v>42</v>
      </c>
      <c r="AC27">
        <v>2</v>
      </c>
      <c r="AD27" s="2">
        <v>44317</v>
      </c>
      <c r="AE27" s="1" t="s">
        <v>74</v>
      </c>
      <c r="AF27" s="1" t="s">
        <v>72</v>
      </c>
      <c r="AG27" s="1" t="s">
        <v>70</v>
      </c>
      <c r="AH27" s="1" t="s">
        <v>64</v>
      </c>
      <c r="AI27">
        <v>4095</v>
      </c>
      <c r="AJ27">
        <v>-87.75</v>
      </c>
    </row>
    <row r="28" spans="1:36" x14ac:dyDescent="0.25">
      <c r="A28">
        <v>10027</v>
      </c>
      <c r="B28">
        <v>39</v>
      </c>
      <c r="C28" s="1" t="s">
        <v>60</v>
      </c>
      <c r="D28" s="1" t="s">
        <v>73</v>
      </c>
      <c r="E28" s="2">
        <v>44730</v>
      </c>
      <c r="F28" s="2">
        <v>45140</v>
      </c>
      <c r="G28" s="1" t="s">
        <v>62</v>
      </c>
      <c r="H28">
        <v>1409</v>
      </c>
      <c r="I28">
        <v>19</v>
      </c>
      <c r="J28">
        <v>1</v>
      </c>
      <c r="K28">
        <v>99.04</v>
      </c>
      <c r="L28">
        <v>5</v>
      </c>
      <c r="M28" s="1" t="s">
        <v>50</v>
      </c>
      <c r="N28" s="1" t="s">
        <v>56</v>
      </c>
      <c r="O28">
        <v>26700.55</v>
      </c>
      <c r="P28" t="b">
        <v>1</v>
      </c>
      <c r="Q28">
        <v>1.5833333333333333</v>
      </c>
      <c r="R28">
        <v>1405.292105263158</v>
      </c>
      <c r="S28">
        <v>49.52</v>
      </c>
      <c r="T28" s="2">
        <v>44713</v>
      </c>
      <c r="U28" s="1" t="s">
        <v>51</v>
      </c>
      <c r="V28">
        <v>0</v>
      </c>
      <c r="W28" s="1" t="s">
        <v>40</v>
      </c>
      <c r="X28">
        <v>410</v>
      </c>
      <c r="Y28" s="1" t="s">
        <v>43</v>
      </c>
      <c r="Z28" s="1" t="s">
        <v>42</v>
      </c>
      <c r="AA28">
        <v>0.05</v>
      </c>
      <c r="AB28" s="1" t="s">
        <v>43</v>
      </c>
      <c r="AC28">
        <v>2</v>
      </c>
      <c r="AD28" s="2">
        <v>44713</v>
      </c>
      <c r="AE28" s="1" t="s">
        <v>53</v>
      </c>
      <c r="AF28" s="1" t="s">
        <v>54</v>
      </c>
      <c r="AG28" s="1" t="s">
        <v>63</v>
      </c>
      <c r="AH28" s="1" t="s">
        <v>47</v>
      </c>
      <c r="AI28">
        <v>26771</v>
      </c>
      <c r="AJ28">
        <v>-70.450000000000728</v>
      </c>
    </row>
    <row r="29" spans="1:36" x14ac:dyDescent="0.25">
      <c r="A29">
        <v>10028</v>
      </c>
      <c r="B29">
        <v>61</v>
      </c>
      <c r="C29" s="1" t="s">
        <v>60</v>
      </c>
      <c r="D29" s="1" t="s">
        <v>71</v>
      </c>
      <c r="E29" s="2">
        <v>44465</v>
      </c>
      <c r="F29" s="2">
        <v>44604</v>
      </c>
      <c r="G29" s="1" t="s">
        <v>62</v>
      </c>
      <c r="H29">
        <v>1149</v>
      </c>
      <c r="I29">
        <v>17</v>
      </c>
      <c r="J29">
        <v>2</v>
      </c>
      <c r="K29">
        <v>80.91</v>
      </c>
      <c r="L29">
        <v>10</v>
      </c>
      <c r="M29" s="1" t="s">
        <v>65</v>
      </c>
      <c r="N29" s="1" t="s">
        <v>56</v>
      </c>
      <c r="O29">
        <v>19418.099999999999</v>
      </c>
      <c r="P29" t="b">
        <v>1</v>
      </c>
      <c r="Q29">
        <v>1.4166666666666667</v>
      </c>
      <c r="R29">
        <v>1142.2411764705882</v>
      </c>
      <c r="S29">
        <v>26.97</v>
      </c>
      <c r="T29" s="2">
        <v>44440</v>
      </c>
      <c r="U29" s="1" t="s">
        <v>41</v>
      </c>
      <c r="V29">
        <v>0</v>
      </c>
      <c r="W29" s="1" t="s">
        <v>40</v>
      </c>
      <c r="X29">
        <v>139</v>
      </c>
      <c r="Y29" s="1" t="s">
        <v>43</v>
      </c>
      <c r="Z29" s="1" t="s">
        <v>42</v>
      </c>
      <c r="AA29">
        <v>0.1111111111111111</v>
      </c>
      <c r="AB29" s="1" t="s">
        <v>43</v>
      </c>
      <c r="AC29">
        <v>2</v>
      </c>
      <c r="AD29" s="2">
        <v>44440</v>
      </c>
      <c r="AE29" s="1" t="s">
        <v>53</v>
      </c>
      <c r="AF29" s="1" t="s">
        <v>72</v>
      </c>
      <c r="AG29" s="1" t="s">
        <v>63</v>
      </c>
      <c r="AH29" s="1" t="s">
        <v>47</v>
      </c>
      <c r="AI29">
        <v>19533</v>
      </c>
      <c r="AJ29">
        <v>-114.90000000000146</v>
      </c>
    </row>
    <row r="30" spans="1:36" x14ac:dyDescent="0.25">
      <c r="A30">
        <v>10029</v>
      </c>
      <c r="B30">
        <v>42</v>
      </c>
      <c r="C30" s="1" t="s">
        <v>60</v>
      </c>
      <c r="D30" s="1" t="s">
        <v>48</v>
      </c>
      <c r="E30" s="2">
        <v>44608</v>
      </c>
      <c r="F30" s="2">
        <v>45019</v>
      </c>
      <c r="G30" s="1" t="s">
        <v>38</v>
      </c>
      <c r="H30">
        <v>729</v>
      </c>
      <c r="I30">
        <v>1</v>
      </c>
      <c r="J30">
        <v>2</v>
      </c>
      <c r="K30">
        <v>77.56</v>
      </c>
      <c r="L30">
        <v>15</v>
      </c>
      <c r="M30" s="1" t="s">
        <v>65</v>
      </c>
      <c r="N30" s="1" t="s">
        <v>56</v>
      </c>
      <c r="O30">
        <v>619.65</v>
      </c>
      <c r="P30" t="b">
        <v>1</v>
      </c>
      <c r="Q30">
        <v>8.3333333333333329E-2</v>
      </c>
      <c r="R30">
        <v>619.65</v>
      </c>
      <c r="S30">
        <v>25.853333333333335</v>
      </c>
      <c r="T30" s="2">
        <v>44593</v>
      </c>
      <c r="U30" s="1" t="s">
        <v>51</v>
      </c>
      <c r="V30">
        <v>0</v>
      </c>
      <c r="W30" s="1" t="s">
        <v>56</v>
      </c>
      <c r="X30">
        <v>411</v>
      </c>
      <c r="Y30" s="1" t="s">
        <v>43</v>
      </c>
      <c r="Z30" s="1" t="s">
        <v>42</v>
      </c>
      <c r="AA30">
        <v>1</v>
      </c>
      <c r="AB30" s="1" t="s">
        <v>42</v>
      </c>
      <c r="AC30">
        <v>1</v>
      </c>
      <c r="AD30" s="2">
        <v>44593</v>
      </c>
      <c r="AE30" s="1" t="s">
        <v>58</v>
      </c>
      <c r="AF30" s="1" t="s">
        <v>72</v>
      </c>
      <c r="AG30" s="1" t="s">
        <v>63</v>
      </c>
      <c r="AH30" s="1" t="s">
        <v>59</v>
      </c>
      <c r="AI30">
        <v>729</v>
      </c>
      <c r="AJ30">
        <v>-109.35000000000002</v>
      </c>
    </row>
    <row r="31" spans="1:36" x14ac:dyDescent="0.25">
      <c r="A31">
        <v>10030</v>
      </c>
      <c r="B31">
        <v>41</v>
      </c>
      <c r="C31" s="1" t="s">
        <v>60</v>
      </c>
      <c r="D31" s="1" t="s">
        <v>37</v>
      </c>
      <c r="E31" s="2">
        <v>44869</v>
      </c>
      <c r="F31" s="2">
        <v>44837</v>
      </c>
      <c r="G31" s="1" t="s">
        <v>62</v>
      </c>
      <c r="H31">
        <v>330</v>
      </c>
      <c r="I31">
        <v>29</v>
      </c>
      <c r="J31">
        <v>1</v>
      </c>
      <c r="K31">
        <v>53.09</v>
      </c>
      <c r="L31">
        <v>20</v>
      </c>
      <c r="M31" s="1" t="s">
        <v>65</v>
      </c>
      <c r="N31" s="1" t="s">
        <v>56</v>
      </c>
      <c r="O31">
        <v>9504</v>
      </c>
      <c r="P31" t="b">
        <v>0</v>
      </c>
      <c r="Q31">
        <v>2.4166666666666665</v>
      </c>
      <c r="R31">
        <v>327.72413793103448</v>
      </c>
      <c r="S31">
        <v>26.545000000000002</v>
      </c>
      <c r="T31" s="2">
        <v>44866</v>
      </c>
      <c r="U31" s="1" t="s">
        <v>51</v>
      </c>
      <c r="V31">
        <v>0</v>
      </c>
      <c r="W31" s="1" t="s">
        <v>56</v>
      </c>
      <c r="Y31" s="1" t="s">
        <v>52</v>
      </c>
      <c r="Z31" s="1" t="s">
        <v>52</v>
      </c>
      <c r="AA31">
        <v>3.3333333333333333E-2</v>
      </c>
      <c r="AB31" s="1" t="s">
        <v>52</v>
      </c>
      <c r="AC31">
        <v>2</v>
      </c>
      <c r="AD31" s="2">
        <v>44866</v>
      </c>
      <c r="AE31" s="1" t="s">
        <v>44</v>
      </c>
      <c r="AF31" s="1" t="s">
        <v>54</v>
      </c>
      <c r="AG31" s="1" t="s">
        <v>63</v>
      </c>
      <c r="AH31" s="1" t="s">
        <v>68</v>
      </c>
      <c r="AI31">
        <v>9570</v>
      </c>
      <c r="AJ31">
        <v>-66</v>
      </c>
    </row>
    <row r="32" spans="1:36" x14ac:dyDescent="0.25">
      <c r="A32">
        <v>10031</v>
      </c>
      <c r="B32">
        <v>59</v>
      </c>
      <c r="C32" s="1" t="s">
        <v>36</v>
      </c>
      <c r="D32" s="1" t="s">
        <v>71</v>
      </c>
      <c r="E32" s="2">
        <v>44815</v>
      </c>
      <c r="F32" s="2">
        <v>45093</v>
      </c>
      <c r="G32" s="1" t="s">
        <v>49</v>
      </c>
      <c r="H32">
        <v>902</v>
      </c>
      <c r="I32">
        <v>13</v>
      </c>
      <c r="J32">
        <v>2</v>
      </c>
      <c r="K32">
        <v>62.59</v>
      </c>
      <c r="L32">
        <v>15</v>
      </c>
      <c r="M32" s="1" t="s">
        <v>50</v>
      </c>
      <c r="N32" s="1" t="s">
        <v>56</v>
      </c>
      <c r="O32">
        <v>11590.7</v>
      </c>
      <c r="P32" t="b">
        <v>1</v>
      </c>
      <c r="Q32">
        <v>1.0833333333333333</v>
      </c>
      <c r="R32">
        <v>891.59230769230771</v>
      </c>
      <c r="S32">
        <v>20.863333333333333</v>
      </c>
      <c r="T32" s="2">
        <v>44805</v>
      </c>
      <c r="U32" s="1" t="s">
        <v>41</v>
      </c>
      <c r="V32">
        <v>0</v>
      </c>
      <c r="W32" s="1" t="s">
        <v>56</v>
      </c>
      <c r="X32">
        <v>278</v>
      </c>
      <c r="Y32" s="1" t="s">
        <v>43</v>
      </c>
      <c r="Z32" s="1" t="s">
        <v>42</v>
      </c>
      <c r="AA32">
        <v>0.14285714285714285</v>
      </c>
      <c r="AB32" s="1" t="s">
        <v>52</v>
      </c>
      <c r="AC32">
        <v>3</v>
      </c>
      <c r="AD32" s="2">
        <v>44805</v>
      </c>
      <c r="AE32" s="1" t="s">
        <v>53</v>
      </c>
      <c r="AF32" s="1" t="s">
        <v>72</v>
      </c>
      <c r="AG32" s="1" t="s">
        <v>63</v>
      </c>
      <c r="AH32" s="1" t="s">
        <v>59</v>
      </c>
      <c r="AI32">
        <v>11726</v>
      </c>
      <c r="AJ32">
        <v>-135.29999999999927</v>
      </c>
    </row>
    <row r="33" spans="1:36" x14ac:dyDescent="0.25">
      <c r="A33">
        <v>10032</v>
      </c>
      <c r="B33">
        <v>45</v>
      </c>
      <c r="C33" s="1" t="s">
        <v>36</v>
      </c>
      <c r="D33" s="1" t="s">
        <v>61</v>
      </c>
      <c r="E33" s="2">
        <v>44987</v>
      </c>
      <c r="F33" s="2">
        <v>44990</v>
      </c>
      <c r="G33" s="1" t="s">
        <v>38</v>
      </c>
      <c r="H33">
        <v>739</v>
      </c>
      <c r="I33">
        <v>29</v>
      </c>
      <c r="J33">
        <v>4</v>
      </c>
      <c r="K33">
        <v>84.38</v>
      </c>
      <c r="L33">
        <v>10</v>
      </c>
      <c r="M33" s="1" t="s">
        <v>65</v>
      </c>
      <c r="N33" s="1" t="s">
        <v>56</v>
      </c>
      <c r="O33">
        <v>21357.1</v>
      </c>
      <c r="P33" t="b">
        <v>1</v>
      </c>
      <c r="Q33">
        <v>2.4166666666666665</v>
      </c>
      <c r="R33">
        <v>736.45172413793102</v>
      </c>
      <c r="S33">
        <v>16.875999999999998</v>
      </c>
      <c r="T33" s="2">
        <v>44986</v>
      </c>
      <c r="U33" s="1" t="s">
        <v>51</v>
      </c>
      <c r="V33">
        <v>0</v>
      </c>
      <c r="W33" s="1" t="s">
        <v>40</v>
      </c>
      <c r="X33">
        <v>3</v>
      </c>
      <c r="Y33" s="1" t="s">
        <v>43</v>
      </c>
      <c r="Z33" s="1" t="s">
        <v>42</v>
      </c>
      <c r="AA33">
        <v>0.13333333333333333</v>
      </c>
      <c r="AB33" s="1" t="s">
        <v>43</v>
      </c>
      <c r="AC33">
        <v>1</v>
      </c>
      <c r="AD33" s="2">
        <v>44986</v>
      </c>
      <c r="AE33" s="1" t="s">
        <v>44</v>
      </c>
      <c r="AF33" s="1" t="s">
        <v>45</v>
      </c>
      <c r="AG33" s="1" t="s">
        <v>63</v>
      </c>
      <c r="AH33" s="1" t="s">
        <v>59</v>
      </c>
      <c r="AI33">
        <v>21431</v>
      </c>
      <c r="AJ33">
        <v>-73.900000000001455</v>
      </c>
    </row>
    <row r="34" spans="1:36" x14ac:dyDescent="0.25">
      <c r="A34">
        <v>10033</v>
      </c>
      <c r="B34">
        <v>33</v>
      </c>
      <c r="C34" s="1" t="s">
        <v>36</v>
      </c>
      <c r="D34" s="1" t="s">
        <v>61</v>
      </c>
      <c r="E34" s="2">
        <v>45061</v>
      </c>
      <c r="F34" s="2">
        <v>44396</v>
      </c>
      <c r="G34" s="1" t="s">
        <v>62</v>
      </c>
      <c r="H34">
        <v>1284</v>
      </c>
      <c r="I34">
        <v>6</v>
      </c>
      <c r="J34">
        <v>3</v>
      </c>
      <c r="K34">
        <v>90.1</v>
      </c>
      <c r="L34">
        <v>20</v>
      </c>
      <c r="M34" s="1" t="s">
        <v>39</v>
      </c>
      <c r="N34" s="1" t="s">
        <v>40</v>
      </c>
      <c r="O34">
        <v>7447.2</v>
      </c>
      <c r="P34" t="b">
        <v>0</v>
      </c>
      <c r="Q34">
        <v>0.5</v>
      </c>
      <c r="R34">
        <v>1241.2</v>
      </c>
      <c r="S34">
        <v>22.524999999999999</v>
      </c>
      <c r="T34" s="2">
        <v>45047</v>
      </c>
      <c r="U34" s="1" t="s">
        <v>57</v>
      </c>
      <c r="V34">
        <v>1</v>
      </c>
      <c r="W34" s="1" t="s">
        <v>56</v>
      </c>
      <c r="Y34" s="1" t="s">
        <v>43</v>
      </c>
      <c r="Z34" s="1" t="s">
        <v>52</v>
      </c>
      <c r="AA34">
        <v>0.42857142857142855</v>
      </c>
      <c r="AB34" s="1" t="s">
        <v>42</v>
      </c>
      <c r="AC34">
        <v>2</v>
      </c>
      <c r="AD34" s="2">
        <v>45047</v>
      </c>
      <c r="AE34" s="1" t="s">
        <v>58</v>
      </c>
      <c r="AF34" s="1" t="s">
        <v>72</v>
      </c>
      <c r="AG34" s="1" t="s">
        <v>63</v>
      </c>
      <c r="AH34" s="1" t="s">
        <v>47</v>
      </c>
      <c r="AI34">
        <v>7704</v>
      </c>
      <c r="AJ34">
        <v>-256.80000000000018</v>
      </c>
    </row>
    <row r="35" spans="1:36" x14ac:dyDescent="0.25">
      <c r="A35">
        <v>10034</v>
      </c>
      <c r="B35">
        <v>32</v>
      </c>
      <c r="C35" s="1" t="s">
        <v>36</v>
      </c>
      <c r="D35" s="1" t="s">
        <v>37</v>
      </c>
      <c r="E35" s="2">
        <v>44943</v>
      </c>
      <c r="F35" s="2">
        <v>45006</v>
      </c>
      <c r="G35" s="1" t="s">
        <v>38</v>
      </c>
      <c r="H35">
        <v>711</v>
      </c>
      <c r="I35">
        <v>5</v>
      </c>
      <c r="J35">
        <v>0</v>
      </c>
      <c r="K35">
        <v>63.67</v>
      </c>
      <c r="L35">
        <v>0</v>
      </c>
      <c r="M35" s="1" t="s">
        <v>65</v>
      </c>
      <c r="N35" s="1" t="s">
        <v>40</v>
      </c>
      <c r="O35">
        <v>3555</v>
      </c>
      <c r="P35" t="b">
        <v>1</v>
      </c>
      <c r="Q35">
        <v>0.41666666666666669</v>
      </c>
      <c r="R35">
        <v>711</v>
      </c>
      <c r="S35">
        <v>63.67</v>
      </c>
      <c r="T35" s="2">
        <v>44927</v>
      </c>
      <c r="U35" s="1" t="s">
        <v>57</v>
      </c>
      <c r="V35">
        <v>1</v>
      </c>
      <c r="W35" s="1" t="s">
        <v>56</v>
      </c>
      <c r="X35">
        <v>63</v>
      </c>
      <c r="Y35" s="1" t="s">
        <v>43</v>
      </c>
      <c r="Z35" s="1" t="s">
        <v>42</v>
      </c>
      <c r="AA35">
        <v>0</v>
      </c>
      <c r="AB35" s="1" t="s">
        <v>42</v>
      </c>
      <c r="AC35">
        <v>1</v>
      </c>
      <c r="AD35" s="2">
        <v>44927</v>
      </c>
      <c r="AE35" s="1" t="s">
        <v>58</v>
      </c>
      <c r="AF35" s="1" t="s">
        <v>54</v>
      </c>
      <c r="AG35" s="1" t="s">
        <v>63</v>
      </c>
      <c r="AH35" s="1" t="s">
        <v>59</v>
      </c>
      <c r="AI35">
        <v>3555</v>
      </c>
      <c r="AJ35">
        <v>0</v>
      </c>
    </row>
    <row r="36" spans="1:36" x14ac:dyDescent="0.25">
      <c r="A36">
        <v>10035</v>
      </c>
      <c r="B36">
        <v>64</v>
      </c>
      <c r="C36" s="1" t="s">
        <v>60</v>
      </c>
      <c r="D36" s="1" t="s">
        <v>73</v>
      </c>
      <c r="E36" s="2">
        <v>44214</v>
      </c>
      <c r="F36" s="2">
        <v>44663</v>
      </c>
      <c r="G36" s="1" t="s">
        <v>49</v>
      </c>
      <c r="H36">
        <v>827</v>
      </c>
      <c r="I36">
        <v>34</v>
      </c>
      <c r="J36">
        <v>4</v>
      </c>
      <c r="K36">
        <v>116.47</v>
      </c>
      <c r="L36">
        <v>10</v>
      </c>
      <c r="M36" s="1" t="s">
        <v>39</v>
      </c>
      <c r="N36" s="1" t="s">
        <v>56</v>
      </c>
      <c r="O36">
        <v>28076.65</v>
      </c>
      <c r="P36" t="b">
        <v>1</v>
      </c>
      <c r="Q36">
        <v>2.8333333333333335</v>
      </c>
      <c r="R36">
        <v>825.78382352941185</v>
      </c>
      <c r="S36">
        <v>23.294</v>
      </c>
      <c r="T36" s="2">
        <v>44197</v>
      </c>
      <c r="U36" s="1" t="s">
        <v>41</v>
      </c>
      <c r="V36">
        <v>0</v>
      </c>
      <c r="W36" s="1" t="s">
        <v>40</v>
      </c>
      <c r="X36">
        <v>449</v>
      </c>
      <c r="Y36" s="1" t="s">
        <v>43</v>
      </c>
      <c r="Z36" s="1" t="s">
        <v>42</v>
      </c>
      <c r="AA36">
        <v>0.11428571428571428</v>
      </c>
      <c r="AB36" s="1" t="s">
        <v>43</v>
      </c>
      <c r="AC36">
        <v>3</v>
      </c>
      <c r="AD36" s="2">
        <v>44197</v>
      </c>
      <c r="AE36" s="1" t="s">
        <v>44</v>
      </c>
      <c r="AF36" s="1" t="s">
        <v>45</v>
      </c>
      <c r="AG36" s="1" t="s">
        <v>63</v>
      </c>
      <c r="AH36" s="1" t="s">
        <v>59</v>
      </c>
      <c r="AI36">
        <v>28118</v>
      </c>
      <c r="AJ36">
        <v>-41.349999999998545</v>
      </c>
    </row>
    <row r="37" spans="1:36" x14ac:dyDescent="0.25">
      <c r="A37">
        <v>10036</v>
      </c>
      <c r="B37">
        <v>61</v>
      </c>
      <c r="C37" s="1" t="s">
        <v>36</v>
      </c>
      <c r="D37" s="1" t="s">
        <v>61</v>
      </c>
      <c r="E37" s="2">
        <v>44950</v>
      </c>
      <c r="F37" s="2">
        <v>44760</v>
      </c>
      <c r="G37" s="1" t="s">
        <v>49</v>
      </c>
      <c r="H37">
        <v>609</v>
      </c>
      <c r="I37">
        <v>11</v>
      </c>
      <c r="J37">
        <v>2</v>
      </c>
      <c r="K37">
        <v>114.91</v>
      </c>
      <c r="L37">
        <v>5</v>
      </c>
      <c r="M37" s="1" t="s">
        <v>65</v>
      </c>
      <c r="N37" s="1" t="s">
        <v>40</v>
      </c>
      <c r="O37">
        <v>6668.55</v>
      </c>
      <c r="P37" t="b">
        <v>0</v>
      </c>
      <c r="Q37">
        <v>0.91666666666666663</v>
      </c>
      <c r="R37">
        <v>606.2318181818182</v>
      </c>
      <c r="S37">
        <v>38.303333333333335</v>
      </c>
      <c r="T37" s="2">
        <v>44927</v>
      </c>
      <c r="U37" s="1" t="s">
        <v>41</v>
      </c>
      <c r="V37">
        <v>1</v>
      </c>
      <c r="W37" s="1" t="s">
        <v>56</v>
      </c>
      <c r="Y37" s="1" t="s">
        <v>43</v>
      </c>
      <c r="Z37" s="1" t="s">
        <v>42</v>
      </c>
      <c r="AA37">
        <v>0.16666666666666666</v>
      </c>
      <c r="AB37" s="1" t="s">
        <v>42</v>
      </c>
      <c r="AC37">
        <v>3</v>
      </c>
      <c r="AD37" s="2">
        <v>44927</v>
      </c>
      <c r="AE37" s="1" t="s">
        <v>74</v>
      </c>
      <c r="AF37" s="1" t="s">
        <v>72</v>
      </c>
      <c r="AG37" s="1" t="s">
        <v>63</v>
      </c>
      <c r="AH37" s="1" t="s">
        <v>64</v>
      </c>
      <c r="AI37">
        <v>6699</v>
      </c>
      <c r="AJ37">
        <v>-30.449999999999818</v>
      </c>
    </row>
    <row r="38" spans="1:36" x14ac:dyDescent="0.25">
      <c r="A38">
        <v>10037</v>
      </c>
      <c r="B38">
        <v>20</v>
      </c>
      <c r="C38" s="1" t="s">
        <v>60</v>
      </c>
      <c r="D38" s="1" t="s">
        <v>69</v>
      </c>
      <c r="E38" s="2">
        <v>44313</v>
      </c>
      <c r="F38" s="2">
        <v>44781</v>
      </c>
      <c r="G38" s="1" t="s">
        <v>62</v>
      </c>
      <c r="H38">
        <v>1248</v>
      </c>
      <c r="I38">
        <v>9</v>
      </c>
      <c r="J38">
        <v>2</v>
      </c>
      <c r="K38">
        <v>52.43</v>
      </c>
      <c r="L38">
        <v>10</v>
      </c>
      <c r="M38" s="1" t="s">
        <v>39</v>
      </c>
      <c r="N38" s="1" t="s">
        <v>56</v>
      </c>
      <c r="O38">
        <v>11107.2</v>
      </c>
      <c r="P38" t="b">
        <v>1</v>
      </c>
      <c r="Q38">
        <v>0.75</v>
      </c>
      <c r="R38">
        <v>1234.1333333333334</v>
      </c>
      <c r="S38">
        <v>17.476666666666667</v>
      </c>
      <c r="T38" s="2">
        <v>44287</v>
      </c>
      <c r="U38" s="1" t="s">
        <v>66</v>
      </c>
      <c r="V38">
        <v>0</v>
      </c>
      <c r="W38" s="1" t="s">
        <v>56</v>
      </c>
      <c r="X38">
        <v>468</v>
      </c>
      <c r="Y38" s="1" t="s">
        <v>52</v>
      </c>
      <c r="Z38" s="1" t="s">
        <v>42</v>
      </c>
      <c r="AA38">
        <v>0.2</v>
      </c>
      <c r="AB38" s="1" t="s">
        <v>52</v>
      </c>
      <c r="AC38">
        <v>2</v>
      </c>
      <c r="AD38" s="2">
        <v>44287</v>
      </c>
      <c r="AE38" s="1" t="s">
        <v>74</v>
      </c>
      <c r="AF38" s="1" t="s">
        <v>72</v>
      </c>
      <c r="AG38" s="1" t="s">
        <v>63</v>
      </c>
      <c r="AH38" s="1" t="s">
        <v>47</v>
      </c>
      <c r="AI38">
        <v>11232</v>
      </c>
      <c r="AJ38">
        <v>-124.79999999999927</v>
      </c>
    </row>
    <row r="39" spans="1:36" x14ac:dyDescent="0.25">
      <c r="A39">
        <v>10038</v>
      </c>
      <c r="B39">
        <v>54</v>
      </c>
      <c r="C39" s="1" t="s">
        <v>36</v>
      </c>
      <c r="D39" s="1" t="s">
        <v>37</v>
      </c>
      <c r="E39" s="2">
        <v>44994</v>
      </c>
      <c r="F39" s="2">
        <v>44349</v>
      </c>
      <c r="G39" s="1" t="s">
        <v>62</v>
      </c>
      <c r="H39">
        <v>973</v>
      </c>
      <c r="I39">
        <v>9</v>
      </c>
      <c r="J39">
        <v>2</v>
      </c>
      <c r="K39">
        <v>99.37</v>
      </c>
      <c r="L39">
        <v>10</v>
      </c>
      <c r="M39" s="1" t="s">
        <v>65</v>
      </c>
      <c r="N39" s="1" t="s">
        <v>56</v>
      </c>
      <c r="O39">
        <v>8659.7000000000007</v>
      </c>
      <c r="P39" t="b">
        <v>0</v>
      </c>
      <c r="Q39">
        <v>0.75</v>
      </c>
      <c r="R39">
        <v>962.18888888888898</v>
      </c>
      <c r="S39">
        <v>33.123333333333335</v>
      </c>
      <c r="T39" s="2">
        <v>44986</v>
      </c>
      <c r="U39" s="1" t="s">
        <v>41</v>
      </c>
      <c r="V39">
        <v>0</v>
      </c>
      <c r="W39" s="1" t="s">
        <v>56</v>
      </c>
      <c r="Y39" s="1" t="s">
        <v>43</v>
      </c>
      <c r="Z39" s="1" t="s">
        <v>42</v>
      </c>
      <c r="AA39">
        <v>0.2</v>
      </c>
      <c r="AB39" s="1" t="s">
        <v>42</v>
      </c>
      <c r="AC39">
        <v>2</v>
      </c>
      <c r="AD39" s="2">
        <v>44986</v>
      </c>
      <c r="AE39" s="1" t="s">
        <v>74</v>
      </c>
      <c r="AF39" s="1" t="s">
        <v>72</v>
      </c>
      <c r="AG39" s="1" t="s">
        <v>63</v>
      </c>
      <c r="AH39" s="1" t="s">
        <v>59</v>
      </c>
      <c r="AI39">
        <v>8757</v>
      </c>
      <c r="AJ39">
        <v>-97.299999999999272</v>
      </c>
    </row>
    <row r="40" spans="1:36" x14ac:dyDescent="0.25">
      <c r="A40">
        <v>10039</v>
      </c>
      <c r="B40">
        <v>24</v>
      </c>
      <c r="C40" s="1" t="s">
        <v>36</v>
      </c>
      <c r="D40" s="1" t="s">
        <v>71</v>
      </c>
      <c r="E40" s="2">
        <v>44990</v>
      </c>
      <c r="F40" s="2">
        <v>45188</v>
      </c>
      <c r="G40" s="1" t="s">
        <v>49</v>
      </c>
      <c r="H40">
        <v>736</v>
      </c>
      <c r="I40">
        <v>8</v>
      </c>
      <c r="J40">
        <v>3</v>
      </c>
      <c r="K40">
        <v>67.48</v>
      </c>
      <c r="L40">
        <v>5</v>
      </c>
      <c r="M40" s="1" t="s">
        <v>67</v>
      </c>
      <c r="N40" s="1" t="s">
        <v>56</v>
      </c>
      <c r="O40">
        <v>5851.2</v>
      </c>
      <c r="P40" t="b">
        <v>1</v>
      </c>
      <c r="Q40">
        <v>0.66666666666666663</v>
      </c>
      <c r="R40">
        <v>731.4</v>
      </c>
      <c r="S40">
        <v>16.87</v>
      </c>
      <c r="T40" s="2">
        <v>44986</v>
      </c>
      <c r="U40" s="1" t="s">
        <v>66</v>
      </c>
      <c r="V40">
        <v>0</v>
      </c>
      <c r="W40" s="1" t="s">
        <v>56</v>
      </c>
      <c r="X40">
        <v>198</v>
      </c>
      <c r="Y40" s="1" t="s">
        <v>43</v>
      </c>
      <c r="Z40" s="1" t="s">
        <v>42</v>
      </c>
      <c r="AA40">
        <v>0.33333333333333331</v>
      </c>
      <c r="AB40" s="1" t="s">
        <v>42</v>
      </c>
      <c r="AC40">
        <v>3</v>
      </c>
      <c r="AD40" s="2">
        <v>44986</v>
      </c>
      <c r="AE40" s="1" t="s">
        <v>74</v>
      </c>
      <c r="AF40" s="1" t="s">
        <v>72</v>
      </c>
      <c r="AG40" s="1" t="s">
        <v>63</v>
      </c>
      <c r="AH40" s="1" t="s">
        <v>59</v>
      </c>
      <c r="AI40">
        <v>5888</v>
      </c>
      <c r="AJ40">
        <v>-36.800000000000182</v>
      </c>
    </row>
    <row r="41" spans="1:36" x14ac:dyDescent="0.25">
      <c r="A41">
        <v>10040</v>
      </c>
      <c r="B41">
        <v>38</v>
      </c>
      <c r="C41" s="1" t="s">
        <v>60</v>
      </c>
      <c r="D41" s="1" t="s">
        <v>37</v>
      </c>
      <c r="E41" s="2">
        <v>44340</v>
      </c>
      <c r="F41" s="2">
        <v>44492</v>
      </c>
      <c r="G41" s="1" t="s">
        <v>62</v>
      </c>
      <c r="H41">
        <v>1003</v>
      </c>
      <c r="I41">
        <v>3</v>
      </c>
      <c r="J41">
        <v>0</v>
      </c>
      <c r="K41">
        <v>63.85</v>
      </c>
      <c r="L41">
        <v>15</v>
      </c>
      <c r="M41" s="1" t="s">
        <v>39</v>
      </c>
      <c r="N41" s="1" t="s">
        <v>56</v>
      </c>
      <c r="O41">
        <v>2858.55</v>
      </c>
      <c r="P41" t="b">
        <v>1</v>
      </c>
      <c r="Q41">
        <v>0.25</v>
      </c>
      <c r="R41">
        <v>952.85</v>
      </c>
      <c r="S41">
        <v>63.85</v>
      </c>
      <c r="T41" s="2">
        <v>44317</v>
      </c>
      <c r="U41" s="1" t="s">
        <v>51</v>
      </c>
      <c r="V41">
        <v>0</v>
      </c>
      <c r="W41" s="1" t="s">
        <v>56</v>
      </c>
      <c r="X41">
        <v>152</v>
      </c>
      <c r="Y41" s="1" t="s">
        <v>43</v>
      </c>
      <c r="Z41" s="1" t="s">
        <v>42</v>
      </c>
      <c r="AA41">
        <v>0</v>
      </c>
      <c r="AB41" s="1" t="s">
        <v>42</v>
      </c>
      <c r="AC41">
        <v>2</v>
      </c>
      <c r="AD41" s="2">
        <v>44317</v>
      </c>
      <c r="AE41" s="1" t="s">
        <v>58</v>
      </c>
      <c r="AF41" s="1" t="s">
        <v>54</v>
      </c>
      <c r="AG41" s="1" t="s">
        <v>63</v>
      </c>
      <c r="AH41" s="1" t="s">
        <v>47</v>
      </c>
      <c r="AI41">
        <v>3009</v>
      </c>
      <c r="AJ41">
        <v>-150.44999999999982</v>
      </c>
    </row>
    <row r="42" spans="1:36" x14ac:dyDescent="0.25">
      <c r="A42">
        <v>10041</v>
      </c>
      <c r="B42">
        <v>26</v>
      </c>
      <c r="C42" s="1" t="s">
        <v>60</v>
      </c>
      <c r="D42" s="1" t="s">
        <v>48</v>
      </c>
      <c r="E42" s="2">
        <v>44913</v>
      </c>
      <c r="F42" s="2">
        <v>44713</v>
      </c>
      <c r="G42" s="1" t="s">
        <v>38</v>
      </c>
      <c r="H42">
        <v>962</v>
      </c>
      <c r="I42">
        <v>13</v>
      </c>
      <c r="J42">
        <v>1</v>
      </c>
      <c r="K42">
        <v>11.32</v>
      </c>
      <c r="L42">
        <v>0</v>
      </c>
      <c r="M42" s="1" t="s">
        <v>67</v>
      </c>
      <c r="N42" s="1" t="s">
        <v>56</v>
      </c>
      <c r="O42">
        <v>12506</v>
      </c>
      <c r="P42" t="b">
        <v>0</v>
      </c>
      <c r="Q42">
        <v>1.0833333333333333</v>
      </c>
      <c r="R42">
        <v>962</v>
      </c>
      <c r="S42">
        <v>5.66</v>
      </c>
      <c r="T42" s="2">
        <v>44896</v>
      </c>
      <c r="U42" s="1" t="s">
        <v>57</v>
      </c>
      <c r="V42">
        <v>0</v>
      </c>
      <c r="W42" s="1" t="s">
        <v>56</v>
      </c>
      <c r="Y42" s="1" t="s">
        <v>42</v>
      </c>
      <c r="Z42" s="1" t="s">
        <v>42</v>
      </c>
      <c r="AA42">
        <v>7.1428571428571425E-2</v>
      </c>
      <c r="AB42" s="1" t="s">
        <v>52</v>
      </c>
      <c r="AC42">
        <v>1</v>
      </c>
      <c r="AD42" s="2">
        <v>44896</v>
      </c>
      <c r="AE42" s="1" t="s">
        <v>53</v>
      </c>
      <c r="AF42" s="1" t="s">
        <v>54</v>
      </c>
      <c r="AG42" s="1" t="s">
        <v>46</v>
      </c>
      <c r="AH42" s="1" t="s">
        <v>59</v>
      </c>
      <c r="AI42">
        <v>12506</v>
      </c>
      <c r="AJ42">
        <v>0</v>
      </c>
    </row>
    <row r="43" spans="1:36" x14ac:dyDescent="0.25">
      <c r="A43">
        <v>10042</v>
      </c>
      <c r="B43">
        <v>56</v>
      </c>
      <c r="C43" s="1" t="s">
        <v>75</v>
      </c>
      <c r="D43" s="1" t="s">
        <v>73</v>
      </c>
      <c r="E43" s="2">
        <v>44747</v>
      </c>
      <c r="F43" s="2">
        <v>44767</v>
      </c>
      <c r="G43" s="1" t="s">
        <v>62</v>
      </c>
      <c r="H43">
        <v>664</v>
      </c>
      <c r="I43">
        <v>19</v>
      </c>
      <c r="J43">
        <v>1</v>
      </c>
      <c r="K43">
        <v>71.010000000000005</v>
      </c>
      <c r="L43">
        <v>0</v>
      </c>
      <c r="M43" s="1" t="s">
        <v>39</v>
      </c>
      <c r="N43" s="1" t="s">
        <v>40</v>
      </c>
      <c r="O43">
        <v>12616</v>
      </c>
      <c r="P43" t="b">
        <v>1</v>
      </c>
      <c r="Q43">
        <v>1.5833333333333333</v>
      </c>
      <c r="R43">
        <v>664</v>
      </c>
      <c r="S43">
        <v>35.505000000000003</v>
      </c>
      <c r="T43" s="2">
        <v>44743</v>
      </c>
      <c r="U43" s="1" t="s">
        <v>41</v>
      </c>
      <c r="V43">
        <v>1</v>
      </c>
      <c r="W43" s="1" t="s">
        <v>56</v>
      </c>
      <c r="X43">
        <v>20</v>
      </c>
      <c r="Y43" s="1" t="s">
        <v>43</v>
      </c>
      <c r="Z43" s="1" t="s">
        <v>42</v>
      </c>
      <c r="AA43">
        <v>0.05</v>
      </c>
      <c r="AB43" s="1" t="s">
        <v>52</v>
      </c>
      <c r="AC43">
        <v>2</v>
      </c>
      <c r="AD43" s="2">
        <v>44743</v>
      </c>
      <c r="AE43" s="1" t="s">
        <v>53</v>
      </c>
      <c r="AF43" s="1" t="s">
        <v>54</v>
      </c>
      <c r="AG43" s="1" t="s">
        <v>63</v>
      </c>
      <c r="AH43" s="1" t="s">
        <v>64</v>
      </c>
      <c r="AI43">
        <v>12616</v>
      </c>
      <c r="AJ43">
        <v>0</v>
      </c>
    </row>
    <row r="44" spans="1:36" x14ac:dyDescent="0.25">
      <c r="A44">
        <v>10043</v>
      </c>
      <c r="B44">
        <v>35</v>
      </c>
      <c r="C44" s="1" t="s">
        <v>60</v>
      </c>
      <c r="D44" s="1" t="s">
        <v>73</v>
      </c>
      <c r="E44" s="2">
        <v>44862</v>
      </c>
      <c r="F44" s="2">
        <v>44920</v>
      </c>
      <c r="G44" s="1" t="s">
        <v>38</v>
      </c>
      <c r="H44">
        <v>1222</v>
      </c>
      <c r="I44">
        <v>34</v>
      </c>
      <c r="J44">
        <v>1</v>
      </c>
      <c r="K44">
        <v>108.57</v>
      </c>
      <c r="L44">
        <v>10</v>
      </c>
      <c r="M44" s="1" t="s">
        <v>65</v>
      </c>
      <c r="N44" s="1" t="s">
        <v>56</v>
      </c>
      <c r="O44">
        <v>41425.800000000003</v>
      </c>
      <c r="P44" t="b">
        <v>1</v>
      </c>
      <c r="Q44">
        <v>2.8333333333333335</v>
      </c>
      <c r="R44">
        <v>1218.4058823529413</v>
      </c>
      <c r="S44">
        <v>54.284999999999997</v>
      </c>
      <c r="T44" s="2">
        <v>44835</v>
      </c>
      <c r="U44" s="1" t="s">
        <v>57</v>
      </c>
      <c r="V44">
        <v>0</v>
      </c>
      <c r="W44" s="1" t="s">
        <v>40</v>
      </c>
      <c r="X44">
        <v>58</v>
      </c>
      <c r="Y44" s="1" t="s">
        <v>43</v>
      </c>
      <c r="Z44" s="1" t="s">
        <v>42</v>
      </c>
      <c r="AA44">
        <v>2.8571428571428571E-2</v>
      </c>
      <c r="AB44" s="1" t="s">
        <v>43</v>
      </c>
      <c r="AC44">
        <v>1</v>
      </c>
      <c r="AD44" s="2">
        <v>44835</v>
      </c>
      <c r="AE44" s="1" t="s">
        <v>44</v>
      </c>
      <c r="AF44" s="1" t="s">
        <v>54</v>
      </c>
      <c r="AG44" s="1" t="s">
        <v>63</v>
      </c>
      <c r="AH44" s="1" t="s">
        <v>47</v>
      </c>
      <c r="AI44">
        <v>41548</v>
      </c>
      <c r="AJ44">
        <v>-122.19999999999709</v>
      </c>
    </row>
    <row r="45" spans="1:36" x14ac:dyDescent="0.25">
      <c r="A45">
        <v>10044</v>
      </c>
      <c r="B45">
        <v>21</v>
      </c>
      <c r="C45" s="1" t="s">
        <v>60</v>
      </c>
      <c r="D45" s="1" t="s">
        <v>37</v>
      </c>
      <c r="E45" s="2">
        <v>44884</v>
      </c>
      <c r="F45" s="2">
        <v>45132</v>
      </c>
      <c r="G45" s="1" t="s">
        <v>38</v>
      </c>
      <c r="H45">
        <v>412</v>
      </c>
      <c r="I45">
        <v>32</v>
      </c>
      <c r="J45">
        <v>2</v>
      </c>
      <c r="K45">
        <v>94.72</v>
      </c>
      <c r="L45">
        <v>10</v>
      </c>
      <c r="M45" s="1" t="s">
        <v>50</v>
      </c>
      <c r="N45" s="1" t="s">
        <v>56</v>
      </c>
      <c r="O45">
        <v>13142.8</v>
      </c>
      <c r="P45" t="b">
        <v>1</v>
      </c>
      <c r="Q45">
        <v>2.6666666666666665</v>
      </c>
      <c r="R45">
        <v>410.71249999999998</v>
      </c>
      <c r="S45">
        <v>31.573333333333334</v>
      </c>
      <c r="T45" s="2">
        <v>44866</v>
      </c>
      <c r="U45" s="1" t="s">
        <v>66</v>
      </c>
      <c r="V45">
        <v>0</v>
      </c>
      <c r="W45" s="1" t="s">
        <v>56</v>
      </c>
      <c r="X45">
        <v>248</v>
      </c>
      <c r="Y45" s="1" t="s">
        <v>43</v>
      </c>
      <c r="Z45" s="1" t="s">
        <v>42</v>
      </c>
      <c r="AA45">
        <v>6.0606060606060608E-2</v>
      </c>
      <c r="AB45" s="1" t="s">
        <v>52</v>
      </c>
      <c r="AC45">
        <v>1</v>
      </c>
      <c r="AD45" s="2">
        <v>44866</v>
      </c>
      <c r="AE45" s="1" t="s">
        <v>44</v>
      </c>
      <c r="AF45" s="1" t="s">
        <v>72</v>
      </c>
      <c r="AG45" s="1" t="s">
        <v>63</v>
      </c>
      <c r="AH45" s="1" t="s">
        <v>68</v>
      </c>
      <c r="AI45">
        <v>13184</v>
      </c>
      <c r="AJ45">
        <v>-41.200000000000728</v>
      </c>
    </row>
    <row r="46" spans="1:36" x14ac:dyDescent="0.25">
      <c r="A46">
        <v>10045</v>
      </c>
      <c r="B46">
        <v>42</v>
      </c>
      <c r="C46" s="1" t="s">
        <v>60</v>
      </c>
      <c r="D46" s="1" t="s">
        <v>61</v>
      </c>
      <c r="E46" s="2">
        <v>44949</v>
      </c>
      <c r="F46" s="2">
        <v>44908</v>
      </c>
      <c r="G46" s="1" t="s">
        <v>49</v>
      </c>
      <c r="H46">
        <v>475</v>
      </c>
      <c r="I46">
        <v>16</v>
      </c>
      <c r="J46">
        <v>1</v>
      </c>
      <c r="K46">
        <v>95.43</v>
      </c>
      <c r="L46">
        <v>15</v>
      </c>
      <c r="M46" s="1" t="s">
        <v>65</v>
      </c>
      <c r="N46" s="1" t="s">
        <v>56</v>
      </c>
      <c r="O46">
        <v>7528.75</v>
      </c>
      <c r="P46" t="b">
        <v>0</v>
      </c>
      <c r="Q46">
        <v>1.3333333333333333</v>
      </c>
      <c r="R46">
        <v>470.546875</v>
      </c>
      <c r="S46">
        <v>47.715000000000003</v>
      </c>
      <c r="T46" s="2">
        <v>44927</v>
      </c>
      <c r="U46" s="1" t="s">
        <v>51</v>
      </c>
      <c r="V46">
        <v>0</v>
      </c>
      <c r="W46" s="1" t="s">
        <v>56</v>
      </c>
      <c r="Y46" s="1" t="s">
        <v>43</v>
      </c>
      <c r="Z46" s="1" t="s">
        <v>42</v>
      </c>
      <c r="AA46">
        <v>5.8823529411764705E-2</v>
      </c>
      <c r="AB46" s="1" t="s">
        <v>42</v>
      </c>
      <c r="AC46">
        <v>3</v>
      </c>
      <c r="AD46" s="2">
        <v>44927</v>
      </c>
      <c r="AE46" s="1" t="s">
        <v>53</v>
      </c>
      <c r="AF46" s="1" t="s">
        <v>54</v>
      </c>
      <c r="AG46" s="1" t="s">
        <v>63</v>
      </c>
      <c r="AH46" s="1" t="s">
        <v>68</v>
      </c>
      <c r="AI46">
        <v>7600</v>
      </c>
      <c r="AJ46">
        <v>-71.25</v>
      </c>
    </row>
    <row r="47" spans="1:36" x14ac:dyDescent="0.25">
      <c r="A47">
        <v>10046</v>
      </c>
      <c r="B47">
        <v>31</v>
      </c>
      <c r="C47" s="1" t="s">
        <v>36</v>
      </c>
      <c r="D47" s="1" t="s">
        <v>61</v>
      </c>
      <c r="E47" s="2">
        <v>44618</v>
      </c>
      <c r="F47" s="2">
        <v>45191</v>
      </c>
      <c r="G47" s="1" t="s">
        <v>62</v>
      </c>
      <c r="H47">
        <v>1472</v>
      </c>
      <c r="I47">
        <v>18</v>
      </c>
      <c r="J47">
        <v>1</v>
      </c>
      <c r="K47">
        <v>23.39</v>
      </c>
      <c r="L47">
        <v>10</v>
      </c>
      <c r="M47" s="1" t="s">
        <v>50</v>
      </c>
      <c r="N47" s="1" t="s">
        <v>56</v>
      </c>
      <c r="O47">
        <v>26348.799999999999</v>
      </c>
      <c r="P47" t="b">
        <v>1</v>
      </c>
      <c r="Q47">
        <v>1.5</v>
      </c>
      <c r="R47">
        <v>1463.8222222222221</v>
      </c>
      <c r="S47">
        <v>11.695</v>
      </c>
      <c r="T47" s="2">
        <v>44593</v>
      </c>
      <c r="U47" s="1" t="s">
        <v>57</v>
      </c>
      <c r="V47">
        <v>0</v>
      </c>
      <c r="W47" s="1" t="s">
        <v>40</v>
      </c>
      <c r="X47">
        <v>573</v>
      </c>
      <c r="Y47" s="1" t="s">
        <v>52</v>
      </c>
      <c r="Z47" s="1" t="s">
        <v>42</v>
      </c>
      <c r="AA47">
        <v>5.2631578947368418E-2</v>
      </c>
      <c r="AB47" s="1" t="s">
        <v>43</v>
      </c>
      <c r="AC47">
        <v>2</v>
      </c>
      <c r="AD47" s="2">
        <v>44593</v>
      </c>
      <c r="AE47" s="1" t="s">
        <v>53</v>
      </c>
      <c r="AF47" s="1" t="s">
        <v>54</v>
      </c>
      <c r="AG47" s="1" t="s">
        <v>70</v>
      </c>
      <c r="AH47" s="1" t="s">
        <v>47</v>
      </c>
      <c r="AI47">
        <v>26496</v>
      </c>
      <c r="AJ47">
        <v>-147.20000000000073</v>
      </c>
    </row>
    <row r="48" spans="1:36" x14ac:dyDescent="0.25">
      <c r="A48">
        <v>10047</v>
      </c>
      <c r="B48">
        <v>26</v>
      </c>
      <c r="C48" s="1" t="s">
        <v>36</v>
      </c>
      <c r="D48" s="1" t="s">
        <v>69</v>
      </c>
      <c r="E48" s="2">
        <v>45094</v>
      </c>
      <c r="F48" s="2">
        <v>44791</v>
      </c>
      <c r="G48" s="1" t="s">
        <v>38</v>
      </c>
      <c r="H48">
        <v>1235</v>
      </c>
      <c r="I48">
        <v>14</v>
      </c>
      <c r="J48">
        <v>1</v>
      </c>
      <c r="K48">
        <v>46.22</v>
      </c>
      <c r="L48">
        <v>10</v>
      </c>
      <c r="M48" s="1" t="s">
        <v>67</v>
      </c>
      <c r="N48" s="1" t="s">
        <v>40</v>
      </c>
      <c r="O48">
        <v>17290</v>
      </c>
      <c r="P48" t="b">
        <v>0</v>
      </c>
      <c r="Q48">
        <v>1.1666666666666667</v>
      </c>
      <c r="R48">
        <v>1235</v>
      </c>
      <c r="S48">
        <v>23.11</v>
      </c>
      <c r="T48" s="2">
        <v>45078</v>
      </c>
      <c r="U48" s="1" t="s">
        <v>57</v>
      </c>
      <c r="V48">
        <v>1</v>
      </c>
      <c r="W48" s="1" t="s">
        <v>40</v>
      </c>
      <c r="Y48" s="1" t="s">
        <v>52</v>
      </c>
      <c r="Z48" s="1" t="s">
        <v>42</v>
      </c>
      <c r="AA48">
        <v>6.6666666666666666E-2</v>
      </c>
      <c r="AB48" s="1" t="s">
        <v>52</v>
      </c>
      <c r="AC48">
        <v>1</v>
      </c>
      <c r="AD48" s="2">
        <v>45078</v>
      </c>
      <c r="AE48" s="1" t="s">
        <v>53</v>
      </c>
      <c r="AF48" s="1" t="s">
        <v>54</v>
      </c>
      <c r="AG48" s="1" t="s">
        <v>63</v>
      </c>
      <c r="AH48" s="1" t="s">
        <v>47</v>
      </c>
      <c r="AI48">
        <v>17290</v>
      </c>
      <c r="AJ48">
        <v>0</v>
      </c>
    </row>
    <row r="49" spans="1:36" x14ac:dyDescent="0.25">
      <c r="A49">
        <v>10048</v>
      </c>
      <c r="B49">
        <v>43</v>
      </c>
      <c r="C49" s="1" t="s">
        <v>36</v>
      </c>
      <c r="D49" s="1" t="s">
        <v>69</v>
      </c>
      <c r="E49" s="2">
        <v>44565</v>
      </c>
      <c r="F49" s="2">
        <v>44781</v>
      </c>
      <c r="G49" s="1" t="s">
        <v>38</v>
      </c>
      <c r="H49">
        <v>681</v>
      </c>
      <c r="I49">
        <v>30</v>
      </c>
      <c r="J49">
        <v>3</v>
      </c>
      <c r="K49">
        <v>31.82</v>
      </c>
      <c r="L49">
        <v>5</v>
      </c>
      <c r="M49" s="1" t="s">
        <v>50</v>
      </c>
      <c r="N49" s="1" t="s">
        <v>56</v>
      </c>
      <c r="O49">
        <v>20395.95</v>
      </c>
      <c r="P49" t="b">
        <v>1</v>
      </c>
      <c r="Q49">
        <v>2.5</v>
      </c>
      <c r="R49">
        <v>679.86500000000001</v>
      </c>
      <c r="S49">
        <v>7.9550000000000001</v>
      </c>
      <c r="T49" s="2">
        <v>44562</v>
      </c>
      <c r="U49" s="1" t="s">
        <v>51</v>
      </c>
      <c r="V49">
        <v>0</v>
      </c>
      <c r="W49" s="1" t="s">
        <v>40</v>
      </c>
      <c r="X49">
        <v>216</v>
      </c>
      <c r="Y49" s="1" t="s">
        <v>52</v>
      </c>
      <c r="Z49" s="1" t="s">
        <v>42</v>
      </c>
      <c r="AA49">
        <v>9.6774193548387094E-2</v>
      </c>
      <c r="AB49" s="1" t="s">
        <v>43</v>
      </c>
      <c r="AC49">
        <v>1</v>
      </c>
      <c r="AD49" s="2">
        <v>44562</v>
      </c>
      <c r="AE49" s="1" t="s">
        <v>44</v>
      </c>
      <c r="AF49" s="1" t="s">
        <v>72</v>
      </c>
      <c r="AG49" s="1" t="s">
        <v>55</v>
      </c>
      <c r="AH49" s="1" t="s">
        <v>64</v>
      </c>
      <c r="AI49">
        <v>20430</v>
      </c>
      <c r="AJ49">
        <v>-34.049999999999272</v>
      </c>
    </row>
    <row r="50" spans="1:36" x14ac:dyDescent="0.25">
      <c r="A50">
        <v>10049</v>
      </c>
      <c r="B50">
        <v>41</v>
      </c>
      <c r="C50" s="1" t="s">
        <v>60</v>
      </c>
      <c r="D50" s="1" t="s">
        <v>73</v>
      </c>
      <c r="E50" s="2">
        <v>44842</v>
      </c>
      <c r="F50" s="2">
        <v>44990</v>
      </c>
      <c r="G50" s="1" t="s">
        <v>38</v>
      </c>
      <c r="H50">
        <v>605</v>
      </c>
      <c r="I50">
        <v>2</v>
      </c>
      <c r="J50">
        <v>0</v>
      </c>
      <c r="K50">
        <v>41.33</v>
      </c>
      <c r="L50">
        <v>0</v>
      </c>
      <c r="M50" s="1" t="s">
        <v>50</v>
      </c>
      <c r="N50" s="1" t="s">
        <v>56</v>
      </c>
      <c r="O50">
        <v>1210</v>
      </c>
      <c r="P50" t="b">
        <v>1</v>
      </c>
      <c r="Q50">
        <v>0.16666666666666666</v>
      </c>
      <c r="R50">
        <v>605</v>
      </c>
      <c r="S50">
        <v>41.33</v>
      </c>
      <c r="T50" s="2">
        <v>44835</v>
      </c>
      <c r="U50" s="1" t="s">
        <v>51</v>
      </c>
      <c r="V50">
        <v>0</v>
      </c>
      <c r="W50" s="1" t="s">
        <v>56</v>
      </c>
      <c r="X50">
        <v>148</v>
      </c>
      <c r="Y50" s="1" t="s">
        <v>52</v>
      </c>
      <c r="Z50" s="1" t="s">
        <v>42</v>
      </c>
      <c r="AA50">
        <v>0</v>
      </c>
      <c r="AB50" s="1" t="s">
        <v>42</v>
      </c>
      <c r="AC50">
        <v>1</v>
      </c>
      <c r="AD50" s="2">
        <v>44835</v>
      </c>
      <c r="AE50" s="1" t="s">
        <v>58</v>
      </c>
      <c r="AF50" s="1" t="s">
        <v>54</v>
      </c>
      <c r="AG50" s="1" t="s">
        <v>55</v>
      </c>
      <c r="AH50" s="1" t="s">
        <v>64</v>
      </c>
      <c r="AI50">
        <v>1210</v>
      </c>
      <c r="AJ50">
        <v>0</v>
      </c>
    </row>
    <row r="51" spans="1:36" x14ac:dyDescent="0.25">
      <c r="A51">
        <v>10050</v>
      </c>
      <c r="B51">
        <v>37</v>
      </c>
      <c r="C51" s="1" t="s">
        <v>36</v>
      </c>
      <c r="D51" s="1" t="s">
        <v>69</v>
      </c>
      <c r="E51" s="2">
        <v>44754</v>
      </c>
      <c r="F51" s="2">
        <v>44902</v>
      </c>
      <c r="G51" s="1" t="s">
        <v>38</v>
      </c>
      <c r="H51">
        <v>901</v>
      </c>
      <c r="I51">
        <v>13</v>
      </c>
      <c r="J51">
        <v>1</v>
      </c>
      <c r="K51">
        <v>71.650000000000006</v>
      </c>
      <c r="L51">
        <v>15</v>
      </c>
      <c r="M51" s="1" t="s">
        <v>50</v>
      </c>
      <c r="N51" s="1" t="s">
        <v>56</v>
      </c>
      <c r="O51">
        <v>11577.85</v>
      </c>
      <c r="P51" t="b">
        <v>1</v>
      </c>
      <c r="Q51">
        <v>1.0833333333333333</v>
      </c>
      <c r="R51">
        <v>890.60384615384623</v>
      </c>
      <c r="S51">
        <v>35.825000000000003</v>
      </c>
      <c r="T51" s="2">
        <v>44743</v>
      </c>
      <c r="U51" s="1" t="s">
        <v>51</v>
      </c>
      <c r="V51">
        <v>0</v>
      </c>
      <c r="W51" s="1" t="s">
        <v>56</v>
      </c>
      <c r="X51">
        <v>148</v>
      </c>
      <c r="Y51" s="1" t="s">
        <v>43</v>
      </c>
      <c r="Z51" s="1" t="s">
        <v>42</v>
      </c>
      <c r="AA51">
        <v>7.1428571428571425E-2</v>
      </c>
      <c r="AB51" s="1" t="s">
        <v>52</v>
      </c>
      <c r="AC51">
        <v>1</v>
      </c>
      <c r="AD51" s="2">
        <v>44743</v>
      </c>
      <c r="AE51" s="1" t="s">
        <v>53</v>
      </c>
      <c r="AF51" s="1" t="s">
        <v>54</v>
      </c>
      <c r="AG51" s="1" t="s">
        <v>63</v>
      </c>
      <c r="AH51" s="1" t="s">
        <v>59</v>
      </c>
      <c r="AI51">
        <v>11713</v>
      </c>
      <c r="AJ51">
        <v>-135.14999999999964</v>
      </c>
    </row>
    <row r="52" spans="1:36" x14ac:dyDescent="0.25">
      <c r="A52">
        <v>10051</v>
      </c>
      <c r="B52">
        <v>45</v>
      </c>
      <c r="C52" s="1" t="s">
        <v>60</v>
      </c>
      <c r="D52" s="1" t="s">
        <v>71</v>
      </c>
      <c r="E52" s="2">
        <v>44246</v>
      </c>
      <c r="F52" s="2">
        <v>44404</v>
      </c>
      <c r="G52" s="1" t="s">
        <v>38</v>
      </c>
      <c r="H52">
        <v>642</v>
      </c>
      <c r="I52">
        <v>27</v>
      </c>
      <c r="J52">
        <v>1</v>
      </c>
      <c r="K52">
        <v>46.95</v>
      </c>
      <c r="L52">
        <v>5</v>
      </c>
      <c r="M52" s="1" t="s">
        <v>50</v>
      </c>
      <c r="N52" s="1" t="s">
        <v>56</v>
      </c>
      <c r="O52">
        <v>17301.900000000001</v>
      </c>
      <c r="P52" t="b">
        <v>1</v>
      </c>
      <c r="Q52">
        <v>2.25</v>
      </c>
      <c r="R52">
        <v>640.81111111111113</v>
      </c>
      <c r="S52">
        <v>23.475000000000001</v>
      </c>
      <c r="T52" s="2">
        <v>44228</v>
      </c>
      <c r="U52" s="1" t="s">
        <v>51</v>
      </c>
      <c r="V52">
        <v>0</v>
      </c>
      <c r="W52" s="1" t="s">
        <v>40</v>
      </c>
      <c r="X52">
        <v>158</v>
      </c>
      <c r="Y52" s="1" t="s">
        <v>52</v>
      </c>
      <c r="Z52" s="1" t="s">
        <v>42</v>
      </c>
      <c r="AA52">
        <v>3.5714285714285712E-2</v>
      </c>
      <c r="AB52" s="1" t="s">
        <v>52</v>
      </c>
      <c r="AC52">
        <v>1</v>
      </c>
      <c r="AD52" s="2">
        <v>44228</v>
      </c>
      <c r="AE52" s="1" t="s">
        <v>44</v>
      </c>
      <c r="AF52" s="1" t="s">
        <v>54</v>
      </c>
      <c r="AG52" s="1" t="s">
        <v>63</v>
      </c>
      <c r="AH52" s="1" t="s">
        <v>64</v>
      </c>
      <c r="AI52">
        <v>17334</v>
      </c>
      <c r="AJ52">
        <v>-32.099999999998545</v>
      </c>
    </row>
    <row r="53" spans="1:36" x14ac:dyDescent="0.25">
      <c r="A53">
        <v>10052</v>
      </c>
      <c r="B53">
        <v>64</v>
      </c>
      <c r="C53" s="1" t="s">
        <v>36</v>
      </c>
      <c r="D53" s="1" t="s">
        <v>69</v>
      </c>
      <c r="E53" s="2">
        <v>44874</v>
      </c>
      <c r="F53" s="2">
        <v>44909</v>
      </c>
      <c r="G53" s="1" t="s">
        <v>62</v>
      </c>
      <c r="H53">
        <v>455</v>
      </c>
      <c r="I53">
        <v>17</v>
      </c>
      <c r="J53">
        <v>3</v>
      </c>
      <c r="K53">
        <v>69.48</v>
      </c>
      <c r="L53">
        <v>5</v>
      </c>
      <c r="M53" s="1" t="s">
        <v>67</v>
      </c>
      <c r="N53" s="1" t="s">
        <v>56</v>
      </c>
      <c r="O53">
        <v>7712.25</v>
      </c>
      <c r="P53" t="b">
        <v>1</v>
      </c>
      <c r="Q53">
        <v>1.4166666666666667</v>
      </c>
      <c r="R53">
        <v>453.66176470588238</v>
      </c>
      <c r="S53">
        <v>17.37</v>
      </c>
      <c r="T53" s="2">
        <v>44866</v>
      </c>
      <c r="U53" s="1" t="s">
        <v>41</v>
      </c>
      <c r="V53">
        <v>0</v>
      </c>
      <c r="W53" s="1" t="s">
        <v>56</v>
      </c>
      <c r="X53">
        <v>35</v>
      </c>
      <c r="Y53" s="1" t="s">
        <v>43</v>
      </c>
      <c r="Z53" s="1" t="s">
        <v>42</v>
      </c>
      <c r="AA53">
        <v>0.16666666666666666</v>
      </c>
      <c r="AB53" s="1" t="s">
        <v>42</v>
      </c>
      <c r="AC53">
        <v>2</v>
      </c>
      <c r="AD53" s="2">
        <v>44866</v>
      </c>
      <c r="AE53" s="1" t="s">
        <v>53</v>
      </c>
      <c r="AF53" s="1" t="s">
        <v>72</v>
      </c>
      <c r="AG53" s="1" t="s">
        <v>63</v>
      </c>
      <c r="AH53" s="1" t="s">
        <v>68</v>
      </c>
      <c r="AI53">
        <v>7735</v>
      </c>
      <c r="AJ53">
        <v>-22.75</v>
      </c>
    </row>
    <row r="54" spans="1:36" x14ac:dyDescent="0.25">
      <c r="A54">
        <v>10053</v>
      </c>
      <c r="B54">
        <v>24</v>
      </c>
      <c r="C54" s="1" t="s">
        <v>36</v>
      </c>
      <c r="D54" s="1" t="s">
        <v>71</v>
      </c>
      <c r="E54" s="2">
        <v>44302</v>
      </c>
      <c r="F54" s="2">
        <v>44525</v>
      </c>
      <c r="G54" s="1" t="s">
        <v>38</v>
      </c>
      <c r="H54">
        <v>1011</v>
      </c>
      <c r="I54">
        <v>31</v>
      </c>
      <c r="J54">
        <v>4</v>
      </c>
      <c r="K54">
        <v>55.43</v>
      </c>
      <c r="L54">
        <v>0</v>
      </c>
      <c r="M54" s="1" t="s">
        <v>50</v>
      </c>
      <c r="N54" s="1" t="s">
        <v>56</v>
      </c>
      <c r="O54">
        <v>31341</v>
      </c>
      <c r="P54" t="b">
        <v>1</v>
      </c>
      <c r="Q54">
        <v>2.5833333333333335</v>
      </c>
      <c r="R54">
        <v>1011</v>
      </c>
      <c r="S54">
        <v>11.086</v>
      </c>
      <c r="T54" s="2">
        <v>44287</v>
      </c>
      <c r="U54" s="1" t="s">
        <v>66</v>
      </c>
      <c r="V54">
        <v>0</v>
      </c>
      <c r="W54" s="1" t="s">
        <v>40</v>
      </c>
      <c r="X54">
        <v>223</v>
      </c>
      <c r="Y54" s="1" t="s">
        <v>52</v>
      </c>
      <c r="Z54" s="1" t="s">
        <v>42</v>
      </c>
      <c r="AA54">
        <v>0.125</v>
      </c>
      <c r="AB54" s="1" t="s">
        <v>43</v>
      </c>
      <c r="AC54">
        <v>1</v>
      </c>
      <c r="AD54" s="2">
        <v>44287</v>
      </c>
      <c r="AE54" s="1" t="s">
        <v>44</v>
      </c>
      <c r="AF54" s="1" t="s">
        <v>45</v>
      </c>
      <c r="AG54" s="1" t="s">
        <v>63</v>
      </c>
      <c r="AH54" s="1" t="s">
        <v>47</v>
      </c>
      <c r="AI54">
        <v>31341</v>
      </c>
      <c r="AJ54">
        <v>0</v>
      </c>
    </row>
    <row r="55" spans="1:36" x14ac:dyDescent="0.25">
      <c r="A55">
        <v>10054</v>
      </c>
      <c r="B55">
        <v>61</v>
      </c>
      <c r="C55" s="1" t="s">
        <v>60</v>
      </c>
      <c r="D55" s="1" t="s">
        <v>76</v>
      </c>
      <c r="E55" s="2">
        <v>44412</v>
      </c>
      <c r="F55" s="2">
        <v>44640</v>
      </c>
      <c r="G55" s="1" t="s">
        <v>62</v>
      </c>
      <c r="H55">
        <v>1378</v>
      </c>
      <c r="I55">
        <v>15</v>
      </c>
      <c r="J55">
        <v>1</v>
      </c>
      <c r="K55">
        <v>37.96</v>
      </c>
      <c r="L55">
        <v>5</v>
      </c>
      <c r="M55" s="1" t="s">
        <v>65</v>
      </c>
      <c r="N55" s="1" t="s">
        <v>56</v>
      </c>
      <c r="O55">
        <v>20601.099999999999</v>
      </c>
      <c r="P55" t="b">
        <v>1</v>
      </c>
      <c r="Q55">
        <v>1.25</v>
      </c>
      <c r="R55">
        <v>1373.4066666666665</v>
      </c>
      <c r="S55">
        <v>18.98</v>
      </c>
      <c r="T55" s="2">
        <v>44409</v>
      </c>
      <c r="U55" s="1" t="s">
        <v>41</v>
      </c>
      <c r="V55">
        <v>0</v>
      </c>
      <c r="W55" s="1" t="s">
        <v>40</v>
      </c>
      <c r="X55">
        <v>228</v>
      </c>
      <c r="Y55" s="1" t="s">
        <v>52</v>
      </c>
      <c r="Z55" s="1" t="s">
        <v>42</v>
      </c>
      <c r="AA55">
        <v>6.25E-2</v>
      </c>
      <c r="AB55" s="1" t="s">
        <v>43</v>
      </c>
      <c r="AC55">
        <v>2</v>
      </c>
      <c r="AD55" s="2">
        <v>44409</v>
      </c>
      <c r="AE55" s="1" t="s">
        <v>53</v>
      </c>
      <c r="AF55" s="1" t="s">
        <v>54</v>
      </c>
      <c r="AG55" s="1" t="s">
        <v>55</v>
      </c>
      <c r="AH55" s="1" t="s">
        <v>47</v>
      </c>
      <c r="AI55">
        <v>20670</v>
      </c>
      <c r="AJ55">
        <v>-68.900000000001455</v>
      </c>
    </row>
    <row r="56" spans="1:36" x14ac:dyDescent="0.25">
      <c r="A56">
        <v>10055</v>
      </c>
      <c r="B56">
        <v>25</v>
      </c>
      <c r="C56" s="1" t="s">
        <v>60</v>
      </c>
      <c r="D56" s="1" t="s">
        <v>73</v>
      </c>
      <c r="E56" s="2">
        <v>44854</v>
      </c>
      <c r="F56" s="2">
        <v>44393</v>
      </c>
      <c r="G56" s="1" t="s">
        <v>38</v>
      </c>
      <c r="H56">
        <v>702</v>
      </c>
      <c r="I56">
        <v>20</v>
      </c>
      <c r="J56">
        <v>2</v>
      </c>
      <c r="K56">
        <v>15.97</v>
      </c>
      <c r="L56">
        <v>5</v>
      </c>
      <c r="M56" s="1" t="s">
        <v>39</v>
      </c>
      <c r="N56" s="1" t="s">
        <v>56</v>
      </c>
      <c r="O56">
        <v>14004.9</v>
      </c>
      <c r="P56" t="b">
        <v>0</v>
      </c>
      <c r="Q56">
        <v>1.6666666666666667</v>
      </c>
      <c r="R56">
        <v>700.245</v>
      </c>
      <c r="S56">
        <v>5.3233333333333333</v>
      </c>
      <c r="T56" s="2">
        <v>44835</v>
      </c>
      <c r="U56" s="1" t="s">
        <v>66</v>
      </c>
      <c r="V56">
        <v>0</v>
      </c>
      <c r="W56" s="1" t="s">
        <v>40</v>
      </c>
      <c r="Y56" s="1" t="s">
        <v>42</v>
      </c>
      <c r="Z56" s="1" t="s">
        <v>42</v>
      </c>
      <c r="AA56">
        <v>9.5238095238095233E-2</v>
      </c>
      <c r="AB56" s="1" t="s">
        <v>52</v>
      </c>
      <c r="AC56">
        <v>1</v>
      </c>
      <c r="AD56" s="2">
        <v>44835</v>
      </c>
      <c r="AE56" s="1" t="s">
        <v>53</v>
      </c>
      <c r="AF56" s="1" t="s">
        <v>72</v>
      </c>
      <c r="AG56" s="1" t="s">
        <v>46</v>
      </c>
      <c r="AH56" s="1" t="s">
        <v>59</v>
      </c>
      <c r="AI56">
        <v>14040</v>
      </c>
      <c r="AJ56">
        <v>-35.100000000000364</v>
      </c>
    </row>
    <row r="57" spans="1:36" x14ac:dyDescent="0.25">
      <c r="A57">
        <v>10056</v>
      </c>
      <c r="B57">
        <v>64</v>
      </c>
      <c r="C57" s="1" t="s">
        <v>60</v>
      </c>
      <c r="D57" s="1" t="s">
        <v>73</v>
      </c>
      <c r="E57" s="2">
        <v>44621</v>
      </c>
      <c r="F57" s="2">
        <v>44517</v>
      </c>
      <c r="G57" s="1" t="s">
        <v>49</v>
      </c>
      <c r="H57">
        <v>913</v>
      </c>
      <c r="I57">
        <v>5</v>
      </c>
      <c r="J57">
        <v>4</v>
      </c>
      <c r="K57">
        <v>107.56</v>
      </c>
      <c r="L57">
        <v>10</v>
      </c>
      <c r="M57" s="1" t="s">
        <v>39</v>
      </c>
      <c r="N57" s="1" t="s">
        <v>56</v>
      </c>
      <c r="O57">
        <v>4473.7</v>
      </c>
      <c r="P57" t="b">
        <v>0</v>
      </c>
      <c r="Q57">
        <v>0.41666666666666669</v>
      </c>
      <c r="R57">
        <v>894.74</v>
      </c>
      <c r="S57">
        <v>21.512</v>
      </c>
      <c r="T57" s="2">
        <v>44621</v>
      </c>
      <c r="U57" s="1" t="s">
        <v>41</v>
      </c>
      <c r="V57">
        <v>0</v>
      </c>
      <c r="W57" s="1" t="s">
        <v>56</v>
      </c>
      <c r="Y57" s="1" t="s">
        <v>43</v>
      </c>
      <c r="Z57" s="1" t="s">
        <v>42</v>
      </c>
      <c r="AA57">
        <v>0.66666666666666663</v>
      </c>
      <c r="AB57" s="1" t="s">
        <v>42</v>
      </c>
      <c r="AC57">
        <v>3</v>
      </c>
      <c r="AD57" s="2">
        <v>44621</v>
      </c>
      <c r="AE57" s="1" t="s">
        <v>58</v>
      </c>
      <c r="AF57" s="1" t="s">
        <v>45</v>
      </c>
      <c r="AG57" s="1" t="s">
        <v>63</v>
      </c>
      <c r="AH57" s="1" t="s">
        <v>59</v>
      </c>
      <c r="AI57">
        <v>4565</v>
      </c>
      <c r="AJ57">
        <v>-91.300000000000182</v>
      </c>
    </row>
    <row r="58" spans="1:36" x14ac:dyDescent="0.25">
      <c r="A58">
        <v>10057</v>
      </c>
      <c r="B58">
        <v>52</v>
      </c>
      <c r="C58" s="1" t="s">
        <v>60</v>
      </c>
      <c r="D58" s="1" t="s">
        <v>71</v>
      </c>
      <c r="E58" s="2">
        <v>44268</v>
      </c>
      <c r="F58" s="2">
        <v>44618</v>
      </c>
      <c r="G58" s="1" t="s">
        <v>38</v>
      </c>
      <c r="H58">
        <v>1096</v>
      </c>
      <c r="I58">
        <v>7</v>
      </c>
      <c r="J58">
        <v>2</v>
      </c>
      <c r="K58">
        <v>6.31</v>
      </c>
      <c r="L58">
        <v>5</v>
      </c>
      <c r="M58" s="1" t="s">
        <v>65</v>
      </c>
      <c r="N58" s="1" t="s">
        <v>56</v>
      </c>
      <c r="O58">
        <v>7617.2</v>
      </c>
      <c r="P58" t="b">
        <v>1</v>
      </c>
      <c r="Q58">
        <v>0.58333333333333337</v>
      </c>
      <c r="R58">
        <v>1088.1714285714286</v>
      </c>
      <c r="S58">
        <v>2.1033333333333331</v>
      </c>
      <c r="T58" s="2">
        <v>44256</v>
      </c>
      <c r="U58" s="1" t="s">
        <v>41</v>
      </c>
      <c r="V58">
        <v>0</v>
      </c>
      <c r="W58" s="1" t="s">
        <v>56</v>
      </c>
      <c r="X58">
        <v>350</v>
      </c>
      <c r="Y58" s="1" t="s">
        <v>42</v>
      </c>
      <c r="Z58" s="1" t="s">
        <v>42</v>
      </c>
      <c r="AA58">
        <v>0.25</v>
      </c>
      <c r="AB58" s="1" t="s">
        <v>42</v>
      </c>
      <c r="AC58">
        <v>1</v>
      </c>
      <c r="AD58" s="2">
        <v>44256</v>
      </c>
      <c r="AE58" s="1" t="s">
        <v>74</v>
      </c>
      <c r="AF58" s="1" t="s">
        <v>72</v>
      </c>
      <c r="AG58" s="1" t="s">
        <v>77</v>
      </c>
      <c r="AH58" s="1" t="s">
        <v>47</v>
      </c>
      <c r="AI58">
        <v>7672</v>
      </c>
      <c r="AJ58">
        <v>-54.800000000000182</v>
      </c>
    </row>
    <row r="59" spans="1:36" x14ac:dyDescent="0.25">
      <c r="A59">
        <v>10058</v>
      </c>
      <c r="B59">
        <v>31</v>
      </c>
      <c r="C59" s="1" t="s">
        <v>60</v>
      </c>
      <c r="D59" s="1" t="s">
        <v>37</v>
      </c>
      <c r="E59" s="2">
        <v>45038</v>
      </c>
      <c r="F59" s="2">
        <v>44764</v>
      </c>
      <c r="G59" s="1" t="s">
        <v>38</v>
      </c>
      <c r="H59">
        <v>922</v>
      </c>
      <c r="I59">
        <v>18</v>
      </c>
      <c r="J59">
        <v>0</v>
      </c>
      <c r="K59">
        <v>5.19</v>
      </c>
      <c r="L59">
        <v>15</v>
      </c>
      <c r="M59" s="1" t="s">
        <v>67</v>
      </c>
      <c r="N59" s="1" t="s">
        <v>56</v>
      </c>
      <c r="O59">
        <v>16457.7</v>
      </c>
      <c r="P59" t="b">
        <v>0</v>
      </c>
      <c r="Q59">
        <v>1.5</v>
      </c>
      <c r="R59">
        <v>914.31666666666672</v>
      </c>
      <c r="S59">
        <v>5.19</v>
      </c>
      <c r="T59" s="2">
        <v>45017</v>
      </c>
      <c r="U59" s="1" t="s">
        <v>57</v>
      </c>
      <c r="V59">
        <v>0</v>
      </c>
      <c r="W59" s="1" t="s">
        <v>40</v>
      </c>
      <c r="Y59" s="1" t="s">
        <v>42</v>
      </c>
      <c r="Z59" s="1" t="s">
        <v>42</v>
      </c>
      <c r="AA59">
        <v>0</v>
      </c>
      <c r="AB59" s="1" t="s">
        <v>52</v>
      </c>
      <c r="AC59">
        <v>1</v>
      </c>
      <c r="AD59" s="2">
        <v>45017</v>
      </c>
      <c r="AE59" s="1" t="s">
        <v>53</v>
      </c>
      <c r="AF59" s="1" t="s">
        <v>54</v>
      </c>
      <c r="AG59" s="1" t="s">
        <v>77</v>
      </c>
      <c r="AH59" s="1" t="s">
        <v>59</v>
      </c>
      <c r="AI59">
        <v>16596</v>
      </c>
      <c r="AJ59">
        <v>-138.29999999999927</v>
      </c>
    </row>
    <row r="60" spans="1:36" x14ac:dyDescent="0.25">
      <c r="A60">
        <v>10059</v>
      </c>
      <c r="B60">
        <v>34</v>
      </c>
      <c r="C60" s="1" t="s">
        <v>36</v>
      </c>
      <c r="D60" s="1" t="s">
        <v>73</v>
      </c>
      <c r="E60" s="2">
        <v>44981</v>
      </c>
      <c r="F60" s="2">
        <v>45195</v>
      </c>
      <c r="G60" s="1" t="s">
        <v>38</v>
      </c>
      <c r="H60">
        <v>902</v>
      </c>
      <c r="I60">
        <v>11</v>
      </c>
      <c r="J60">
        <v>0</v>
      </c>
      <c r="K60">
        <v>100.08</v>
      </c>
      <c r="L60">
        <v>5</v>
      </c>
      <c r="M60" s="1" t="s">
        <v>65</v>
      </c>
      <c r="N60" s="1" t="s">
        <v>40</v>
      </c>
      <c r="O60">
        <v>9876.9</v>
      </c>
      <c r="P60" t="b">
        <v>1</v>
      </c>
      <c r="Q60">
        <v>0.91666666666666663</v>
      </c>
      <c r="R60">
        <v>897.9</v>
      </c>
      <c r="S60">
        <v>100.08</v>
      </c>
      <c r="T60" s="2">
        <v>44958</v>
      </c>
      <c r="U60" s="1" t="s">
        <v>57</v>
      </c>
      <c r="V60">
        <v>1</v>
      </c>
      <c r="W60" s="1" t="s">
        <v>56</v>
      </c>
      <c r="X60">
        <v>214</v>
      </c>
      <c r="Y60" s="1" t="s">
        <v>43</v>
      </c>
      <c r="Z60" s="1" t="s">
        <v>42</v>
      </c>
      <c r="AA60">
        <v>0</v>
      </c>
      <c r="AB60" s="1" t="s">
        <v>52</v>
      </c>
      <c r="AC60">
        <v>1</v>
      </c>
      <c r="AD60" s="2">
        <v>44958</v>
      </c>
      <c r="AE60" s="1" t="s">
        <v>74</v>
      </c>
      <c r="AF60" s="1" t="s">
        <v>54</v>
      </c>
      <c r="AG60" s="1" t="s">
        <v>63</v>
      </c>
      <c r="AH60" s="1" t="s">
        <v>59</v>
      </c>
      <c r="AI60">
        <v>9922</v>
      </c>
      <c r="AJ60">
        <v>-45.100000000000364</v>
      </c>
    </row>
    <row r="61" spans="1:36" x14ac:dyDescent="0.25">
      <c r="A61">
        <v>10060</v>
      </c>
      <c r="B61">
        <v>53</v>
      </c>
      <c r="C61" s="1" t="s">
        <v>36</v>
      </c>
      <c r="D61" s="1" t="s">
        <v>37</v>
      </c>
      <c r="E61" s="2">
        <v>44955</v>
      </c>
      <c r="F61" s="2">
        <v>44486</v>
      </c>
      <c r="G61" s="1" t="s">
        <v>62</v>
      </c>
      <c r="H61">
        <v>476</v>
      </c>
      <c r="I61">
        <v>32</v>
      </c>
      <c r="J61">
        <v>2</v>
      </c>
      <c r="K61">
        <v>119.63</v>
      </c>
      <c r="L61">
        <v>10</v>
      </c>
      <c r="M61" s="1" t="s">
        <v>65</v>
      </c>
      <c r="N61" s="1" t="s">
        <v>56</v>
      </c>
      <c r="O61">
        <v>15184.4</v>
      </c>
      <c r="P61" t="b">
        <v>0</v>
      </c>
      <c r="Q61">
        <v>2.6666666666666665</v>
      </c>
      <c r="R61">
        <v>474.51249999999999</v>
      </c>
      <c r="S61">
        <v>39.876666666666665</v>
      </c>
      <c r="T61" s="2">
        <v>44927</v>
      </c>
      <c r="U61" s="1" t="s">
        <v>41</v>
      </c>
      <c r="V61">
        <v>0</v>
      </c>
      <c r="W61" s="1" t="s">
        <v>40</v>
      </c>
      <c r="Y61" s="1" t="s">
        <v>43</v>
      </c>
      <c r="Z61" s="1" t="s">
        <v>42</v>
      </c>
      <c r="AA61">
        <v>6.0606060606060608E-2</v>
      </c>
      <c r="AB61" s="1" t="s">
        <v>52</v>
      </c>
      <c r="AC61">
        <v>2</v>
      </c>
      <c r="AD61" s="2">
        <v>44927</v>
      </c>
      <c r="AE61" s="1" t="s">
        <v>44</v>
      </c>
      <c r="AF61" s="1" t="s">
        <v>72</v>
      </c>
      <c r="AG61" s="1" t="s">
        <v>63</v>
      </c>
      <c r="AH61" s="1" t="s">
        <v>68</v>
      </c>
      <c r="AI61">
        <v>15232</v>
      </c>
      <c r="AJ61">
        <v>-47.600000000000364</v>
      </c>
    </row>
    <row r="62" spans="1:36" x14ac:dyDescent="0.25">
      <c r="A62">
        <v>10061</v>
      </c>
      <c r="B62">
        <v>57</v>
      </c>
      <c r="C62" s="1" t="s">
        <v>60</v>
      </c>
      <c r="D62" s="1" t="s">
        <v>61</v>
      </c>
      <c r="E62" s="2">
        <v>44642</v>
      </c>
      <c r="F62" s="2">
        <v>44594</v>
      </c>
      <c r="G62" s="1" t="s">
        <v>62</v>
      </c>
      <c r="H62">
        <v>748</v>
      </c>
      <c r="I62">
        <v>27</v>
      </c>
      <c r="J62">
        <v>4</v>
      </c>
      <c r="K62">
        <v>88.62</v>
      </c>
      <c r="L62">
        <v>20</v>
      </c>
      <c r="M62" s="1" t="s">
        <v>50</v>
      </c>
      <c r="N62" s="1" t="s">
        <v>40</v>
      </c>
      <c r="O62">
        <v>20046.400000000001</v>
      </c>
      <c r="P62" t="b">
        <v>0</v>
      </c>
      <c r="Q62">
        <v>2.25</v>
      </c>
      <c r="R62">
        <v>742.45925925925928</v>
      </c>
      <c r="S62">
        <v>17.724</v>
      </c>
      <c r="T62" s="2">
        <v>44621</v>
      </c>
      <c r="U62" s="1" t="s">
        <v>41</v>
      </c>
      <c r="V62">
        <v>1</v>
      </c>
      <c r="W62" s="1" t="s">
        <v>40</v>
      </c>
      <c r="Y62" s="1" t="s">
        <v>43</v>
      </c>
      <c r="Z62" s="1" t="s">
        <v>52</v>
      </c>
      <c r="AA62">
        <v>0.14285714285714285</v>
      </c>
      <c r="AB62" s="1" t="s">
        <v>43</v>
      </c>
      <c r="AC62">
        <v>2</v>
      </c>
      <c r="AD62" s="2">
        <v>44621</v>
      </c>
      <c r="AE62" s="1" t="s">
        <v>44</v>
      </c>
      <c r="AF62" s="1" t="s">
        <v>45</v>
      </c>
      <c r="AG62" s="1" t="s">
        <v>63</v>
      </c>
      <c r="AH62" s="1" t="s">
        <v>59</v>
      </c>
      <c r="AI62">
        <v>20196</v>
      </c>
      <c r="AJ62">
        <v>-149.59999999999854</v>
      </c>
    </row>
    <row r="63" spans="1:36" x14ac:dyDescent="0.25">
      <c r="A63">
        <v>10062</v>
      </c>
      <c r="B63">
        <v>21</v>
      </c>
      <c r="C63" s="1" t="s">
        <v>60</v>
      </c>
      <c r="D63" s="1" t="s">
        <v>71</v>
      </c>
      <c r="E63" s="2">
        <v>44382</v>
      </c>
      <c r="F63" s="2">
        <v>44495</v>
      </c>
      <c r="G63" s="1" t="s">
        <v>38</v>
      </c>
      <c r="H63">
        <v>1042</v>
      </c>
      <c r="I63">
        <v>26</v>
      </c>
      <c r="J63">
        <v>0</v>
      </c>
      <c r="K63">
        <v>6.76</v>
      </c>
      <c r="L63">
        <v>20</v>
      </c>
      <c r="M63" s="1" t="s">
        <v>50</v>
      </c>
      <c r="N63" s="1" t="s">
        <v>56</v>
      </c>
      <c r="O63">
        <v>26883.599999999999</v>
      </c>
      <c r="P63" t="b">
        <v>1</v>
      </c>
      <c r="Q63">
        <v>2.1666666666666665</v>
      </c>
      <c r="R63">
        <v>1033.9846153846154</v>
      </c>
      <c r="S63">
        <v>6.76</v>
      </c>
      <c r="T63" s="2">
        <v>44378</v>
      </c>
      <c r="U63" s="1" t="s">
        <v>66</v>
      </c>
      <c r="V63">
        <v>0</v>
      </c>
      <c r="W63" s="1" t="s">
        <v>40</v>
      </c>
      <c r="X63">
        <v>113</v>
      </c>
      <c r="Y63" s="1" t="s">
        <v>42</v>
      </c>
      <c r="Z63" s="1" t="s">
        <v>52</v>
      </c>
      <c r="AA63">
        <v>0</v>
      </c>
      <c r="AB63" s="1" t="s">
        <v>43</v>
      </c>
      <c r="AC63">
        <v>1</v>
      </c>
      <c r="AD63" s="2">
        <v>44378</v>
      </c>
      <c r="AE63" s="1" t="s">
        <v>44</v>
      </c>
      <c r="AF63" s="1" t="s">
        <v>54</v>
      </c>
      <c r="AG63" s="1" t="s">
        <v>77</v>
      </c>
      <c r="AH63" s="1" t="s">
        <v>47</v>
      </c>
      <c r="AI63">
        <v>27092</v>
      </c>
      <c r="AJ63">
        <v>-208.40000000000146</v>
      </c>
    </row>
    <row r="64" spans="1:36" x14ac:dyDescent="0.25">
      <c r="A64">
        <v>10063</v>
      </c>
      <c r="B64">
        <v>19</v>
      </c>
      <c r="C64" s="1" t="s">
        <v>60</v>
      </c>
      <c r="D64" s="1" t="s">
        <v>73</v>
      </c>
      <c r="E64" s="2">
        <v>44266</v>
      </c>
      <c r="F64" s="2">
        <v>44577</v>
      </c>
      <c r="G64" s="1" t="s">
        <v>38</v>
      </c>
      <c r="H64">
        <v>600</v>
      </c>
      <c r="I64">
        <v>28</v>
      </c>
      <c r="J64">
        <v>0</v>
      </c>
      <c r="K64">
        <v>31.07</v>
      </c>
      <c r="L64">
        <v>15</v>
      </c>
      <c r="M64" s="1" t="s">
        <v>67</v>
      </c>
      <c r="N64" s="1" t="s">
        <v>40</v>
      </c>
      <c r="O64">
        <v>16710</v>
      </c>
      <c r="P64" t="b">
        <v>1</v>
      </c>
      <c r="Q64">
        <v>2.3333333333333335</v>
      </c>
      <c r="R64">
        <v>596.78571428571433</v>
      </c>
      <c r="S64">
        <v>31.07</v>
      </c>
      <c r="T64" s="2">
        <v>44256</v>
      </c>
      <c r="U64" s="1" t="s">
        <v>66</v>
      </c>
      <c r="V64">
        <v>1</v>
      </c>
      <c r="W64" s="1" t="s">
        <v>40</v>
      </c>
      <c r="X64">
        <v>311</v>
      </c>
      <c r="Y64" s="1" t="s">
        <v>52</v>
      </c>
      <c r="Z64" s="1" t="s">
        <v>42</v>
      </c>
      <c r="AA64">
        <v>0</v>
      </c>
      <c r="AB64" s="1" t="s">
        <v>52</v>
      </c>
      <c r="AC64">
        <v>1</v>
      </c>
      <c r="AD64" s="2">
        <v>44256</v>
      </c>
      <c r="AE64" s="1" t="s">
        <v>44</v>
      </c>
      <c r="AF64" s="1" t="s">
        <v>54</v>
      </c>
      <c r="AG64" s="1" t="s">
        <v>55</v>
      </c>
      <c r="AH64" s="1" t="s">
        <v>64</v>
      </c>
      <c r="AI64">
        <v>16800</v>
      </c>
      <c r="AJ64">
        <v>-90</v>
      </c>
    </row>
    <row r="65" spans="1:36" x14ac:dyDescent="0.25">
      <c r="A65">
        <v>10064</v>
      </c>
      <c r="B65">
        <v>23</v>
      </c>
      <c r="C65" s="1" t="s">
        <v>36</v>
      </c>
      <c r="D65" s="1" t="s">
        <v>48</v>
      </c>
      <c r="E65" s="2">
        <v>44346</v>
      </c>
      <c r="F65" s="2">
        <v>45139</v>
      </c>
      <c r="G65" s="1" t="s">
        <v>38</v>
      </c>
      <c r="H65">
        <v>1006</v>
      </c>
      <c r="I65">
        <v>2</v>
      </c>
      <c r="J65">
        <v>0</v>
      </c>
      <c r="K65">
        <v>116.76</v>
      </c>
      <c r="L65">
        <v>15</v>
      </c>
      <c r="M65" s="1" t="s">
        <v>67</v>
      </c>
      <c r="N65" s="1" t="s">
        <v>56</v>
      </c>
      <c r="O65">
        <v>1861.1</v>
      </c>
      <c r="P65" t="b">
        <v>1</v>
      </c>
      <c r="Q65">
        <v>0.16666666666666666</v>
      </c>
      <c r="R65">
        <v>930.55</v>
      </c>
      <c r="S65">
        <v>116.76</v>
      </c>
      <c r="T65" s="2">
        <v>44317</v>
      </c>
      <c r="U65" s="1" t="s">
        <v>66</v>
      </c>
      <c r="V65">
        <v>0</v>
      </c>
      <c r="W65" s="1" t="s">
        <v>56</v>
      </c>
      <c r="X65">
        <v>793</v>
      </c>
      <c r="Y65" s="1" t="s">
        <v>43</v>
      </c>
      <c r="Z65" s="1" t="s">
        <v>42</v>
      </c>
      <c r="AA65">
        <v>0</v>
      </c>
      <c r="AB65" s="1" t="s">
        <v>42</v>
      </c>
      <c r="AC65">
        <v>1</v>
      </c>
      <c r="AD65" s="2">
        <v>44317</v>
      </c>
      <c r="AE65" s="1" t="s">
        <v>58</v>
      </c>
      <c r="AF65" s="1" t="s">
        <v>54</v>
      </c>
      <c r="AG65" s="1" t="s">
        <v>63</v>
      </c>
      <c r="AH65" s="1" t="s">
        <v>47</v>
      </c>
      <c r="AI65">
        <v>2012</v>
      </c>
      <c r="AJ65">
        <v>-150.90000000000009</v>
      </c>
    </row>
    <row r="66" spans="1:36" x14ac:dyDescent="0.25">
      <c r="A66">
        <v>10065</v>
      </c>
      <c r="B66">
        <v>59</v>
      </c>
      <c r="C66" s="1" t="s">
        <v>60</v>
      </c>
      <c r="D66" s="1" t="s">
        <v>61</v>
      </c>
      <c r="E66" s="2">
        <v>44442</v>
      </c>
      <c r="F66" s="2">
        <v>44984</v>
      </c>
      <c r="G66" s="1" t="s">
        <v>62</v>
      </c>
      <c r="H66">
        <v>606</v>
      </c>
      <c r="I66">
        <v>20</v>
      </c>
      <c r="J66">
        <v>2</v>
      </c>
      <c r="K66">
        <v>97.99</v>
      </c>
      <c r="L66">
        <v>5</v>
      </c>
      <c r="M66" s="1" t="s">
        <v>39</v>
      </c>
      <c r="N66" s="1" t="s">
        <v>56</v>
      </c>
      <c r="O66">
        <v>12089.7</v>
      </c>
      <c r="P66" t="b">
        <v>1</v>
      </c>
      <c r="Q66">
        <v>1.6666666666666667</v>
      </c>
      <c r="R66">
        <v>604.48500000000001</v>
      </c>
      <c r="S66">
        <v>32.663333333333334</v>
      </c>
      <c r="T66" s="2">
        <v>44440</v>
      </c>
      <c r="U66" s="1" t="s">
        <v>41</v>
      </c>
      <c r="V66">
        <v>0</v>
      </c>
      <c r="W66" s="1" t="s">
        <v>56</v>
      </c>
      <c r="X66">
        <v>542</v>
      </c>
      <c r="Y66" s="1" t="s">
        <v>43</v>
      </c>
      <c r="Z66" s="1" t="s">
        <v>42</v>
      </c>
      <c r="AA66">
        <v>9.5238095238095233E-2</v>
      </c>
      <c r="AB66" s="1" t="s">
        <v>52</v>
      </c>
      <c r="AC66">
        <v>2</v>
      </c>
      <c r="AD66" s="2">
        <v>44440</v>
      </c>
      <c r="AE66" s="1" t="s">
        <v>53</v>
      </c>
      <c r="AF66" s="1" t="s">
        <v>72</v>
      </c>
      <c r="AG66" s="1" t="s">
        <v>63</v>
      </c>
      <c r="AH66" s="1" t="s">
        <v>64</v>
      </c>
      <c r="AI66">
        <v>12120</v>
      </c>
      <c r="AJ66">
        <v>-30.299999999999272</v>
      </c>
    </row>
    <row r="67" spans="1:36" x14ac:dyDescent="0.25">
      <c r="A67">
        <v>10066</v>
      </c>
      <c r="B67">
        <v>21</v>
      </c>
      <c r="C67" s="1" t="s">
        <v>36</v>
      </c>
      <c r="D67" s="1" t="s">
        <v>37</v>
      </c>
      <c r="E67" s="2">
        <v>44970</v>
      </c>
      <c r="F67" s="2">
        <v>45051</v>
      </c>
      <c r="G67" s="1" t="s">
        <v>62</v>
      </c>
      <c r="H67">
        <v>1050</v>
      </c>
      <c r="I67">
        <v>4</v>
      </c>
      <c r="J67">
        <v>1</v>
      </c>
      <c r="K67">
        <v>70.180000000000007</v>
      </c>
      <c r="L67">
        <v>5</v>
      </c>
      <c r="M67" s="1" t="s">
        <v>67</v>
      </c>
      <c r="N67" s="1" t="s">
        <v>56</v>
      </c>
      <c r="O67">
        <v>4147.5</v>
      </c>
      <c r="P67" t="b">
        <v>1</v>
      </c>
      <c r="Q67">
        <v>0.33333333333333331</v>
      </c>
      <c r="R67">
        <v>1036.875</v>
      </c>
      <c r="S67">
        <v>35.090000000000003</v>
      </c>
      <c r="T67" s="2">
        <v>44958</v>
      </c>
      <c r="U67" s="1" t="s">
        <v>66</v>
      </c>
      <c r="V67">
        <v>0</v>
      </c>
      <c r="W67" s="1" t="s">
        <v>56</v>
      </c>
      <c r="X67">
        <v>81</v>
      </c>
      <c r="Y67" s="1" t="s">
        <v>43</v>
      </c>
      <c r="Z67" s="1" t="s">
        <v>42</v>
      </c>
      <c r="AA67">
        <v>0.2</v>
      </c>
      <c r="AB67" s="1" t="s">
        <v>42</v>
      </c>
      <c r="AC67">
        <v>2</v>
      </c>
      <c r="AD67" s="2">
        <v>44958</v>
      </c>
      <c r="AE67" s="1" t="s">
        <v>58</v>
      </c>
      <c r="AF67" s="1" t="s">
        <v>54</v>
      </c>
      <c r="AG67" s="1" t="s">
        <v>63</v>
      </c>
      <c r="AH67" s="1" t="s">
        <v>47</v>
      </c>
      <c r="AI67">
        <v>4200</v>
      </c>
      <c r="AJ67">
        <v>-52.5</v>
      </c>
    </row>
    <row r="68" spans="1:36" x14ac:dyDescent="0.25">
      <c r="A68">
        <v>10067</v>
      </c>
      <c r="B68">
        <v>46</v>
      </c>
      <c r="C68" s="1" t="s">
        <v>36</v>
      </c>
      <c r="D68" s="1" t="s">
        <v>73</v>
      </c>
      <c r="E68" s="2">
        <v>44734</v>
      </c>
      <c r="F68" s="2">
        <v>44721</v>
      </c>
      <c r="G68" s="1" t="s">
        <v>38</v>
      </c>
      <c r="H68">
        <v>1168</v>
      </c>
      <c r="I68">
        <v>13</v>
      </c>
      <c r="J68">
        <v>3</v>
      </c>
      <c r="K68">
        <v>32.24</v>
      </c>
      <c r="L68">
        <v>20</v>
      </c>
      <c r="M68" s="1" t="s">
        <v>65</v>
      </c>
      <c r="N68" s="1" t="s">
        <v>56</v>
      </c>
      <c r="O68">
        <v>14950.4</v>
      </c>
      <c r="P68" t="b">
        <v>0</v>
      </c>
      <c r="Q68">
        <v>1.0833333333333333</v>
      </c>
      <c r="R68">
        <v>1150.0307692307692</v>
      </c>
      <c r="S68">
        <v>8.06</v>
      </c>
      <c r="T68" s="2">
        <v>44713</v>
      </c>
      <c r="U68" s="1" t="s">
        <v>51</v>
      </c>
      <c r="V68">
        <v>0</v>
      </c>
      <c r="W68" s="1" t="s">
        <v>40</v>
      </c>
      <c r="Y68" s="1" t="s">
        <v>52</v>
      </c>
      <c r="Z68" s="1" t="s">
        <v>52</v>
      </c>
      <c r="AA68">
        <v>0.21428571428571427</v>
      </c>
      <c r="AB68" s="1" t="s">
        <v>52</v>
      </c>
      <c r="AC68">
        <v>1</v>
      </c>
      <c r="AD68" s="2">
        <v>44713</v>
      </c>
      <c r="AE68" s="1" t="s">
        <v>53</v>
      </c>
      <c r="AF68" s="1" t="s">
        <v>72</v>
      </c>
      <c r="AG68" s="1" t="s">
        <v>55</v>
      </c>
      <c r="AH68" s="1" t="s">
        <v>47</v>
      </c>
      <c r="AI68">
        <v>15184</v>
      </c>
      <c r="AJ68">
        <v>-233.60000000000036</v>
      </c>
    </row>
    <row r="69" spans="1:36" x14ac:dyDescent="0.25">
      <c r="A69">
        <v>10068</v>
      </c>
      <c r="B69">
        <v>35</v>
      </c>
      <c r="C69" s="1" t="s">
        <v>36</v>
      </c>
      <c r="D69" s="1" t="s">
        <v>71</v>
      </c>
      <c r="E69" s="2">
        <v>44848</v>
      </c>
      <c r="F69" s="2">
        <v>44427</v>
      </c>
      <c r="G69" s="1" t="s">
        <v>38</v>
      </c>
      <c r="H69">
        <v>513</v>
      </c>
      <c r="I69">
        <v>24</v>
      </c>
      <c r="J69">
        <v>1</v>
      </c>
      <c r="K69">
        <v>6.65</v>
      </c>
      <c r="L69">
        <v>20</v>
      </c>
      <c r="M69" s="1" t="s">
        <v>39</v>
      </c>
      <c r="N69" s="1" t="s">
        <v>56</v>
      </c>
      <c r="O69">
        <v>12209.4</v>
      </c>
      <c r="P69" t="b">
        <v>0</v>
      </c>
      <c r="Q69">
        <v>2</v>
      </c>
      <c r="R69">
        <v>508.72499999999997</v>
      </c>
      <c r="S69">
        <v>3.3250000000000002</v>
      </c>
      <c r="T69" s="2">
        <v>44835</v>
      </c>
      <c r="U69" s="1" t="s">
        <v>57</v>
      </c>
      <c r="V69">
        <v>0</v>
      </c>
      <c r="W69" s="1" t="s">
        <v>56</v>
      </c>
      <c r="Y69" s="1" t="s">
        <v>42</v>
      </c>
      <c r="Z69" s="1" t="s">
        <v>52</v>
      </c>
      <c r="AA69">
        <v>0.04</v>
      </c>
      <c r="AB69" s="1" t="s">
        <v>52</v>
      </c>
      <c r="AC69">
        <v>1</v>
      </c>
      <c r="AD69" s="2">
        <v>44835</v>
      </c>
      <c r="AE69" s="1" t="s">
        <v>53</v>
      </c>
      <c r="AF69" s="1" t="s">
        <v>54</v>
      </c>
      <c r="AG69" s="1" t="s">
        <v>77</v>
      </c>
      <c r="AH69" s="1" t="s">
        <v>64</v>
      </c>
      <c r="AI69">
        <v>12312</v>
      </c>
      <c r="AJ69">
        <v>-102.60000000000036</v>
      </c>
    </row>
    <row r="70" spans="1:36" x14ac:dyDescent="0.25">
      <c r="A70">
        <v>10069</v>
      </c>
      <c r="B70">
        <v>43</v>
      </c>
      <c r="C70" s="1" t="s">
        <v>36</v>
      </c>
      <c r="D70" s="1" t="s">
        <v>69</v>
      </c>
      <c r="E70" s="2">
        <v>44295</v>
      </c>
      <c r="F70" s="2">
        <v>44953</v>
      </c>
      <c r="G70" s="1" t="s">
        <v>38</v>
      </c>
      <c r="H70">
        <v>782</v>
      </c>
      <c r="I70">
        <v>29</v>
      </c>
      <c r="J70">
        <v>3</v>
      </c>
      <c r="K70">
        <v>7.4</v>
      </c>
      <c r="L70">
        <v>0</v>
      </c>
      <c r="M70" s="1" t="s">
        <v>39</v>
      </c>
      <c r="N70" s="1" t="s">
        <v>56</v>
      </c>
      <c r="O70">
        <v>22678</v>
      </c>
      <c r="P70" t="b">
        <v>1</v>
      </c>
      <c r="Q70">
        <v>2.4166666666666665</v>
      </c>
      <c r="R70">
        <v>782</v>
      </c>
      <c r="S70">
        <v>1.85</v>
      </c>
      <c r="T70" s="2">
        <v>44287</v>
      </c>
      <c r="U70" s="1" t="s">
        <v>51</v>
      </c>
      <c r="V70">
        <v>0</v>
      </c>
      <c r="W70" s="1" t="s">
        <v>40</v>
      </c>
      <c r="X70">
        <v>658</v>
      </c>
      <c r="Y70" s="1" t="s">
        <v>42</v>
      </c>
      <c r="Z70" s="1" t="s">
        <v>42</v>
      </c>
      <c r="AA70">
        <v>0.1</v>
      </c>
      <c r="AB70" s="1" t="s">
        <v>43</v>
      </c>
      <c r="AC70">
        <v>1</v>
      </c>
      <c r="AD70" s="2">
        <v>44287</v>
      </c>
      <c r="AE70" s="1" t="s">
        <v>44</v>
      </c>
      <c r="AF70" s="1" t="s">
        <v>72</v>
      </c>
      <c r="AG70" s="1" t="s">
        <v>77</v>
      </c>
      <c r="AH70" s="1" t="s">
        <v>59</v>
      </c>
      <c r="AI70">
        <v>22678</v>
      </c>
      <c r="AJ70">
        <v>0</v>
      </c>
    </row>
    <row r="71" spans="1:36" x14ac:dyDescent="0.25">
      <c r="A71">
        <v>10070</v>
      </c>
      <c r="B71">
        <v>61</v>
      </c>
      <c r="C71" s="1" t="s">
        <v>60</v>
      </c>
      <c r="D71" s="1" t="s">
        <v>48</v>
      </c>
      <c r="E71" s="2">
        <v>44474</v>
      </c>
      <c r="F71" s="2">
        <v>45085</v>
      </c>
      <c r="G71" s="1" t="s">
        <v>38</v>
      </c>
      <c r="H71">
        <v>1390</v>
      </c>
      <c r="I71">
        <v>2</v>
      </c>
      <c r="J71">
        <v>2</v>
      </c>
      <c r="K71">
        <v>75.38</v>
      </c>
      <c r="L71">
        <v>20</v>
      </c>
      <c r="M71" s="1" t="s">
        <v>50</v>
      </c>
      <c r="N71" s="1" t="s">
        <v>56</v>
      </c>
      <c r="O71">
        <v>2502</v>
      </c>
      <c r="P71" t="b">
        <v>1</v>
      </c>
      <c r="Q71">
        <v>0.16666666666666666</v>
      </c>
      <c r="R71">
        <v>1251</v>
      </c>
      <c r="S71">
        <v>25.126666666666665</v>
      </c>
      <c r="T71" s="2">
        <v>44470</v>
      </c>
      <c r="U71" s="1" t="s">
        <v>41</v>
      </c>
      <c r="V71">
        <v>0</v>
      </c>
      <c r="W71" s="1" t="s">
        <v>56</v>
      </c>
      <c r="X71">
        <v>611</v>
      </c>
      <c r="Y71" s="1" t="s">
        <v>43</v>
      </c>
      <c r="Z71" s="1" t="s">
        <v>52</v>
      </c>
      <c r="AA71">
        <v>0.66666666666666663</v>
      </c>
      <c r="AB71" s="1" t="s">
        <v>42</v>
      </c>
      <c r="AC71">
        <v>1</v>
      </c>
      <c r="AD71" s="2">
        <v>44470</v>
      </c>
      <c r="AE71" s="1" t="s">
        <v>58</v>
      </c>
      <c r="AF71" s="1" t="s">
        <v>72</v>
      </c>
      <c r="AG71" s="1" t="s">
        <v>63</v>
      </c>
      <c r="AH71" s="1" t="s">
        <v>47</v>
      </c>
      <c r="AI71">
        <v>2780</v>
      </c>
      <c r="AJ71">
        <v>-278</v>
      </c>
    </row>
    <row r="72" spans="1:36" x14ac:dyDescent="0.25">
      <c r="A72">
        <v>10071</v>
      </c>
      <c r="B72">
        <v>51</v>
      </c>
      <c r="C72" s="1" t="s">
        <v>36</v>
      </c>
      <c r="D72" s="1" t="s">
        <v>37</v>
      </c>
      <c r="E72" s="2">
        <v>44759</v>
      </c>
      <c r="F72" s="2">
        <v>44412</v>
      </c>
      <c r="G72" s="1" t="s">
        <v>62</v>
      </c>
      <c r="H72">
        <v>432</v>
      </c>
      <c r="I72">
        <v>18</v>
      </c>
      <c r="J72">
        <v>1</v>
      </c>
      <c r="K72">
        <v>7.51</v>
      </c>
      <c r="L72">
        <v>20</v>
      </c>
      <c r="M72" s="1" t="s">
        <v>50</v>
      </c>
      <c r="N72" s="1" t="s">
        <v>56</v>
      </c>
      <c r="O72">
        <v>7689.6</v>
      </c>
      <c r="P72" t="b">
        <v>0</v>
      </c>
      <c r="Q72">
        <v>1.5</v>
      </c>
      <c r="R72">
        <v>427.20000000000005</v>
      </c>
      <c r="S72">
        <v>3.7549999999999999</v>
      </c>
      <c r="T72" s="2">
        <v>44743</v>
      </c>
      <c r="U72" s="1" t="s">
        <v>41</v>
      </c>
      <c r="V72">
        <v>0</v>
      </c>
      <c r="W72" s="1" t="s">
        <v>56</v>
      </c>
      <c r="Y72" s="1" t="s">
        <v>42</v>
      </c>
      <c r="Z72" s="1" t="s">
        <v>52</v>
      </c>
      <c r="AA72">
        <v>5.2631578947368418E-2</v>
      </c>
      <c r="AB72" s="1" t="s">
        <v>42</v>
      </c>
      <c r="AC72">
        <v>2</v>
      </c>
      <c r="AD72" s="2">
        <v>44743</v>
      </c>
      <c r="AE72" s="1" t="s">
        <v>53</v>
      </c>
      <c r="AF72" s="1" t="s">
        <v>54</v>
      </c>
      <c r="AG72" s="1" t="s">
        <v>77</v>
      </c>
      <c r="AH72" s="1" t="s">
        <v>68</v>
      </c>
      <c r="AI72">
        <v>7776</v>
      </c>
      <c r="AJ72">
        <v>-86.399999999999636</v>
      </c>
    </row>
    <row r="73" spans="1:36" x14ac:dyDescent="0.25">
      <c r="A73">
        <v>10072</v>
      </c>
      <c r="B73">
        <v>27</v>
      </c>
      <c r="C73" s="1" t="s">
        <v>60</v>
      </c>
      <c r="D73" s="1" t="s">
        <v>61</v>
      </c>
      <c r="E73" s="2">
        <v>44859</v>
      </c>
      <c r="F73" s="2">
        <v>44435</v>
      </c>
      <c r="G73" s="1" t="s">
        <v>38</v>
      </c>
      <c r="H73">
        <v>811</v>
      </c>
      <c r="I73">
        <v>8</v>
      </c>
      <c r="J73">
        <v>2</v>
      </c>
      <c r="K73">
        <v>119.27</v>
      </c>
      <c r="L73">
        <v>15</v>
      </c>
      <c r="M73" s="1" t="s">
        <v>39</v>
      </c>
      <c r="N73" s="1" t="s">
        <v>56</v>
      </c>
      <c r="O73">
        <v>6366.35</v>
      </c>
      <c r="P73" t="b">
        <v>0</v>
      </c>
      <c r="Q73">
        <v>0.66666666666666663</v>
      </c>
      <c r="R73">
        <v>795.79375000000005</v>
      </c>
      <c r="S73">
        <v>39.756666666666668</v>
      </c>
      <c r="T73" s="2">
        <v>44835</v>
      </c>
      <c r="U73" s="1" t="s">
        <v>57</v>
      </c>
      <c r="V73">
        <v>0</v>
      </c>
      <c r="W73" s="1" t="s">
        <v>56</v>
      </c>
      <c r="Y73" s="1" t="s">
        <v>43</v>
      </c>
      <c r="Z73" s="1" t="s">
        <v>42</v>
      </c>
      <c r="AA73">
        <v>0.22222222222222221</v>
      </c>
      <c r="AB73" s="1" t="s">
        <v>42</v>
      </c>
      <c r="AC73">
        <v>1</v>
      </c>
      <c r="AD73" s="2">
        <v>44835</v>
      </c>
      <c r="AE73" s="1" t="s">
        <v>74</v>
      </c>
      <c r="AF73" s="1" t="s">
        <v>72</v>
      </c>
      <c r="AG73" s="1" t="s">
        <v>63</v>
      </c>
      <c r="AH73" s="1" t="s">
        <v>59</v>
      </c>
      <c r="AI73">
        <v>6488</v>
      </c>
      <c r="AJ73">
        <v>-121.64999999999964</v>
      </c>
    </row>
    <row r="74" spans="1:36" x14ac:dyDescent="0.25">
      <c r="A74">
        <v>10073</v>
      </c>
      <c r="B74">
        <v>53</v>
      </c>
      <c r="C74" s="1" t="s">
        <v>60</v>
      </c>
      <c r="D74" s="1" t="s">
        <v>71</v>
      </c>
      <c r="E74" s="2">
        <v>44651</v>
      </c>
      <c r="F74" s="2">
        <v>44435</v>
      </c>
      <c r="G74" s="1" t="s">
        <v>38</v>
      </c>
      <c r="H74">
        <v>510</v>
      </c>
      <c r="I74">
        <v>15</v>
      </c>
      <c r="J74">
        <v>2</v>
      </c>
      <c r="K74">
        <v>26.09</v>
      </c>
      <c r="L74">
        <v>0</v>
      </c>
      <c r="M74" s="1" t="s">
        <v>50</v>
      </c>
      <c r="N74" s="1" t="s">
        <v>56</v>
      </c>
      <c r="O74">
        <v>7650</v>
      </c>
      <c r="P74" t="b">
        <v>0</v>
      </c>
      <c r="Q74">
        <v>1.25</v>
      </c>
      <c r="R74">
        <v>510</v>
      </c>
      <c r="S74">
        <v>8.6966666666666672</v>
      </c>
      <c r="T74" s="2">
        <v>44621</v>
      </c>
      <c r="U74" s="1" t="s">
        <v>41</v>
      </c>
      <c r="V74">
        <v>0</v>
      </c>
      <c r="W74" s="1" t="s">
        <v>56</v>
      </c>
      <c r="Y74" s="1" t="s">
        <v>52</v>
      </c>
      <c r="Z74" s="1" t="s">
        <v>42</v>
      </c>
      <c r="AA74">
        <v>0.125</v>
      </c>
      <c r="AB74" s="1" t="s">
        <v>42</v>
      </c>
      <c r="AC74">
        <v>1</v>
      </c>
      <c r="AD74" s="2">
        <v>44621</v>
      </c>
      <c r="AE74" s="1" t="s">
        <v>53</v>
      </c>
      <c r="AF74" s="1" t="s">
        <v>72</v>
      </c>
      <c r="AG74" s="1" t="s">
        <v>70</v>
      </c>
      <c r="AH74" s="1" t="s">
        <v>64</v>
      </c>
      <c r="AI74">
        <v>7650</v>
      </c>
      <c r="AJ74">
        <v>0</v>
      </c>
    </row>
    <row r="75" spans="1:36" x14ac:dyDescent="0.25">
      <c r="A75">
        <v>10074</v>
      </c>
      <c r="B75">
        <v>31</v>
      </c>
      <c r="C75" s="1" t="s">
        <v>36</v>
      </c>
      <c r="D75" s="1" t="s">
        <v>48</v>
      </c>
      <c r="E75" s="2">
        <v>44300</v>
      </c>
      <c r="F75" s="2">
        <v>45060</v>
      </c>
      <c r="G75" s="1" t="s">
        <v>38</v>
      </c>
      <c r="H75">
        <v>1287</v>
      </c>
      <c r="I75">
        <v>17</v>
      </c>
      <c r="J75">
        <v>1</v>
      </c>
      <c r="K75">
        <v>86.73</v>
      </c>
      <c r="L75">
        <v>0</v>
      </c>
      <c r="M75" s="1" t="s">
        <v>50</v>
      </c>
      <c r="N75" s="1" t="s">
        <v>56</v>
      </c>
      <c r="O75">
        <v>21879</v>
      </c>
      <c r="P75" t="b">
        <v>1</v>
      </c>
      <c r="Q75">
        <v>1.4166666666666667</v>
      </c>
      <c r="R75">
        <v>1287</v>
      </c>
      <c r="S75">
        <v>43.365000000000002</v>
      </c>
      <c r="T75" s="2">
        <v>44287</v>
      </c>
      <c r="U75" s="1" t="s">
        <v>57</v>
      </c>
      <c r="V75">
        <v>0</v>
      </c>
      <c r="W75" s="1" t="s">
        <v>40</v>
      </c>
      <c r="X75">
        <v>760</v>
      </c>
      <c r="Y75" s="1" t="s">
        <v>43</v>
      </c>
      <c r="Z75" s="1" t="s">
        <v>42</v>
      </c>
      <c r="AA75">
        <v>5.5555555555555552E-2</v>
      </c>
      <c r="AB75" s="1" t="s">
        <v>43</v>
      </c>
      <c r="AC75">
        <v>1</v>
      </c>
      <c r="AD75" s="2">
        <v>44287</v>
      </c>
      <c r="AE75" s="1" t="s">
        <v>53</v>
      </c>
      <c r="AF75" s="1" t="s">
        <v>54</v>
      </c>
      <c r="AG75" s="1" t="s">
        <v>63</v>
      </c>
      <c r="AH75" s="1" t="s">
        <v>47</v>
      </c>
      <c r="AI75">
        <v>21879</v>
      </c>
      <c r="AJ75">
        <v>0</v>
      </c>
    </row>
    <row r="76" spans="1:36" x14ac:dyDescent="0.25">
      <c r="A76">
        <v>10075</v>
      </c>
      <c r="B76">
        <v>48</v>
      </c>
      <c r="C76" s="1" t="s">
        <v>36</v>
      </c>
      <c r="D76" s="1" t="s">
        <v>71</v>
      </c>
      <c r="E76" s="2">
        <v>44797</v>
      </c>
      <c r="F76" s="2">
        <v>45073</v>
      </c>
      <c r="G76" s="1" t="s">
        <v>49</v>
      </c>
      <c r="H76">
        <v>1286</v>
      </c>
      <c r="I76">
        <v>23</v>
      </c>
      <c r="J76">
        <v>3</v>
      </c>
      <c r="K76">
        <v>22.83</v>
      </c>
      <c r="L76">
        <v>5</v>
      </c>
      <c r="M76" s="1" t="s">
        <v>50</v>
      </c>
      <c r="N76" s="1" t="s">
        <v>40</v>
      </c>
      <c r="O76">
        <v>29513.7</v>
      </c>
      <c r="P76" t="b">
        <v>1</v>
      </c>
      <c r="Q76">
        <v>1.9166666666666667</v>
      </c>
      <c r="R76">
        <v>1283.2043478260871</v>
      </c>
      <c r="S76">
        <v>5.7074999999999996</v>
      </c>
      <c r="T76" s="2">
        <v>44774</v>
      </c>
      <c r="U76" s="1" t="s">
        <v>51</v>
      </c>
      <c r="V76">
        <v>1</v>
      </c>
      <c r="W76" s="1" t="s">
        <v>40</v>
      </c>
      <c r="X76">
        <v>276</v>
      </c>
      <c r="Y76" s="1" t="s">
        <v>52</v>
      </c>
      <c r="Z76" s="1" t="s">
        <v>42</v>
      </c>
      <c r="AA76">
        <v>0.125</v>
      </c>
      <c r="AB76" s="1" t="s">
        <v>43</v>
      </c>
      <c r="AC76">
        <v>3</v>
      </c>
      <c r="AD76" s="2">
        <v>44774</v>
      </c>
      <c r="AE76" s="1" t="s">
        <v>53</v>
      </c>
      <c r="AF76" s="1" t="s">
        <v>72</v>
      </c>
      <c r="AG76" s="1" t="s">
        <v>70</v>
      </c>
      <c r="AH76" s="1" t="s">
        <v>47</v>
      </c>
      <c r="AI76">
        <v>29578</v>
      </c>
      <c r="AJ76">
        <v>-64.299999999999272</v>
      </c>
    </row>
    <row r="77" spans="1:36" x14ac:dyDescent="0.25">
      <c r="A77">
        <v>10076</v>
      </c>
      <c r="B77">
        <v>32</v>
      </c>
      <c r="C77" s="1" t="s">
        <v>36</v>
      </c>
      <c r="D77" s="1" t="s">
        <v>73</v>
      </c>
      <c r="E77" s="2">
        <v>44849</v>
      </c>
      <c r="F77" s="2">
        <v>44551</v>
      </c>
      <c r="G77" s="1" t="s">
        <v>49</v>
      </c>
      <c r="H77">
        <v>1016</v>
      </c>
      <c r="I77">
        <v>2</v>
      </c>
      <c r="J77">
        <v>1</v>
      </c>
      <c r="K77">
        <v>67.11</v>
      </c>
      <c r="L77">
        <v>5</v>
      </c>
      <c r="M77" s="1" t="s">
        <v>39</v>
      </c>
      <c r="N77" s="1" t="s">
        <v>56</v>
      </c>
      <c r="O77">
        <v>1981.2</v>
      </c>
      <c r="P77" t="b">
        <v>0</v>
      </c>
      <c r="Q77">
        <v>0.16666666666666666</v>
      </c>
      <c r="R77">
        <v>990.6</v>
      </c>
      <c r="S77">
        <v>33.555</v>
      </c>
      <c r="T77" s="2">
        <v>44835</v>
      </c>
      <c r="U77" s="1" t="s">
        <v>57</v>
      </c>
      <c r="V77">
        <v>0</v>
      </c>
      <c r="W77" s="1" t="s">
        <v>56</v>
      </c>
      <c r="Y77" s="1" t="s">
        <v>43</v>
      </c>
      <c r="Z77" s="1" t="s">
        <v>42</v>
      </c>
      <c r="AA77">
        <v>0.33333333333333331</v>
      </c>
      <c r="AB77" s="1" t="s">
        <v>42</v>
      </c>
      <c r="AC77">
        <v>3</v>
      </c>
      <c r="AD77" s="2">
        <v>44835</v>
      </c>
      <c r="AE77" s="1" t="s">
        <v>58</v>
      </c>
      <c r="AF77" s="1" t="s">
        <v>54</v>
      </c>
      <c r="AG77" s="1" t="s">
        <v>63</v>
      </c>
      <c r="AH77" s="1" t="s">
        <v>47</v>
      </c>
      <c r="AI77">
        <v>2032</v>
      </c>
      <c r="AJ77">
        <v>-50.799999999999955</v>
      </c>
    </row>
    <row r="78" spans="1:36" x14ac:dyDescent="0.25">
      <c r="A78">
        <v>10077</v>
      </c>
      <c r="B78">
        <v>25</v>
      </c>
      <c r="C78" s="1" t="s">
        <v>60</v>
      </c>
      <c r="D78" s="1" t="s">
        <v>69</v>
      </c>
      <c r="E78" s="2">
        <v>44921</v>
      </c>
      <c r="F78" s="2">
        <v>44729</v>
      </c>
      <c r="G78" s="1" t="s">
        <v>38</v>
      </c>
      <c r="H78">
        <v>552</v>
      </c>
      <c r="I78">
        <v>6</v>
      </c>
      <c r="J78">
        <v>1</v>
      </c>
      <c r="K78">
        <v>14.27</v>
      </c>
      <c r="L78">
        <v>0</v>
      </c>
      <c r="M78" s="1" t="s">
        <v>39</v>
      </c>
      <c r="N78" s="1" t="s">
        <v>56</v>
      </c>
      <c r="O78">
        <v>3312</v>
      </c>
      <c r="P78" t="b">
        <v>0</v>
      </c>
      <c r="Q78">
        <v>0.5</v>
      </c>
      <c r="R78">
        <v>552</v>
      </c>
      <c r="S78">
        <v>7.1349999999999998</v>
      </c>
      <c r="T78" s="2">
        <v>44896</v>
      </c>
      <c r="U78" s="1" t="s">
        <v>66</v>
      </c>
      <c r="V78">
        <v>0</v>
      </c>
      <c r="W78" s="1" t="s">
        <v>56</v>
      </c>
      <c r="Y78" s="1" t="s">
        <v>42</v>
      </c>
      <c r="Z78" s="1" t="s">
        <v>42</v>
      </c>
      <c r="AA78">
        <v>0.14285714285714285</v>
      </c>
      <c r="AB78" s="1" t="s">
        <v>42</v>
      </c>
      <c r="AC78">
        <v>1</v>
      </c>
      <c r="AD78" s="2">
        <v>44896</v>
      </c>
      <c r="AE78" s="1" t="s">
        <v>58</v>
      </c>
      <c r="AF78" s="1" t="s">
        <v>54</v>
      </c>
      <c r="AG78" s="1" t="s">
        <v>46</v>
      </c>
      <c r="AH78" s="1" t="s">
        <v>64</v>
      </c>
      <c r="AI78">
        <v>3312</v>
      </c>
      <c r="AJ78">
        <v>0</v>
      </c>
    </row>
    <row r="79" spans="1:36" x14ac:dyDescent="0.25">
      <c r="A79">
        <v>10078</v>
      </c>
      <c r="B79">
        <v>31</v>
      </c>
      <c r="C79" s="1" t="s">
        <v>60</v>
      </c>
      <c r="D79" s="1" t="s">
        <v>61</v>
      </c>
      <c r="E79" s="2">
        <v>44429</v>
      </c>
      <c r="F79" s="2">
        <v>44948</v>
      </c>
      <c r="G79" s="1" t="s">
        <v>38</v>
      </c>
      <c r="H79">
        <v>337</v>
      </c>
      <c r="I79">
        <v>29</v>
      </c>
      <c r="J79">
        <v>1</v>
      </c>
      <c r="K79">
        <v>93.18</v>
      </c>
      <c r="L79">
        <v>0</v>
      </c>
      <c r="M79" s="1" t="s">
        <v>39</v>
      </c>
      <c r="N79" s="1" t="s">
        <v>56</v>
      </c>
      <c r="O79">
        <v>9773</v>
      </c>
      <c r="P79" t="b">
        <v>1</v>
      </c>
      <c r="Q79">
        <v>2.4166666666666665</v>
      </c>
      <c r="R79">
        <v>337</v>
      </c>
      <c r="S79">
        <v>46.59</v>
      </c>
      <c r="T79" s="2">
        <v>44409</v>
      </c>
      <c r="U79" s="1" t="s">
        <v>57</v>
      </c>
      <c r="V79">
        <v>0</v>
      </c>
      <c r="W79" s="1" t="s">
        <v>56</v>
      </c>
      <c r="X79">
        <v>519</v>
      </c>
      <c r="Y79" s="1" t="s">
        <v>43</v>
      </c>
      <c r="Z79" s="1" t="s">
        <v>42</v>
      </c>
      <c r="AA79">
        <v>3.3333333333333333E-2</v>
      </c>
      <c r="AB79" s="1" t="s">
        <v>52</v>
      </c>
      <c r="AC79">
        <v>1</v>
      </c>
      <c r="AD79" s="2">
        <v>44409</v>
      </c>
      <c r="AE79" s="1" t="s">
        <v>44</v>
      </c>
      <c r="AF79" s="1" t="s">
        <v>54</v>
      </c>
      <c r="AG79" s="1" t="s">
        <v>63</v>
      </c>
      <c r="AH79" s="1" t="s">
        <v>68</v>
      </c>
      <c r="AI79">
        <v>9773</v>
      </c>
      <c r="AJ79">
        <v>0</v>
      </c>
    </row>
    <row r="80" spans="1:36" x14ac:dyDescent="0.25">
      <c r="A80">
        <v>10079</v>
      </c>
      <c r="B80">
        <v>40</v>
      </c>
      <c r="C80" s="1" t="s">
        <v>36</v>
      </c>
      <c r="D80" s="1" t="s">
        <v>71</v>
      </c>
      <c r="E80" s="2">
        <v>44590</v>
      </c>
      <c r="F80" s="2">
        <v>44823</v>
      </c>
      <c r="G80" s="1" t="s">
        <v>38</v>
      </c>
      <c r="H80">
        <v>1366</v>
      </c>
      <c r="I80">
        <v>27</v>
      </c>
      <c r="J80">
        <v>0</v>
      </c>
      <c r="K80">
        <v>72.27</v>
      </c>
      <c r="L80">
        <v>5</v>
      </c>
      <c r="M80" s="1" t="s">
        <v>65</v>
      </c>
      <c r="N80" s="1" t="s">
        <v>56</v>
      </c>
      <c r="O80">
        <v>36813.699999999997</v>
      </c>
      <c r="P80" t="b">
        <v>1</v>
      </c>
      <c r="Q80">
        <v>2.25</v>
      </c>
      <c r="R80">
        <v>1363.4703703703703</v>
      </c>
      <c r="S80">
        <v>72.27</v>
      </c>
      <c r="T80" s="2">
        <v>44562</v>
      </c>
      <c r="U80" s="1" t="s">
        <v>51</v>
      </c>
      <c r="V80">
        <v>0</v>
      </c>
      <c r="W80" s="1" t="s">
        <v>40</v>
      </c>
      <c r="X80">
        <v>233</v>
      </c>
      <c r="Y80" s="1" t="s">
        <v>43</v>
      </c>
      <c r="Z80" s="1" t="s">
        <v>42</v>
      </c>
      <c r="AA80">
        <v>0</v>
      </c>
      <c r="AB80" s="1" t="s">
        <v>43</v>
      </c>
      <c r="AC80">
        <v>1</v>
      </c>
      <c r="AD80" s="2">
        <v>44562</v>
      </c>
      <c r="AE80" s="1" t="s">
        <v>44</v>
      </c>
      <c r="AF80" s="1" t="s">
        <v>54</v>
      </c>
      <c r="AG80" s="1" t="s">
        <v>63</v>
      </c>
      <c r="AH80" s="1" t="s">
        <v>47</v>
      </c>
      <c r="AI80">
        <v>36882</v>
      </c>
      <c r="AJ80">
        <v>-68.30000000000291</v>
      </c>
    </row>
    <row r="81" spans="1:36" x14ac:dyDescent="0.25">
      <c r="A81">
        <v>10080</v>
      </c>
      <c r="B81">
        <v>57</v>
      </c>
      <c r="C81" s="1" t="s">
        <v>60</v>
      </c>
      <c r="D81" s="1" t="s">
        <v>37</v>
      </c>
      <c r="E81" s="2">
        <v>44697</v>
      </c>
      <c r="F81" s="2">
        <v>44920</v>
      </c>
      <c r="G81" s="1" t="s">
        <v>62</v>
      </c>
      <c r="H81">
        <v>928</v>
      </c>
      <c r="I81">
        <v>34</v>
      </c>
      <c r="J81">
        <v>2</v>
      </c>
      <c r="K81">
        <v>14.91</v>
      </c>
      <c r="L81">
        <v>10</v>
      </c>
      <c r="M81" s="1" t="s">
        <v>39</v>
      </c>
      <c r="N81" s="1" t="s">
        <v>56</v>
      </c>
      <c r="O81">
        <v>31412.799999999999</v>
      </c>
      <c r="P81" t="b">
        <v>1</v>
      </c>
      <c r="Q81">
        <v>2.8333333333333335</v>
      </c>
      <c r="R81">
        <v>923.90588235294115</v>
      </c>
      <c r="S81">
        <v>4.97</v>
      </c>
      <c r="T81" s="2">
        <v>44682</v>
      </c>
      <c r="U81" s="1" t="s">
        <v>41</v>
      </c>
      <c r="V81">
        <v>0</v>
      </c>
      <c r="W81" s="1" t="s">
        <v>40</v>
      </c>
      <c r="X81">
        <v>223</v>
      </c>
      <c r="Y81" s="1" t="s">
        <v>42</v>
      </c>
      <c r="Z81" s="1" t="s">
        <v>42</v>
      </c>
      <c r="AA81">
        <v>5.7142857142857141E-2</v>
      </c>
      <c r="AB81" s="1" t="s">
        <v>43</v>
      </c>
      <c r="AC81">
        <v>2</v>
      </c>
      <c r="AD81" s="2">
        <v>44682</v>
      </c>
      <c r="AE81" s="1" t="s">
        <v>44</v>
      </c>
      <c r="AF81" s="1" t="s">
        <v>72</v>
      </c>
      <c r="AG81" s="1" t="s">
        <v>46</v>
      </c>
      <c r="AH81" s="1" t="s">
        <v>59</v>
      </c>
      <c r="AI81">
        <v>31552</v>
      </c>
      <c r="AJ81">
        <v>-139.20000000000073</v>
      </c>
    </row>
    <row r="82" spans="1:36" x14ac:dyDescent="0.25">
      <c r="A82">
        <v>10081</v>
      </c>
      <c r="B82">
        <v>38</v>
      </c>
      <c r="C82" s="1" t="s">
        <v>36</v>
      </c>
      <c r="D82" s="1" t="s">
        <v>73</v>
      </c>
      <c r="E82" s="2">
        <v>44891</v>
      </c>
      <c r="F82" s="2">
        <v>45130</v>
      </c>
      <c r="G82" s="1" t="s">
        <v>38</v>
      </c>
      <c r="H82">
        <v>1286</v>
      </c>
      <c r="I82">
        <v>18</v>
      </c>
      <c r="J82">
        <v>2</v>
      </c>
      <c r="K82">
        <v>102.59</v>
      </c>
      <c r="L82">
        <v>15</v>
      </c>
      <c r="M82" s="1" t="s">
        <v>50</v>
      </c>
      <c r="N82" s="1" t="s">
        <v>40</v>
      </c>
      <c r="O82">
        <v>22955.1</v>
      </c>
      <c r="P82" t="b">
        <v>1</v>
      </c>
      <c r="Q82">
        <v>1.5</v>
      </c>
      <c r="R82">
        <v>1275.2833333333333</v>
      </c>
      <c r="S82">
        <v>34.196666666666665</v>
      </c>
      <c r="T82" s="2">
        <v>44866</v>
      </c>
      <c r="U82" s="1" t="s">
        <v>51</v>
      </c>
      <c r="V82">
        <v>1</v>
      </c>
      <c r="W82" s="1" t="s">
        <v>40</v>
      </c>
      <c r="X82">
        <v>239</v>
      </c>
      <c r="Y82" s="1" t="s">
        <v>43</v>
      </c>
      <c r="Z82" s="1" t="s">
        <v>42</v>
      </c>
      <c r="AA82">
        <v>0.10526315789473684</v>
      </c>
      <c r="AB82" s="1" t="s">
        <v>43</v>
      </c>
      <c r="AC82">
        <v>1</v>
      </c>
      <c r="AD82" s="2">
        <v>44866</v>
      </c>
      <c r="AE82" s="1" t="s">
        <v>53</v>
      </c>
      <c r="AF82" s="1" t="s">
        <v>72</v>
      </c>
      <c r="AG82" s="1" t="s">
        <v>63</v>
      </c>
      <c r="AH82" s="1" t="s">
        <v>47</v>
      </c>
      <c r="AI82">
        <v>23148</v>
      </c>
      <c r="AJ82">
        <v>-192.90000000000146</v>
      </c>
    </row>
    <row r="83" spans="1:36" x14ac:dyDescent="0.25">
      <c r="A83">
        <v>10082</v>
      </c>
      <c r="B83">
        <v>33</v>
      </c>
      <c r="C83" s="1" t="s">
        <v>36</v>
      </c>
      <c r="D83" s="1" t="s">
        <v>73</v>
      </c>
      <c r="E83" s="2">
        <v>44447</v>
      </c>
      <c r="F83" s="2">
        <v>44953</v>
      </c>
      <c r="G83" s="1" t="s">
        <v>62</v>
      </c>
      <c r="H83">
        <v>345</v>
      </c>
      <c r="I83">
        <v>10</v>
      </c>
      <c r="J83">
        <v>1</v>
      </c>
      <c r="K83">
        <v>67.91</v>
      </c>
      <c r="L83">
        <v>15</v>
      </c>
      <c r="M83" s="1" t="s">
        <v>39</v>
      </c>
      <c r="N83" s="1" t="s">
        <v>40</v>
      </c>
      <c r="O83">
        <v>3398.25</v>
      </c>
      <c r="P83" t="b">
        <v>1</v>
      </c>
      <c r="Q83">
        <v>0.83333333333333337</v>
      </c>
      <c r="R83">
        <v>339.82499999999999</v>
      </c>
      <c r="S83">
        <v>33.954999999999998</v>
      </c>
      <c r="T83" s="2">
        <v>44440</v>
      </c>
      <c r="U83" s="1" t="s">
        <v>57</v>
      </c>
      <c r="V83">
        <v>1</v>
      </c>
      <c r="W83" s="1" t="s">
        <v>56</v>
      </c>
      <c r="X83">
        <v>506</v>
      </c>
      <c r="Y83" s="1" t="s">
        <v>43</v>
      </c>
      <c r="Z83" s="1" t="s">
        <v>42</v>
      </c>
      <c r="AA83">
        <v>9.0909090909090912E-2</v>
      </c>
      <c r="AB83" s="1" t="s">
        <v>42</v>
      </c>
      <c r="AC83">
        <v>2</v>
      </c>
      <c r="AD83" s="2">
        <v>44440</v>
      </c>
      <c r="AE83" s="1" t="s">
        <v>74</v>
      </c>
      <c r="AF83" s="1" t="s">
        <v>54</v>
      </c>
      <c r="AG83" s="1" t="s">
        <v>63</v>
      </c>
      <c r="AH83" s="1" t="s">
        <v>68</v>
      </c>
      <c r="AI83">
        <v>3450</v>
      </c>
      <c r="AJ83">
        <v>-51.75</v>
      </c>
    </row>
    <row r="84" spans="1:36" x14ac:dyDescent="0.25">
      <c r="A84">
        <v>10083</v>
      </c>
      <c r="B84">
        <v>62</v>
      </c>
      <c r="C84" s="1" t="s">
        <v>36</v>
      </c>
      <c r="D84" s="1" t="s">
        <v>61</v>
      </c>
      <c r="E84" s="2">
        <v>44717</v>
      </c>
      <c r="F84" s="2">
        <v>45166</v>
      </c>
      <c r="G84" s="1" t="s">
        <v>62</v>
      </c>
      <c r="H84">
        <v>604</v>
      </c>
      <c r="I84">
        <v>17</v>
      </c>
      <c r="J84">
        <v>2</v>
      </c>
      <c r="K84">
        <v>110.98</v>
      </c>
      <c r="L84">
        <v>15</v>
      </c>
      <c r="M84" s="1" t="s">
        <v>65</v>
      </c>
      <c r="N84" s="1" t="s">
        <v>56</v>
      </c>
      <c r="O84">
        <v>10177.4</v>
      </c>
      <c r="P84" t="b">
        <v>1</v>
      </c>
      <c r="Q84">
        <v>1.4166666666666667</v>
      </c>
      <c r="R84">
        <v>598.67058823529408</v>
      </c>
      <c r="S84">
        <v>36.993333333333332</v>
      </c>
      <c r="T84" s="2">
        <v>44713</v>
      </c>
      <c r="U84" s="1" t="s">
        <v>41</v>
      </c>
      <c r="V84">
        <v>0</v>
      </c>
      <c r="W84" s="1" t="s">
        <v>56</v>
      </c>
      <c r="X84">
        <v>449</v>
      </c>
      <c r="Y84" s="1" t="s">
        <v>43</v>
      </c>
      <c r="Z84" s="1" t="s">
        <v>42</v>
      </c>
      <c r="AA84">
        <v>0.1111111111111111</v>
      </c>
      <c r="AB84" s="1" t="s">
        <v>52</v>
      </c>
      <c r="AC84">
        <v>2</v>
      </c>
      <c r="AD84" s="2">
        <v>44713</v>
      </c>
      <c r="AE84" s="1" t="s">
        <v>53</v>
      </c>
      <c r="AF84" s="1" t="s">
        <v>72</v>
      </c>
      <c r="AG84" s="1" t="s">
        <v>63</v>
      </c>
      <c r="AH84" s="1" t="s">
        <v>64</v>
      </c>
      <c r="AI84">
        <v>10268</v>
      </c>
      <c r="AJ84">
        <v>-90.600000000000364</v>
      </c>
    </row>
    <row r="85" spans="1:36" x14ac:dyDescent="0.25">
      <c r="A85">
        <v>10084</v>
      </c>
      <c r="B85">
        <v>35</v>
      </c>
      <c r="C85" s="1" t="s">
        <v>60</v>
      </c>
      <c r="D85" s="1" t="s">
        <v>73</v>
      </c>
      <c r="E85" s="2">
        <v>44275</v>
      </c>
      <c r="F85" s="2">
        <v>44886</v>
      </c>
      <c r="G85" s="1" t="s">
        <v>49</v>
      </c>
      <c r="H85">
        <v>532</v>
      </c>
      <c r="I85">
        <v>13</v>
      </c>
      <c r="J85">
        <v>0</v>
      </c>
      <c r="K85">
        <v>110.41</v>
      </c>
      <c r="L85">
        <v>5</v>
      </c>
      <c r="M85" s="1" t="s">
        <v>50</v>
      </c>
      <c r="N85" s="1" t="s">
        <v>56</v>
      </c>
      <c r="O85">
        <v>6889.4</v>
      </c>
      <c r="P85" t="b">
        <v>1</v>
      </c>
      <c r="Q85">
        <v>1.0833333333333333</v>
      </c>
      <c r="R85">
        <v>529.95384615384614</v>
      </c>
      <c r="S85">
        <v>110.41</v>
      </c>
      <c r="T85" s="2">
        <v>44256</v>
      </c>
      <c r="U85" s="1" t="s">
        <v>57</v>
      </c>
      <c r="V85">
        <v>0</v>
      </c>
      <c r="W85" s="1" t="s">
        <v>56</v>
      </c>
      <c r="X85">
        <v>611</v>
      </c>
      <c r="Y85" s="1" t="s">
        <v>43</v>
      </c>
      <c r="Z85" s="1" t="s">
        <v>42</v>
      </c>
      <c r="AA85">
        <v>0</v>
      </c>
      <c r="AB85" s="1" t="s">
        <v>42</v>
      </c>
      <c r="AC85">
        <v>3</v>
      </c>
      <c r="AD85" s="2">
        <v>44256</v>
      </c>
      <c r="AE85" s="1" t="s">
        <v>53</v>
      </c>
      <c r="AF85" s="1" t="s">
        <v>54</v>
      </c>
      <c r="AG85" s="1" t="s">
        <v>63</v>
      </c>
      <c r="AH85" s="1" t="s">
        <v>64</v>
      </c>
      <c r="AI85">
        <v>6916</v>
      </c>
      <c r="AJ85">
        <v>-26.600000000000364</v>
      </c>
    </row>
    <row r="86" spans="1:36" x14ac:dyDescent="0.25">
      <c r="A86">
        <v>10085</v>
      </c>
      <c r="B86">
        <v>64</v>
      </c>
      <c r="C86" s="1" t="s">
        <v>60</v>
      </c>
      <c r="D86" s="1" t="s">
        <v>37</v>
      </c>
      <c r="E86" s="2">
        <v>44248</v>
      </c>
      <c r="F86" s="2">
        <v>44561</v>
      </c>
      <c r="G86" s="1" t="s">
        <v>38</v>
      </c>
      <c r="H86">
        <v>544</v>
      </c>
      <c r="I86">
        <v>27</v>
      </c>
      <c r="J86">
        <v>3</v>
      </c>
      <c r="K86">
        <v>110.86</v>
      </c>
      <c r="L86">
        <v>10</v>
      </c>
      <c r="M86" s="1" t="s">
        <v>67</v>
      </c>
      <c r="N86" s="1" t="s">
        <v>40</v>
      </c>
      <c r="O86">
        <v>14633.6</v>
      </c>
      <c r="P86" t="b">
        <v>1</v>
      </c>
      <c r="Q86">
        <v>2.25</v>
      </c>
      <c r="R86">
        <v>541.98518518518517</v>
      </c>
      <c r="S86">
        <v>27.715</v>
      </c>
      <c r="T86" s="2">
        <v>44228</v>
      </c>
      <c r="U86" s="1" t="s">
        <v>41</v>
      </c>
      <c r="V86">
        <v>1</v>
      </c>
      <c r="W86" s="1" t="s">
        <v>40</v>
      </c>
      <c r="X86">
        <v>313</v>
      </c>
      <c r="Y86" s="1" t="s">
        <v>43</v>
      </c>
      <c r="Z86" s="1" t="s">
        <v>42</v>
      </c>
      <c r="AA86">
        <v>0.10714285714285714</v>
      </c>
      <c r="AB86" s="1" t="s">
        <v>52</v>
      </c>
      <c r="AC86">
        <v>1</v>
      </c>
      <c r="AD86" s="2">
        <v>44228</v>
      </c>
      <c r="AE86" s="1" t="s">
        <v>44</v>
      </c>
      <c r="AF86" s="1" t="s">
        <v>72</v>
      </c>
      <c r="AG86" s="1" t="s">
        <v>63</v>
      </c>
      <c r="AH86" s="1" t="s">
        <v>64</v>
      </c>
      <c r="AI86">
        <v>14688</v>
      </c>
      <c r="AJ86">
        <v>-54.399999999999636</v>
      </c>
    </row>
    <row r="87" spans="1:36" x14ac:dyDescent="0.25">
      <c r="A87">
        <v>10086</v>
      </c>
      <c r="B87">
        <v>41</v>
      </c>
      <c r="C87" s="1" t="s">
        <v>60</v>
      </c>
      <c r="D87" s="1" t="s">
        <v>71</v>
      </c>
      <c r="E87" s="2">
        <v>45094</v>
      </c>
      <c r="F87" s="2">
        <v>44421</v>
      </c>
      <c r="G87" s="1" t="s">
        <v>49</v>
      </c>
      <c r="H87">
        <v>1059</v>
      </c>
      <c r="I87">
        <v>2</v>
      </c>
      <c r="J87">
        <v>2</v>
      </c>
      <c r="K87">
        <v>13.95</v>
      </c>
      <c r="L87">
        <v>20</v>
      </c>
      <c r="M87" s="1" t="s">
        <v>39</v>
      </c>
      <c r="N87" s="1" t="s">
        <v>56</v>
      </c>
      <c r="O87">
        <v>1906.2</v>
      </c>
      <c r="P87" t="b">
        <v>0</v>
      </c>
      <c r="Q87">
        <v>0.16666666666666666</v>
      </c>
      <c r="R87">
        <v>953.1</v>
      </c>
      <c r="S87">
        <v>4.6499999999999995</v>
      </c>
      <c r="T87" s="2">
        <v>45078</v>
      </c>
      <c r="U87" s="1" t="s">
        <v>51</v>
      </c>
      <c r="V87">
        <v>0</v>
      </c>
      <c r="W87" s="1" t="s">
        <v>56</v>
      </c>
      <c r="Y87" s="1" t="s">
        <v>42</v>
      </c>
      <c r="Z87" s="1" t="s">
        <v>52</v>
      </c>
      <c r="AA87">
        <v>0.66666666666666663</v>
      </c>
      <c r="AB87" s="1" t="s">
        <v>42</v>
      </c>
      <c r="AC87">
        <v>3</v>
      </c>
      <c r="AD87" s="2">
        <v>45078</v>
      </c>
      <c r="AE87" s="1" t="s">
        <v>58</v>
      </c>
      <c r="AF87" s="1" t="s">
        <v>72</v>
      </c>
      <c r="AG87" s="1" t="s">
        <v>46</v>
      </c>
      <c r="AH87" s="1" t="s">
        <v>47</v>
      </c>
      <c r="AI87">
        <v>2118</v>
      </c>
      <c r="AJ87">
        <v>-211.79999999999995</v>
      </c>
    </row>
    <row r="88" spans="1:36" x14ac:dyDescent="0.25">
      <c r="A88">
        <v>10087</v>
      </c>
      <c r="B88">
        <v>43</v>
      </c>
      <c r="C88" s="1" t="s">
        <v>36</v>
      </c>
      <c r="D88" s="1" t="s">
        <v>76</v>
      </c>
      <c r="E88" s="2">
        <v>44977</v>
      </c>
      <c r="F88" s="2">
        <v>44408</v>
      </c>
      <c r="G88" s="1" t="s">
        <v>62</v>
      </c>
      <c r="H88">
        <v>1138</v>
      </c>
      <c r="I88">
        <v>34</v>
      </c>
      <c r="J88">
        <v>1</v>
      </c>
      <c r="K88">
        <v>18.91</v>
      </c>
      <c r="L88">
        <v>20</v>
      </c>
      <c r="M88" s="1" t="s">
        <v>39</v>
      </c>
      <c r="N88" s="1" t="s">
        <v>56</v>
      </c>
      <c r="O88">
        <v>38464.400000000001</v>
      </c>
      <c r="P88" t="b">
        <v>0</v>
      </c>
      <c r="Q88">
        <v>2.8333333333333335</v>
      </c>
      <c r="R88">
        <v>1131.3058823529411</v>
      </c>
      <c r="S88">
        <v>9.4550000000000001</v>
      </c>
      <c r="T88" s="2">
        <v>44958</v>
      </c>
      <c r="U88" s="1" t="s">
        <v>51</v>
      </c>
      <c r="V88">
        <v>0</v>
      </c>
      <c r="W88" s="1" t="s">
        <v>40</v>
      </c>
      <c r="Y88" s="1" t="s">
        <v>42</v>
      </c>
      <c r="Z88" s="1" t="s">
        <v>52</v>
      </c>
      <c r="AA88">
        <v>2.8571428571428571E-2</v>
      </c>
      <c r="AB88" s="1" t="s">
        <v>43</v>
      </c>
      <c r="AC88">
        <v>2</v>
      </c>
      <c r="AD88" s="2">
        <v>44958</v>
      </c>
      <c r="AE88" s="1" t="s">
        <v>44</v>
      </c>
      <c r="AF88" s="1" t="s">
        <v>54</v>
      </c>
      <c r="AG88" s="1" t="s">
        <v>46</v>
      </c>
      <c r="AH88" s="1" t="s">
        <v>47</v>
      </c>
      <c r="AI88">
        <v>38692</v>
      </c>
      <c r="AJ88">
        <v>-227.59999999999854</v>
      </c>
    </row>
    <row r="89" spans="1:36" x14ac:dyDescent="0.25">
      <c r="A89">
        <v>10088</v>
      </c>
      <c r="B89">
        <v>42</v>
      </c>
      <c r="C89" s="1" t="s">
        <v>60</v>
      </c>
      <c r="D89" s="1" t="s">
        <v>73</v>
      </c>
      <c r="E89" s="2">
        <v>44422</v>
      </c>
      <c r="F89" s="2">
        <v>45045</v>
      </c>
      <c r="G89" s="1" t="s">
        <v>38</v>
      </c>
      <c r="H89">
        <v>457</v>
      </c>
      <c r="I89">
        <v>31</v>
      </c>
      <c r="J89">
        <v>3</v>
      </c>
      <c r="K89">
        <v>62.59</v>
      </c>
      <c r="L89">
        <v>20</v>
      </c>
      <c r="M89" s="1" t="s">
        <v>67</v>
      </c>
      <c r="N89" s="1" t="s">
        <v>56</v>
      </c>
      <c r="O89">
        <v>14075.6</v>
      </c>
      <c r="P89" t="b">
        <v>1</v>
      </c>
      <c r="Q89">
        <v>2.5833333333333335</v>
      </c>
      <c r="R89">
        <v>454.05161290322582</v>
      </c>
      <c r="S89">
        <v>15.647500000000001</v>
      </c>
      <c r="T89" s="2">
        <v>44409</v>
      </c>
      <c r="U89" s="1" t="s">
        <v>51</v>
      </c>
      <c r="V89">
        <v>0</v>
      </c>
      <c r="W89" s="1" t="s">
        <v>40</v>
      </c>
      <c r="X89">
        <v>623</v>
      </c>
      <c r="Y89" s="1" t="s">
        <v>43</v>
      </c>
      <c r="Z89" s="1" t="s">
        <v>52</v>
      </c>
      <c r="AA89">
        <v>9.375E-2</v>
      </c>
      <c r="AB89" s="1" t="s">
        <v>52</v>
      </c>
      <c r="AC89">
        <v>1</v>
      </c>
      <c r="AD89" s="2">
        <v>44409</v>
      </c>
      <c r="AE89" s="1" t="s">
        <v>44</v>
      </c>
      <c r="AF89" s="1" t="s">
        <v>72</v>
      </c>
      <c r="AG89" s="1" t="s">
        <v>63</v>
      </c>
      <c r="AH89" s="1" t="s">
        <v>68</v>
      </c>
      <c r="AI89">
        <v>14167</v>
      </c>
      <c r="AJ89">
        <v>-91.399999999999636</v>
      </c>
    </row>
    <row r="90" spans="1:36" x14ac:dyDescent="0.25">
      <c r="A90">
        <v>10089</v>
      </c>
      <c r="B90">
        <v>62</v>
      </c>
      <c r="C90" s="1" t="s">
        <v>36</v>
      </c>
      <c r="D90" s="1" t="s">
        <v>73</v>
      </c>
      <c r="E90" s="2">
        <v>44247</v>
      </c>
      <c r="F90" s="2">
        <v>44890</v>
      </c>
      <c r="G90" s="1" t="s">
        <v>38</v>
      </c>
      <c r="H90">
        <v>1324</v>
      </c>
      <c r="I90">
        <v>23</v>
      </c>
      <c r="J90">
        <v>1</v>
      </c>
      <c r="K90">
        <v>61.07</v>
      </c>
      <c r="L90">
        <v>20</v>
      </c>
      <c r="M90" s="1" t="s">
        <v>50</v>
      </c>
      <c r="N90" s="1" t="s">
        <v>56</v>
      </c>
      <c r="O90">
        <v>30187.200000000001</v>
      </c>
      <c r="P90" t="b">
        <v>1</v>
      </c>
      <c r="Q90">
        <v>1.9166666666666667</v>
      </c>
      <c r="R90">
        <v>1312.4869565217391</v>
      </c>
      <c r="S90">
        <v>30.535</v>
      </c>
      <c r="T90" s="2">
        <v>44228</v>
      </c>
      <c r="U90" s="1" t="s">
        <v>41</v>
      </c>
      <c r="V90">
        <v>0</v>
      </c>
      <c r="W90" s="1" t="s">
        <v>40</v>
      </c>
      <c r="X90">
        <v>643</v>
      </c>
      <c r="Y90" s="1" t="s">
        <v>43</v>
      </c>
      <c r="Z90" s="1" t="s">
        <v>52</v>
      </c>
      <c r="AA90">
        <v>4.1666666666666664E-2</v>
      </c>
      <c r="AB90" s="1" t="s">
        <v>43</v>
      </c>
      <c r="AC90">
        <v>1</v>
      </c>
      <c r="AD90" s="2">
        <v>44228</v>
      </c>
      <c r="AE90" s="1" t="s">
        <v>53</v>
      </c>
      <c r="AF90" s="1" t="s">
        <v>54</v>
      </c>
      <c r="AG90" s="1" t="s">
        <v>63</v>
      </c>
      <c r="AH90" s="1" t="s">
        <v>47</v>
      </c>
      <c r="AI90">
        <v>30452</v>
      </c>
      <c r="AJ90">
        <v>-264.79999999999927</v>
      </c>
    </row>
    <row r="91" spans="1:36" x14ac:dyDescent="0.25">
      <c r="A91">
        <v>10090</v>
      </c>
      <c r="B91">
        <v>58</v>
      </c>
      <c r="C91" s="1" t="s">
        <v>60</v>
      </c>
      <c r="D91" s="1" t="s">
        <v>37</v>
      </c>
      <c r="E91" s="2">
        <v>44382</v>
      </c>
      <c r="F91" s="2">
        <v>44566</v>
      </c>
      <c r="G91" s="1" t="s">
        <v>38</v>
      </c>
      <c r="H91">
        <v>516</v>
      </c>
      <c r="I91">
        <v>7</v>
      </c>
      <c r="J91">
        <v>2</v>
      </c>
      <c r="K91">
        <v>32.39</v>
      </c>
      <c r="L91">
        <v>5</v>
      </c>
      <c r="M91" s="1" t="s">
        <v>39</v>
      </c>
      <c r="N91" s="1" t="s">
        <v>56</v>
      </c>
      <c r="O91">
        <v>3586.2</v>
      </c>
      <c r="P91" t="b">
        <v>1</v>
      </c>
      <c r="Q91">
        <v>0.58333333333333337</v>
      </c>
      <c r="R91">
        <v>512.31428571428569</v>
      </c>
      <c r="S91">
        <v>10.796666666666667</v>
      </c>
      <c r="T91" s="2">
        <v>44378</v>
      </c>
      <c r="U91" s="1" t="s">
        <v>41</v>
      </c>
      <c r="V91">
        <v>0</v>
      </c>
      <c r="W91" s="1" t="s">
        <v>56</v>
      </c>
      <c r="X91">
        <v>184</v>
      </c>
      <c r="Y91" s="1" t="s">
        <v>52</v>
      </c>
      <c r="Z91" s="1" t="s">
        <v>42</v>
      </c>
      <c r="AA91">
        <v>0.25</v>
      </c>
      <c r="AB91" s="1" t="s">
        <v>42</v>
      </c>
      <c r="AC91">
        <v>1</v>
      </c>
      <c r="AD91" s="2">
        <v>44378</v>
      </c>
      <c r="AE91" s="1" t="s">
        <v>74</v>
      </c>
      <c r="AF91" s="1" t="s">
        <v>72</v>
      </c>
      <c r="AG91" s="1" t="s">
        <v>55</v>
      </c>
      <c r="AH91" s="1" t="s">
        <v>64</v>
      </c>
      <c r="AI91">
        <v>3612</v>
      </c>
      <c r="AJ91">
        <v>-25.800000000000182</v>
      </c>
    </row>
    <row r="92" spans="1:36" x14ac:dyDescent="0.25">
      <c r="A92">
        <v>10091</v>
      </c>
      <c r="B92">
        <v>46</v>
      </c>
      <c r="C92" s="1" t="s">
        <v>75</v>
      </c>
      <c r="D92" s="1" t="s">
        <v>69</v>
      </c>
      <c r="E92" s="2">
        <v>44230</v>
      </c>
      <c r="F92" s="2">
        <v>44359</v>
      </c>
      <c r="G92" s="1" t="s">
        <v>38</v>
      </c>
      <c r="H92">
        <v>1227</v>
      </c>
      <c r="I92">
        <v>33</v>
      </c>
      <c r="J92">
        <v>2</v>
      </c>
      <c r="K92">
        <v>93.51</v>
      </c>
      <c r="L92">
        <v>10</v>
      </c>
      <c r="M92" s="1" t="s">
        <v>65</v>
      </c>
      <c r="N92" s="1" t="s">
        <v>56</v>
      </c>
      <c r="O92">
        <v>40368.300000000003</v>
      </c>
      <c r="P92" t="b">
        <v>1</v>
      </c>
      <c r="Q92">
        <v>2.75</v>
      </c>
      <c r="R92">
        <v>1223.2818181818184</v>
      </c>
      <c r="S92">
        <v>31.17</v>
      </c>
      <c r="T92" s="2">
        <v>44228</v>
      </c>
      <c r="U92" s="1" t="s">
        <v>51</v>
      </c>
      <c r="V92">
        <v>0</v>
      </c>
      <c r="W92" s="1" t="s">
        <v>40</v>
      </c>
      <c r="X92">
        <v>129</v>
      </c>
      <c r="Y92" s="1" t="s">
        <v>43</v>
      </c>
      <c r="Z92" s="1" t="s">
        <v>42</v>
      </c>
      <c r="AA92">
        <v>5.8823529411764705E-2</v>
      </c>
      <c r="AB92" s="1" t="s">
        <v>43</v>
      </c>
      <c r="AC92">
        <v>1</v>
      </c>
      <c r="AD92" s="2">
        <v>44228</v>
      </c>
      <c r="AE92" s="1" t="s">
        <v>44</v>
      </c>
      <c r="AF92" s="1" t="s">
        <v>72</v>
      </c>
      <c r="AG92" s="1" t="s">
        <v>63</v>
      </c>
      <c r="AH92" s="1" t="s">
        <v>47</v>
      </c>
      <c r="AI92">
        <v>40491</v>
      </c>
      <c r="AJ92">
        <v>-122.69999999999709</v>
      </c>
    </row>
    <row r="93" spans="1:36" x14ac:dyDescent="0.25">
      <c r="A93">
        <v>10092</v>
      </c>
      <c r="B93">
        <v>32</v>
      </c>
      <c r="C93" s="1" t="s">
        <v>60</v>
      </c>
      <c r="D93" s="1" t="s">
        <v>69</v>
      </c>
      <c r="E93" s="2">
        <v>44999</v>
      </c>
      <c r="F93" s="2">
        <v>45161</v>
      </c>
      <c r="G93" s="1" t="s">
        <v>38</v>
      </c>
      <c r="H93">
        <v>806</v>
      </c>
      <c r="I93">
        <v>12</v>
      </c>
      <c r="J93">
        <v>0</v>
      </c>
      <c r="K93">
        <v>35.39</v>
      </c>
      <c r="L93">
        <v>5</v>
      </c>
      <c r="M93" s="1" t="s">
        <v>50</v>
      </c>
      <c r="N93" s="1" t="s">
        <v>56</v>
      </c>
      <c r="O93">
        <v>9631.7000000000007</v>
      </c>
      <c r="P93" t="b">
        <v>1</v>
      </c>
      <c r="Q93">
        <v>1</v>
      </c>
      <c r="R93">
        <v>802.64166666666677</v>
      </c>
      <c r="S93">
        <v>35.39</v>
      </c>
      <c r="T93" s="2">
        <v>44986</v>
      </c>
      <c r="U93" s="1" t="s">
        <v>57</v>
      </c>
      <c r="V93">
        <v>0</v>
      </c>
      <c r="W93" s="1" t="s">
        <v>56</v>
      </c>
      <c r="X93">
        <v>162</v>
      </c>
      <c r="Y93" s="1" t="s">
        <v>52</v>
      </c>
      <c r="Z93" s="1" t="s">
        <v>42</v>
      </c>
      <c r="AA93">
        <v>0</v>
      </c>
      <c r="AB93" s="1" t="s">
        <v>52</v>
      </c>
      <c r="AC93">
        <v>1</v>
      </c>
      <c r="AD93" s="2">
        <v>44986</v>
      </c>
      <c r="AE93" s="1" t="s">
        <v>74</v>
      </c>
      <c r="AF93" s="1" t="s">
        <v>54</v>
      </c>
      <c r="AG93" s="1" t="s">
        <v>55</v>
      </c>
      <c r="AH93" s="1" t="s">
        <v>59</v>
      </c>
      <c r="AI93">
        <v>9672</v>
      </c>
      <c r="AJ93">
        <v>-40.299999999999272</v>
      </c>
    </row>
    <row r="94" spans="1:36" x14ac:dyDescent="0.25">
      <c r="A94">
        <v>10093</v>
      </c>
      <c r="B94">
        <v>62</v>
      </c>
      <c r="C94" s="1" t="s">
        <v>60</v>
      </c>
      <c r="D94" s="1" t="s">
        <v>73</v>
      </c>
      <c r="E94" s="2">
        <v>44938</v>
      </c>
      <c r="F94" s="2">
        <v>44762</v>
      </c>
      <c r="G94" s="1" t="s">
        <v>62</v>
      </c>
      <c r="H94">
        <v>1060</v>
      </c>
      <c r="I94">
        <v>12</v>
      </c>
      <c r="J94">
        <v>6</v>
      </c>
      <c r="K94">
        <v>88.63</v>
      </c>
      <c r="L94">
        <v>10</v>
      </c>
      <c r="M94" s="1" t="s">
        <v>39</v>
      </c>
      <c r="N94" s="1" t="s">
        <v>56</v>
      </c>
      <c r="O94">
        <v>12614</v>
      </c>
      <c r="P94" t="b">
        <v>0</v>
      </c>
      <c r="Q94">
        <v>1</v>
      </c>
      <c r="R94">
        <v>1051.1666666666667</v>
      </c>
      <c r="S94">
        <v>12.661428571428571</v>
      </c>
      <c r="T94" s="2">
        <v>44927</v>
      </c>
      <c r="U94" s="1" t="s">
        <v>41</v>
      </c>
      <c r="V94">
        <v>0</v>
      </c>
      <c r="W94" s="1" t="s">
        <v>56</v>
      </c>
      <c r="Y94" s="1" t="s">
        <v>43</v>
      </c>
      <c r="Z94" s="1" t="s">
        <v>42</v>
      </c>
      <c r="AA94">
        <v>0.46153846153846156</v>
      </c>
      <c r="AB94" s="1" t="s">
        <v>52</v>
      </c>
      <c r="AC94">
        <v>2</v>
      </c>
      <c r="AD94" s="2">
        <v>44927</v>
      </c>
      <c r="AE94" s="1" t="s">
        <v>74</v>
      </c>
      <c r="AF94" s="1" t="s">
        <v>78</v>
      </c>
      <c r="AG94" s="1" t="s">
        <v>63</v>
      </c>
      <c r="AH94" s="1" t="s">
        <v>47</v>
      </c>
      <c r="AI94">
        <v>12720</v>
      </c>
      <c r="AJ94">
        <v>-106</v>
      </c>
    </row>
    <row r="95" spans="1:36" x14ac:dyDescent="0.25">
      <c r="A95">
        <v>10094</v>
      </c>
      <c r="B95">
        <v>18</v>
      </c>
      <c r="C95" s="1" t="s">
        <v>60</v>
      </c>
      <c r="D95" s="1" t="s">
        <v>71</v>
      </c>
      <c r="E95" s="2">
        <v>44327</v>
      </c>
      <c r="F95" s="2">
        <v>44379</v>
      </c>
      <c r="G95" s="1" t="s">
        <v>38</v>
      </c>
      <c r="H95">
        <v>1203</v>
      </c>
      <c r="I95">
        <v>19</v>
      </c>
      <c r="J95">
        <v>2</v>
      </c>
      <c r="K95">
        <v>101.29</v>
      </c>
      <c r="L95">
        <v>5</v>
      </c>
      <c r="M95" s="1" t="s">
        <v>50</v>
      </c>
      <c r="N95" s="1" t="s">
        <v>56</v>
      </c>
      <c r="O95">
        <v>22796.85</v>
      </c>
      <c r="P95" t="b">
        <v>1</v>
      </c>
      <c r="Q95">
        <v>1.5833333333333333</v>
      </c>
      <c r="R95">
        <v>1199.8342105263157</v>
      </c>
      <c r="S95">
        <v>33.763333333333335</v>
      </c>
      <c r="T95" s="2">
        <v>44317</v>
      </c>
      <c r="U95" s="1" t="s">
        <v>66</v>
      </c>
      <c r="V95">
        <v>0</v>
      </c>
      <c r="W95" s="1" t="s">
        <v>40</v>
      </c>
      <c r="X95">
        <v>52</v>
      </c>
      <c r="Y95" s="1" t="s">
        <v>43</v>
      </c>
      <c r="Z95" s="1" t="s">
        <v>42</v>
      </c>
      <c r="AA95">
        <v>0.1</v>
      </c>
      <c r="AB95" s="1" t="s">
        <v>43</v>
      </c>
      <c r="AC95">
        <v>1</v>
      </c>
      <c r="AD95" s="2">
        <v>44317</v>
      </c>
      <c r="AE95" s="1" t="s">
        <v>53</v>
      </c>
      <c r="AF95" s="1" t="s">
        <v>72</v>
      </c>
      <c r="AG95" s="1" t="s">
        <v>63</v>
      </c>
      <c r="AH95" s="1" t="s">
        <v>47</v>
      </c>
      <c r="AI95">
        <v>22857</v>
      </c>
      <c r="AJ95">
        <v>-60.150000000001455</v>
      </c>
    </row>
    <row r="96" spans="1:36" x14ac:dyDescent="0.25">
      <c r="A96">
        <v>10095</v>
      </c>
      <c r="B96">
        <v>42</v>
      </c>
      <c r="C96" s="1" t="s">
        <v>36</v>
      </c>
      <c r="D96" s="1" t="s">
        <v>61</v>
      </c>
      <c r="E96" s="2">
        <v>44828</v>
      </c>
      <c r="F96" s="2">
        <v>44507</v>
      </c>
      <c r="G96" s="1" t="s">
        <v>49</v>
      </c>
      <c r="H96">
        <v>880</v>
      </c>
      <c r="I96">
        <v>9</v>
      </c>
      <c r="J96">
        <v>0</v>
      </c>
      <c r="K96">
        <v>95.19</v>
      </c>
      <c r="L96">
        <v>0</v>
      </c>
      <c r="M96" s="1" t="s">
        <v>39</v>
      </c>
      <c r="N96" s="1" t="s">
        <v>40</v>
      </c>
      <c r="O96">
        <v>7920</v>
      </c>
      <c r="P96" t="b">
        <v>0</v>
      </c>
      <c r="Q96">
        <v>0.75</v>
      </c>
      <c r="R96">
        <v>880</v>
      </c>
      <c r="S96">
        <v>95.19</v>
      </c>
      <c r="T96" s="2">
        <v>44805</v>
      </c>
      <c r="U96" s="1" t="s">
        <v>51</v>
      </c>
      <c r="V96">
        <v>1</v>
      </c>
      <c r="W96" s="1" t="s">
        <v>56</v>
      </c>
      <c r="Y96" s="1" t="s">
        <v>43</v>
      </c>
      <c r="Z96" s="1" t="s">
        <v>42</v>
      </c>
      <c r="AA96">
        <v>0</v>
      </c>
      <c r="AB96" s="1" t="s">
        <v>42</v>
      </c>
      <c r="AC96">
        <v>3</v>
      </c>
      <c r="AD96" s="2">
        <v>44805</v>
      </c>
      <c r="AE96" s="1" t="s">
        <v>74</v>
      </c>
      <c r="AF96" s="1" t="s">
        <v>54</v>
      </c>
      <c r="AG96" s="1" t="s">
        <v>63</v>
      </c>
      <c r="AH96" s="1" t="s">
        <v>59</v>
      </c>
      <c r="AI96">
        <v>7920</v>
      </c>
      <c r="AJ96">
        <v>0</v>
      </c>
    </row>
    <row r="97" spans="1:36" x14ac:dyDescent="0.25">
      <c r="A97">
        <v>10096</v>
      </c>
      <c r="B97">
        <v>24</v>
      </c>
      <c r="C97" s="1" t="s">
        <v>36</v>
      </c>
      <c r="D97" s="1" t="s">
        <v>73</v>
      </c>
      <c r="E97" s="2">
        <v>44639</v>
      </c>
      <c r="F97" s="2">
        <v>44584</v>
      </c>
      <c r="G97" s="1" t="s">
        <v>38</v>
      </c>
      <c r="H97">
        <v>1353</v>
      </c>
      <c r="I97">
        <v>10</v>
      </c>
      <c r="J97">
        <v>3</v>
      </c>
      <c r="K97">
        <v>36.520000000000003</v>
      </c>
      <c r="L97">
        <v>10</v>
      </c>
      <c r="M97" s="1" t="s">
        <v>67</v>
      </c>
      <c r="N97" s="1" t="s">
        <v>56</v>
      </c>
      <c r="O97">
        <v>13394.7</v>
      </c>
      <c r="P97" t="b">
        <v>0</v>
      </c>
      <c r="Q97">
        <v>0.83333333333333337</v>
      </c>
      <c r="R97">
        <v>1339.47</v>
      </c>
      <c r="S97">
        <v>9.1300000000000008</v>
      </c>
      <c r="T97" s="2">
        <v>44621</v>
      </c>
      <c r="U97" s="1" t="s">
        <v>66</v>
      </c>
      <c r="V97">
        <v>0</v>
      </c>
      <c r="W97" s="1" t="s">
        <v>56</v>
      </c>
      <c r="Y97" s="1" t="s">
        <v>52</v>
      </c>
      <c r="Z97" s="1" t="s">
        <v>42</v>
      </c>
      <c r="AA97">
        <v>0.27272727272727271</v>
      </c>
      <c r="AB97" s="1" t="s">
        <v>52</v>
      </c>
      <c r="AC97">
        <v>1</v>
      </c>
      <c r="AD97" s="2">
        <v>44621</v>
      </c>
      <c r="AE97" s="1" t="s">
        <v>74</v>
      </c>
      <c r="AF97" s="1" t="s">
        <v>72</v>
      </c>
      <c r="AG97" s="1" t="s">
        <v>55</v>
      </c>
      <c r="AH97" s="1" t="s">
        <v>47</v>
      </c>
      <c r="AI97">
        <v>13530</v>
      </c>
      <c r="AJ97">
        <v>-135.29999999999927</v>
      </c>
    </row>
    <row r="98" spans="1:36" x14ac:dyDescent="0.25">
      <c r="A98">
        <v>10097</v>
      </c>
      <c r="B98">
        <v>26</v>
      </c>
      <c r="C98" s="1" t="s">
        <v>36</v>
      </c>
      <c r="D98" s="1" t="s">
        <v>48</v>
      </c>
      <c r="E98" s="2">
        <v>45034</v>
      </c>
      <c r="F98" s="2">
        <v>45086</v>
      </c>
      <c r="G98" s="1" t="s">
        <v>49</v>
      </c>
      <c r="H98">
        <v>926</v>
      </c>
      <c r="I98">
        <v>17</v>
      </c>
      <c r="J98">
        <v>1</v>
      </c>
      <c r="K98">
        <v>51.19</v>
      </c>
      <c r="L98">
        <v>20</v>
      </c>
      <c r="M98" s="1" t="s">
        <v>39</v>
      </c>
      <c r="N98" s="1" t="s">
        <v>56</v>
      </c>
      <c r="O98">
        <v>15556.8</v>
      </c>
      <c r="P98" t="b">
        <v>1</v>
      </c>
      <c r="Q98">
        <v>1.4166666666666667</v>
      </c>
      <c r="R98">
        <v>915.10588235294108</v>
      </c>
      <c r="S98">
        <v>25.594999999999999</v>
      </c>
      <c r="T98" s="2">
        <v>45017</v>
      </c>
      <c r="U98" s="1" t="s">
        <v>57</v>
      </c>
      <c r="V98">
        <v>0</v>
      </c>
      <c r="W98" s="1" t="s">
        <v>40</v>
      </c>
      <c r="X98">
        <v>52</v>
      </c>
      <c r="Y98" s="1" t="s">
        <v>52</v>
      </c>
      <c r="Z98" s="1" t="s">
        <v>52</v>
      </c>
      <c r="AA98">
        <v>5.5555555555555552E-2</v>
      </c>
      <c r="AB98" s="1" t="s">
        <v>52</v>
      </c>
      <c r="AC98">
        <v>3</v>
      </c>
      <c r="AD98" s="2">
        <v>45017</v>
      </c>
      <c r="AE98" s="1" t="s">
        <v>53</v>
      </c>
      <c r="AF98" s="1" t="s">
        <v>54</v>
      </c>
      <c r="AG98" s="1" t="s">
        <v>63</v>
      </c>
      <c r="AH98" s="1" t="s">
        <v>59</v>
      </c>
      <c r="AI98">
        <v>15742</v>
      </c>
      <c r="AJ98">
        <v>-185.20000000000073</v>
      </c>
    </row>
    <row r="99" spans="1:36" x14ac:dyDescent="0.25">
      <c r="A99">
        <v>10098</v>
      </c>
      <c r="B99">
        <v>41</v>
      </c>
      <c r="C99" s="1" t="s">
        <v>60</v>
      </c>
      <c r="D99" s="1" t="s">
        <v>61</v>
      </c>
      <c r="E99" s="2">
        <v>44955</v>
      </c>
      <c r="F99" s="2">
        <v>44528</v>
      </c>
      <c r="G99" s="1" t="s">
        <v>38</v>
      </c>
      <c r="H99">
        <v>819</v>
      </c>
      <c r="I99">
        <v>10</v>
      </c>
      <c r="J99">
        <v>1</v>
      </c>
      <c r="K99">
        <v>52.52</v>
      </c>
      <c r="L99">
        <v>10</v>
      </c>
      <c r="M99" s="1" t="s">
        <v>50</v>
      </c>
      <c r="N99" s="1" t="s">
        <v>56</v>
      </c>
      <c r="O99">
        <v>8108.1</v>
      </c>
      <c r="P99" t="b">
        <v>0</v>
      </c>
      <c r="Q99">
        <v>0.83333333333333337</v>
      </c>
      <c r="R99">
        <v>810.81000000000006</v>
      </c>
      <c r="S99">
        <v>26.26</v>
      </c>
      <c r="T99" s="2">
        <v>44927</v>
      </c>
      <c r="U99" s="1" t="s">
        <v>51</v>
      </c>
      <c r="V99">
        <v>0</v>
      </c>
      <c r="W99" s="1" t="s">
        <v>56</v>
      </c>
      <c r="Y99" s="1" t="s">
        <v>52</v>
      </c>
      <c r="Z99" s="1" t="s">
        <v>42</v>
      </c>
      <c r="AA99">
        <v>9.0909090909090912E-2</v>
      </c>
      <c r="AB99" s="1" t="s">
        <v>42</v>
      </c>
      <c r="AC99">
        <v>1</v>
      </c>
      <c r="AD99" s="2">
        <v>44927</v>
      </c>
      <c r="AE99" s="1" t="s">
        <v>74</v>
      </c>
      <c r="AF99" s="1" t="s">
        <v>54</v>
      </c>
      <c r="AG99" s="1" t="s">
        <v>63</v>
      </c>
      <c r="AH99" s="1" t="s">
        <v>59</v>
      </c>
      <c r="AI99">
        <v>8190</v>
      </c>
      <c r="AJ99">
        <v>-81.899999999999636</v>
      </c>
    </row>
    <row r="100" spans="1:36" x14ac:dyDescent="0.25">
      <c r="A100">
        <v>10099</v>
      </c>
      <c r="B100">
        <v>18</v>
      </c>
      <c r="C100" s="1" t="s">
        <v>60</v>
      </c>
      <c r="D100" s="1" t="s">
        <v>69</v>
      </c>
      <c r="E100" s="2">
        <v>44628</v>
      </c>
      <c r="F100" s="2">
        <v>45176</v>
      </c>
      <c r="G100" s="1" t="s">
        <v>62</v>
      </c>
      <c r="H100">
        <v>574</v>
      </c>
      <c r="I100">
        <v>12</v>
      </c>
      <c r="J100">
        <v>2</v>
      </c>
      <c r="K100">
        <v>61.5</v>
      </c>
      <c r="L100">
        <v>15</v>
      </c>
      <c r="M100" s="1" t="s">
        <v>39</v>
      </c>
      <c r="N100" s="1" t="s">
        <v>56</v>
      </c>
      <c r="O100">
        <v>6801.9</v>
      </c>
      <c r="P100" t="b">
        <v>1</v>
      </c>
      <c r="Q100">
        <v>1</v>
      </c>
      <c r="R100">
        <v>566.82499999999993</v>
      </c>
      <c r="S100">
        <v>20.5</v>
      </c>
      <c r="T100" s="2">
        <v>44621</v>
      </c>
      <c r="U100" s="1" t="s">
        <v>66</v>
      </c>
      <c r="V100">
        <v>0</v>
      </c>
      <c r="W100" s="1" t="s">
        <v>56</v>
      </c>
      <c r="X100">
        <v>548</v>
      </c>
      <c r="Y100" s="1" t="s">
        <v>43</v>
      </c>
      <c r="Z100" s="1" t="s">
        <v>42</v>
      </c>
      <c r="AA100">
        <v>0.15384615384615385</v>
      </c>
      <c r="AB100" s="1" t="s">
        <v>42</v>
      </c>
      <c r="AC100">
        <v>2</v>
      </c>
      <c r="AD100" s="2">
        <v>44621</v>
      </c>
      <c r="AE100" s="1" t="s">
        <v>74</v>
      </c>
      <c r="AF100" s="1" t="s">
        <v>72</v>
      </c>
      <c r="AG100" s="1" t="s">
        <v>63</v>
      </c>
      <c r="AH100" s="1" t="s">
        <v>64</v>
      </c>
      <c r="AI100">
        <v>6888</v>
      </c>
      <c r="AJ100">
        <v>-86.100000000000364</v>
      </c>
    </row>
    <row r="101" spans="1:36" x14ac:dyDescent="0.25">
      <c r="A101">
        <v>10100</v>
      </c>
      <c r="B101">
        <v>61</v>
      </c>
      <c r="C101" s="1" t="s">
        <v>36</v>
      </c>
      <c r="D101" s="1" t="s">
        <v>73</v>
      </c>
      <c r="E101" s="2">
        <v>44900</v>
      </c>
      <c r="F101" s="2">
        <v>44905</v>
      </c>
      <c r="G101" s="1" t="s">
        <v>38</v>
      </c>
      <c r="H101">
        <v>791</v>
      </c>
      <c r="I101">
        <v>15</v>
      </c>
      <c r="J101">
        <v>2</v>
      </c>
      <c r="K101">
        <v>24.25</v>
      </c>
      <c r="L101">
        <v>10</v>
      </c>
      <c r="M101" s="1" t="s">
        <v>39</v>
      </c>
      <c r="N101" s="1" t="s">
        <v>56</v>
      </c>
      <c r="O101">
        <v>11785.9</v>
      </c>
      <c r="P101" t="b">
        <v>1</v>
      </c>
      <c r="Q101">
        <v>1.25</v>
      </c>
      <c r="R101">
        <v>785.72666666666669</v>
      </c>
      <c r="S101">
        <v>8.0833333333333339</v>
      </c>
      <c r="T101" s="2">
        <v>44896</v>
      </c>
      <c r="U101" s="1" t="s">
        <v>41</v>
      </c>
      <c r="V101">
        <v>0</v>
      </c>
      <c r="W101" s="1" t="s">
        <v>56</v>
      </c>
      <c r="X101">
        <v>5</v>
      </c>
      <c r="Y101" s="1" t="s">
        <v>52</v>
      </c>
      <c r="Z101" s="1" t="s">
        <v>42</v>
      </c>
      <c r="AA101">
        <v>0.125</v>
      </c>
      <c r="AB101" s="1" t="s">
        <v>52</v>
      </c>
      <c r="AC101">
        <v>1</v>
      </c>
      <c r="AD101" s="2">
        <v>44896</v>
      </c>
      <c r="AE101" s="1" t="s">
        <v>53</v>
      </c>
      <c r="AF101" s="1" t="s">
        <v>72</v>
      </c>
      <c r="AG101" s="1" t="s">
        <v>70</v>
      </c>
      <c r="AH101" s="1" t="s">
        <v>59</v>
      </c>
      <c r="AI101">
        <v>11865</v>
      </c>
      <c r="AJ101">
        <v>-79.100000000000364</v>
      </c>
    </row>
    <row r="102" spans="1:36" x14ac:dyDescent="0.25">
      <c r="A102">
        <v>10101</v>
      </c>
      <c r="B102">
        <v>25</v>
      </c>
      <c r="C102" s="1" t="s">
        <v>60</v>
      </c>
      <c r="D102" s="1" t="s">
        <v>37</v>
      </c>
      <c r="E102" s="2">
        <v>44693</v>
      </c>
      <c r="F102" s="2">
        <v>44688</v>
      </c>
      <c r="G102" s="1" t="s">
        <v>38</v>
      </c>
      <c r="H102">
        <v>1126</v>
      </c>
      <c r="I102">
        <v>31</v>
      </c>
      <c r="J102">
        <v>1</v>
      </c>
      <c r="K102">
        <v>57.03</v>
      </c>
      <c r="L102">
        <v>15</v>
      </c>
      <c r="M102" s="1" t="s">
        <v>50</v>
      </c>
      <c r="N102" s="1" t="s">
        <v>56</v>
      </c>
      <c r="O102">
        <v>34737.1</v>
      </c>
      <c r="P102" t="b">
        <v>0</v>
      </c>
      <c r="Q102">
        <v>2.5833333333333335</v>
      </c>
      <c r="R102">
        <v>1120.5516129032258</v>
      </c>
      <c r="S102">
        <v>28.515000000000001</v>
      </c>
      <c r="T102" s="2">
        <v>44682</v>
      </c>
      <c r="U102" s="1" t="s">
        <v>66</v>
      </c>
      <c r="V102">
        <v>0</v>
      </c>
      <c r="W102" s="1" t="s">
        <v>40</v>
      </c>
      <c r="Y102" s="1" t="s">
        <v>52</v>
      </c>
      <c r="Z102" s="1" t="s">
        <v>42</v>
      </c>
      <c r="AA102">
        <v>3.125E-2</v>
      </c>
      <c r="AB102" s="1" t="s">
        <v>43</v>
      </c>
      <c r="AC102">
        <v>1</v>
      </c>
      <c r="AD102" s="2">
        <v>44682</v>
      </c>
      <c r="AE102" s="1" t="s">
        <v>44</v>
      </c>
      <c r="AF102" s="1" t="s">
        <v>54</v>
      </c>
      <c r="AG102" s="1" t="s">
        <v>63</v>
      </c>
      <c r="AH102" s="1" t="s">
        <v>47</v>
      </c>
      <c r="AI102">
        <v>34906</v>
      </c>
      <c r="AJ102">
        <v>-168.90000000000146</v>
      </c>
    </row>
    <row r="103" spans="1:36" x14ac:dyDescent="0.25">
      <c r="A103">
        <v>10102</v>
      </c>
      <c r="B103">
        <v>41</v>
      </c>
      <c r="C103" s="1" t="s">
        <v>60</v>
      </c>
      <c r="D103" s="1" t="s">
        <v>48</v>
      </c>
      <c r="E103" s="2">
        <v>44599</v>
      </c>
      <c r="F103" s="2">
        <v>44805</v>
      </c>
      <c r="G103" s="1" t="s">
        <v>49</v>
      </c>
      <c r="H103">
        <v>1250</v>
      </c>
      <c r="I103">
        <v>15</v>
      </c>
      <c r="J103">
        <v>3</v>
      </c>
      <c r="K103">
        <v>63.74</v>
      </c>
      <c r="L103">
        <v>15</v>
      </c>
      <c r="M103" s="1" t="s">
        <v>39</v>
      </c>
      <c r="N103" s="1" t="s">
        <v>56</v>
      </c>
      <c r="O103">
        <v>18562.5</v>
      </c>
      <c r="P103" t="b">
        <v>1</v>
      </c>
      <c r="Q103">
        <v>1.25</v>
      </c>
      <c r="R103">
        <v>1237.5</v>
      </c>
      <c r="S103">
        <v>15.935</v>
      </c>
      <c r="T103" s="2">
        <v>44593</v>
      </c>
      <c r="U103" s="1" t="s">
        <v>51</v>
      </c>
      <c r="V103">
        <v>0</v>
      </c>
      <c r="W103" s="1" t="s">
        <v>40</v>
      </c>
      <c r="X103">
        <v>206</v>
      </c>
      <c r="Y103" s="1" t="s">
        <v>43</v>
      </c>
      <c r="Z103" s="1" t="s">
        <v>42</v>
      </c>
      <c r="AA103">
        <v>0.1875</v>
      </c>
      <c r="AB103" s="1" t="s">
        <v>52</v>
      </c>
      <c r="AC103">
        <v>3</v>
      </c>
      <c r="AD103" s="2">
        <v>44593</v>
      </c>
      <c r="AE103" s="1" t="s">
        <v>53</v>
      </c>
      <c r="AF103" s="1" t="s">
        <v>72</v>
      </c>
      <c r="AG103" s="1" t="s">
        <v>63</v>
      </c>
      <c r="AH103" s="1" t="s">
        <v>47</v>
      </c>
      <c r="AI103">
        <v>18750</v>
      </c>
      <c r="AJ103">
        <v>-187.5</v>
      </c>
    </row>
    <row r="104" spans="1:36" x14ac:dyDescent="0.25">
      <c r="A104">
        <v>10103</v>
      </c>
      <c r="B104">
        <v>28</v>
      </c>
      <c r="C104" s="1" t="s">
        <v>75</v>
      </c>
      <c r="D104" s="1" t="s">
        <v>73</v>
      </c>
      <c r="E104" s="2">
        <v>44519</v>
      </c>
      <c r="F104" s="2">
        <v>44427</v>
      </c>
      <c r="G104" s="1" t="s">
        <v>38</v>
      </c>
      <c r="H104">
        <v>1225</v>
      </c>
      <c r="I104">
        <v>28</v>
      </c>
      <c r="J104">
        <v>0</v>
      </c>
      <c r="K104">
        <v>66.150000000000006</v>
      </c>
      <c r="L104">
        <v>0</v>
      </c>
      <c r="M104" s="1" t="s">
        <v>39</v>
      </c>
      <c r="N104" s="1" t="s">
        <v>56</v>
      </c>
      <c r="O104">
        <v>34300</v>
      </c>
      <c r="P104" t="b">
        <v>0</v>
      </c>
      <c r="Q104">
        <v>2.3333333333333335</v>
      </c>
      <c r="R104">
        <v>1225</v>
      </c>
      <c r="S104">
        <v>66.150000000000006</v>
      </c>
      <c r="T104" s="2">
        <v>44501</v>
      </c>
      <c r="U104" s="1" t="s">
        <v>57</v>
      </c>
      <c r="V104">
        <v>0</v>
      </c>
      <c r="W104" s="1" t="s">
        <v>40</v>
      </c>
      <c r="Y104" s="1" t="s">
        <v>43</v>
      </c>
      <c r="Z104" s="1" t="s">
        <v>42</v>
      </c>
      <c r="AA104">
        <v>0</v>
      </c>
      <c r="AB104" s="1" t="s">
        <v>43</v>
      </c>
      <c r="AC104">
        <v>1</v>
      </c>
      <c r="AD104" s="2">
        <v>44501</v>
      </c>
      <c r="AE104" s="1" t="s">
        <v>44</v>
      </c>
      <c r="AF104" s="1" t="s">
        <v>54</v>
      </c>
      <c r="AG104" s="1" t="s">
        <v>63</v>
      </c>
      <c r="AH104" s="1" t="s">
        <v>47</v>
      </c>
      <c r="AI104">
        <v>34300</v>
      </c>
      <c r="AJ104">
        <v>0</v>
      </c>
    </row>
    <row r="105" spans="1:36" x14ac:dyDescent="0.25">
      <c r="A105">
        <v>10104</v>
      </c>
      <c r="B105">
        <v>34</v>
      </c>
      <c r="C105" s="1" t="s">
        <v>75</v>
      </c>
      <c r="D105" s="1" t="s">
        <v>71</v>
      </c>
      <c r="E105" s="2">
        <v>44406</v>
      </c>
      <c r="F105" s="2">
        <v>44994</v>
      </c>
      <c r="G105" s="1" t="s">
        <v>62</v>
      </c>
      <c r="H105">
        <v>1146</v>
      </c>
      <c r="I105">
        <v>4</v>
      </c>
      <c r="J105">
        <v>4</v>
      </c>
      <c r="K105">
        <v>99.29</v>
      </c>
      <c r="L105">
        <v>10</v>
      </c>
      <c r="M105" s="1" t="s">
        <v>50</v>
      </c>
      <c r="N105" s="1" t="s">
        <v>40</v>
      </c>
      <c r="O105">
        <v>4469.3999999999996</v>
      </c>
      <c r="P105" t="b">
        <v>1</v>
      </c>
      <c r="Q105">
        <v>0.33333333333333331</v>
      </c>
      <c r="R105">
        <v>1117.3499999999999</v>
      </c>
      <c r="S105">
        <v>19.858000000000001</v>
      </c>
      <c r="T105" s="2">
        <v>44378</v>
      </c>
      <c r="U105" s="1" t="s">
        <v>57</v>
      </c>
      <c r="V105">
        <v>1</v>
      </c>
      <c r="W105" s="1" t="s">
        <v>56</v>
      </c>
      <c r="X105">
        <v>588</v>
      </c>
      <c r="Y105" s="1" t="s">
        <v>43</v>
      </c>
      <c r="Z105" s="1" t="s">
        <v>42</v>
      </c>
      <c r="AA105">
        <v>0.8</v>
      </c>
      <c r="AB105" s="1" t="s">
        <v>42</v>
      </c>
      <c r="AC105">
        <v>2</v>
      </c>
      <c r="AD105" s="2">
        <v>44378</v>
      </c>
      <c r="AE105" s="1" t="s">
        <v>58</v>
      </c>
      <c r="AF105" s="1" t="s">
        <v>45</v>
      </c>
      <c r="AG105" s="1" t="s">
        <v>63</v>
      </c>
      <c r="AH105" s="1" t="s">
        <v>47</v>
      </c>
      <c r="AI105">
        <v>4584</v>
      </c>
      <c r="AJ105">
        <v>-114.60000000000036</v>
      </c>
    </row>
    <row r="106" spans="1:36" x14ac:dyDescent="0.25">
      <c r="A106">
        <v>10105</v>
      </c>
      <c r="B106">
        <v>25</v>
      </c>
      <c r="C106" s="1" t="s">
        <v>36</v>
      </c>
      <c r="D106" s="1" t="s">
        <v>48</v>
      </c>
      <c r="E106" s="2">
        <v>44811</v>
      </c>
      <c r="F106" s="2">
        <v>45119</v>
      </c>
      <c r="G106" s="1" t="s">
        <v>62</v>
      </c>
      <c r="H106">
        <v>1359</v>
      </c>
      <c r="I106">
        <v>1</v>
      </c>
      <c r="J106">
        <v>0</v>
      </c>
      <c r="K106">
        <v>64.489999999999995</v>
      </c>
      <c r="L106">
        <v>0</v>
      </c>
      <c r="M106" s="1" t="s">
        <v>67</v>
      </c>
      <c r="N106" s="1" t="s">
        <v>56</v>
      </c>
      <c r="O106">
        <v>1359</v>
      </c>
      <c r="P106" t="b">
        <v>1</v>
      </c>
      <c r="Q106">
        <v>8.3333333333333329E-2</v>
      </c>
      <c r="R106">
        <v>1359</v>
      </c>
      <c r="S106">
        <v>64.489999999999995</v>
      </c>
      <c r="T106" s="2">
        <v>44805</v>
      </c>
      <c r="U106" s="1" t="s">
        <v>66</v>
      </c>
      <c r="V106">
        <v>0</v>
      </c>
      <c r="W106" s="1" t="s">
        <v>56</v>
      </c>
      <c r="X106">
        <v>308</v>
      </c>
      <c r="Y106" s="1" t="s">
        <v>43</v>
      </c>
      <c r="Z106" s="1" t="s">
        <v>42</v>
      </c>
      <c r="AA106">
        <v>0</v>
      </c>
      <c r="AB106" s="1" t="s">
        <v>42</v>
      </c>
      <c r="AC106">
        <v>2</v>
      </c>
      <c r="AD106" s="2">
        <v>44805</v>
      </c>
      <c r="AE106" s="1" t="s">
        <v>58</v>
      </c>
      <c r="AF106" s="1" t="s">
        <v>54</v>
      </c>
      <c r="AG106" s="1" t="s">
        <v>63</v>
      </c>
      <c r="AH106" s="1" t="s">
        <v>47</v>
      </c>
      <c r="AI106">
        <v>1359</v>
      </c>
      <c r="AJ106">
        <v>0</v>
      </c>
    </row>
    <row r="107" spans="1:36" x14ac:dyDescent="0.25">
      <c r="A107">
        <v>10106</v>
      </c>
      <c r="B107">
        <v>52</v>
      </c>
      <c r="C107" s="1" t="s">
        <v>36</v>
      </c>
      <c r="D107" s="1" t="s">
        <v>73</v>
      </c>
      <c r="E107" s="2">
        <v>44525</v>
      </c>
      <c r="F107" s="2">
        <v>45167</v>
      </c>
      <c r="G107" s="1" t="s">
        <v>62</v>
      </c>
      <c r="H107">
        <v>1367</v>
      </c>
      <c r="I107">
        <v>34</v>
      </c>
      <c r="J107">
        <v>4</v>
      </c>
      <c r="K107">
        <v>31.54</v>
      </c>
      <c r="L107">
        <v>20</v>
      </c>
      <c r="M107" s="1" t="s">
        <v>65</v>
      </c>
      <c r="N107" s="1" t="s">
        <v>56</v>
      </c>
      <c r="O107">
        <v>46204.6</v>
      </c>
      <c r="P107" t="b">
        <v>1</v>
      </c>
      <c r="Q107">
        <v>2.8333333333333335</v>
      </c>
      <c r="R107">
        <v>1358.9588235294118</v>
      </c>
      <c r="S107">
        <v>6.3079999999999998</v>
      </c>
      <c r="T107" s="2">
        <v>44501</v>
      </c>
      <c r="U107" s="1" t="s">
        <v>41</v>
      </c>
      <c r="V107">
        <v>0</v>
      </c>
      <c r="W107" s="1" t="s">
        <v>40</v>
      </c>
      <c r="X107">
        <v>642</v>
      </c>
      <c r="Y107" s="1" t="s">
        <v>52</v>
      </c>
      <c r="Z107" s="1" t="s">
        <v>52</v>
      </c>
      <c r="AA107">
        <v>0.11428571428571428</v>
      </c>
      <c r="AB107" s="1" t="s">
        <v>43</v>
      </c>
      <c r="AC107">
        <v>2</v>
      </c>
      <c r="AD107" s="2">
        <v>44501</v>
      </c>
      <c r="AE107" s="1" t="s">
        <v>44</v>
      </c>
      <c r="AF107" s="1" t="s">
        <v>45</v>
      </c>
      <c r="AG107" s="1" t="s">
        <v>55</v>
      </c>
      <c r="AH107" s="1" t="s">
        <v>47</v>
      </c>
      <c r="AI107">
        <v>46478</v>
      </c>
      <c r="AJ107">
        <v>-273.40000000000146</v>
      </c>
    </row>
    <row r="108" spans="1:36" x14ac:dyDescent="0.25">
      <c r="A108">
        <v>10107</v>
      </c>
      <c r="B108">
        <v>52</v>
      </c>
      <c r="C108" s="1" t="s">
        <v>60</v>
      </c>
      <c r="D108" s="1" t="s">
        <v>71</v>
      </c>
      <c r="E108" s="2">
        <v>44568</v>
      </c>
      <c r="F108" s="2">
        <v>45106</v>
      </c>
      <c r="G108" s="1" t="s">
        <v>62</v>
      </c>
      <c r="H108">
        <v>1478</v>
      </c>
      <c r="I108">
        <v>17</v>
      </c>
      <c r="J108">
        <v>0</v>
      </c>
      <c r="K108">
        <v>81.260000000000005</v>
      </c>
      <c r="L108">
        <v>10</v>
      </c>
      <c r="M108" s="1" t="s">
        <v>65</v>
      </c>
      <c r="N108" s="1" t="s">
        <v>56</v>
      </c>
      <c r="O108">
        <v>24978.2</v>
      </c>
      <c r="P108" t="b">
        <v>1</v>
      </c>
      <c r="Q108">
        <v>1.4166666666666667</v>
      </c>
      <c r="R108">
        <v>1469.3058823529411</v>
      </c>
      <c r="S108">
        <v>81.260000000000005</v>
      </c>
      <c r="T108" s="2">
        <v>44562</v>
      </c>
      <c r="U108" s="1" t="s">
        <v>41</v>
      </c>
      <c r="V108">
        <v>0</v>
      </c>
      <c r="W108" s="1" t="s">
        <v>40</v>
      </c>
      <c r="X108">
        <v>538</v>
      </c>
      <c r="Y108" s="1" t="s">
        <v>43</v>
      </c>
      <c r="Z108" s="1" t="s">
        <v>42</v>
      </c>
      <c r="AA108">
        <v>0</v>
      </c>
      <c r="AB108" s="1" t="s">
        <v>43</v>
      </c>
      <c r="AC108">
        <v>2</v>
      </c>
      <c r="AD108" s="2">
        <v>44562</v>
      </c>
      <c r="AE108" s="1" t="s">
        <v>53</v>
      </c>
      <c r="AF108" s="1" t="s">
        <v>54</v>
      </c>
      <c r="AG108" s="1" t="s">
        <v>63</v>
      </c>
      <c r="AH108" s="1" t="s">
        <v>47</v>
      </c>
      <c r="AI108">
        <v>25126</v>
      </c>
      <c r="AJ108">
        <v>-147.79999999999927</v>
      </c>
    </row>
    <row r="109" spans="1:36" x14ac:dyDescent="0.25">
      <c r="A109">
        <v>10108</v>
      </c>
      <c r="B109">
        <v>50</v>
      </c>
      <c r="C109" s="1" t="s">
        <v>60</v>
      </c>
      <c r="D109" s="1" t="s">
        <v>48</v>
      </c>
      <c r="E109" s="2">
        <v>44656</v>
      </c>
      <c r="F109" s="2">
        <v>44820</v>
      </c>
      <c r="G109" s="1" t="s">
        <v>62</v>
      </c>
      <c r="H109">
        <v>1400</v>
      </c>
      <c r="I109">
        <v>33</v>
      </c>
      <c r="J109">
        <v>0</v>
      </c>
      <c r="K109">
        <v>96.69</v>
      </c>
      <c r="L109">
        <v>5</v>
      </c>
      <c r="M109" s="1" t="s">
        <v>65</v>
      </c>
      <c r="N109" s="1" t="s">
        <v>56</v>
      </c>
      <c r="O109">
        <v>46130</v>
      </c>
      <c r="P109" t="b">
        <v>1</v>
      </c>
      <c r="Q109">
        <v>2.75</v>
      </c>
      <c r="R109">
        <v>1397.878787878788</v>
      </c>
      <c r="S109">
        <v>96.69</v>
      </c>
      <c r="T109" s="2">
        <v>44652</v>
      </c>
      <c r="U109" s="1" t="s">
        <v>51</v>
      </c>
      <c r="V109">
        <v>0</v>
      </c>
      <c r="W109" s="1" t="s">
        <v>40</v>
      </c>
      <c r="X109">
        <v>164</v>
      </c>
      <c r="Y109" s="1" t="s">
        <v>43</v>
      </c>
      <c r="Z109" s="1" t="s">
        <v>42</v>
      </c>
      <c r="AA109">
        <v>0</v>
      </c>
      <c r="AB109" s="1" t="s">
        <v>43</v>
      </c>
      <c r="AC109">
        <v>2</v>
      </c>
      <c r="AD109" s="2">
        <v>44652</v>
      </c>
      <c r="AE109" s="1" t="s">
        <v>44</v>
      </c>
      <c r="AF109" s="1" t="s">
        <v>54</v>
      </c>
      <c r="AG109" s="1" t="s">
        <v>63</v>
      </c>
      <c r="AH109" s="1" t="s">
        <v>47</v>
      </c>
      <c r="AI109">
        <v>46200</v>
      </c>
      <c r="AJ109">
        <v>-70</v>
      </c>
    </row>
    <row r="110" spans="1:36" x14ac:dyDescent="0.25">
      <c r="A110">
        <v>10109</v>
      </c>
      <c r="B110">
        <v>22</v>
      </c>
      <c r="C110" s="1" t="s">
        <v>36</v>
      </c>
      <c r="D110" s="1" t="s">
        <v>71</v>
      </c>
      <c r="E110" s="2">
        <v>44329</v>
      </c>
      <c r="F110" s="2">
        <v>45018</v>
      </c>
      <c r="G110" s="1" t="s">
        <v>38</v>
      </c>
      <c r="H110">
        <v>338</v>
      </c>
      <c r="I110">
        <v>21</v>
      </c>
      <c r="J110">
        <v>1</v>
      </c>
      <c r="K110">
        <v>41.73</v>
      </c>
      <c r="L110">
        <v>5</v>
      </c>
      <c r="M110" s="1" t="s">
        <v>65</v>
      </c>
      <c r="N110" s="1" t="s">
        <v>40</v>
      </c>
      <c r="O110">
        <v>7081.1</v>
      </c>
      <c r="P110" t="b">
        <v>1</v>
      </c>
      <c r="Q110">
        <v>1.75</v>
      </c>
      <c r="R110">
        <v>337.1952380952381</v>
      </c>
      <c r="S110">
        <v>20.864999999999998</v>
      </c>
      <c r="T110" s="2">
        <v>44317</v>
      </c>
      <c r="U110" s="1" t="s">
        <v>66</v>
      </c>
      <c r="V110">
        <v>1</v>
      </c>
      <c r="W110" s="1" t="s">
        <v>56</v>
      </c>
      <c r="X110">
        <v>689</v>
      </c>
      <c r="Y110" s="1" t="s">
        <v>52</v>
      </c>
      <c r="Z110" s="1" t="s">
        <v>42</v>
      </c>
      <c r="AA110">
        <v>4.5454545454545456E-2</v>
      </c>
      <c r="AB110" s="1" t="s">
        <v>42</v>
      </c>
      <c r="AC110">
        <v>1</v>
      </c>
      <c r="AD110" s="2">
        <v>44317</v>
      </c>
      <c r="AE110" s="1" t="s">
        <v>53</v>
      </c>
      <c r="AF110" s="1" t="s">
        <v>54</v>
      </c>
      <c r="AG110" s="1" t="s">
        <v>55</v>
      </c>
      <c r="AH110" s="1" t="s">
        <v>68</v>
      </c>
      <c r="AI110">
        <v>7098</v>
      </c>
      <c r="AJ110">
        <v>-16.899999999999636</v>
      </c>
    </row>
    <row r="111" spans="1:36" x14ac:dyDescent="0.25">
      <c r="A111">
        <v>10110</v>
      </c>
      <c r="B111">
        <v>59</v>
      </c>
      <c r="C111" s="1" t="s">
        <v>36</v>
      </c>
      <c r="D111" s="1" t="s">
        <v>71</v>
      </c>
      <c r="E111" s="2">
        <v>45031</v>
      </c>
      <c r="F111" s="2">
        <v>45062</v>
      </c>
      <c r="G111" s="1" t="s">
        <v>62</v>
      </c>
      <c r="H111">
        <v>538</v>
      </c>
      <c r="I111">
        <v>26</v>
      </c>
      <c r="J111">
        <v>2</v>
      </c>
      <c r="K111">
        <v>79.209999999999994</v>
      </c>
      <c r="L111">
        <v>5</v>
      </c>
      <c r="M111" s="1" t="s">
        <v>65</v>
      </c>
      <c r="N111" s="1" t="s">
        <v>56</v>
      </c>
      <c r="O111">
        <v>13961.1</v>
      </c>
      <c r="P111" t="b">
        <v>1</v>
      </c>
      <c r="Q111">
        <v>2.1666666666666665</v>
      </c>
      <c r="R111">
        <v>536.96538461538466</v>
      </c>
      <c r="S111">
        <v>26.403333333333332</v>
      </c>
      <c r="T111" s="2">
        <v>45017</v>
      </c>
      <c r="U111" s="1" t="s">
        <v>41</v>
      </c>
      <c r="V111">
        <v>0</v>
      </c>
      <c r="W111" s="1" t="s">
        <v>40</v>
      </c>
      <c r="X111">
        <v>31</v>
      </c>
      <c r="Y111" s="1" t="s">
        <v>43</v>
      </c>
      <c r="Z111" s="1" t="s">
        <v>42</v>
      </c>
      <c r="AA111">
        <v>7.407407407407407E-2</v>
      </c>
      <c r="AB111" s="1" t="s">
        <v>52</v>
      </c>
      <c r="AC111">
        <v>2</v>
      </c>
      <c r="AD111" s="2">
        <v>45017</v>
      </c>
      <c r="AE111" s="1" t="s">
        <v>44</v>
      </c>
      <c r="AF111" s="1" t="s">
        <v>72</v>
      </c>
      <c r="AG111" s="1" t="s">
        <v>63</v>
      </c>
      <c r="AH111" s="1" t="s">
        <v>64</v>
      </c>
      <c r="AI111">
        <v>13988</v>
      </c>
      <c r="AJ111">
        <v>-26.899999999999636</v>
      </c>
    </row>
    <row r="112" spans="1:36" x14ac:dyDescent="0.25">
      <c r="A112">
        <v>10111</v>
      </c>
      <c r="B112">
        <v>56</v>
      </c>
      <c r="C112" s="1" t="s">
        <v>60</v>
      </c>
      <c r="D112" s="1" t="s">
        <v>48</v>
      </c>
      <c r="E112" s="2">
        <v>44847</v>
      </c>
      <c r="F112" s="2">
        <v>44459</v>
      </c>
      <c r="G112" s="1" t="s">
        <v>49</v>
      </c>
      <c r="H112">
        <v>1336</v>
      </c>
      <c r="I112">
        <v>5</v>
      </c>
      <c r="J112">
        <v>2</v>
      </c>
      <c r="K112">
        <v>21.9</v>
      </c>
      <c r="L112">
        <v>15</v>
      </c>
      <c r="M112" s="1" t="s">
        <v>65</v>
      </c>
      <c r="N112" s="1" t="s">
        <v>56</v>
      </c>
      <c r="O112">
        <v>6479.6</v>
      </c>
      <c r="P112" t="b">
        <v>0</v>
      </c>
      <c r="Q112">
        <v>0.41666666666666669</v>
      </c>
      <c r="R112">
        <v>1295.92</v>
      </c>
      <c r="S112">
        <v>7.3</v>
      </c>
      <c r="T112" s="2">
        <v>44835</v>
      </c>
      <c r="U112" s="1" t="s">
        <v>41</v>
      </c>
      <c r="V112">
        <v>0</v>
      </c>
      <c r="W112" s="1" t="s">
        <v>56</v>
      </c>
      <c r="Y112" s="1" t="s">
        <v>52</v>
      </c>
      <c r="Z112" s="1" t="s">
        <v>42</v>
      </c>
      <c r="AA112">
        <v>0.33333333333333331</v>
      </c>
      <c r="AB112" s="1" t="s">
        <v>42</v>
      </c>
      <c r="AC112">
        <v>3</v>
      </c>
      <c r="AD112" s="2">
        <v>44835</v>
      </c>
      <c r="AE112" s="1" t="s">
        <v>58</v>
      </c>
      <c r="AF112" s="1" t="s">
        <v>72</v>
      </c>
      <c r="AG112" s="1" t="s">
        <v>70</v>
      </c>
      <c r="AH112" s="1" t="s">
        <v>47</v>
      </c>
      <c r="AI112">
        <v>6680</v>
      </c>
      <c r="AJ112">
        <v>-200.39999999999964</v>
      </c>
    </row>
    <row r="113" spans="1:36" x14ac:dyDescent="0.25">
      <c r="A113">
        <v>10112</v>
      </c>
      <c r="B113">
        <v>58</v>
      </c>
      <c r="C113" s="1" t="s">
        <v>60</v>
      </c>
      <c r="D113" s="1" t="s">
        <v>48</v>
      </c>
      <c r="E113" s="2">
        <v>44317</v>
      </c>
      <c r="F113" s="2">
        <v>44639</v>
      </c>
      <c r="G113" s="1" t="s">
        <v>38</v>
      </c>
      <c r="H113">
        <v>421</v>
      </c>
      <c r="I113">
        <v>33</v>
      </c>
      <c r="J113">
        <v>3</v>
      </c>
      <c r="K113">
        <v>44.32</v>
      </c>
      <c r="L113">
        <v>5</v>
      </c>
      <c r="M113" s="1" t="s">
        <v>50</v>
      </c>
      <c r="N113" s="1" t="s">
        <v>40</v>
      </c>
      <c r="O113">
        <v>13871.95</v>
      </c>
      <c r="P113" t="b">
        <v>1</v>
      </c>
      <c r="Q113">
        <v>2.75</v>
      </c>
      <c r="R113">
        <v>420.36212121212122</v>
      </c>
      <c r="S113">
        <v>11.08</v>
      </c>
      <c r="T113" s="2">
        <v>44317</v>
      </c>
      <c r="U113" s="1" t="s">
        <v>41</v>
      </c>
      <c r="V113">
        <v>1</v>
      </c>
      <c r="W113" s="1" t="s">
        <v>40</v>
      </c>
      <c r="X113">
        <v>322</v>
      </c>
      <c r="Y113" s="1" t="s">
        <v>52</v>
      </c>
      <c r="Z113" s="1" t="s">
        <v>42</v>
      </c>
      <c r="AA113">
        <v>8.8235294117647065E-2</v>
      </c>
      <c r="AB113" s="1" t="s">
        <v>52</v>
      </c>
      <c r="AC113">
        <v>1</v>
      </c>
      <c r="AD113" s="2">
        <v>44317</v>
      </c>
      <c r="AE113" s="1" t="s">
        <v>44</v>
      </c>
      <c r="AF113" s="1" t="s">
        <v>72</v>
      </c>
      <c r="AG113" s="1" t="s">
        <v>55</v>
      </c>
      <c r="AH113" s="1" t="s">
        <v>68</v>
      </c>
      <c r="AI113">
        <v>13893</v>
      </c>
      <c r="AJ113">
        <v>-21.049999999999272</v>
      </c>
    </row>
    <row r="114" spans="1:36" x14ac:dyDescent="0.25">
      <c r="A114">
        <v>10113</v>
      </c>
      <c r="B114">
        <v>45</v>
      </c>
      <c r="C114" s="1" t="s">
        <v>60</v>
      </c>
      <c r="D114" s="1" t="s">
        <v>71</v>
      </c>
      <c r="E114" s="2">
        <v>44802</v>
      </c>
      <c r="F114" s="2">
        <v>45169</v>
      </c>
      <c r="G114" s="1" t="s">
        <v>38</v>
      </c>
      <c r="H114">
        <v>443</v>
      </c>
      <c r="I114">
        <v>1</v>
      </c>
      <c r="J114">
        <v>3</v>
      </c>
      <c r="K114">
        <v>109.56</v>
      </c>
      <c r="L114">
        <v>20</v>
      </c>
      <c r="M114" s="1" t="s">
        <v>50</v>
      </c>
      <c r="N114" s="1" t="s">
        <v>40</v>
      </c>
      <c r="O114">
        <v>354.4</v>
      </c>
      <c r="P114" t="b">
        <v>1</v>
      </c>
      <c r="Q114">
        <v>8.3333333333333329E-2</v>
      </c>
      <c r="R114">
        <v>354.4</v>
      </c>
      <c r="S114">
        <v>27.39</v>
      </c>
      <c r="T114" s="2">
        <v>44774</v>
      </c>
      <c r="U114" s="1" t="s">
        <v>51</v>
      </c>
      <c r="V114">
        <v>1</v>
      </c>
      <c r="W114" s="1" t="s">
        <v>56</v>
      </c>
      <c r="X114">
        <v>367</v>
      </c>
      <c r="Y114" s="1" t="s">
        <v>43</v>
      </c>
      <c r="Z114" s="1" t="s">
        <v>52</v>
      </c>
      <c r="AA114">
        <v>1.5</v>
      </c>
      <c r="AB114" s="1" t="s">
        <v>42</v>
      </c>
      <c r="AC114">
        <v>1</v>
      </c>
      <c r="AD114" s="2">
        <v>44774</v>
      </c>
      <c r="AE114" s="1" t="s">
        <v>58</v>
      </c>
      <c r="AF114" s="1" t="s">
        <v>72</v>
      </c>
      <c r="AG114" s="1" t="s">
        <v>63</v>
      </c>
      <c r="AH114" s="1" t="s">
        <v>68</v>
      </c>
      <c r="AI114">
        <v>443</v>
      </c>
      <c r="AJ114">
        <v>-88.600000000000023</v>
      </c>
    </row>
    <row r="115" spans="1:36" x14ac:dyDescent="0.25">
      <c r="A115">
        <v>10114</v>
      </c>
      <c r="B115">
        <v>24</v>
      </c>
      <c r="C115" s="1" t="s">
        <v>36</v>
      </c>
      <c r="D115" s="1" t="s">
        <v>69</v>
      </c>
      <c r="E115" s="2">
        <v>44648</v>
      </c>
      <c r="F115" s="2">
        <v>44978</v>
      </c>
      <c r="G115" s="1" t="s">
        <v>62</v>
      </c>
      <c r="H115">
        <v>983</v>
      </c>
      <c r="I115">
        <v>6</v>
      </c>
      <c r="J115">
        <v>3</v>
      </c>
      <c r="K115">
        <v>109.8</v>
      </c>
      <c r="L115">
        <v>10</v>
      </c>
      <c r="M115" s="1" t="s">
        <v>50</v>
      </c>
      <c r="N115" s="1" t="s">
        <v>56</v>
      </c>
      <c r="O115">
        <v>5799.7</v>
      </c>
      <c r="P115" t="b">
        <v>1</v>
      </c>
      <c r="Q115">
        <v>0.5</v>
      </c>
      <c r="R115">
        <v>966.61666666666667</v>
      </c>
      <c r="S115">
        <v>27.45</v>
      </c>
      <c r="T115" s="2">
        <v>44621</v>
      </c>
      <c r="U115" s="1" t="s">
        <v>66</v>
      </c>
      <c r="V115">
        <v>0</v>
      </c>
      <c r="W115" s="1" t="s">
        <v>56</v>
      </c>
      <c r="X115">
        <v>330</v>
      </c>
      <c r="Y115" s="1" t="s">
        <v>43</v>
      </c>
      <c r="Z115" s="1" t="s">
        <v>42</v>
      </c>
      <c r="AA115">
        <v>0.42857142857142855</v>
      </c>
      <c r="AB115" s="1" t="s">
        <v>42</v>
      </c>
      <c r="AC115">
        <v>2</v>
      </c>
      <c r="AD115" s="2">
        <v>44621</v>
      </c>
      <c r="AE115" s="1" t="s">
        <v>58</v>
      </c>
      <c r="AF115" s="1" t="s">
        <v>72</v>
      </c>
      <c r="AG115" s="1" t="s">
        <v>63</v>
      </c>
      <c r="AH115" s="1" t="s">
        <v>59</v>
      </c>
      <c r="AI115">
        <v>5898</v>
      </c>
      <c r="AJ115">
        <v>-98.300000000000182</v>
      </c>
    </row>
    <row r="116" spans="1:36" x14ac:dyDescent="0.25">
      <c r="A116">
        <v>10115</v>
      </c>
      <c r="B116">
        <v>26</v>
      </c>
      <c r="C116" s="1" t="s">
        <v>36</v>
      </c>
      <c r="D116" s="1" t="s">
        <v>48</v>
      </c>
      <c r="E116" s="2">
        <v>44325</v>
      </c>
      <c r="F116" s="2">
        <v>44730</v>
      </c>
      <c r="G116" s="1" t="s">
        <v>38</v>
      </c>
      <c r="H116">
        <v>754</v>
      </c>
      <c r="I116">
        <v>2</v>
      </c>
      <c r="J116">
        <v>0</v>
      </c>
      <c r="K116">
        <v>71.16</v>
      </c>
      <c r="L116">
        <v>10</v>
      </c>
      <c r="M116" s="1" t="s">
        <v>39</v>
      </c>
      <c r="N116" s="1" t="s">
        <v>56</v>
      </c>
      <c r="O116">
        <v>1432.6</v>
      </c>
      <c r="P116" t="b">
        <v>1</v>
      </c>
      <c r="Q116">
        <v>0.16666666666666666</v>
      </c>
      <c r="R116">
        <v>716.3</v>
      </c>
      <c r="S116">
        <v>71.16</v>
      </c>
      <c r="T116" s="2">
        <v>44317</v>
      </c>
      <c r="U116" s="1" t="s">
        <v>57</v>
      </c>
      <c r="V116">
        <v>0</v>
      </c>
      <c r="W116" s="1" t="s">
        <v>56</v>
      </c>
      <c r="X116">
        <v>405</v>
      </c>
      <c r="Y116" s="1" t="s">
        <v>43</v>
      </c>
      <c r="Z116" s="1" t="s">
        <v>42</v>
      </c>
      <c r="AA116">
        <v>0</v>
      </c>
      <c r="AB116" s="1" t="s">
        <v>42</v>
      </c>
      <c r="AC116">
        <v>1</v>
      </c>
      <c r="AD116" s="2">
        <v>44317</v>
      </c>
      <c r="AE116" s="1" t="s">
        <v>58</v>
      </c>
      <c r="AF116" s="1" t="s">
        <v>54</v>
      </c>
      <c r="AG116" s="1" t="s">
        <v>63</v>
      </c>
      <c r="AH116" s="1" t="s">
        <v>59</v>
      </c>
      <c r="AI116">
        <v>1508</v>
      </c>
      <c r="AJ116">
        <v>-75.400000000000091</v>
      </c>
    </row>
    <row r="117" spans="1:36" x14ac:dyDescent="0.25">
      <c r="A117">
        <v>10116</v>
      </c>
      <c r="B117">
        <v>25</v>
      </c>
      <c r="C117" s="1" t="s">
        <v>36</v>
      </c>
      <c r="D117" s="1" t="s">
        <v>73</v>
      </c>
      <c r="E117" s="2">
        <v>44287</v>
      </c>
      <c r="F117" s="2">
        <v>44364</v>
      </c>
      <c r="G117" s="1" t="s">
        <v>38</v>
      </c>
      <c r="H117">
        <v>667</v>
      </c>
      <c r="I117">
        <v>5</v>
      </c>
      <c r="J117">
        <v>1</v>
      </c>
      <c r="K117">
        <v>85.77</v>
      </c>
      <c r="L117">
        <v>15</v>
      </c>
      <c r="M117" s="1" t="s">
        <v>67</v>
      </c>
      <c r="N117" s="1" t="s">
        <v>56</v>
      </c>
      <c r="O117">
        <v>3234.95</v>
      </c>
      <c r="P117" t="b">
        <v>1</v>
      </c>
      <c r="Q117">
        <v>0.41666666666666669</v>
      </c>
      <c r="R117">
        <v>646.99</v>
      </c>
      <c r="S117">
        <v>42.884999999999998</v>
      </c>
      <c r="T117" s="2">
        <v>44287</v>
      </c>
      <c r="U117" s="1" t="s">
        <v>66</v>
      </c>
      <c r="V117">
        <v>0</v>
      </c>
      <c r="W117" s="1" t="s">
        <v>56</v>
      </c>
      <c r="X117">
        <v>77</v>
      </c>
      <c r="Y117" s="1" t="s">
        <v>43</v>
      </c>
      <c r="Z117" s="1" t="s">
        <v>42</v>
      </c>
      <c r="AA117">
        <v>0.16666666666666666</v>
      </c>
      <c r="AB117" s="1" t="s">
        <v>42</v>
      </c>
      <c r="AC117">
        <v>1</v>
      </c>
      <c r="AD117" s="2">
        <v>44287</v>
      </c>
      <c r="AE117" s="1" t="s">
        <v>58</v>
      </c>
      <c r="AF117" s="1" t="s">
        <v>54</v>
      </c>
      <c r="AG117" s="1" t="s">
        <v>63</v>
      </c>
      <c r="AH117" s="1" t="s">
        <v>64</v>
      </c>
      <c r="AI117">
        <v>3335</v>
      </c>
      <c r="AJ117">
        <v>-100.05000000000018</v>
      </c>
    </row>
    <row r="118" spans="1:36" x14ac:dyDescent="0.25">
      <c r="A118">
        <v>10117</v>
      </c>
      <c r="B118">
        <v>29</v>
      </c>
      <c r="C118" s="1" t="s">
        <v>60</v>
      </c>
      <c r="D118" s="1" t="s">
        <v>61</v>
      </c>
      <c r="E118" s="2">
        <v>44800</v>
      </c>
      <c r="F118" s="2">
        <v>44840</v>
      </c>
      <c r="G118" s="1" t="s">
        <v>38</v>
      </c>
      <c r="H118">
        <v>1058</v>
      </c>
      <c r="I118">
        <v>26</v>
      </c>
      <c r="J118">
        <v>1</v>
      </c>
      <c r="K118">
        <v>103.21</v>
      </c>
      <c r="L118">
        <v>15</v>
      </c>
      <c r="M118" s="1" t="s">
        <v>67</v>
      </c>
      <c r="N118" s="1" t="s">
        <v>56</v>
      </c>
      <c r="O118">
        <v>27349.3</v>
      </c>
      <c r="P118" t="b">
        <v>1</v>
      </c>
      <c r="Q118">
        <v>2.1666666666666665</v>
      </c>
      <c r="R118">
        <v>1051.8961538461538</v>
      </c>
      <c r="S118">
        <v>51.604999999999997</v>
      </c>
      <c r="T118" s="2">
        <v>44774</v>
      </c>
      <c r="U118" s="1" t="s">
        <v>57</v>
      </c>
      <c r="V118">
        <v>0</v>
      </c>
      <c r="W118" s="1" t="s">
        <v>40</v>
      </c>
      <c r="X118">
        <v>40</v>
      </c>
      <c r="Y118" s="1" t="s">
        <v>43</v>
      </c>
      <c r="Z118" s="1" t="s">
        <v>42</v>
      </c>
      <c r="AA118">
        <v>3.7037037037037035E-2</v>
      </c>
      <c r="AB118" s="1" t="s">
        <v>43</v>
      </c>
      <c r="AC118">
        <v>1</v>
      </c>
      <c r="AD118" s="2">
        <v>44774</v>
      </c>
      <c r="AE118" s="1" t="s">
        <v>44</v>
      </c>
      <c r="AF118" s="1" t="s">
        <v>54</v>
      </c>
      <c r="AG118" s="1" t="s">
        <v>63</v>
      </c>
      <c r="AH118" s="1" t="s">
        <v>47</v>
      </c>
      <c r="AI118">
        <v>27508</v>
      </c>
      <c r="AJ118">
        <v>-158.70000000000073</v>
      </c>
    </row>
    <row r="119" spans="1:36" x14ac:dyDescent="0.25">
      <c r="A119">
        <v>10118</v>
      </c>
      <c r="B119">
        <v>51</v>
      </c>
      <c r="C119" s="1" t="s">
        <v>75</v>
      </c>
      <c r="D119" s="1" t="s">
        <v>37</v>
      </c>
      <c r="E119" s="2">
        <v>44771</v>
      </c>
      <c r="F119" s="2">
        <v>44678</v>
      </c>
      <c r="G119" s="1" t="s">
        <v>62</v>
      </c>
      <c r="H119">
        <v>546</v>
      </c>
      <c r="I119">
        <v>13</v>
      </c>
      <c r="J119">
        <v>1</v>
      </c>
      <c r="K119">
        <v>115.23</v>
      </c>
      <c r="L119">
        <v>10</v>
      </c>
      <c r="M119" s="1" t="s">
        <v>65</v>
      </c>
      <c r="N119" s="1" t="s">
        <v>56</v>
      </c>
      <c r="O119">
        <v>7016.1</v>
      </c>
      <c r="P119" t="b">
        <v>0</v>
      </c>
      <c r="Q119">
        <v>1.0833333333333333</v>
      </c>
      <c r="R119">
        <v>539.70000000000005</v>
      </c>
      <c r="S119">
        <v>57.615000000000002</v>
      </c>
      <c r="T119" s="2">
        <v>44743</v>
      </c>
      <c r="U119" s="1" t="s">
        <v>41</v>
      </c>
      <c r="V119">
        <v>0</v>
      </c>
      <c r="W119" s="1" t="s">
        <v>56</v>
      </c>
      <c r="Y119" s="1" t="s">
        <v>43</v>
      </c>
      <c r="Z119" s="1" t="s">
        <v>42</v>
      </c>
      <c r="AA119">
        <v>7.1428571428571425E-2</v>
      </c>
      <c r="AB119" s="1" t="s">
        <v>42</v>
      </c>
      <c r="AC119">
        <v>2</v>
      </c>
      <c r="AD119" s="2">
        <v>44743</v>
      </c>
      <c r="AE119" s="1" t="s">
        <v>53</v>
      </c>
      <c r="AF119" s="1" t="s">
        <v>54</v>
      </c>
      <c r="AG119" s="1" t="s">
        <v>63</v>
      </c>
      <c r="AH119" s="1" t="s">
        <v>64</v>
      </c>
      <c r="AI119">
        <v>7098</v>
      </c>
      <c r="AJ119">
        <v>-81.899999999999636</v>
      </c>
    </row>
    <row r="120" spans="1:36" x14ac:dyDescent="0.25">
      <c r="A120">
        <v>10119</v>
      </c>
      <c r="B120">
        <v>50</v>
      </c>
      <c r="C120" s="1" t="s">
        <v>36</v>
      </c>
      <c r="D120" s="1" t="s">
        <v>71</v>
      </c>
      <c r="E120" s="2">
        <v>44225</v>
      </c>
      <c r="F120" s="2">
        <v>45086</v>
      </c>
      <c r="G120" s="1" t="s">
        <v>38</v>
      </c>
      <c r="H120">
        <v>1222</v>
      </c>
      <c r="I120">
        <v>12</v>
      </c>
      <c r="J120">
        <v>1</v>
      </c>
      <c r="K120">
        <v>61.34</v>
      </c>
      <c r="L120">
        <v>20</v>
      </c>
      <c r="M120" s="1" t="s">
        <v>65</v>
      </c>
      <c r="N120" s="1" t="s">
        <v>56</v>
      </c>
      <c r="O120">
        <v>14419.6</v>
      </c>
      <c r="P120" t="b">
        <v>1</v>
      </c>
      <c r="Q120">
        <v>1</v>
      </c>
      <c r="R120">
        <v>1201.6333333333334</v>
      </c>
      <c r="S120">
        <v>30.67</v>
      </c>
      <c r="T120" s="2">
        <v>44197</v>
      </c>
      <c r="U120" s="1" t="s">
        <v>51</v>
      </c>
      <c r="V120">
        <v>0</v>
      </c>
      <c r="W120" s="1" t="s">
        <v>40</v>
      </c>
      <c r="X120">
        <v>861</v>
      </c>
      <c r="Y120" s="1" t="s">
        <v>43</v>
      </c>
      <c r="Z120" s="1" t="s">
        <v>52</v>
      </c>
      <c r="AA120">
        <v>7.6923076923076927E-2</v>
      </c>
      <c r="AB120" s="1" t="s">
        <v>52</v>
      </c>
      <c r="AC120">
        <v>1</v>
      </c>
      <c r="AD120" s="2">
        <v>44197</v>
      </c>
      <c r="AE120" s="1" t="s">
        <v>74</v>
      </c>
      <c r="AF120" s="1" t="s">
        <v>54</v>
      </c>
      <c r="AG120" s="1" t="s">
        <v>63</v>
      </c>
      <c r="AH120" s="1" t="s">
        <v>47</v>
      </c>
      <c r="AI120">
        <v>14664</v>
      </c>
      <c r="AJ120">
        <v>-244.39999999999964</v>
      </c>
    </row>
    <row r="121" spans="1:36" x14ac:dyDescent="0.25">
      <c r="A121">
        <v>10120</v>
      </c>
      <c r="B121">
        <v>40</v>
      </c>
      <c r="C121" s="1" t="s">
        <v>60</v>
      </c>
      <c r="D121" s="1" t="s">
        <v>71</v>
      </c>
      <c r="E121" s="2">
        <v>44918</v>
      </c>
      <c r="F121" s="2">
        <v>45220</v>
      </c>
      <c r="G121" s="1" t="s">
        <v>62</v>
      </c>
      <c r="H121">
        <v>1368</v>
      </c>
      <c r="I121">
        <v>5</v>
      </c>
      <c r="J121">
        <v>1</v>
      </c>
      <c r="K121">
        <v>69.58</v>
      </c>
      <c r="L121">
        <v>10</v>
      </c>
      <c r="M121" s="1" t="s">
        <v>50</v>
      </c>
      <c r="N121" s="1" t="s">
        <v>56</v>
      </c>
      <c r="O121">
        <v>6703.2</v>
      </c>
      <c r="P121" t="b">
        <v>1</v>
      </c>
      <c r="Q121">
        <v>0.41666666666666669</v>
      </c>
      <c r="R121">
        <v>1340.6399999999999</v>
      </c>
      <c r="S121">
        <v>34.79</v>
      </c>
      <c r="T121" s="2">
        <v>44896</v>
      </c>
      <c r="U121" s="1" t="s">
        <v>51</v>
      </c>
      <c r="V121">
        <v>0</v>
      </c>
      <c r="W121" s="1" t="s">
        <v>56</v>
      </c>
      <c r="X121">
        <v>302</v>
      </c>
      <c r="Y121" s="1" t="s">
        <v>43</v>
      </c>
      <c r="Z121" s="1" t="s">
        <v>42</v>
      </c>
      <c r="AA121">
        <v>0.16666666666666666</v>
      </c>
      <c r="AB121" s="1" t="s">
        <v>42</v>
      </c>
      <c r="AC121">
        <v>2</v>
      </c>
      <c r="AD121" s="2">
        <v>44896</v>
      </c>
      <c r="AE121" s="1" t="s">
        <v>58</v>
      </c>
      <c r="AF121" s="1" t="s">
        <v>54</v>
      </c>
      <c r="AG121" s="1" t="s">
        <v>63</v>
      </c>
      <c r="AH121" s="1" t="s">
        <v>47</v>
      </c>
      <c r="AI121">
        <v>6840</v>
      </c>
      <c r="AJ121">
        <v>-136.80000000000018</v>
      </c>
    </row>
    <row r="122" spans="1:36" x14ac:dyDescent="0.25">
      <c r="A122">
        <v>10121</v>
      </c>
      <c r="B122">
        <v>41</v>
      </c>
      <c r="C122" s="1" t="s">
        <v>60</v>
      </c>
      <c r="D122" s="1" t="s">
        <v>37</v>
      </c>
      <c r="E122" s="2">
        <v>44720</v>
      </c>
      <c r="F122" s="2">
        <v>44833</v>
      </c>
      <c r="G122" s="1" t="s">
        <v>62</v>
      </c>
      <c r="H122">
        <v>1064</v>
      </c>
      <c r="I122">
        <v>2</v>
      </c>
      <c r="J122">
        <v>3</v>
      </c>
      <c r="K122">
        <v>52.8</v>
      </c>
      <c r="L122">
        <v>0</v>
      </c>
      <c r="M122" s="1" t="s">
        <v>67</v>
      </c>
      <c r="N122" s="1" t="s">
        <v>56</v>
      </c>
      <c r="O122">
        <v>2128</v>
      </c>
      <c r="P122" t="b">
        <v>1</v>
      </c>
      <c r="Q122">
        <v>0.16666666666666666</v>
      </c>
      <c r="R122">
        <v>1064</v>
      </c>
      <c r="S122">
        <v>13.2</v>
      </c>
      <c r="T122" s="2">
        <v>44713</v>
      </c>
      <c r="U122" s="1" t="s">
        <v>51</v>
      </c>
      <c r="V122">
        <v>0</v>
      </c>
      <c r="W122" s="1" t="s">
        <v>56</v>
      </c>
      <c r="X122">
        <v>113</v>
      </c>
      <c r="Y122" s="1" t="s">
        <v>52</v>
      </c>
      <c r="Z122" s="1" t="s">
        <v>42</v>
      </c>
      <c r="AA122">
        <v>1</v>
      </c>
      <c r="AB122" s="1" t="s">
        <v>42</v>
      </c>
      <c r="AC122">
        <v>2</v>
      </c>
      <c r="AD122" s="2">
        <v>44713</v>
      </c>
      <c r="AE122" s="1" t="s">
        <v>58</v>
      </c>
      <c r="AF122" s="1" t="s">
        <v>72</v>
      </c>
      <c r="AG122" s="1" t="s">
        <v>63</v>
      </c>
      <c r="AH122" s="1" t="s">
        <v>47</v>
      </c>
      <c r="AI122">
        <v>2128</v>
      </c>
      <c r="AJ122">
        <v>0</v>
      </c>
    </row>
    <row r="123" spans="1:36" x14ac:dyDescent="0.25">
      <c r="A123">
        <v>10122</v>
      </c>
      <c r="B123">
        <v>54</v>
      </c>
      <c r="C123" s="1" t="s">
        <v>60</v>
      </c>
      <c r="D123" s="1" t="s">
        <v>69</v>
      </c>
      <c r="E123" s="2">
        <v>44529</v>
      </c>
      <c r="F123" s="2">
        <v>44753</v>
      </c>
      <c r="G123" s="1" t="s">
        <v>38</v>
      </c>
      <c r="H123">
        <v>674</v>
      </c>
      <c r="I123">
        <v>4</v>
      </c>
      <c r="J123">
        <v>2</v>
      </c>
      <c r="K123">
        <v>13.28</v>
      </c>
      <c r="L123">
        <v>15</v>
      </c>
      <c r="M123" s="1" t="s">
        <v>39</v>
      </c>
      <c r="N123" s="1" t="s">
        <v>56</v>
      </c>
      <c r="O123">
        <v>2594.9</v>
      </c>
      <c r="P123" t="b">
        <v>1</v>
      </c>
      <c r="Q123">
        <v>0.33333333333333331</v>
      </c>
      <c r="R123">
        <v>648.72500000000002</v>
      </c>
      <c r="S123">
        <v>4.4266666666666667</v>
      </c>
      <c r="T123" s="2">
        <v>44501</v>
      </c>
      <c r="U123" s="1" t="s">
        <v>41</v>
      </c>
      <c r="V123">
        <v>0</v>
      </c>
      <c r="W123" s="1" t="s">
        <v>56</v>
      </c>
      <c r="X123">
        <v>224</v>
      </c>
      <c r="Y123" s="1" t="s">
        <v>42</v>
      </c>
      <c r="Z123" s="1" t="s">
        <v>42</v>
      </c>
      <c r="AA123">
        <v>0.4</v>
      </c>
      <c r="AB123" s="1" t="s">
        <v>42</v>
      </c>
      <c r="AC123">
        <v>1</v>
      </c>
      <c r="AD123" s="2">
        <v>44501</v>
      </c>
      <c r="AE123" s="1" t="s">
        <v>58</v>
      </c>
      <c r="AF123" s="1" t="s">
        <v>72</v>
      </c>
      <c r="AG123" s="1" t="s">
        <v>46</v>
      </c>
      <c r="AH123" s="1" t="s">
        <v>64</v>
      </c>
      <c r="AI123">
        <v>2696</v>
      </c>
      <c r="AJ123">
        <v>-101.09999999999991</v>
      </c>
    </row>
    <row r="124" spans="1:36" x14ac:dyDescent="0.25">
      <c r="A124">
        <v>10123</v>
      </c>
      <c r="B124">
        <v>41</v>
      </c>
      <c r="C124" s="1" t="s">
        <v>60</v>
      </c>
      <c r="D124" s="1" t="s">
        <v>37</v>
      </c>
      <c r="E124" s="2">
        <v>44493</v>
      </c>
      <c r="F124" s="2">
        <v>44464</v>
      </c>
      <c r="G124" s="1" t="s">
        <v>62</v>
      </c>
      <c r="H124">
        <v>506</v>
      </c>
      <c r="I124">
        <v>27</v>
      </c>
      <c r="J124">
        <v>5</v>
      </c>
      <c r="K124">
        <v>53.62</v>
      </c>
      <c r="L124">
        <v>5</v>
      </c>
      <c r="M124" s="1" t="s">
        <v>39</v>
      </c>
      <c r="N124" s="1" t="s">
        <v>56</v>
      </c>
      <c r="O124">
        <v>13636.7</v>
      </c>
      <c r="P124" t="b">
        <v>0</v>
      </c>
      <c r="Q124">
        <v>2.25</v>
      </c>
      <c r="R124">
        <v>505.06296296296301</v>
      </c>
      <c r="S124">
        <v>8.9366666666666656</v>
      </c>
      <c r="T124" s="2">
        <v>44470</v>
      </c>
      <c r="U124" s="1" t="s">
        <v>51</v>
      </c>
      <c r="V124">
        <v>0</v>
      </c>
      <c r="W124" s="1" t="s">
        <v>40</v>
      </c>
      <c r="Y124" s="1" t="s">
        <v>52</v>
      </c>
      <c r="Z124" s="1" t="s">
        <v>42</v>
      </c>
      <c r="AA124">
        <v>0.17857142857142858</v>
      </c>
      <c r="AB124" s="1" t="s">
        <v>52</v>
      </c>
      <c r="AC124">
        <v>2</v>
      </c>
      <c r="AD124" s="2">
        <v>44470</v>
      </c>
      <c r="AE124" s="1" t="s">
        <v>44</v>
      </c>
      <c r="AF124" s="1" t="s">
        <v>45</v>
      </c>
      <c r="AG124" s="1" t="s">
        <v>63</v>
      </c>
      <c r="AH124" s="1" t="s">
        <v>64</v>
      </c>
      <c r="AI124">
        <v>13662</v>
      </c>
      <c r="AJ124">
        <v>-25.299999999999272</v>
      </c>
    </row>
    <row r="125" spans="1:36" x14ac:dyDescent="0.25">
      <c r="A125">
        <v>10124</v>
      </c>
      <c r="B125">
        <v>61</v>
      </c>
      <c r="C125" s="1" t="s">
        <v>36</v>
      </c>
      <c r="D125" s="1" t="s">
        <v>48</v>
      </c>
      <c r="E125" s="2">
        <v>44326</v>
      </c>
      <c r="F125" s="2">
        <v>44902</v>
      </c>
      <c r="G125" s="1" t="s">
        <v>49</v>
      </c>
      <c r="H125">
        <v>818</v>
      </c>
      <c r="I125">
        <v>10</v>
      </c>
      <c r="J125">
        <v>1</v>
      </c>
      <c r="K125">
        <v>62.59</v>
      </c>
      <c r="L125">
        <v>0</v>
      </c>
      <c r="M125" s="1" t="s">
        <v>50</v>
      </c>
      <c r="N125" s="1" t="s">
        <v>56</v>
      </c>
      <c r="O125">
        <v>8180</v>
      </c>
      <c r="P125" t="b">
        <v>1</v>
      </c>
      <c r="Q125">
        <v>0.83333333333333337</v>
      </c>
      <c r="R125">
        <v>818</v>
      </c>
      <c r="S125">
        <v>31.295000000000002</v>
      </c>
      <c r="T125" s="2">
        <v>44317</v>
      </c>
      <c r="U125" s="1" t="s">
        <v>41</v>
      </c>
      <c r="V125">
        <v>0</v>
      </c>
      <c r="W125" s="1" t="s">
        <v>56</v>
      </c>
      <c r="X125">
        <v>576</v>
      </c>
      <c r="Y125" s="1" t="s">
        <v>43</v>
      </c>
      <c r="Z125" s="1" t="s">
        <v>42</v>
      </c>
      <c r="AA125">
        <v>9.0909090909090912E-2</v>
      </c>
      <c r="AB125" s="1" t="s">
        <v>42</v>
      </c>
      <c r="AC125">
        <v>3</v>
      </c>
      <c r="AD125" s="2">
        <v>44317</v>
      </c>
      <c r="AE125" s="1" t="s">
        <v>74</v>
      </c>
      <c r="AF125" s="1" t="s">
        <v>54</v>
      </c>
      <c r="AG125" s="1" t="s">
        <v>63</v>
      </c>
      <c r="AH125" s="1" t="s">
        <v>59</v>
      </c>
      <c r="AI125">
        <v>8180</v>
      </c>
      <c r="AJ125">
        <v>0</v>
      </c>
    </row>
    <row r="126" spans="1:36" x14ac:dyDescent="0.25">
      <c r="A126">
        <v>10125</v>
      </c>
      <c r="B126">
        <v>57</v>
      </c>
      <c r="C126" s="1" t="s">
        <v>60</v>
      </c>
      <c r="D126" s="1" t="s">
        <v>76</v>
      </c>
      <c r="E126" s="2">
        <v>44489</v>
      </c>
      <c r="F126" s="2">
        <v>45227</v>
      </c>
      <c r="G126" s="1" t="s">
        <v>62</v>
      </c>
      <c r="H126">
        <v>541</v>
      </c>
      <c r="I126">
        <v>13</v>
      </c>
      <c r="J126">
        <v>2</v>
      </c>
      <c r="K126">
        <v>97.56</v>
      </c>
      <c r="L126">
        <v>0</v>
      </c>
      <c r="M126" s="1" t="s">
        <v>65</v>
      </c>
      <c r="N126" s="1" t="s">
        <v>56</v>
      </c>
      <c r="O126">
        <v>7033</v>
      </c>
      <c r="P126" t="b">
        <v>1</v>
      </c>
      <c r="Q126">
        <v>1.0833333333333333</v>
      </c>
      <c r="R126">
        <v>541</v>
      </c>
      <c r="S126">
        <v>32.520000000000003</v>
      </c>
      <c r="T126" s="2">
        <v>44470</v>
      </c>
      <c r="U126" s="1" t="s">
        <v>41</v>
      </c>
      <c r="V126">
        <v>0</v>
      </c>
      <c r="W126" s="1" t="s">
        <v>56</v>
      </c>
      <c r="X126">
        <v>738</v>
      </c>
      <c r="Y126" s="1" t="s">
        <v>43</v>
      </c>
      <c r="Z126" s="1" t="s">
        <v>42</v>
      </c>
      <c r="AA126">
        <v>0.14285714285714285</v>
      </c>
      <c r="AB126" s="1" t="s">
        <v>42</v>
      </c>
      <c r="AC126">
        <v>2</v>
      </c>
      <c r="AD126" s="2">
        <v>44470</v>
      </c>
      <c r="AE126" s="1" t="s">
        <v>53</v>
      </c>
      <c r="AF126" s="1" t="s">
        <v>72</v>
      </c>
      <c r="AG126" s="1" t="s">
        <v>63</v>
      </c>
      <c r="AH126" s="1" t="s">
        <v>64</v>
      </c>
      <c r="AI126">
        <v>7033</v>
      </c>
      <c r="AJ126">
        <v>0</v>
      </c>
    </row>
    <row r="127" spans="1:36" x14ac:dyDescent="0.25">
      <c r="A127">
        <v>10126</v>
      </c>
      <c r="B127">
        <v>39</v>
      </c>
      <c r="C127" s="1" t="s">
        <v>36</v>
      </c>
      <c r="D127" s="1" t="s">
        <v>76</v>
      </c>
      <c r="E127" s="2">
        <v>44369</v>
      </c>
      <c r="F127" s="2">
        <v>44462</v>
      </c>
      <c r="G127" s="1" t="s">
        <v>49</v>
      </c>
      <c r="H127">
        <v>1437</v>
      </c>
      <c r="I127">
        <v>2</v>
      </c>
      <c r="J127">
        <v>1</v>
      </c>
      <c r="K127">
        <v>107.62</v>
      </c>
      <c r="L127">
        <v>15</v>
      </c>
      <c r="M127" s="1" t="s">
        <v>67</v>
      </c>
      <c r="N127" s="1" t="s">
        <v>40</v>
      </c>
      <c r="O127">
        <v>2658.45</v>
      </c>
      <c r="P127" t="b">
        <v>1</v>
      </c>
      <c r="Q127">
        <v>0.16666666666666666</v>
      </c>
      <c r="R127">
        <v>1329.2249999999999</v>
      </c>
      <c r="S127">
        <v>53.81</v>
      </c>
      <c r="T127" s="2">
        <v>44348</v>
      </c>
      <c r="U127" s="1" t="s">
        <v>51</v>
      </c>
      <c r="V127">
        <v>1</v>
      </c>
      <c r="W127" s="1" t="s">
        <v>56</v>
      </c>
      <c r="X127">
        <v>93</v>
      </c>
      <c r="Y127" s="1" t="s">
        <v>43</v>
      </c>
      <c r="Z127" s="1" t="s">
        <v>42</v>
      </c>
      <c r="AA127">
        <v>0.33333333333333331</v>
      </c>
      <c r="AB127" s="1" t="s">
        <v>42</v>
      </c>
      <c r="AC127">
        <v>3</v>
      </c>
      <c r="AD127" s="2">
        <v>44348</v>
      </c>
      <c r="AE127" s="1" t="s">
        <v>58</v>
      </c>
      <c r="AF127" s="1" t="s">
        <v>54</v>
      </c>
      <c r="AG127" s="1" t="s">
        <v>63</v>
      </c>
      <c r="AH127" s="1" t="s">
        <v>47</v>
      </c>
      <c r="AI127">
        <v>2874</v>
      </c>
      <c r="AJ127">
        <v>-215.55000000000018</v>
      </c>
    </row>
    <row r="128" spans="1:36" x14ac:dyDescent="0.25">
      <c r="A128">
        <v>10127</v>
      </c>
      <c r="B128">
        <v>44</v>
      </c>
      <c r="C128" s="1" t="s">
        <v>60</v>
      </c>
      <c r="D128" s="1" t="s">
        <v>37</v>
      </c>
      <c r="E128" s="2">
        <v>44916</v>
      </c>
      <c r="F128" s="2">
        <v>45142</v>
      </c>
      <c r="G128" s="1" t="s">
        <v>38</v>
      </c>
      <c r="H128">
        <v>1118</v>
      </c>
      <c r="I128">
        <v>26</v>
      </c>
      <c r="J128">
        <v>0</v>
      </c>
      <c r="K128">
        <v>10.92</v>
      </c>
      <c r="L128">
        <v>5</v>
      </c>
      <c r="M128" s="1" t="s">
        <v>39</v>
      </c>
      <c r="N128" s="1" t="s">
        <v>40</v>
      </c>
      <c r="O128">
        <v>29012.1</v>
      </c>
      <c r="P128" t="b">
        <v>1</v>
      </c>
      <c r="Q128">
        <v>2.1666666666666665</v>
      </c>
      <c r="R128">
        <v>1115.8499999999999</v>
      </c>
      <c r="S128">
        <v>10.92</v>
      </c>
      <c r="T128" s="2">
        <v>44896</v>
      </c>
      <c r="U128" s="1" t="s">
        <v>51</v>
      </c>
      <c r="V128">
        <v>1</v>
      </c>
      <c r="W128" s="1" t="s">
        <v>40</v>
      </c>
      <c r="X128">
        <v>226</v>
      </c>
      <c r="Y128" s="1" t="s">
        <v>42</v>
      </c>
      <c r="Z128" s="1" t="s">
        <v>42</v>
      </c>
      <c r="AA128">
        <v>0</v>
      </c>
      <c r="AB128" s="1" t="s">
        <v>43</v>
      </c>
      <c r="AC128">
        <v>1</v>
      </c>
      <c r="AD128" s="2">
        <v>44896</v>
      </c>
      <c r="AE128" s="1" t="s">
        <v>44</v>
      </c>
      <c r="AF128" s="1" t="s">
        <v>54</v>
      </c>
      <c r="AG128" s="1" t="s">
        <v>46</v>
      </c>
      <c r="AH128" s="1" t="s">
        <v>47</v>
      </c>
      <c r="AI128">
        <v>29068</v>
      </c>
      <c r="AJ128">
        <v>-55.900000000001455</v>
      </c>
    </row>
    <row r="129" spans="1:36" x14ac:dyDescent="0.25">
      <c r="A129">
        <v>10128</v>
      </c>
      <c r="B129">
        <v>52</v>
      </c>
      <c r="C129" s="1" t="s">
        <v>60</v>
      </c>
      <c r="D129" s="1" t="s">
        <v>61</v>
      </c>
      <c r="E129" s="2">
        <v>44220</v>
      </c>
      <c r="F129" s="2">
        <v>44896</v>
      </c>
      <c r="G129" s="1" t="s">
        <v>62</v>
      </c>
      <c r="H129">
        <v>601</v>
      </c>
      <c r="I129">
        <v>15</v>
      </c>
      <c r="J129">
        <v>2</v>
      </c>
      <c r="K129">
        <v>65.62</v>
      </c>
      <c r="L129">
        <v>15</v>
      </c>
      <c r="M129" s="1" t="s">
        <v>65</v>
      </c>
      <c r="N129" s="1" t="s">
        <v>40</v>
      </c>
      <c r="O129">
        <v>8924.85</v>
      </c>
      <c r="P129" t="b">
        <v>1</v>
      </c>
      <c r="Q129">
        <v>1.25</v>
      </c>
      <c r="R129">
        <v>594.99</v>
      </c>
      <c r="S129">
        <v>21.873333333333335</v>
      </c>
      <c r="T129" s="2">
        <v>44197</v>
      </c>
      <c r="U129" s="1" t="s">
        <v>41</v>
      </c>
      <c r="V129">
        <v>1</v>
      </c>
      <c r="W129" s="1" t="s">
        <v>56</v>
      </c>
      <c r="X129">
        <v>676</v>
      </c>
      <c r="Y129" s="1" t="s">
        <v>43</v>
      </c>
      <c r="Z129" s="1" t="s">
        <v>42</v>
      </c>
      <c r="AA129">
        <v>0.125</v>
      </c>
      <c r="AB129" s="1" t="s">
        <v>52</v>
      </c>
      <c r="AC129">
        <v>2</v>
      </c>
      <c r="AD129" s="2">
        <v>44197</v>
      </c>
      <c r="AE129" s="1" t="s">
        <v>53</v>
      </c>
      <c r="AF129" s="1" t="s">
        <v>72</v>
      </c>
      <c r="AG129" s="1" t="s">
        <v>63</v>
      </c>
      <c r="AH129" s="1" t="s">
        <v>64</v>
      </c>
      <c r="AI129">
        <v>9015</v>
      </c>
      <c r="AJ129">
        <v>-90.149999999999636</v>
      </c>
    </row>
    <row r="130" spans="1:36" x14ac:dyDescent="0.25">
      <c r="A130">
        <v>10129</v>
      </c>
      <c r="B130">
        <v>18</v>
      </c>
      <c r="C130" s="1" t="s">
        <v>60</v>
      </c>
      <c r="D130" s="1" t="s">
        <v>73</v>
      </c>
      <c r="E130" s="2">
        <v>44295</v>
      </c>
      <c r="F130" s="2">
        <v>45161</v>
      </c>
      <c r="G130" s="1" t="s">
        <v>38</v>
      </c>
      <c r="H130">
        <v>1419</v>
      </c>
      <c r="I130">
        <v>10</v>
      </c>
      <c r="J130">
        <v>1</v>
      </c>
      <c r="K130">
        <v>17.350000000000001</v>
      </c>
      <c r="L130">
        <v>15</v>
      </c>
      <c r="M130" s="1" t="s">
        <v>67</v>
      </c>
      <c r="N130" s="1" t="s">
        <v>56</v>
      </c>
      <c r="O130">
        <v>13977.15</v>
      </c>
      <c r="P130" t="b">
        <v>1</v>
      </c>
      <c r="Q130">
        <v>0.83333333333333337</v>
      </c>
      <c r="R130">
        <v>1397.7149999999999</v>
      </c>
      <c r="S130">
        <v>8.6750000000000007</v>
      </c>
      <c r="T130" s="2">
        <v>44287</v>
      </c>
      <c r="U130" s="1" t="s">
        <v>66</v>
      </c>
      <c r="V130">
        <v>0</v>
      </c>
      <c r="W130" s="1" t="s">
        <v>40</v>
      </c>
      <c r="X130">
        <v>866</v>
      </c>
      <c r="Y130" s="1" t="s">
        <v>42</v>
      </c>
      <c r="Z130" s="1" t="s">
        <v>42</v>
      </c>
      <c r="AA130">
        <v>9.0909090909090912E-2</v>
      </c>
      <c r="AB130" s="1" t="s">
        <v>52</v>
      </c>
      <c r="AC130">
        <v>1</v>
      </c>
      <c r="AD130" s="2">
        <v>44287</v>
      </c>
      <c r="AE130" s="1" t="s">
        <v>74</v>
      </c>
      <c r="AF130" s="1" t="s">
        <v>54</v>
      </c>
      <c r="AG130" s="1" t="s">
        <v>46</v>
      </c>
      <c r="AH130" s="1" t="s">
        <v>47</v>
      </c>
      <c r="AI130">
        <v>14190</v>
      </c>
      <c r="AJ130">
        <v>-212.85000000000036</v>
      </c>
    </row>
    <row r="131" spans="1:36" x14ac:dyDescent="0.25">
      <c r="A131">
        <v>10130</v>
      </c>
      <c r="B131">
        <v>52</v>
      </c>
      <c r="C131" s="1" t="s">
        <v>60</v>
      </c>
      <c r="D131" s="1" t="s">
        <v>48</v>
      </c>
      <c r="E131" s="2">
        <v>44602</v>
      </c>
      <c r="F131" s="2">
        <v>44972</v>
      </c>
      <c r="G131" s="1" t="s">
        <v>38</v>
      </c>
      <c r="H131">
        <v>1000</v>
      </c>
      <c r="I131">
        <v>22</v>
      </c>
      <c r="J131">
        <v>1</v>
      </c>
      <c r="K131">
        <v>28.09</v>
      </c>
      <c r="L131">
        <v>5</v>
      </c>
      <c r="M131" s="1" t="s">
        <v>39</v>
      </c>
      <c r="N131" s="1" t="s">
        <v>56</v>
      </c>
      <c r="O131">
        <v>21950</v>
      </c>
      <c r="P131" t="b">
        <v>1</v>
      </c>
      <c r="Q131">
        <v>1.8333333333333333</v>
      </c>
      <c r="R131">
        <v>997.72727272727275</v>
      </c>
      <c r="S131">
        <v>14.045</v>
      </c>
      <c r="T131" s="2">
        <v>44593</v>
      </c>
      <c r="U131" s="1" t="s">
        <v>41</v>
      </c>
      <c r="V131">
        <v>0</v>
      </c>
      <c r="W131" s="1" t="s">
        <v>40</v>
      </c>
      <c r="X131">
        <v>370</v>
      </c>
      <c r="Y131" s="1" t="s">
        <v>52</v>
      </c>
      <c r="Z131" s="1" t="s">
        <v>42</v>
      </c>
      <c r="AA131">
        <v>4.3478260869565216E-2</v>
      </c>
      <c r="AB131" s="1" t="s">
        <v>43</v>
      </c>
      <c r="AC131">
        <v>1</v>
      </c>
      <c r="AD131" s="2">
        <v>44593</v>
      </c>
      <c r="AE131" s="1" t="s">
        <v>53</v>
      </c>
      <c r="AF131" s="1" t="s">
        <v>54</v>
      </c>
      <c r="AG131" s="1" t="s">
        <v>70</v>
      </c>
      <c r="AH131" s="1" t="s">
        <v>59</v>
      </c>
      <c r="AI131">
        <v>22000</v>
      </c>
      <c r="AJ131">
        <v>-50</v>
      </c>
    </row>
    <row r="132" spans="1:36" x14ac:dyDescent="0.25">
      <c r="A132">
        <v>10131</v>
      </c>
      <c r="B132">
        <v>54</v>
      </c>
      <c r="C132" s="1" t="s">
        <v>36</v>
      </c>
      <c r="D132" s="1" t="s">
        <v>37</v>
      </c>
      <c r="E132" s="2">
        <v>44552</v>
      </c>
      <c r="F132" s="2">
        <v>44894</v>
      </c>
      <c r="G132" s="1" t="s">
        <v>38</v>
      </c>
      <c r="H132">
        <v>587</v>
      </c>
      <c r="I132">
        <v>25</v>
      </c>
      <c r="J132">
        <v>2</v>
      </c>
      <c r="K132">
        <v>108.52</v>
      </c>
      <c r="L132">
        <v>0</v>
      </c>
      <c r="M132" s="1" t="s">
        <v>65</v>
      </c>
      <c r="N132" s="1" t="s">
        <v>56</v>
      </c>
      <c r="O132">
        <v>14675</v>
      </c>
      <c r="P132" t="b">
        <v>1</v>
      </c>
      <c r="Q132">
        <v>2.0833333333333335</v>
      </c>
      <c r="R132">
        <v>587</v>
      </c>
      <c r="S132">
        <v>36.173333333333332</v>
      </c>
      <c r="T132" s="2">
        <v>44531</v>
      </c>
      <c r="U132" s="1" t="s">
        <v>41</v>
      </c>
      <c r="V132">
        <v>0</v>
      </c>
      <c r="W132" s="1" t="s">
        <v>40</v>
      </c>
      <c r="X132">
        <v>342</v>
      </c>
      <c r="Y132" s="1" t="s">
        <v>43</v>
      </c>
      <c r="Z132" s="1" t="s">
        <v>42</v>
      </c>
      <c r="AA132">
        <v>7.6923076923076927E-2</v>
      </c>
      <c r="AB132" s="1" t="s">
        <v>52</v>
      </c>
      <c r="AC132">
        <v>1</v>
      </c>
      <c r="AD132" s="2">
        <v>44531</v>
      </c>
      <c r="AE132" s="1" t="s">
        <v>44</v>
      </c>
      <c r="AF132" s="1" t="s">
        <v>72</v>
      </c>
      <c r="AG132" s="1" t="s">
        <v>63</v>
      </c>
      <c r="AH132" s="1" t="s">
        <v>64</v>
      </c>
      <c r="AI132">
        <v>14675</v>
      </c>
      <c r="AJ132">
        <v>0</v>
      </c>
    </row>
    <row r="133" spans="1:36" x14ac:dyDescent="0.25">
      <c r="A133">
        <v>10132</v>
      </c>
      <c r="B133">
        <v>64</v>
      </c>
      <c r="C133" s="1" t="s">
        <v>36</v>
      </c>
      <c r="D133" s="1" t="s">
        <v>71</v>
      </c>
      <c r="E133" s="2">
        <v>44335</v>
      </c>
      <c r="F133" s="2">
        <v>44991</v>
      </c>
      <c r="G133" s="1" t="s">
        <v>38</v>
      </c>
      <c r="H133">
        <v>453</v>
      </c>
      <c r="I133">
        <v>15</v>
      </c>
      <c r="J133">
        <v>2</v>
      </c>
      <c r="K133">
        <v>62.13</v>
      </c>
      <c r="L133">
        <v>0</v>
      </c>
      <c r="M133" s="1" t="s">
        <v>39</v>
      </c>
      <c r="N133" s="1" t="s">
        <v>56</v>
      </c>
      <c r="O133">
        <v>6795</v>
      </c>
      <c r="P133" t="b">
        <v>1</v>
      </c>
      <c r="Q133">
        <v>1.25</v>
      </c>
      <c r="R133">
        <v>453</v>
      </c>
      <c r="S133">
        <v>20.71</v>
      </c>
      <c r="T133" s="2">
        <v>44317</v>
      </c>
      <c r="U133" s="1" t="s">
        <v>41</v>
      </c>
      <c r="V133">
        <v>0</v>
      </c>
      <c r="W133" s="1" t="s">
        <v>56</v>
      </c>
      <c r="X133">
        <v>656</v>
      </c>
      <c r="Y133" s="1" t="s">
        <v>43</v>
      </c>
      <c r="Z133" s="1" t="s">
        <v>42</v>
      </c>
      <c r="AA133">
        <v>0.125</v>
      </c>
      <c r="AB133" s="1" t="s">
        <v>42</v>
      </c>
      <c r="AC133">
        <v>1</v>
      </c>
      <c r="AD133" s="2">
        <v>44317</v>
      </c>
      <c r="AE133" s="1" t="s">
        <v>53</v>
      </c>
      <c r="AF133" s="1" t="s">
        <v>72</v>
      </c>
      <c r="AG133" s="1" t="s">
        <v>63</v>
      </c>
      <c r="AH133" s="1" t="s">
        <v>68</v>
      </c>
      <c r="AI133">
        <v>6795</v>
      </c>
      <c r="AJ133">
        <v>0</v>
      </c>
    </row>
    <row r="134" spans="1:36" x14ac:dyDescent="0.25">
      <c r="A134">
        <v>10133</v>
      </c>
      <c r="B134">
        <v>31</v>
      </c>
      <c r="C134" s="1" t="s">
        <v>36</v>
      </c>
      <c r="D134" s="1" t="s">
        <v>73</v>
      </c>
      <c r="E134" s="2">
        <v>44699</v>
      </c>
      <c r="F134" s="2">
        <v>44683</v>
      </c>
      <c r="G134" s="1" t="s">
        <v>49</v>
      </c>
      <c r="H134">
        <v>722</v>
      </c>
      <c r="I134">
        <v>13</v>
      </c>
      <c r="J134">
        <v>2</v>
      </c>
      <c r="K134">
        <v>92.23</v>
      </c>
      <c r="L134">
        <v>5</v>
      </c>
      <c r="M134" s="1" t="s">
        <v>65</v>
      </c>
      <c r="N134" s="1" t="s">
        <v>40</v>
      </c>
      <c r="O134">
        <v>9349.9</v>
      </c>
      <c r="P134" t="b">
        <v>0</v>
      </c>
      <c r="Q134">
        <v>1.0833333333333333</v>
      </c>
      <c r="R134">
        <v>719.22307692307686</v>
      </c>
      <c r="S134">
        <v>30.743333333333336</v>
      </c>
      <c r="T134" s="2">
        <v>44682</v>
      </c>
      <c r="U134" s="1" t="s">
        <v>57</v>
      </c>
      <c r="V134">
        <v>1</v>
      </c>
      <c r="W134" s="1" t="s">
        <v>56</v>
      </c>
      <c r="Y134" s="1" t="s">
        <v>43</v>
      </c>
      <c r="Z134" s="1" t="s">
        <v>42</v>
      </c>
      <c r="AA134">
        <v>0.14285714285714285</v>
      </c>
      <c r="AB134" s="1" t="s">
        <v>52</v>
      </c>
      <c r="AC134">
        <v>3</v>
      </c>
      <c r="AD134" s="2">
        <v>44682</v>
      </c>
      <c r="AE134" s="1" t="s">
        <v>53</v>
      </c>
      <c r="AF134" s="1" t="s">
        <v>72</v>
      </c>
      <c r="AG134" s="1" t="s">
        <v>63</v>
      </c>
      <c r="AH134" s="1" t="s">
        <v>59</v>
      </c>
      <c r="AI134">
        <v>9386</v>
      </c>
      <c r="AJ134">
        <v>-36.100000000000364</v>
      </c>
    </row>
    <row r="135" spans="1:36" x14ac:dyDescent="0.25">
      <c r="A135">
        <v>10134</v>
      </c>
      <c r="B135">
        <v>20</v>
      </c>
      <c r="C135" s="1" t="s">
        <v>36</v>
      </c>
      <c r="D135" s="1" t="s">
        <v>48</v>
      </c>
      <c r="E135" s="2">
        <v>45022</v>
      </c>
      <c r="F135" s="2">
        <v>44683</v>
      </c>
      <c r="G135" s="1" t="s">
        <v>38</v>
      </c>
      <c r="H135">
        <v>1149</v>
      </c>
      <c r="I135">
        <v>8</v>
      </c>
      <c r="J135">
        <v>4</v>
      </c>
      <c r="K135">
        <v>12.4</v>
      </c>
      <c r="L135">
        <v>0</v>
      </c>
      <c r="M135" s="1" t="s">
        <v>65</v>
      </c>
      <c r="N135" s="1" t="s">
        <v>56</v>
      </c>
      <c r="O135">
        <v>9192</v>
      </c>
      <c r="P135" t="b">
        <v>0</v>
      </c>
      <c r="Q135">
        <v>0.66666666666666663</v>
      </c>
      <c r="R135">
        <v>1149</v>
      </c>
      <c r="S135">
        <v>2.48</v>
      </c>
      <c r="T135" s="2">
        <v>45017</v>
      </c>
      <c r="U135" s="1" t="s">
        <v>66</v>
      </c>
      <c r="V135">
        <v>0</v>
      </c>
      <c r="W135" s="1" t="s">
        <v>56</v>
      </c>
      <c r="Y135" s="1" t="s">
        <v>42</v>
      </c>
      <c r="Z135" s="1" t="s">
        <v>42</v>
      </c>
      <c r="AA135">
        <v>0.44444444444444442</v>
      </c>
      <c r="AB135" s="1" t="s">
        <v>52</v>
      </c>
      <c r="AC135">
        <v>1</v>
      </c>
      <c r="AD135" s="2">
        <v>45017</v>
      </c>
      <c r="AE135" s="1" t="s">
        <v>74</v>
      </c>
      <c r="AF135" s="1" t="s">
        <v>45</v>
      </c>
      <c r="AG135" s="1" t="s">
        <v>46</v>
      </c>
      <c r="AH135" s="1" t="s">
        <v>47</v>
      </c>
      <c r="AI135">
        <v>9192</v>
      </c>
      <c r="AJ135">
        <v>0</v>
      </c>
    </row>
    <row r="136" spans="1:36" x14ac:dyDescent="0.25">
      <c r="A136">
        <v>10135</v>
      </c>
      <c r="B136">
        <v>18</v>
      </c>
      <c r="C136" s="1" t="s">
        <v>60</v>
      </c>
      <c r="D136" s="1" t="s">
        <v>71</v>
      </c>
      <c r="E136" s="2">
        <v>44370</v>
      </c>
      <c r="F136" s="2">
        <v>45236</v>
      </c>
      <c r="G136" s="1" t="s">
        <v>62</v>
      </c>
      <c r="H136">
        <v>349</v>
      </c>
      <c r="I136">
        <v>21</v>
      </c>
      <c r="J136">
        <v>1</v>
      </c>
      <c r="K136">
        <v>52.94</v>
      </c>
      <c r="L136">
        <v>20</v>
      </c>
      <c r="M136" s="1" t="s">
        <v>65</v>
      </c>
      <c r="N136" s="1" t="s">
        <v>40</v>
      </c>
      <c r="O136">
        <v>7259.2</v>
      </c>
      <c r="P136" t="b">
        <v>1</v>
      </c>
      <c r="Q136">
        <v>1.75</v>
      </c>
      <c r="R136">
        <v>345.67619047619047</v>
      </c>
      <c r="S136">
        <v>26.47</v>
      </c>
      <c r="T136" s="2">
        <v>44348</v>
      </c>
      <c r="U136" s="1" t="s">
        <v>66</v>
      </c>
      <c r="V136">
        <v>1</v>
      </c>
      <c r="W136" s="1" t="s">
        <v>56</v>
      </c>
      <c r="X136">
        <v>866</v>
      </c>
      <c r="Y136" s="1" t="s">
        <v>52</v>
      </c>
      <c r="Z136" s="1" t="s">
        <v>52</v>
      </c>
      <c r="AA136">
        <v>4.5454545454545456E-2</v>
      </c>
      <c r="AB136" s="1" t="s">
        <v>42</v>
      </c>
      <c r="AC136">
        <v>2</v>
      </c>
      <c r="AD136" s="2">
        <v>44348</v>
      </c>
      <c r="AE136" s="1" t="s">
        <v>53</v>
      </c>
      <c r="AF136" s="1" t="s">
        <v>54</v>
      </c>
      <c r="AG136" s="1" t="s">
        <v>63</v>
      </c>
      <c r="AH136" s="1" t="s">
        <v>68</v>
      </c>
      <c r="AI136">
        <v>7329</v>
      </c>
      <c r="AJ136">
        <v>-69.800000000000182</v>
      </c>
    </row>
    <row r="137" spans="1:36" x14ac:dyDescent="0.25">
      <c r="A137">
        <v>10136</v>
      </c>
      <c r="B137">
        <v>22</v>
      </c>
      <c r="C137" s="1" t="s">
        <v>60</v>
      </c>
      <c r="D137" s="1" t="s">
        <v>69</v>
      </c>
      <c r="E137" s="2">
        <v>44225</v>
      </c>
      <c r="F137" s="2">
        <v>45087</v>
      </c>
      <c r="G137" s="1" t="s">
        <v>62</v>
      </c>
      <c r="H137">
        <v>863</v>
      </c>
      <c r="I137">
        <v>21</v>
      </c>
      <c r="J137">
        <v>1</v>
      </c>
      <c r="K137">
        <v>82.54</v>
      </c>
      <c r="L137">
        <v>15</v>
      </c>
      <c r="M137" s="1" t="s">
        <v>67</v>
      </c>
      <c r="N137" s="1" t="s">
        <v>56</v>
      </c>
      <c r="O137">
        <v>17993.55</v>
      </c>
      <c r="P137" t="b">
        <v>1</v>
      </c>
      <c r="Q137">
        <v>1.75</v>
      </c>
      <c r="R137">
        <v>856.83571428571429</v>
      </c>
      <c r="S137">
        <v>41.27</v>
      </c>
      <c r="T137" s="2">
        <v>44197</v>
      </c>
      <c r="U137" s="1" t="s">
        <v>66</v>
      </c>
      <c r="V137">
        <v>0</v>
      </c>
      <c r="W137" s="1" t="s">
        <v>40</v>
      </c>
      <c r="X137">
        <v>862</v>
      </c>
      <c r="Y137" s="1" t="s">
        <v>43</v>
      </c>
      <c r="Z137" s="1" t="s">
        <v>42</v>
      </c>
      <c r="AA137">
        <v>4.5454545454545456E-2</v>
      </c>
      <c r="AB137" s="1" t="s">
        <v>52</v>
      </c>
      <c r="AC137">
        <v>2</v>
      </c>
      <c r="AD137" s="2">
        <v>44197</v>
      </c>
      <c r="AE137" s="1" t="s">
        <v>53</v>
      </c>
      <c r="AF137" s="1" t="s">
        <v>54</v>
      </c>
      <c r="AG137" s="1" t="s">
        <v>63</v>
      </c>
      <c r="AH137" s="1" t="s">
        <v>59</v>
      </c>
      <c r="AI137">
        <v>18123</v>
      </c>
      <c r="AJ137">
        <v>-129.45000000000073</v>
      </c>
    </row>
    <row r="138" spans="1:36" x14ac:dyDescent="0.25">
      <c r="A138">
        <v>10137</v>
      </c>
      <c r="B138">
        <v>43</v>
      </c>
      <c r="C138" s="1" t="s">
        <v>60</v>
      </c>
      <c r="D138" s="1" t="s">
        <v>61</v>
      </c>
      <c r="E138" s="2">
        <v>44692</v>
      </c>
      <c r="F138" s="2">
        <v>44494</v>
      </c>
      <c r="G138" s="1" t="s">
        <v>62</v>
      </c>
      <c r="H138">
        <v>1153</v>
      </c>
      <c r="I138">
        <v>22</v>
      </c>
      <c r="J138">
        <v>3</v>
      </c>
      <c r="K138">
        <v>20.34</v>
      </c>
      <c r="L138">
        <v>20</v>
      </c>
      <c r="M138" s="1" t="s">
        <v>50</v>
      </c>
      <c r="N138" s="1" t="s">
        <v>40</v>
      </c>
      <c r="O138">
        <v>25135.4</v>
      </c>
      <c r="P138" t="b">
        <v>0</v>
      </c>
      <c r="Q138">
        <v>1.8333333333333333</v>
      </c>
      <c r="R138">
        <v>1142.5181818181818</v>
      </c>
      <c r="S138">
        <v>5.085</v>
      </c>
      <c r="T138" s="2">
        <v>44682</v>
      </c>
      <c r="U138" s="1" t="s">
        <v>51</v>
      </c>
      <c r="V138">
        <v>1</v>
      </c>
      <c r="W138" s="1" t="s">
        <v>40</v>
      </c>
      <c r="Y138" s="1" t="s">
        <v>52</v>
      </c>
      <c r="Z138" s="1" t="s">
        <v>52</v>
      </c>
      <c r="AA138">
        <v>0.13043478260869565</v>
      </c>
      <c r="AB138" s="1" t="s">
        <v>43</v>
      </c>
      <c r="AC138">
        <v>2</v>
      </c>
      <c r="AD138" s="2">
        <v>44682</v>
      </c>
      <c r="AE138" s="1" t="s">
        <v>53</v>
      </c>
      <c r="AF138" s="1" t="s">
        <v>72</v>
      </c>
      <c r="AG138" s="1" t="s">
        <v>70</v>
      </c>
      <c r="AH138" s="1" t="s">
        <v>47</v>
      </c>
      <c r="AI138">
        <v>25366</v>
      </c>
      <c r="AJ138">
        <v>-230.59999999999854</v>
      </c>
    </row>
    <row r="139" spans="1:36" x14ac:dyDescent="0.25">
      <c r="A139">
        <v>10138</v>
      </c>
      <c r="B139">
        <v>31</v>
      </c>
      <c r="C139" s="1" t="s">
        <v>36</v>
      </c>
      <c r="D139" s="1" t="s">
        <v>69</v>
      </c>
      <c r="E139" s="2">
        <v>44851</v>
      </c>
      <c r="F139" s="2">
        <v>44469</v>
      </c>
      <c r="G139" s="1" t="s">
        <v>38</v>
      </c>
      <c r="H139">
        <v>1182</v>
      </c>
      <c r="I139">
        <v>33</v>
      </c>
      <c r="J139">
        <v>3</v>
      </c>
      <c r="K139">
        <v>42.47</v>
      </c>
      <c r="L139">
        <v>20</v>
      </c>
      <c r="M139" s="1" t="s">
        <v>65</v>
      </c>
      <c r="N139" s="1" t="s">
        <v>56</v>
      </c>
      <c r="O139">
        <v>38769.599999999999</v>
      </c>
      <c r="P139" t="b">
        <v>0</v>
      </c>
      <c r="Q139">
        <v>2.75</v>
      </c>
      <c r="R139">
        <v>1174.8363636363636</v>
      </c>
      <c r="S139">
        <v>10.6175</v>
      </c>
      <c r="T139" s="2">
        <v>44835</v>
      </c>
      <c r="U139" s="1" t="s">
        <v>57</v>
      </c>
      <c r="V139">
        <v>0</v>
      </c>
      <c r="W139" s="1" t="s">
        <v>40</v>
      </c>
      <c r="Y139" s="1" t="s">
        <v>52</v>
      </c>
      <c r="Z139" s="1" t="s">
        <v>52</v>
      </c>
      <c r="AA139">
        <v>8.8235294117647065E-2</v>
      </c>
      <c r="AB139" s="1" t="s">
        <v>43</v>
      </c>
      <c r="AC139">
        <v>1</v>
      </c>
      <c r="AD139" s="2">
        <v>44835</v>
      </c>
      <c r="AE139" s="1" t="s">
        <v>44</v>
      </c>
      <c r="AF139" s="1" t="s">
        <v>72</v>
      </c>
      <c r="AG139" s="1" t="s">
        <v>55</v>
      </c>
      <c r="AH139" s="1" t="s">
        <v>47</v>
      </c>
      <c r="AI139">
        <v>39006</v>
      </c>
      <c r="AJ139">
        <v>-236.40000000000146</v>
      </c>
    </row>
    <row r="140" spans="1:36" x14ac:dyDescent="0.25">
      <c r="A140">
        <v>10139</v>
      </c>
      <c r="B140">
        <v>56</v>
      </c>
      <c r="C140" s="1" t="s">
        <v>60</v>
      </c>
      <c r="D140" s="1" t="s">
        <v>61</v>
      </c>
      <c r="E140" s="2">
        <v>45024</v>
      </c>
      <c r="F140" s="2">
        <v>44428</v>
      </c>
      <c r="G140" s="1" t="s">
        <v>62</v>
      </c>
      <c r="H140">
        <v>961</v>
      </c>
      <c r="I140">
        <v>27</v>
      </c>
      <c r="J140">
        <v>2</v>
      </c>
      <c r="K140">
        <v>12.42</v>
      </c>
      <c r="L140">
        <v>20</v>
      </c>
      <c r="M140" s="1" t="s">
        <v>65</v>
      </c>
      <c r="N140" s="1" t="s">
        <v>56</v>
      </c>
      <c r="O140">
        <v>25754.799999999999</v>
      </c>
      <c r="P140" t="b">
        <v>0</v>
      </c>
      <c r="Q140">
        <v>2.25</v>
      </c>
      <c r="R140">
        <v>953.8814814814815</v>
      </c>
      <c r="S140">
        <v>4.1399999999999997</v>
      </c>
      <c r="T140" s="2">
        <v>45017</v>
      </c>
      <c r="U140" s="1" t="s">
        <v>41</v>
      </c>
      <c r="V140">
        <v>0</v>
      </c>
      <c r="W140" s="1" t="s">
        <v>40</v>
      </c>
      <c r="Y140" s="1" t="s">
        <v>42</v>
      </c>
      <c r="Z140" s="1" t="s">
        <v>52</v>
      </c>
      <c r="AA140">
        <v>7.1428571428571425E-2</v>
      </c>
      <c r="AB140" s="1" t="s">
        <v>43</v>
      </c>
      <c r="AC140">
        <v>2</v>
      </c>
      <c r="AD140" s="2">
        <v>45017</v>
      </c>
      <c r="AE140" s="1" t="s">
        <v>44</v>
      </c>
      <c r="AF140" s="1" t="s">
        <v>72</v>
      </c>
      <c r="AG140" s="1" t="s">
        <v>46</v>
      </c>
      <c r="AH140" s="1" t="s">
        <v>59</v>
      </c>
      <c r="AI140">
        <v>25947</v>
      </c>
      <c r="AJ140">
        <v>-192.20000000000073</v>
      </c>
    </row>
    <row r="141" spans="1:36" x14ac:dyDescent="0.25">
      <c r="A141">
        <v>10140</v>
      </c>
      <c r="B141">
        <v>44</v>
      </c>
      <c r="C141" s="1" t="s">
        <v>60</v>
      </c>
      <c r="D141" s="1" t="s">
        <v>37</v>
      </c>
      <c r="E141" s="2">
        <v>44547</v>
      </c>
      <c r="F141" s="2">
        <v>45032</v>
      </c>
      <c r="G141" s="1" t="s">
        <v>38</v>
      </c>
      <c r="H141">
        <v>864</v>
      </c>
      <c r="I141">
        <v>22</v>
      </c>
      <c r="J141">
        <v>2</v>
      </c>
      <c r="K141">
        <v>79.900000000000006</v>
      </c>
      <c r="L141">
        <v>10</v>
      </c>
      <c r="M141" s="1" t="s">
        <v>39</v>
      </c>
      <c r="N141" s="1" t="s">
        <v>56</v>
      </c>
      <c r="O141">
        <v>18921.599999999999</v>
      </c>
      <c r="P141" t="b">
        <v>1</v>
      </c>
      <c r="Q141">
        <v>1.8333333333333333</v>
      </c>
      <c r="R141">
        <v>860.07272727272721</v>
      </c>
      <c r="S141">
        <v>26.633333333333336</v>
      </c>
      <c r="T141" s="2">
        <v>44531</v>
      </c>
      <c r="U141" s="1" t="s">
        <v>51</v>
      </c>
      <c r="V141">
        <v>0</v>
      </c>
      <c r="W141" s="1" t="s">
        <v>40</v>
      </c>
      <c r="X141">
        <v>485</v>
      </c>
      <c r="Y141" s="1" t="s">
        <v>43</v>
      </c>
      <c r="Z141" s="1" t="s">
        <v>42</v>
      </c>
      <c r="AA141">
        <v>8.6956521739130432E-2</v>
      </c>
      <c r="AB141" s="1" t="s">
        <v>52</v>
      </c>
      <c r="AC141">
        <v>1</v>
      </c>
      <c r="AD141" s="2">
        <v>44531</v>
      </c>
      <c r="AE141" s="1" t="s">
        <v>53</v>
      </c>
      <c r="AF141" s="1" t="s">
        <v>72</v>
      </c>
      <c r="AG141" s="1" t="s">
        <v>63</v>
      </c>
      <c r="AH141" s="1" t="s">
        <v>59</v>
      </c>
      <c r="AI141">
        <v>19008</v>
      </c>
      <c r="AJ141">
        <v>-86.400000000001455</v>
      </c>
    </row>
    <row r="142" spans="1:36" x14ac:dyDescent="0.25">
      <c r="A142">
        <v>10141</v>
      </c>
      <c r="B142">
        <v>26</v>
      </c>
      <c r="C142" s="1" t="s">
        <v>36</v>
      </c>
      <c r="D142" s="1" t="s">
        <v>48</v>
      </c>
      <c r="E142" s="2">
        <v>44750</v>
      </c>
      <c r="F142" s="2">
        <v>45013</v>
      </c>
      <c r="G142" s="1" t="s">
        <v>38</v>
      </c>
      <c r="H142">
        <v>512</v>
      </c>
      <c r="I142">
        <v>30</v>
      </c>
      <c r="J142">
        <v>1</v>
      </c>
      <c r="K142">
        <v>116.65</v>
      </c>
      <c r="L142">
        <v>10</v>
      </c>
      <c r="M142" s="1" t="s">
        <v>39</v>
      </c>
      <c r="N142" s="1" t="s">
        <v>56</v>
      </c>
      <c r="O142">
        <v>15308.8</v>
      </c>
      <c r="P142" t="b">
        <v>1</v>
      </c>
      <c r="Q142">
        <v>2.5</v>
      </c>
      <c r="R142">
        <v>510.29333333333329</v>
      </c>
      <c r="S142">
        <v>58.325000000000003</v>
      </c>
      <c r="T142" s="2">
        <v>44743</v>
      </c>
      <c r="U142" s="1" t="s">
        <v>57</v>
      </c>
      <c r="V142">
        <v>0</v>
      </c>
      <c r="W142" s="1" t="s">
        <v>40</v>
      </c>
      <c r="X142">
        <v>263</v>
      </c>
      <c r="Y142" s="1" t="s">
        <v>43</v>
      </c>
      <c r="Z142" s="1" t="s">
        <v>42</v>
      </c>
      <c r="AA142">
        <v>3.2258064516129031E-2</v>
      </c>
      <c r="AB142" s="1" t="s">
        <v>52</v>
      </c>
      <c r="AC142">
        <v>1</v>
      </c>
      <c r="AD142" s="2">
        <v>44743</v>
      </c>
      <c r="AE142" s="1" t="s">
        <v>44</v>
      </c>
      <c r="AF142" s="1" t="s">
        <v>54</v>
      </c>
      <c r="AG142" s="1" t="s">
        <v>63</v>
      </c>
      <c r="AH142" s="1" t="s">
        <v>64</v>
      </c>
      <c r="AI142">
        <v>15360</v>
      </c>
      <c r="AJ142">
        <v>-51.200000000000728</v>
      </c>
    </row>
    <row r="143" spans="1:36" x14ac:dyDescent="0.25">
      <c r="A143">
        <v>10142</v>
      </c>
      <c r="B143">
        <v>32</v>
      </c>
      <c r="C143" s="1" t="s">
        <v>60</v>
      </c>
      <c r="D143" s="1" t="s">
        <v>37</v>
      </c>
      <c r="E143" s="2">
        <v>44495</v>
      </c>
      <c r="F143" s="2">
        <v>45009</v>
      </c>
      <c r="G143" s="1" t="s">
        <v>49</v>
      </c>
      <c r="H143">
        <v>1389</v>
      </c>
      <c r="I143">
        <v>9</v>
      </c>
      <c r="J143">
        <v>4</v>
      </c>
      <c r="K143">
        <v>100.11</v>
      </c>
      <c r="L143">
        <v>20</v>
      </c>
      <c r="M143" s="1" t="s">
        <v>67</v>
      </c>
      <c r="N143" s="1" t="s">
        <v>56</v>
      </c>
      <c r="O143">
        <v>12223.2</v>
      </c>
      <c r="P143" t="b">
        <v>1</v>
      </c>
      <c r="Q143">
        <v>0.75</v>
      </c>
      <c r="R143">
        <v>1358.1333333333334</v>
      </c>
      <c r="S143">
        <v>20.021999999999998</v>
      </c>
      <c r="T143" s="2">
        <v>44470</v>
      </c>
      <c r="U143" s="1" t="s">
        <v>57</v>
      </c>
      <c r="V143">
        <v>0</v>
      </c>
      <c r="W143" s="1" t="s">
        <v>56</v>
      </c>
      <c r="X143">
        <v>514</v>
      </c>
      <c r="Y143" s="1" t="s">
        <v>43</v>
      </c>
      <c r="Z143" s="1" t="s">
        <v>52</v>
      </c>
      <c r="AA143">
        <v>0.4</v>
      </c>
      <c r="AB143" s="1" t="s">
        <v>52</v>
      </c>
      <c r="AC143">
        <v>3</v>
      </c>
      <c r="AD143" s="2">
        <v>44470</v>
      </c>
      <c r="AE143" s="1" t="s">
        <v>74</v>
      </c>
      <c r="AF143" s="1" t="s">
        <v>45</v>
      </c>
      <c r="AG143" s="1" t="s">
        <v>63</v>
      </c>
      <c r="AH143" s="1" t="s">
        <v>47</v>
      </c>
      <c r="AI143">
        <v>12501</v>
      </c>
      <c r="AJ143">
        <v>-277.79999999999927</v>
      </c>
    </row>
    <row r="144" spans="1:36" x14ac:dyDescent="0.25">
      <c r="A144">
        <v>10143</v>
      </c>
      <c r="B144">
        <v>32</v>
      </c>
      <c r="C144" s="1" t="s">
        <v>60</v>
      </c>
      <c r="D144" s="1" t="s">
        <v>76</v>
      </c>
      <c r="E144" s="2">
        <v>44916</v>
      </c>
      <c r="F144" s="2">
        <v>44722</v>
      </c>
      <c r="G144" s="1" t="s">
        <v>38</v>
      </c>
      <c r="H144">
        <v>1110</v>
      </c>
      <c r="I144">
        <v>35</v>
      </c>
      <c r="J144">
        <v>2</v>
      </c>
      <c r="K144">
        <v>117.08</v>
      </c>
      <c r="L144">
        <v>15</v>
      </c>
      <c r="M144" s="1" t="s">
        <v>50</v>
      </c>
      <c r="N144" s="1" t="s">
        <v>40</v>
      </c>
      <c r="O144">
        <v>38683.5</v>
      </c>
      <c r="P144" t="b">
        <v>0</v>
      </c>
      <c r="Q144">
        <v>2.9166666666666665</v>
      </c>
      <c r="R144">
        <v>1105.2428571428572</v>
      </c>
      <c r="S144">
        <v>39.026666666666664</v>
      </c>
      <c r="T144" s="2">
        <v>44896</v>
      </c>
      <c r="U144" s="1" t="s">
        <v>57</v>
      </c>
      <c r="V144">
        <v>1</v>
      </c>
      <c r="W144" s="1" t="s">
        <v>40</v>
      </c>
      <c r="Y144" s="1" t="s">
        <v>43</v>
      </c>
      <c r="Z144" s="1" t="s">
        <v>42</v>
      </c>
      <c r="AA144">
        <v>5.5555555555555552E-2</v>
      </c>
      <c r="AB144" s="1" t="s">
        <v>43</v>
      </c>
      <c r="AC144">
        <v>1</v>
      </c>
      <c r="AD144" s="2">
        <v>44896</v>
      </c>
      <c r="AE144" s="1" t="s">
        <v>44</v>
      </c>
      <c r="AF144" s="1" t="s">
        <v>72</v>
      </c>
      <c r="AG144" s="1" t="s">
        <v>63</v>
      </c>
      <c r="AH144" s="1" t="s">
        <v>47</v>
      </c>
      <c r="AI144">
        <v>38850</v>
      </c>
      <c r="AJ144">
        <v>-166.5</v>
      </c>
    </row>
    <row r="145" spans="1:36" x14ac:dyDescent="0.25">
      <c r="A145">
        <v>10144</v>
      </c>
      <c r="B145">
        <v>43</v>
      </c>
      <c r="C145" s="1" t="s">
        <v>60</v>
      </c>
      <c r="D145" s="1" t="s">
        <v>61</v>
      </c>
      <c r="E145" s="2">
        <v>45038</v>
      </c>
      <c r="F145" s="2">
        <v>44917</v>
      </c>
      <c r="G145" s="1" t="s">
        <v>38</v>
      </c>
      <c r="H145">
        <v>1149</v>
      </c>
      <c r="I145">
        <v>18</v>
      </c>
      <c r="J145">
        <v>5</v>
      </c>
      <c r="K145">
        <v>102.24</v>
      </c>
      <c r="L145">
        <v>20</v>
      </c>
      <c r="M145" s="1" t="s">
        <v>39</v>
      </c>
      <c r="N145" s="1" t="s">
        <v>56</v>
      </c>
      <c r="O145">
        <v>20452.2</v>
      </c>
      <c r="P145" t="b">
        <v>0</v>
      </c>
      <c r="Q145">
        <v>1.5</v>
      </c>
      <c r="R145">
        <v>1136.2333333333333</v>
      </c>
      <c r="S145">
        <v>17.04</v>
      </c>
      <c r="T145" s="2">
        <v>45017</v>
      </c>
      <c r="U145" s="1" t="s">
        <v>51</v>
      </c>
      <c r="V145">
        <v>0</v>
      </c>
      <c r="W145" s="1" t="s">
        <v>40</v>
      </c>
      <c r="Y145" s="1" t="s">
        <v>43</v>
      </c>
      <c r="Z145" s="1" t="s">
        <v>52</v>
      </c>
      <c r="AA145">
        <v>0.26315789473684209</v>
      </c>
      <c r="AB145" s="1" t="s">
        <v>43</v>
      </c>
      <c r="AC145">
        <v>1</v>
      </c>
      <c r="AD145" s="2">
        <v>45017</v>
      </c>
      <c r="AE145" s="1" t="s">
        <v>53</v>
      </c>
      <c r="AF145" s="1" t="s">
        <v>45</v>
      </c>
      <c r="AG145" s="1" t="s">
        <v>63</v>
      </c>
      <c r="AH145" s="1" t="s">
        <v>47</v>
      </c>
      <c r="AI145">
        <v>20682</v>
      </c>
      <c r="AJ145">
        <v>-229.79999999999927</v>
      </c>
    </row>
    <row r="146" spans="1:36" x14ac:dyDescent="0.25">
      <c r="A146">
        <v>10145</v>
      </c>
      <c r="B146">
        <v>59</v>
      </c>
      <c r="C146" s="1" t="s">
        <v>36</v>
      </c>
      <c r="D146" s="1" t="s">
        <v>61</v>
      </c>
      <c r="E146" s="2">
        <v>44388</v>
      </c>
      <c r="F146" s="2">
        <v>44410</v>
      </c>
      <c r="G146" s="1" t="s">
        <v>49</v>
      </c>
      <c r="H146">
        <v>1460</v>
      </c>
      <c r="I146">
        <v>5</v>
      </c>
      <c r="J146">
        <v>3</v>
      </c>
      <c r="K146">
        <v>103.35</v>
      </c>
      <c r="L146">
        <v>10</v>
      </c>
      <c r="M146" s="1" t="s">
        <v>67</v>
      </c>
      <c r="N146" s="1" t="s">
        <v>56</v>
      </c>
      <c r="O146">
        <v>7008</v>
      </c>
      <c r="P146" t="b">
        <v>1</v>
      </c>
      <c r="Q146">
        <v>0.41666666666666669</v>
      </c>
      <c r="R146">
        <v>1401.6</v>
      </c>
      <c r="S146">
        <v>25.837499999999999</v>
      </c>
      <c r="T146" s="2">
        <v>44378</v>
      </c>
      <c r="U146" s="1" t="s">
        <v>41</v>
      </c>
      <c r="V146">
        <v>0</v>
      </c>
      <c r="W146" s="1" t="s">
        <v>56</v>
      </c>
      <c r="X146">
        <v>22</v>
      </c>
      <c r="Y146" s="1" t="s">
        <v>43</v>
      </c>
      <c r="Z146" s="1" t="s">
        <v>42</v>
      </c>
      <c r="AA146">
        <v>0.5</v>
      </c>
      <c r="AB146" s="1" t="s">
        <v>42</v>
      </c>
      <c r="AC146">
        <v>3</v>
      </c>
      <c r="AD146" s="2">
        <v>44378</v>
      </c>
      <c r="AE146" s="1" t="s">
        <v>58</v>
      </c>
      <c r="AF146" s="1" t="s">
        <v>72</v>
      </c>
      <c r="AG146" s="1" t="s">
        <v>63</v>
      </c>
      <c r="AH146" s="1" t="s">
        <v>47</v>
      </c>
      <c r="AI146">
        <v>7300</v>
      </c>
      <c r="AJ146">
        <v>-292</v>
      </c>
    </row>
    <row r="147" spans="1:36" x14ac:dyDescent="0.25">
      <c r="A147">
        <v>10146</v>
      </c>
      <c r="B147">
        <v>30</v>
      </c>
      <c r="C147" s="1" t="s">
        <v>36</v>
      </c>
      <c r="D147" s="1" t="s">
        <v>73</v>
      </c>
      <c r="E147" s="2">
        <v>44868</v>
      </c>
      <c r="F147" s="2">
        <v>44851</v>
      </c>
      <c r="G147" s="1" t="s">
        <v>38</v>
      </c>
      <c r="H147">
        <v>1180</v>
      </c>
      <c r="I147">
        <v>27</v>
      </c>
      <c r="J147">
        <v>3</v>
      </c>
      <c r="K147">
        <v>71.38</v>
      </c>
      <c r="L147">
        <v>10</v>
      </c>
      <c r="M147" s="1" t="s">
        <v>67</v>
      </c>
      <c r="N147" s="1" t="s">
        <v>56</v>
      </c>
      <c r="O147">
        <v>31742</v>
      </c>
      <c r="P147" t="b">
        <v>0</v>
      </c>
      <c r="Q147">
        <v>2.25</v>
      </c>
      <c r="R147">
        <v>1175.6296296296296</v>
      </c>
      <c r="S147">
        <v>17.844999999999999</v>
      </c>
      <c r="T147" s="2">
        <v>44866</v>
      </c>
      <c r="U147" s="1" t="s">
        <v>57</v>
      </c>
      <c r="V147">
        <v>0</v>
      </c>
      <c r="W147" s="1" t="s">
        <v>40</v>
      </c>
      <c r="Y147" s="1" t="s">
        <v>43</v>
      </c>
      <c r="Z147" s="1" t="s">
        <v>42</v>
      </c>
      <c r="AA147">
        <v>0.10714285714285714</v>
      </c>
      <c r="AB147" s="1" t="s">
        <v>43</v>
      </c>
      <c r="AC147">
        <v>1</v>
      </c>
      <c r="AD147" s="2">
        <v>44866</v>
      </c>
      <c r="AE147" s="1" t="s">
        <v>44</v>
      </c>
      <c r="AF147" s="1" t="s">
        <v>72</v>
      </c>
      <c r="AG147" s="1" t="s">
        <v>63</v>
      </c>
      <c r="AH147" s="1" t="s">
        <v>47</v>
      </c>
      <c r="AI147">
        <v>31860</v>
      </c>
      <c r="AJ147">
        <v>-118</v>
      </c>
    </row>
    <row r="148" spans="1:36" x14ac:dyDescent="0.25">
      <c r="A148">
        <v>10147</v>
      </c>
      <c r="B148">
        <v>49</v>
      </c>
      <c r="C148" s="1" t="s">
        <v>36</v>
      </c>
      <c r="D148" s="1" t="s">
        <v>71</v>
      </c>
      <c r="E148" s="2">
        <v>44260</v>
      </c>
      <c r="F148" s="2">
        <v>45015</v>
      </c>
      <c r="G148" s="1" t="s">
        <v>62</v>
      </c>
      <c r="H148">
        <v>1388</v>
      </c>
      <c r="I148">
        <v>6</v>
      </c>
      <c r="J148">
        <v>1</v>
      </c>
      <c r="K148">
        <v>64.599999999999994</v>
      </c>
      <c r="L148">
        <v>20</v>
      </c>
      <c r="M148" s="1" t="s">
        <v>67</v>
      </c>
      <c r="N148" s="1" t="s">
        <v>40</v>
      </c>
      <c r="O148">
        <v>8050.4</v>
      </c>
      <c r="P148" t="b">
        <v>1</v>
      </c>
      <c r="Q148">
        <v>0.5</v>
      </c>
      <c r="R148">
        <v>1341.7333333333333</v>
      </c>
      <c r="S148">
        <v>32.299999999999997</v>
      </c>
      <c r="T148" s="2">
        <v>44256</v>
      </c>
      <c r="U148" s="1" t="s">
        <v>51</v>
      </c>
      <c r="V148">
        <v>1</v>
      </c>
      <c r="W148" s="1" t="s">
        <v>56</v>
      </c>
      <c r="X148">
        <v>755</v>
      </c>
      <c r="Y148" s="1" t="s">
        <v>43</v>
      </c>
      <c r="Z148" s="1" t="s">
        <v>52</v>
      </c>
      <c r="AA148">
        <v>0.14285714285714285</v>
      </c>
      <c r="AB148" s="1" t="s">
        <v>42</v>
      </c>
      <c r="AC148">
        <v>2</v>
      </c>
      <c r="AD148" s="2">
        <v>44256</v>
      </c>
      <c r="AE148" s="1" t="s">
        <v>58</v>
      </c>
      <c r="AF148" s="1" t="s">
        <v>54</v>
      </c>
      <c r="AG148" s="1" t="s">
        <v>63</v>
      </c>
      <c r="AH148" s="1" t="s">
        <v>47</v>
      </c>
      <c r="AI148">
        <v>8328</v>
      </c>
      <c r="AJ148">
        <v>-277.60000000000036</v>
      </c>
    </row>
    <row r="149" spans="1:36" x14ac:dyDescent="0.25">
      <c r="A149">
        <v>10148</v>
      </c>
      <c r="B149">
        <v>56</v>
      </c>
      <c r="C149" s="1" t="s">
        <v>60</v>
      </c>
      <c r="D149" s="1" t="s">
        <v>76</v>
      </c>
      <c r="E149" s="2">
        <v>44951</v>
      </c>
      <c r="F149" s="2">
        <v>44796</v>
      </c>
      <c r="G149" s="1" t="s">
        <v>38</v>
      </c>
      <c r="H149">
        <v>1455</v>
      </c>
      <c r="I149">
        <v>32</v>
      </c>
      <c r="J149">
        <v>4</v>
      </c>
      <c r="K149">
        <v>51.72</v>
      </c>
      <c r="L149">
        <v>15</v>
      </c>
      <c r="M149" s="1" t="s">
        <v>65</v>
      </c>
      <c r="N149" s="1" t="s">
        <v>40</v>
      </c>
      <c r="O149">
        <v>46341.75</v>
      </c>
      <c r="P149" t="b">
        <v>0</v>
      </c>
      <c r="Q149">
        <v>2.6666666666666665</v>
      </c>
      <c r="R149">
        <v>1448.1796875</v>
      </c>
      <c r="S149">
        <v>10.343999999999999</v>
      </c>
      <c r="T149" s="2">
        <v>44927</v>
      </c>
      <c r="U149" s="1" t="s">
        <v>41</v>
      </c>
      <c r="V149">
        <v>1</v>
      </c>
      <c r="W149" s="1" t="s">
        <v>40</v>
      </c>
      <c r="Y149" s="1" t="s">
        <v>52</v>
      </c>
      <c r="Z149" s="1" t="s">
        <v>42</v>
      </c>
      <c r="AA149">
        <v>0.12121212121212122</v>
      </c>
      <c r="AB149" s="1" t="s">
        <v>43</v>
      </c>
      <c r="AC149">
        <v>1</v>
      </c>
      <c r="AD149" s="2">
        <v>44927</v>
      </c>
      <c r="AE149" s="1" t="s">
        <v>44</v>
      </c>
      <c r="AF149" s="1" t="s">
        <v>45</v>
      </c>
      <c r="AG149" s="1" t="s">
        <v>63</v>
      </c>
      <c r="AH149" s="1" t="s">
        <v>47</v>
      </c>
      <c r="AI149">
        <v>46560</v>
      </c>
      <c r="AJ149">
        <v>-218.25</v>
      </c>
    </row>
    <row r="150" spans="1:36" x14ac:dyDescent="0.25">
      <c r="A150">
        <v>10149</v>
      </c>
      <c r="B150">
        <v>49</v>
      </c>
      <c r="C150" s="1" t="s">
        <v>75</v>
      </c>
      <c r="D150" s="1" t="s">
        <v>37</v>
      </c>
      <c r="E150" s="2">
        <v>44966</v>
      </c>
      <c r="F150" s="2">
        <v>44775</v>
      </c>
      <c r="G150" s="1" t="s">
        <v>38</v>
      </c>
      <c r="H150">
        <v>633</v>
      </c>
      <c r="I150">
        <v>8</v>
      </c>
      <c r="J150">
        <v>0</v>
      </c>
      <c r="K150">
        <v>99.08</v>
      </c>
      <c r="L150">
        <v>15</v>
      </c>
      <c r="M150" s="1" t="s">
        <v>50</v>
      </c>
      <c r="N150" s="1" t="s">
        <v>56</v>
      </c>
      <c r="O150">
        <v>4969.05</v>
      </c>
      <c r="P150" t="b">
        <v>0</v>
      </c>
      <c r="Q150">
        <v>0.66666666666666663</v>
      </c>
      <c r="R150">
        <v>621.13125000000002</v>
      </c>
      <c r="S150">
        <v>99.08</v>
      </c>
      <c r="T150" s="2">
        <v>44958</v>
      </c>
      <c r="U150" s="1" t="s">
        <v>51</v>
      </c>
      <c r="V150">
        <v>0</v>
      </c>
      <c r="W150" s="1" t="s">
        <v>56</v>
      </c>
      <c r="Y150" s="1" t="s">
        <v>43</v>
      </c>
      <c r="Z150" s="1" t="s">
        <v>42</v>
      </c>
      <c r="AA150">
        <v>0</v>
      </c>
      <c r="AB150" s="1" t="s">
        <v>42</v>
      </c>
      <c r="AC150">
        <v>1</v>
      </c>
      <c r="AD150" s="2">
        <v>44958</v>
      </c>
      <c r="AE150" s="1" t="s">
        <v>74</v>
      </c>
      <c r="AF150" s="1" t="s">
        <v>54</v>
      </c>
      <c r="AG150" s="1" t="s">
        <v>63</v>
      </c>
      <c r="AH150" s="1" t="s">
        <v>64</v>
      </c>
      <c r="AI150">
        <v>5064</v>
      </c>
      <c r="AJ150">
        <v>-94.949999999999818</v>
      </c>
    </row>
    <row r="151" spans="1:36" x14ac:dyDescent="0.25">
      <c r="A151">
        <v>10150</v>
      </c>
      <c r="B151">
        <v>21</v>
      </c>
      <c r="C151" s="1" t="s">
        <v>36</v>
      </c>
      <c r="D151" s="1" t="s">
        <v>37</v>
      </c>
      <c r="E151" s="2">
        <v>44860</v>
      </c>
      <c r="F151" s="2">
        <v>45215</v>
      </c>
      <c r="G151" s="1" t="s">
        <v>38</v>
      </c>
      <c r="H151">
        <v>331</v>
      </c>
      <c r="I151">
        <v>21</v>
      </c>
      <c r="J151">
        <v>1</v>
      </c>
      <c r="K151">
        <v>25.94</v>
      </c>
      <c r="L151">
        <v>20</v>
      </c>
      <c r="M151" s="1" t="s">
        <v>50</v>
      </c>
      <c r="N151" s="1" t="s">
        <v>40</v>
      </c>
      <c r="O151">
        <v>6884.8</v>
      </c>
      <c r="P151" t="b">
        <v>1</v>
      </c>
      <c r="Q151">
        <v>1.75</v>
      </c>
      <c r="R151">
        <v>327.84761904761905</v>
      </c>
      <c r="S151">
        <v>12.97</v>
      </c>
      <c r="T151" s="2">
        <v>44835</v>
      </c>
      <c r="U151" s="1" t="s">
        <v>66</v>
      </c>
      <c r="V151">
        <v>1</v>
      </c>
      <c r="W151" s="1" t="s">
        <v>56</v>
      </c>
      <c r="X151">
        <v>355</v>
      </c>
      <c r="Y151" s="1" t="s">
        <v>52</v>
      </c>
      <c r="Z151" s="1" t="s">
        <v>52</v>
      </c>
      <c r="AA151">
        <v>4.5454545454545456E-2</v>
      </c>
      <c r="AB151" s="1" t="s">
        <v>42</v>
      </c>
      <c r="AC151">
        <v>1</v>
      </c>
      <c r="AD151" s="2">
        <v>44835</v>
      </c>
      <c r="AE151" s="1" t="s">
        <v>53</v>
      </c>
      <c r="AF151" s="1" t="s">
        <v>54</v>
      </c>
      <c r="AG151" s="1" t="s">
        <v>70</v>
      </c>
      <c r="AH151" s="1" t="s">
        <v>68</v>
      </c>
      <c r="AI151">
        <v>6951</v>
      </c>
      <c r="AJ151">
        <v>-66.199999999999818</v>
      </c>
    </row>
    <row r="152" spans="1:36" x14ac:dyDescent="0.25">
      <c r="A152">
        <v>10151</v>
      </c>
      <c r="B152">
        <v>47</v>
      </c>
      <c r="C152" s="1" t="s">
        <v>60</v>
      </c>
      <c r="D152" s="1" t="s">
        <v>69</v>
      </c>
      <c r="E152" s="2">
        <v>44411</v>
      </c>
      <c r="F152" s="2">
        <v>44774</v>
      </c>
      <c r="G152" s="1" t="s">
        <v>38</v>
      </c>
      <c r="H152">
        <v>1167</v>
      </c>
      <c r="I152">
        <v>18</v>
      </c>
      <c r="J152">
        <v>2</v>
      </c>
      <c r="K152">
        <v>11.47</v>
      </c>
      <c r="L152">
        <v>15</v>
      </c>
      <c r="M152" s="1" t="s">
        <v>50</v>
      </c>
      <c r="N152" s="1" t="s">
        <v>56</v>
      </c>
      <c r="O152">
        <v>20830.95</v>
      </c>
      <c r="P152" t="b">
        <v>1</v>
      </c>
      <c r="Q152">
        <v>1.5</v>
      </c>
      <c r="R152">
        <v>1157.2750000000001</v>
      </c>
      <c r="S152">
        <v>3.8233333333333337</v>
      </c>
      <c r="T152" s="2">
        <v>44409</v>
      </c>
      <c r="U152" s="1" t="s">
        <v>51</v>
      </c>
      <c r="V152">
        <v>0</v>
      </c>
      <c r="W152" s="1" t="s">
        <v>40</v>
      </c>
      <c r="X152">
        <v>363</v>
      </c>
      <c r="Y152" s="1" t="s">
        <v>42</v>
      </c>
      <c r="Z152" s="1" t="s">
        <v>42</v>
      </c>
      <c r="AA152">
        <v>0.10526315789473684</v>
      </c>
      <c r="AB152" s="1" t="s">
        <v>43</v>
      </c>
      <c r="AC152">
        <v>1</v>
      </c>
      <c r="AD152" s="2">
        <v>44409</v>
      </c>
      <c r="AE152" s="1" t="s">
        <v>53</v>
      </c>
      <c r="AF152" s="1" t="s">
        <v>72</v>
      </c>
      <c r="AG152" s="1" t="s">
        <v>46</v>
      </c>
      <c r="AH152" s="1" t="s">
        <v>47</v>
      </c>
      <c r="AI152">
        <v>21006</v>
      </c>
      <c r="AJ152">
        <v>-175.04999999999927</v>
      </c>
    </row>
    <row r="153" spans="1:36" x14ac:dyDescent="0.25">
      <c r="A153">
        <v>10152</v>
      </c>
      <c r="B153">
        <v>54</v>
      </c>
      <c r="C153" s="1" t="s">
        <v>36</v>
      </c>
      <c r="D153" s="1" t="s">
        <v>61</v>
      </c>
      <c r="E153" s="2">
        <v>45030</v>
      </c>
      <c r="F153" s="2">
        <v>44768</v>
      </c>
      <c r="G153" s="1" t="s">
        <v>38</v>
      </c>
      <c r="H153">
        <v>1197</v>
      </c>
      <c r="I153">
        <v>14</v>
      </c>
      <c r="J153">
        <v>0</v>
      </c>
      <c r="K153">
        <v>114.01</v>
      </c>
      <c r="L153">
        <v>20</v>
      </c>
      <c r="M153" s="1" t="s">
        <v>65</v>
      </c>
      <c r="N153" s="1" t="s">
        <v>56</v>
      </c>
      <c r="O153">
        <v>16518.599999999999</v>
      </c>
      <c r="P153" t="b">
        <v>0</v>
      </c>
      <c r="Q153">
        <v>1.1666666666666667</v>
      </c>
      <c r="R153">
        <v>1179.8999999999999</v>
      </c>
      <c r="S153">
        <v>114.01</v>
      </c>
      <c r="T153" s="2">
        <v>45017</v>
      </c>
      <c r="U153" s="1" t="s">
        <v>41</v>
      </c>
      <c r="V153">
        <v>0</v>
      </c>
      <c r="W153" s="1" t="s">
        <v>40</v>
      </c>
      <c r="Y153" s="1" t="s">
        <v>43</v>
      </c>
      <c r="Z153" s="1" t="s">
        <v>52</v>
      </c>
      <c r="AA153">
        <v>0</v>
      </c>
      <c r="AB153" s="1" t="s">
        <v>52</v>
      </c>
      <c r="AC153">
        <v>1</v>
      </c>
      <c r="AD153" s="2">
        <v>45017</v>
      </c>
      <c r="AE153" s="1" t="s">
        <v>53</v>
      </c>
      <c r="AF153" s="1" t="s">
        <v>54</v>
      </c>
      <c r="AG153" s="1" t="s">
        <v>63</v>
      </c>
      <c r="AH153" s="1" t="s">
        <v>47</v>
      </c>
      <c r="AI153">
        <v>16758</v>
      </c>
      <c r="AJ153">
        <v>-239.40000000000146</v>
      </c>
    </row>
    <row r="154" spans="1:36" x14ac:dyDescent="0.25">
      <c r="A154">
        <v>10153</v>
      </c>
      <c r="B154">
        <v>40</v>
      </c>
      <c r="C154" s="1" t="s">
        <v>60</v>
      </c>
      <c r="D154" s="1" t="s">
        <v>61</v>
      </c>
      <c r="E154" s="2">
        <v>44362</v>
      </c>
      <c r="F154" s="2">
        <v>44669</v>
      </c>
      <c r="G154" s="1" t="s">
        <v>62</v>
      </c>
      <c r="H154">
        <v>1465</v>
      </c>
      <c r="I154">
        <v>15</v>
      </c>
      <c r="J154">
        <v>2</v>
      </c>
      <c r="K154">
        <v>5.43</v>
      </c>
      <c r="L154">
        <v>10</v>
      </c>
      <c r="M154" s="1" t="s">
        <v>65</v>
      </c>
      <c r="N154" s="1" t="s">
        <v>56</v>
      </c>
      <c r="O154">
        <v>21828.5</v>
      </c>
      <c r="P154" t="b">
        <v>1</v>
      </c>
      <c r="Q154">
        <v>1.25</v>
      </c>
      <c r="R154">
        <v>1455.2333333333333</v>
      </c>
      <c r="S154">
        <v>1.8099999999999998</v>
      </c>
      <c r="T154" s="2">
        <v>44348</v>
      </c>
      <c r="U154" s="1" t="s">
        <v>51</v>
      </c>
      <c r="V154">
        <v>0</v>
      </c>
      <c r="W154" s="1" t="s">
        <v>40</v>
      </c>
      <c r="X154">
        <v>307</v>
      </c>
      <c r="Y154" s="1" t="s">
        <v>42</v>
      </c>
      <c r="Z154" s="1" t="s">
        <v>42</v>
      </c>
      <c r="AA154">
        <v>0.125</v>
      </c>
      <c r="AB154" s="1" t="s">
        <v>43</v>
      </c>
      <c r="AC154">
        <v>2</v>
      </c>
      <c r="AD154" s="2">
        <v>44348</v>
      </c>
      <c r="AE154" s="1" t="s">
        <v>53</v>
      </c>
      <c r="AF154" s="1" t="s">
        <v>72</v>
      </c>
      <c r="AG154" s="1" t="s">
        <v>77</v>
      </c>
      <c r="AH154" s="1" t="s">
        <v>47</v>
      </c>
      <c r="AI154">
        <v>21975</v>
      </c>
      <c r="AJ154">
        <v>-146.5</v>
      </c>
    </row>
    <row r="155" spans="1:36" x14ac:dyDescent="0.25">
      <c r="A155">
        <v>10154</v>
      </c>
      <c r="B155">
        <v>56</v>
      </c>
      <c r="C155" s="1" t="s">
        <v>36</v>
      </c>
      <c r="D155" s="1" t="s">
        <v>61</v>
      </c>
      <c r="E155" s="2">
        <v>44739</v>
      </c>
      <c r="F155" s="2">
        <v>45027</v>
      </c>
      <c r="G155" s="1" t="s">
        <v>62</v>
      </c>
      <c r="H155">
        <v>900</v>
      </c>
      <c r="I155">
        <v>26</v>
      </c>
      <c r="J155">
        <v>1</v>
      </c>
      <c r="K155">
        <v>117.34</v>
      </c>
      <c r="L155">
        <v>20</v>
      </c>
      <c r="M155" s="1" t="s">
        <v>39</v>
      </c>
      <c r="N155" s="1" t="s">
        <v>56</v>
      </c>
      <c r="O155">
        <v>23220</v>
      </c>
      <c r="P155" t="b">
        <v>1</v>
      </c>
      <c r="Q155">
        <v>2.1666666666666665</v>
      </c>
      <c r="R155">
        <v>893.07692307692309</v>
      </c>
      <c r="S155">
        <v>58.67</v>
      </c>
      <c r="T155" s="2">
        <v>44713</v>
      </c>
      <c r="U155" s="1" t="s">
        <v>41</v>
      </c>
      <c r="V155">
        <v>0</v>
      </c>
      <c r="W155" s="1" t="s">
        <v>40</v>
      </c>
      <c r="X155">
        <v>288</v>
      </c>
      <c r="Y155" s="1" t="s">
        <v>43</v>
      </c>
      <c r="Z155" s="1" t="s">
        <v>52</v>
      </c>
      <c r="AA155">
        <v>3.7037037037037035E-2</v>
      </c>
      <c r="AB155" s="1" t="s">
        <v>43</v>
      </c>
      <c r="AC155">
        <v>2</v>
      </c>
      <c r="AD155" s="2">
        <v>44713</v>
      </c>
      <c r="AE155" s="1" t="s">
        <v>44</v>
      </c>
      <c r="AF155" s="1" t="s">
        <v>54</v>
      </c>
      <c r="AG155" s="1" t="s">
        <v>63</v>
      </c>
      <c r="AH155" s="1" t="s">
        <v>59</v>
      </c>
      <c r="AI155">
        <v>23400</v>
      </c>
      <c r="AJ155">
        <v>-180</v>
      </c>
    </row>
    <row r="156" spans="1:36" x14ac:dyDescent="0.25">
      <c r="A156">
        <v>10155</v>
      </c>
      <c r="B156">
        <v>62</v>
      </c>
      <c r="C156" s="1" t="s">
        <v>36</v>
      </c>
      <c r="D156" s="1" t="s">
        <v>37</v>
      </c>
      <c r="E156" s="2">
        <v>45079</v>
      </c>
      <c r="F156" s="2">
        <v>44513</v>
      </c>
      <c r="G156" s="1" t="s">
        <v>49</v>
      </c>
      <c r="H156">
        <v>1287</v>
      </c>
      <c r="I156">
        <v>32</v>
      </c>
      <c r="J156">
        <v>2</v>
      </c>
      <c r="K156">
        <v>88.82</v>
      </c>
      <c r="L156">
        <v>0</v>
      </c>
      <c r="M156" s="1" t="s">
        <v>39</v>
      </c>
      <c r="N156" s="1" t="s">
        <v>56</v>
      </c>
      <c r="O156">
        <v>41184</v>
      </c>
      <c r="P156" t="b">
        <v>0</v>
      </c>
      <c r="Q156">
        <v>2.6666666666666665</v>
      </c>
      <c r="R156">
        <v>1287</v>
      </c>
      <c r="S156">
        <v>29.606666666666666</v>
      </c>
      <c r="T156" s="2">
        <v>45078</v>
      </c>
      <c r="U156" s="1" t="s">
        <v>41</v>
      </c>
      <c r="V156">
        <v>0</v>
      </c>
      <c r="W156" s="1" t="s">
        <v>40</v>
      </c>
      <c r="Y156" s="1" t="s">
        <v>43</v>
      </c>
      <c r="Z156" s="1" t="s">
        <v>42</v>
      </c>
      <c r="AA156">
        <v>6.0606060606060608E-2</v>
      </c>
      <c r="AB156" s="1" t="s">
        <v>43</v>
      </c>
      <c r="AC156">
        <v>3</v>
      </c>
      <c r="AD156" s="2">
        <v>45078</v>
      </c>
      <c r="AE156" s="1" t="s">
        <v>44</v>
      </c>
      <c r="AF156" s="1" t="s">
        <v>72</v>
      </c>
      <c r="AG156" s="1" t="s">
        <v>63</v>
      </c>
      <c r="AH156" s="1" t="s">
        <v>47</v>
      </c>
      <c r="AI156">
        <v>41184</v>
      </c>
      <c r="AJ156">
        <v>0</v>
      </c>
    </row>
    <row r="157" spans="1:36" x14ac:dyDescent="0.25">
      <c r="A157">
        <v>10156</v>
      </c>
      <c r="B157">
        <v>32</v>
      </c>
      <c r="C157" s="1" t="s">
        <v>60</v>
      </c>
      <c r="D157" s="1" t="s">
        <v>69</v>
      </c>
      <c r="E157" s="2">
        <v>44428</v>
      </c>
      <c r="F157" s="2">
        <v>44944</v>
      </c>
      <c r="G157" s="1" t="s">
        <v>38</v>
      </c>
      <c r="H157">
        <v>1472</v>
      </c>
      <c r="I157">
        <v>28</v>
      </c>
      <c r="J157">
        <v>6</v>
      </c>
      <c r="K157">
        <v>42.78</v>
      </c>
      <c r="L157">
        <v>10</v>
      </c>
      <c r="M157" s="1" t="s">
        <v>39</v>
      </c>
      <c r="N157" s="1" t="s">
        <v>56</v>
      </c>
      <c r="O157">
        <v>41068.800000000003</v>
      </c>
      <c r="P157" t="b">
        <v>1</v>
      </c>
      <c r="Q157">
        <v>2.3333333333333335</v>
      </c>
      <c r="R157">
        <v>1466.7428571428572</v>
      </c>
      <c r="S157">
        <v>6.1114285714285712</v>
      </c>
      <c r="T157" s="2">
        <v>44409</v>
      </c>
      <c r="U157" s="1" t="s">
        <v>57</v>
      </c>
      <c r="V157">
        <v>0</v>
      </c>
      <c r="W157" s="1" t="s">
        <v>40</v>
      </c>
      <c r="X157">
        <v>516</v>
      </c>
      <c r="Y157" s="1" t="s">
        <v>52</v>
      </c>
      <c r="Z157" s="1" t="s">
        <v>42</v>
      </c>
      <c r="AA157">
        <v>0.20689655172413793</v>
      </c>
      <c r="AB157" s="1" t="s">
        <v>43</v>
      </c>
      <c r="AC157">
        <v>1</v>
      </c>
      <c r="AD157" s="2">
        <v>44409</v>
      </c>
      <c r="AE157" s="1" t="s">
        <v>44</v>
      </c>
      <c r="AF157" s="1" t="s">
        <v>78</v>
      </c>
      <c r="AG157" s="1" t="s">
        <v>55</v>
      </c>
      <c r="AH157" s="1" t="s">
        <v>47</v>
      </c>
      <c r="AI157">
        <v>41216</v>
      </c>
      <c r="AJ157">
        <v>-147.19999999999709</v>
      </c>
    </row>
    <row r="158" spans="1:36" x14ac:dyDescent="0.25">
      <c r="A158">
        <v>10157</v>
      </c>
      <c r="B158">
        <v>60</v>
      </c>
      <c r="C158" s="1" t="s">
        <v>75</v>
      </c>
      <c r="D158" s="1" t="s">
        <v>71</v>
      </c>
      <c r="E158" s="2">
        <v>44990</v>
      </c>
      <c r="F158" s="2">
        <v>44996</v>
      </c>
      <c r="G158" s="1" t="s">
        <v>62</v>
      </c>
      <c r="H158">
        <v>898</v>
      </c>
      <c r="I158">
        <v>32</v>
      </c>
      <c r="J158">
        <v>3</v>
      </c>
      <c r="K158">
        <v>85.25</v>
      </c>
      <c r="L158">
        <v>15</v>
      </c>
      <c r="M158" s="1" t="s">
        <v>67</v>
      </c>
      <c r="N158" s="1" t="s">
        <v>40</v>
      </c>
      <c r="O158">
        <v>28601.3</v>
      </c>
      <c r="P158" t="b">
        <v>1</v>
      </c>
      <c r="Q158">
        <v>2.6666666666666665</v>
      </c>
      <c r="R158">
        <v>893.79062499999998</v>
      </c>
      <c r="S158">
        <v>21.3125</v>
      </c>
      <c r="T158" s="2">
        <v>44986</v>
      </c>
      <c r="U158" s="1" t="s">
        <v>41</v>
      </c>
      <c r="V158">
        <v>1</v>
      </c>
      <c r="W158" s="1" t="s">
        <v>40</v>
      </c>
      <c r="X158">
        <v>6</v>
      </c>
      <c r="Y158" s="1" t="s">
        <v>43</v>
      </c>
      <c r="Z158" s="1" t="s">
        <v>42</v>
      </c>
      <c r="AA158">
        <v>9.0909090909090912E-2</v>
      </c>
      <c r="AB158" s="1" t="s">
        <v>43</v>
      </c>
      <c r="AC158">
        <v>2</v>
      </c>
      <c r="AD158" s="2">
        <v>44986</v>
      </c>
      <c r="AE158" s="1" t="s">
        <v>44</v>
      </c>
      <c r="AF158" s="1" t="s">
        <v>72</v>
      </c>
      <c r="AG158" s="1" t="s">
        <v>63</v>
      </c>
      <c r="AH158" s="1" t="s">
        <v>59</v>
      </c>
      <c r="AI158">
        <v>28736</v>
      </c>
      <c r="AJ158">
        <v>-134.70000000000073</v>
      </c>
    </row>
    <row r="159" spans="1:36" x14ac:dyDescent="0.25">
      <c r="A159">
        <v>10158</v>
      </c>
      <c r="B159">
        <v>46</v>
      </c>
      <c r="C159" s="1" t="s">
        <v>36</v>
      </c>
      <c r="D159" s="1" t="s">
        <v>73</v>
      </c>
      <c r="E159" s="2">
        <v>44737</v>
      </c>
      <c r="F159" s="2">
        <v>44808</v>
      </c>
      <c r="G159" s="1" t="s">
        <v>62</v>
      </c>
      <c r="H159">
        <v>819</v>
      </c>
      <c r="I159">
        <v>13</v>
      </c>
      <c r="J159">
        <v>3</v>
      </c>
      <c r="K159">
        <v>99.06</v>
      </c>
      <c r="L159">
        <v>15</v>
      </c>
      <c r="M159" s="1" t="s">
        <v>50</v>
      </c>
      <c r="N159" s="1" t="s">
        <v>40</v>
      </c>
      <c r="O159">
        <v>10524.15</v>
      </c>
      <c r="P159" t="b">
        <v>1</v>
      </c>
      <c r="Q159">
        <v>1.0833333333333333</v>
      </c>
      <c r="R159">
        <v>809.55</v>
      </c>
      <c r="S159">
        <v>24.765000000000001</v>
      </c>
      <c r="T159" s="2">
        <v>44713</v>
      </c>
      <c r="U159" s="1" t="s">
        <v>51</v>
      </c>
      <c r="V159">
        <v>1</v>
      </c>
      <c r="W159" s="1" t="s">
        <v>56</v>
      </c>
      <c r="X159">
        <v>71</v>
      </c>
      <c r="Y159" s="1" t="s">
        <v>43</v>
      </c>
      <c r="Z159" s="1" t="s">
        <v>42</v>
      </c>
      <c r="AA159">
        <v>0.21428571428571427</v>
      </c>
      <c r="AB159" s="1" t="s">
        <v>52</v>
      </c>
      <c r="AC159">
        <v>2</v>
      </c>
      <c r="AD159" s="2">
        <v>44713</v>
      </c>
      <c r="AE159" s="1" t="s">
        <v>53</v>
      </c>
      <c r="AF159" s="1" t="s">
        <v>72</v>
      </c>
      <c r="AG159" s="1" t="s">
        <v>63</v>
      </c>
      <c r="AH159" s="1" t="s">
        <v>59</v>
      </c>
      <c r="AI159">
        <v>10647</v>
      </c>
      <c r="AJ159">
        <v>-122.85000000000036</v>
      </c>
    </row>
    <row r="160" spans="1:36" x14ac:dyDescent="0.25">
      <c r="A160">
        <v>10159</v>
      </c>
      <c r="B160">
        <v>53</v>
      </c>
      <c r="C160" s="1" t="s">
        <v>36</v>
      </c>
      <c r="D160" s="1" t="s">
        <v>48</v>
      </c>
      <c r="E160" s="2">
        <v>44391</v>
      </c>
      <c r="F160" s="2">
        <v>44806</v>
      </c>
      <c r="G160" s="1" t="s">
        <v>49</v>
      </c>
      <c r="H160">
        <v>1168</v>
      </c>
      <c r="I160">
        <v>15</v>
      </c>
      <c r="J160">
        <v>2</v>
      </c>
      <c r="K160">
        <v>62.59</v>
      </c>
      <c r="L160">
        <v>10</v>
      </c>
      <c r="M160" s="1" t="s">
        <v>65</v>
      </c>
      <c r="N160" s="1" t="s">
        <v>56</v>
      </c>
      <c r="O160">
        <v>17403.2</v>
      </c>
      <c r="P160" t="b">
        <v>1</v>
      </c>
      <c r="Q160">
        <v>1.25</v>
      </c>
      <c r="R160">
        <v>1160.2133333333334</v>
      </c>
      <c r="S160">
        <v>20.863333333333333</v>
      </c>
      <c r="T160" s="2">
        <v>44378</v>
      </c>
      <c r="U160" s="1" t="s">
        <v>41</v>
      </c>
      <c r="V160">
        <v>0</v>
      </c>
      <c r="W160" s="1" t="s">
        <v>40</v>
      </c>
      <c r="X160">
        <v>415</v>
      </c>
      <c r="Y160" s="1" t="s">
        <v>43</v>
      </c>
      <c r="Z160" s="1" t="s">
        <v>42</v>
      </c>
      <c r="AA160">
        <v>0.125</v>
      </c>
      <c r="AB160" s="1" t="s">
        <v>52</v>
      </c>
      <c r="AC160">
        <v>3</v>
      </c>
      <c r="AD160" s="2">
        <v>44378</v>
      </c>
      <c r="AE160" s="1" t="s">
        <v>53</v>
      </c>
      <c r="AF160" s="1" t="s">
        <v>72</v>
      </c>
      <c r="AG160" s="1" t="s">
        <v>63</v>
      </c>
      <c r="AH160" s="1" t="s">
        <v>47</v>
      </c>
      <c r="AI160">
        <v>17520</v>
      </c>
      <c r="AJ160">
        <v>-116.79999999999927</v>
      </c>
    </row>
    <row r="161" spans="1:36" x14ac:dyDescent="0.25">
      <c r="A161">
        <v>10160</v>
      </c>
      <c r="B161">
        <v>30</v>
      </c>
      <c r="C161" s="1" t="s">
        <v>60</v>
      </c>
      <c r="D161" s="1" t="s">
        <v>71</v>
      </c>
      <c r="E161" s="2">
        <v>44702</v>
      </c>
      <c r="F161" s="2">
        <v>44536</v>
      </c>
      <c r="G161" s="1" t="s">
        <v>38</v>
      </c>
      <c r="H161">
        <v>315</v>
      </c>
      <c r="I161">
        <v>18</v>
      </c>
      <c r="J161">
        <v>3</v>
      </c>
      <c r="K161">
        <v>93.65</v>
      </c>
      <c r="L161">
        <v>0</v>
      </c>
      <c r="M161" s="1" t="s">
        <v>39</v>
      </c>
      <c r="N161" s="1" t="s">
        <v>56</v>
      </c>
      <c r="O161">
        <v>5670</v>
      </c>
      <c r="P161" t="b">
        <v>0</v>
      </c>
      <c r="Q161">
        <v>1.5</v>
      </c>
      <c r="R161">
        <v>315</v>
      </c>
      <c r="S161">
        <v>23.412500000000001</v>
      </c>
      <c r="T161" s="2">
        <v>44682</v>
      </c>
      <c r="U161" s="1" t="s">
        <v>57</v>
      </c>
      <c r="V161">
        <v>0</v>
      </c>
      <c r="W161" s="1" t="s">
        <v>56</v>
      </c>
      <c r="Y161" s="1" t="s">
        <v>43</v>
      </c>
      <c r="Z161" s="1" t="s">
        <v>42</v>
      </c>
      <c r="AA161">
        <v>0.15789473684210525</v>
      </c>
      <c r="AB161" s="1" t="s">
        <v>42</v>
      </c>
      <c r="AC161">
        <v>1</v>
      </c>
      <c r="AD161" s="2">
        <v>44682</v>
      </c>
      <c r="AE161" s="1" t="s">
        <v>53</v>
      </c>
      <c r="AF161" s="1" t="s">
        <v>72</v>
      </c>
      <c r="AG161" s="1" t="s">
        <v>63</v>
      </c>
      <c r="AH161" s="1" t="s">
        <v>68</v>
      </c>
      <c r="AI161">
        <v>5670</v>
      </c>
      <c r="AJ161">
        <v>0</v>
      </c>
    </row>
    <row r="162" spans="1:36" x14ac:dyDescent="0.25">
      <c r="A162">
        <v>10161</v>
      </c>
      <c r="B162">
        <v>49</v>
      </c>
      <c r="C162" s="1" t="s">
        <v>60</v>
      </c>
      <c r="D162" s="1" t="s">
        <v>37</v>
      </c>
      <c r="E162" s="2">
        <v>44530</v>
      </c>
      <c r="F162" s="2">
        <v>44811</v>
      </c>
      <c r="G162" s="1" t="s">
        <v>62</v>
      </c>
      <c r="H162">
        <v>1429</v>
      </c>
      <c r="I162">
        <v>6</v>
      </c>
      <c r="J162">
        <v>2</v>
      </c>
      <c r="K162">
        <v>97.5</v>
      </c>
      <c r="L162">
        <v>10</v>
      </c>
      <c r="M162" s="1" t="s">
        <v>67</v>
      </c>
      <c r="N162" s="1" t="s">
        <v>56</v>
      </c>
      <c r="O162">
        <v>8431.1</v>
      </c>
      <c r="P162" t="b">
        <v>1</v>
      </c>
      <c r="Q162">
        <v>0.5</v>
      </c>
      <c r="R162">
        <v>1405.1833333333334</v>
      </c>
      <c r="S162">
        <v>32.5</v>
      </c>
      <c r="T162" s="2">
        <v>44501</v>
      </c>
      <c r="U162" s="1" t="s">
        <v>51</v>
      </c>
      <c r="V162">
        <v>0</v>
      </c>
      <c r="W162" s="1" t="s">
        <v>56</v>
      </c>
      <c r="X162">
        <v>281</v>
      </c>
      <c r="Y162" s="1" t="s">
        <v>43</v>
      </c>
      <c r="Z162" s="1" t="s">
        <v>42</v>
      </c>
      <c r="AA162">
        <v>0.2857142857142857</v>
      </c>
      <c r="AB162" s="1" t="s">
        <v>42</v>
      </c>
      <c r="AC162">
        <v>2</v>
      </c>
      <c r="AD162" s="2">
        <v>44501</v>
      </c>
      <c r="AE162" s="1" t="s">
        <v>58</v>
      </c>
      <c r="AF162" s="1" t="s">
        <v>72</v>
      </c>
      <c r="AG162" s="1" t="s">
        <v>63</v>
      </c>
      <c r="AH162" s="1" t="s">
        <v>47</v>
      </c>
      <c r="AI162">
        <v>8574</v>
      </c>
      <c r="AJ162">
        <v>-142.89999999999964</v>
      </c>
    </row>
    <row r="163" spans="1:36" x14ac:dyDescent="0.25">
      <c r="A163">
        <v>10162</v>
      </c>
      <c r="B163">
        <v>24</v>
      </c>
      <c r="C163" s="1" t="s">
        <v>60</v>
      </c>
      <c r="D163" s="1" t="s">
        <v>73</v>
      </c>
      <c r="E163" s="2">
        <v>44964</v>
      </c>
      <c r="F163" s="2">
        <v>44726</v>
      </c>
      <c r="G163" s="1" t="s">
        <v>49</v>
      </c>
      <c r="H163">
        <v>582</v>
      </c>
      <c r="I163">
        <v>11</v>
      </c>
      <c r="J163">
        <v>1</v>
      </c>
      <c r="K163">
        <v>33.68</v>
      </c>
      <c r="L163">
        <v>5</v>
      </c>
      <c r="M163" s="1" t="s">
        <v>65</v>
      </c>
      <c r="N163" s="1" t="s">
        <v>56</v>
      </c>
      <c r="O163">
        <v>6372.9</v>
      </c>
      <c r="P163" t="b">
        <v>0</v>
      </c>
      <c r="Q163">
        <v>0.91666666666666663</v>
      </c>
      <c r="R163">
        <v>579.35454545454547</v>
      </c>
      <c r="S163">
        <v>16.84</v>
      </c>
      <c r="T163" s="2">
        <v>44958</v>
      </c>
      <c r="U163" s="1" t="s">
        <v>66</v>
      </c>
      <c r="V163">
        <v>0</v>
      </c>
      <c r="W163" s="1" t="s">
        <v>56</v>
      </c>
      <c r="Y163" s="1" t="s">
        <v>52</v>
      </c>
      <c r="Z163" s="1" t="s">
        <v>42</v>
      </c>
      <c r="AA163">
        <v>8.3333333333333329E-2</v>
      </c>
      <c r="AB163" s="1" t="s">
        <v>42</v>
      </c>
      <c r="AC163">
        <v>3</v>
      </c>
      <c r="AD163" s="2">
        <v>44958</v>
      </c>
      <c r="AE163" s="1" t="s">
        <v>74</v>
      </c>
      <c r="AF163" s="1" t="s">
        <v>54</v>
      </c>
      <c r="AG163" s="1" t="s">
        <v>55</v>
      </c>
      <c r="AH163" s="1" t="s">
        <v>64</v>
      </c>
      <c r="AI163">
        <v>6402</v>
      </c>
      <c r="AJ163">
        <v>-29.100000000000364</v>
      </c>
    </row>
    <row r="164" spans="1:36" x14ac:dyDescent="0.25">
      <c r="A164">
        <v>10163</v>
      </c>
      <c r="B164">
        <v>39</v>
      </c>
      <c r="C164" s="1" t="s">
        <v>36</v>
      </c>
      <c r="D164" s="1" t="s">
        <v>76</v>
      </c>
      <c r="E164" s="2">
        <v>44989</v>
      </c>
      <c r="F164" s="2">
        <v>44349</v>
      </c>
      <c r="G164" s="1" t="s">
        <v>38</v>
      </c>
      <c r="H164">
        <v>1427</v>
      </c>
      <c r="I164">
        <v>32</v>
      </c>
      <c r="J164">
        <v>4</v>
      </c>
      <c r="K164">
        <v>9.82</v>
      </c>
      <c r="L164">
        <v>0</v>
      </c>
      <c r="M164" s="1" t="s">
        <v>67</v>
      </c>
      <c r="N164" s="1" t="s">
        <v>56</v>
      </c>
      <c r="O164">
        <v>45664</v>
      </c>
      <c r="P164" t="b">
        <v>0</v>
      </c>
      <c r="Q164">
        <v>2.6666666666666665</v>
      </c>
      <c r="R164">
        <v>1427</v>
      </c>
      <c r="S164">
        <v>1.964</v>
      </c>
      <c r="T164" s="2">
        <v>44986</v>
      </c>
      <c r="U164" s="1" t="s">
        <v>51</v>
      </c>
      <c r="V164">
        <v>0</v>
      </c>
      <c r="W164" s="1" t="s">
        <v>40</v>
      </c>
      <c r="Y164" s="1" t="s">
        <v>42</v>
      </c>
      <c r="Z164" s="1" t="s">
        <v>42</v>
      </c>
      <c r="AA164">
        <v>0.12121212121212122</v>
      </c>
      <c r="AB164" s="1" t="s">
        <v>43</v>
      </c>
      <c r="AC164">
        <v>1</v>
      </c>
      <c r="AD164" s="2">
        <v>44986</v>
      </c>
      <c r="AE164" s="1" t="s">
        <v>44</v>
      </c>
      <c r="AF164" s="1" t="s">
        <v>45</v>
      </c>
      <c r="AG164" s="1" t="s">
        <v>77</v>
      </c>
      <c r="AH164" s="1" t="s">
        <v>47</v>
      </c>
      <c r="AI164">
        <v>45664</v>
      </c>
      <c r="AJ164">
        <v>0</v>
      </c>
    </row>
    <row r="165" spans="1:36" x14ac:dyDescent="0.25">
      <c r="A165">
        <v>10164</v>
      </c>
      <c r="B165">
        <v>45</v>
      </c>
      <c r="C165" s="1" t="s">
        <v>60</v>
      </c>
      <c r="D165" s="1" t="s">
        <v>73</v>
      </c>
      <c r="E165" s="2">
        <v>44500</v>
      </c>
      <c r="F165" s="2">
        <v>44965</v>
      </c>
      <c r="G165" s="1" t="s">
        <v>49</v>
      </c>
      <c r="H165">
        <v>660</v>
      </c>
      <c r="I165">
        <v>20</v>
      </c>
      <c r="J165">
        <v>4</v>
      </c>
      <c r="K165">
        <v>28.47</v>
      </c>
      <c r="L165">
        <v>10</v>
      </c>
      <c r="M165" s="1" t="s">
        <v>67</v>
      </c>
      <c r="N165" s="1" t="s">
        <v>40</v>
      </c>
      <c r="O165">
        <v>13134</v>
      </c>
      <c r="P165" t="b">
        <v>1</v>
      </c>
      <c r="Q165">
        <v>1.6666666666666667</v>
      </c>
      <c r="R165">
        <v>656.7</v>
      </c>
      <c r="S165">
        <v>5.694</v>
      </c>
      <c r="T165" s="2">
        <v>44470</v>
      </c>
      <c r="U165" s="1" t="s">
        <v>51</v>
      </c>
      <c r="V165">
        <v>1</v>
      </c>
      <c r="W165" s="1" t="s">
        <v>56</v>
      </c>
      <c r="X165">
        <v>465</v>
      </c>
      <c r="Y165" s="1" t="s">
        <v>52</v>
      </c>
      <c r="Z165" s="1" t="s">
        <v>42</v>
      </c>
      <c r="AA165">
        <v>0.19047619047619047</v>
      </c>
      <c r="AB165" s="1" t="s">
        <v>52</v>
      </c>
      <c r="AC165">
        <v>3</v>
      </c>
      <c r="AD165" s="2">
        <v>44470</v>
      </c>
      <c r="AE165" s="1" t="s">
        <v>53</v>
      </c>
      <c r="AF165" s="1" t="s">
        <v>45</v>
      </c>
      <c r="AG165" s="1" t="s">
        <v>70</v>
      </c>
      <c r="AH165" s="1" t="s">
        <v>64</v>
      </c>
      <c r="AI165">
        <v>13200</v>
      </c>
      <c r="AJ165">
        <v>-66</v>
      </c>
    </row>
    <row r="166" spans="1:36" x14ac:dyDescent="0.25">
      <c r="A166">
        <v>10165</v>
      </c>
      <c r="B166">
        <v>19</v>
      </c>
      <c r="C166" s="1" t="s">
        <v>36</v>
      </c>
      <c r="D166" s="1" t="s">
        <v>61</v>
      </c>
      <c r="E166" s="2">
        <v>45029</v>
      </c>
      <c r="F166" s="2">
        <v>44711</v>
      </c>
      <c r="G166" s="1" t="s">
        <v>38</v>
      </c>
      <c r="H166">
        <v>1358</v>
      </c>
      <c r="I166">
        <v>33</v>
      </c>
      <c r="J166">
        <v>5</v>
      </c>
      <c r="K166">
        <v>28.07</v>
      </c>
      <c r="L166">
        <v>5</v>
      </c>
      <c r="M166" s="1" t="s">
        <v>67</v>
      </c>
      <c r="N166" s="1" t="s">
        <v>56</v>
      </c>
      <c r="O166">
        <v>44746.1</v>
      </c>
      <c r="P166" t="b">
        <v>0</v>
      </c>
      <c r="Q166">
        <v>2.75</v>
      </c>
      <c r="R166">
        <v>1355.9424242424243</v>
      </c>
      <c r="S166">
        <v>4.6783333333333337</v>
      </c>
      <c r="T166" s="2">
        <v>45017</v>
      </c>
      <c r="U166" s="1" t="s">
        <v>66</v>
      </c>
      <c r="V166">
        <v>0</v>
      </c>
      <c r="W166" s="1" t="s">
        <v>40</v>
      </c>
      <c r="Y166" s="1" t="s">
        <v>52</v>
      </c>
      <c r="Z166" s="1" t="s">
        <v>42</v>
      </c>
      <c r="AA166">
        <v>0.14705882352941177</v>
      </c>
      <c r="AB166" s="1" t="s">
        <v>43</v>
      </c>
      <c r="AC166">
        <v>1</v>
      </c>
      <c r="AD166" s="2">
        <v>45017</v>
      </c>
      <c r="AE166" s="1" t="s">
        <v>44</v>
      </c>
      <c r="AF166" s="1" t="s">
        <v>45</v>
      </c>
      <c r="AG166" s="1" t="s">
        <v>70</v>
      </c>
      <c r="AH166" s="1" t="s">
        <v>47</v>
      </c>
      <c r="AI166">
        <v>44814</v>
      </c>
      <c r="AJ166">
        <v>-67.900000000001455</v>
      </c>
    </row>
    <row r="167" spans="1:36" x14ac:dyDescent="0.25">
      <c r="A167">
        <v>10166</v>
      </c>
      <c r="B167">
        <v>59</v>
      </c>
      <c r="C167" s="1" t="s">
        <v>36</v>
      </c>
      <c r="D167" s="1" t="s">
        <v>48</v>
      </c>
      <c r="E167" s="2">
        <v>44633</v>
      </c>
      <c r="F167" s="2">
        <v>44419</v>
      </c>
      <c r="G167" s="1" t="s">
        <v>62</v>
      </c>
      <c r="H167">
        <v>412</v>
      </c>
      <c r="I167">
        <v>8</v>
      </c>
      <c r="J167">
        <v>0</v>
      </c>
      <c r="K167">
        <v>12.5</v>
      </c>
      <c r="L167">
        <v>10</v>
      </c>
      <c r="M167" s="1" t="s">
        <v>50</v>
      </c>
      <c r="N167" s="1" t="s">
        <v>56</v>
      </c>
      <c r="O167">
        <v>3213.6</v>
      </c>
      <c r="P167" t="b">
        <v>0</v>
      </c>
      <c r="Q167">
        <v>0.66666666666666663</v>
      </c>
      <c r="R167">
        <v>401.7</v>
      </c>
      <c r="S167">
        <v>12.5</v>
      </c>
      <c r="T167" s="2">
        <v>44621</v>
      </c>
      <c r="U167" s="1" t="s">
        <v>41</v>
      </c>
      <c r="V167">
        <v>0</v>
      </c>
      <c r="W167" s="1" t="s">
        <v>56</v>
      </c>
      <c r="Y167" s="1" t="s">
        <v>42</v>
      </c>
      <c r="Z167" s="1" t="s">
        <v>42</v>
      </c>
      <c r="AA167">
        <v>0</v>
      </c>
      <c r="AB167" s="1" t="s">
        <v>42</v>
      </c>
      <c r="AC167">
        <v>2</v>
      </c>
      <c r="AD167" s="2">
        <v>44621</v>
      </c>
      <c r="AE167" s="1" t="s">
        <v>74</v>
      </c>
      <c r="AF167" s="1" t="s">
        <v>54</v>
      </c>
      <c r="AG167" s="1" t="s">
        <v>46</v>
      </c>
      <c r="AH167" s="1" t="s">
        <v>68</v>
      </c>
      <c r="AI167">
        <v>3296</v>
      </c>
      <c r="AJ167">
        <v>-82.400000000000091</v>
      </c>
    </row>
    <row r="168" spans="1:36" x14ac:dyDescent="0.25">
      <c r="A168">
        <v>10167</v>
      </c>
      <c r="B168">
        <v>62</v>
      </c>
      <c r="C168" s="1" t="s">
        <v>60</v>
      </c>
      <c r="D168" s="1" t="s">
        <v>37</v>
      </c>
      <c r="E168" s="2">
        <v>44519</v>
      </c>
      <c r="F168" s="2">
        <v>44774</v>
      </c>
      <c r="G168" s="1" t="s">
        <v>49</v>
      </c>
      <c r="H168">
        <v>607</v>
      </c>
      <c r="I168">
        <v>35</v>
      </c>
      <c r="J168">
        <v>1</v>
      </c>
      <c r="K168">
        <v>88.49</v>
      </c>
      <c r="L168">
        <v>0</v>
      </c>
      <c r="M168" s="1" t="s">
        <v>65</v>
      </c>
      <c r="N168" s="1" t="s">
        <v>56</v>
      </c>
      <c r="O168">
        <v>21245</v>
      </c>
      <c r="P168" t="b">
        <v>1</v>
      </c>
      <c r="Q168">
        <v>2.9166666666666665</v>
      </c>
      <c r="R168">
        <v>607</v>
      </c>
      <c r="S168">
        <v>44.244999999999997</v>
      </c>
      <c r="T168" s="2">
        <v>44501</v>
      </c>
      <c r="U168" s="1" t="s">
        <v>41</v>
      </c>
      <c r="V168">
        <v>0</v>
      </c>
      <c r="W168" s="1" t="s">
        <v>40</v>
      </c>
      <c r="X168">
        <v>255</v>
      </c>
      <c r="Y168" s="1" t="s">
        <v>43</v>
      </c>
      <c r="Z168" s="1" t="s">
        <v>42</v>
      </c>
      <c r="AA168">
        <v>2.7777777777777776E-2</v>
      </c>
      <c r="AB168" s="1" t="s">
        <v>43</v>
      </c>
      <c r="AC168">
        <v>3</v>
      </c>
      <c r="AD168" s="2">
        <v>44501</v>
      </c>
      <c r="AE168" s="1" t="s">
        <v>44</v>
      </c>
      <c r="AF168" s="1" t="s">
        <v>54</v>
      </c>
      <c r="AG168" s="1" t="s">
        <v>63</v>
      </c>
      <c r="AH168" s="1" t="s">
        <v>64</v>
      </c>
      <c r="AI168">
        <v>21245</v>
      </c>
      <c r="AJ168">
        <v>0</v>
      </c>
    </row>
    <row r="169" spans="1:36" x14ac:dyDescent="0.25">
      <c r="A169">
        <v>10168</v>
      </c>
      <c r="B169">
        <v>23</v>
      </c>
      <c r="C169" s="1" t="s">
        <v>36</v>
      </c>
      <c r="D169" s="1" t="s">
        <v>37</v>
      </c>
      <c r="E169" s="2">
        <v>44698</v>
      </c>
      <c r="F169" s="2">
        <v>44985</v>
      </c>
      <c r="G169" s="1" t="s">
        <v>62</v>
      </c>
      <c r="H169">
        <v>1258</v>
      </c>
      <c r="I169">
        <v>5</v>
      </c>
      <c r="J169">
        <v>0</v>
      </c>
      <c r="K169">
        <v>48.7</v>
      </c>
      <c r="L169">
        <v>20</v>
      </c>
      <c r="M169" s="1" t="s">
        <v>65</v>
      </c>
      <c r="N169" s="1" t="s">
        <v>40</v>
      </c>
      <c r="O169">
        <v>6038.4</v>
      </c>
      <c r="P169" t="b">
        <v>1</v>
      </c>
      <c r="Q169">
        <v>0.41666666666666669</v>
      </c>
      <c r="R169">
        <v>1207.6799999999998</v>
      </c>
      <c r="S169">
        <v>48.7</v>
      </c>
      <c r="T169" s="2">
        <v>44682</v>
      </c>
      <c r="U169" s="1" t="s">
        <v>66</v>
      </c>
      <c r="V169">
        <v>1</v>
      </c>
      <c r="W169" s="1" t="s">
        <v>56</v>
      </c>
      <c r="X169">
        <v>287</v>
      </c>
      <c r="Y169" s="1" t="s">
        <v>52</v>
      </c>
      <c r="Z169" s="1" t="s">
        <v>52</v>
      </c>
      <c r="AA169">
        <v>0</v>
      </c>
      <c r="AB169" s="1" t="s">
        <v>42</v>
      </c>
      <c r="AC169">
        <v>2</v>
      </c>
      <c r="AD169" s="2">
        <v>44682</v>
      </c>
      <c r="AE169" s="1" t="s">
        <v>58</v>
      </c>
      <c r="AF169" s="1" t="s">
        <v>54</v>
      </c>
      <c r="AG169" s="1" t="s">
        <v>63</v>
      </c>
      <c r="AH169" s="1" t="s">
        <v>47</v>
      </c>
      <c r="AI169">
        <v>6290</v>
      </c>
      <c r="AJ169">
        <v>-251.60000000000036</v>
      </c>
    </row>
    <row r="170" spans="1:36" x14ac:dyDescent="0.25">
      <c r="A170">
        <v>10169</v>
      </c>
      <c r="B170">
        <v>45</v>
      </c>
      <c r="C170" s="1" t="s">
        <v>60</v>
      </c>
      <c r="D170" s="1" t="s">
        <v>73</v>
      </c>
      <c r="E170" s="2">
        <v>45054</v>
      </c>
      <c r="F170" s="2">
        <v>44517</v>
      </c>
      <c r="G170" s="1" t="s">
        <v>38</v>
      </c>
      <c r="H170">
        <v>1376</v>
      </c>
      <c r="I170">
        <v>35</v>
      </c>
      <c r="J170">
        <v>1</v>
      </c>
      <c r="K170">
        <v>106.7</v>
      </c>
      <c r="L170">
        <v>5</v>
      </c>
      <c r="M170" s="1" t="s">
        <v>67</v>
      </c>
      <c r="N170" s="1" t="s">
        <v>56</v>
      </c>
      <c r="O170">
        <v>48091.199999999997</v>
      </c>
      <c r="P170" t="b">
        <v>0</v>
      </c>
      <c r="Q170">
        <v>2.9166666666666665</v>
      </c>
      <c r="R170">
        <v>1374.0342857142857</v>
      </c>
      <c r="S170">
        <v>53.35</v>
      </c>
      <c r="T170" s="2">
        <v>45047</v>
      </c>
      <c r="U170" s="1" t="s">
        <v>51</v>
      </c>
      <c r="V170">
        <v>0</v>
      </c>
      <c r="W170" s="1" t="s">
        <v>40</v>
      </c>
      <c r="Y170" s="1" t="s">
        <v>43</v>
      </c>
      <c r="Z170" s="1" t="s">
        <v>42</v>
      </c>
      <c r="AA170">
        <v>2.7777777777777776E-2</v>
      </c>
      <c r="AB170" s="1" t="s">
        <v>43</v>
      </c>
      <c r="AC170">
        <v>1</v>
      </c>
      <c r="AD170" s="2">
        <v>45047</v>
      </c>
      <c r="AE170" s="1" t="s">
        <v>44</v>
      </c>
      <c r="AF170" s="1" t="s">
        <v>54</v>
      </c>
      <c r="AG170" s="1" t="s">
        <v>63</v>
      </c>
      <c r="AH170" s="1" t="s">
        <v>47</v>
      </c>
      <c r="AI170">
        <v>48160</v>
      </c>
      <c r="AJ170">
        <v>-68.80000000000291</v>
      </c>
    </row>
    <row r="171" spans="1:36" x14ac:dyDescent="0.25">
      <c r="A171">
        <v>10170</v>
      </c>
      <c r="B171">
        <v>45</v>
      </c>
      <c r="C171" s="1" t="s">
        <v>75</v>
      </c>
      <c r="D171" s="1" t="s">
        <v>37</v>
      </c>
      <c r="E171" s="2">
        <v>44589</v>
      </c>
      <c r="F171" s="2">
        <v>44552</v>
      </c>
      <c r="G171" s="1" t="s">
        <v>38</v>
      </c>
      <c r="H171">
        <v>1404</v>
      </c>
      <c r="I171">
        <v>14</v>
      </c>
      <c r="J171">
        <v>1</v>
      </c>
      <c r="K171">
        <v>34</v>
      </c>
      <c r="L171">
        <v>15</v>
      </c>
      <c r="M171" s="1" t="s">
        <v>50</v>
      </c>
      <c r="N171" s="1" t="s">
        <v>56</v>
      </c>
      <c r="O171">
        <v>19445.400000000001</v>
      </c>
      <c r="P171" t="b">
        <v>0</v>
      </c>
      <c r="Q171">
        <v>1.1666666666666667</v>
      </c>
      <c r="R171">
        <v>1388.957142857143</v>
      </c>
      <c r="S171">
        <v>17</v>
      </c>
      <c r="T171" s="2">
        <v>44562</v>
      </c>
      <c r="U171" s="1" t="s">
        <v>51</v>
      </c>
      <c r="V171">
        <v>0</v>
      </c>
      <c r="W171" s="1" t="s">
        <v>40</v>
      </c>
      <c r="Y171" s="1" t="s">
        <v>52</v>
      </c>
      <c r="Z171" s="1" t="s">
        <v>42</v>
      </c>
      <c r="AA171">
        <v>6.6666666666666666E-2</v>
      </c>
      <c r="AB171" s="1" t="s">
        <v>43</v>
      </c>
      <c r="AC171">
        <v>1</v>
      </c>
      <c r="AD171" s="2">
        <v>44562</v>
      </c>
      <c r="AE171" s="1" t="s">
        <v>53</v>
      </c>
      <c r="AF171" s="1" t="s">
        <v>54</v>
      </c>
      <c r="AG171" s="1" t="s">
        <v>55</v>
      </c>
      <c r="AH171" s="1" t="s">
        <v>47</v>
      </c>
      <c r="AI171">
        <v>19656</v>
      </c>
      <c r="AJ171">
        <v>-210.59999999999854</v>
      </c>
    </row>
    <row r="172" spans="1:36" x14ac:dyDescent="0.25">
      <c r="A172">
        <v>10171</v>
      </c>
      <c r="B172">
        <v>61</v>
      </c>
      <c r="C172" s="1" t="s">
        <v>36</v>
      </c>
      <c r="D172" s="1" t="s">
        <v>48</v>
      </c>
      <c r="E172" s="2">
        <v>45002</v>
      </c>
      <c r="F172" s="2">
        <v>45172</v>
      </c>
      <c r="G172" s="1" t="s">
        <v>49</v>
      </c>
      <c r="H172">
        <v>1133</v>
      </c>
      <c r="I172">
        <v>21</v>
      </c>
      <c r="J172">
        <v>1</v>
      </c>
      <c r="K172">
        <v>57.12</v>
      </c>
      <c r="L172">
        <v>15</v>
      </c>
      <c r="M172" s="1" t="s">
        <v>67</v>
      </c>
      <c r="N172" s="1" t="s">
        <v>56</v>
      </c>
      <c r="O172">
        <v>23623.05</v>
      </c>
      <c r="P172" t="b">
        <v>1</v>
      </c>
      <c r="Q172">
        <v>1.75</v>
      </c>
      <c r="R172">
        <v>1124.9071428571428</v>
      </c>
      <c r="S172">
        <v>28.56</v>
      </c>
      <c r="T172" s="2">
        <v>44986</v>
      </c>
      <c r="U172" s="1" t="s">
        <v>41</v>
      </c>
      <c r="V172">
        <v>0</v>
      </c>
      <c r="W172" s="1" t="s">
        <v>40</v>
      </c>
      <c r="X172">
        <v>170</v>
      </c>
      <c r="Y172" s="1" t="s">
        <v>52</v>
      </c>
      <c r="Z172" s="1" t="s">
        <v>42</v>
      </c>
      <c r="AA172">
        <v>4.5454545454545456E-2</v>
      </c>
      <c r="AB172" s="1" t="s">
        <v>43</v>
      </c>
      <c r="AC172">
        <v>3</v>
      </c>
      <c r="AD172" s="2">
        <v>44986</v>
      </c>
      <c r="AE172" s="1" t="s">
        <v>53</v>
      </c>
      <c r="AF172" s="1" t="s">
        <v>54</v>
      </c>
      <c r="AG172" s="1" t="s">
        <v>63</v>
      </c>
      <c r="AH172" s="1" t="s">
        <v>47</v>
      </c>
      <c r="AI172">
        <v>23793</v>
      </c>
      <c r="AJ172">
        <v>-169.95000000000073</v>
      </c>
    </row>
    <row r="173" spans="1:36" x14ac:dyDescent="0.25">
      <c r="A173">
        <v>10172</v>
      </c>
      <c r="B173">
        <v>61</v>
      </c>
      <c r="C173" s="1" t="s">
        <v>60</v>
      </c>
      <c r="D173" s="1" t="s">
        <v>48</v>
      </c>
      <c r="E173" s="2">
        <v>44795</v>
      </c>
      <c r="F173" s="2">
        <v>44684</v>
      </c>
      <c r="G173" s="1" t="s">
        <v>62</v>
      </c>
      <c r="H173">
        <v>541</v>
      </c>
      <c r="I173">
        <v>24</v>
      </c>
      <c r="J173">
        <v>0</v>
      </c>
      <c r="K173">
        <v>78.489999999999995</v>
      </c>
      <c r="L173">
        <v>15</v>
      </c>
      <c r="M173" s="1" t="s">
        <v>39</v>
      </c>
      <c r="N173" s="1" t="s">
        <v>56</v>
      </c>
      <c r="O173">
        <v>12902.85</v>
      </c>
      <c r="P173" t="b">
        <v>0</v>
      </c>
      <c r="Q173">
        <v>2</v>
      </c>
      <c r="R173">
        <v>537.61874999999998</v>
      </c>
      <c r="S173">
        <v>78.489999999999995</v>
      </c>
      <c r="T173" s="2">
        <v>44774</v>
      </c>
      <c r="U173" s="1" t="s">
        <v>41</v>
      </c>
      <c r="V173">
        <v>0</v>
      </c>
      <c r="W173" s="1" t="s">
        <v>56</v>
      </c>
      <c r="Y173" s="1" t="s">
        <v>43</v>
      </c>
      <c r="Z173" s="1" t="s">
        <v>42</v>
      </c>
      <c r="AA173">
        <v>0</v>
      </c>
      <c r="AB173" s="1" t="s">
        <v>52</v>
      </c>
      <c r="AC173">
        <v>2</v>
      </c>
      <c r="AD173" s="2">
        <v>44774</v>
      </c>
      <c r="AE173" s="1" t="s">
        <v>53</v>
      </c>
      <c r="AF173" s="1" t="s">
        <v>54</v>
      </c>
      <c r="AG173" s="1" t="s">
        <v>63</v>
      </c>
      <c r="AH173" s="1" t="s">
        <v>64</v>
      </c>
      <c r="AI173">
        <v>12984</v>
      </c>
      <c r="AJ173">
        <v>-81.149999999999636</v>
      </c>
    </row>
    <row r="174" spans="1:36" x14ac:dyDescent="0.25">
      <c r="A174">
        <v>10173</v>
      </c>
      <c r="B174">
        <v>37</v>
      </c>
      <c r="C174" s="1" t="s">
        <v>60</v>
      </c>
      <c r="D174" s="1" t="s">
        <v>69</v>
      </c>
      <c r="E174" s="2">
        <v>44345</v>
      </c>
      <c r="F174" s="2">
        <v>44819</v>
      </c>
      <c r="G174" s="1" t="s">
        <v>38</v>
      </c>
      <c r="H174">
        <v>330</v>
      </c>
      <c r="I174">
        <v>17</v>
      </c>
      <c r="J174">
        <v>3</v>
      </c>
      <c r="K174">
        <v>105.91</v>
      </c>
      <c r="L174">
        <v>20</v>
      </c>
      <c r="M174" s="1" t="s">
        <v>65</v>
      </c>
      <c r="N174" s="1" t="s">
        <v>56</v>
      </c>
      <c r="O174">
        <v>5544</v>
      </c>
      <c r="P174" t="b">
        <v>1</v>
      </c>
      <c r="Q174">
        <v>1.4166666666666667</v>
      </c>
      <c r="R174">
        <v>326.11764705882354</v>
      </c>
      <c r="S174">
        <v>26.477499999999999</v>
      </c>
      <c r="T174" s="2">
        <v>44317</v>
      </c>
      <c r="U174" s="1" t="s">
        <v>51</v>
      </c>
      <c r="V174">
        <v>0</v>
      </c>
      <c r="W174" s="1" t="s">
        <v>56</v>
      </c>
      <c r="X174">
        <v>474</v>
      </c>
      <c r="Y174" s="1" t="s">
        <v>43</v>
      </c>
      <c r="Z174" s="1" t="s">
        <v>52</v>
      </c>
      <c r="AA174">
        <v>0.16666666666666666</v>
      </c>
      <c r="AB174" s="1" t="s">
        <v>42</v>
      </c>
      <c r="AC174">
        <v>1</v>
      </c>
      <c r="AD174" s="2">
        <v>44317</v>
      </c>
      <c r="AE174" s="1" t="s">
        <v>53</v>
      </c>
      <c r="AF174" s="1" t="s">
        <v>72</v>
      </c>
      <c r="AG174" s="1" t="s">
        <v>63</v>
      </c>
      <c r="AH174" s="1" t="s">
        <v>68</v>
      </c>
      <c r="AI174">
        <v>5610</v>
      </c>
      <c r="AJ174">
        <v>-66</v>
      </c>
    </row>
    <row r="175" spans="1:36" x14ac:dyDescent="0.25">
      <c r="A175">
        <v>10174</v>
      </c>
      <c r="B175">
        <v>47</v>
      </c>
      <c r="C175" s="1" t="s">
        <v>60</v>
      </c>
      <c r="D175" s="1" t="s">
        <v>69</v>
      </c>
      <c r="E175" s="2">
        <v>44957</v>
      </c>
      <c r="F175" s="2">
        <v>44542</v>
      </c>
      <c r="G175" s="1" t="s">
        <v>62</v>
      </c>
      <c r="H175">
        <v>1003</v>
      </c>
      <c r="I175">
        <v>18</v>
      </c>
      <c r="J175">
        <v>2</v>
      </c>
      <c r="K175">
        <v>65.33</v>
      </c>
      <c r="L175">
        <v>0</v>
      </c>
      <c r="M175" s="1" t="s">
        <v>65</v>
      </c>
      <c r="N175" s="1" t="s">
        <v>56</v>
      </c>
      <c r="O175">
        <v>18054</v>
      </c>
      <c r="P175" t="b">
        <v>0</v>
      </c>
      <c r="Q175">
        <v>1.5</v>
      </c>
      <c r="R175">
        <v>1003</v>
      </c>
      <c r="S175">
        <v>21.776666666666667</v>
      </c>
      <c r="T175" s="2">
        <v>44927</v>
      </c>
      <c r="U175" s="1" t="s">
        <v>51</v>
      </c>
      <c r="V175">
        <v>0</v>
      </c>
      <c r="W175" s="1" t="s">
        <v>40</v>
      </c>
      <c r="Y175" s="1" t="s">
        <v>43</v>
      </c>
      <c r="Z175" s="1" t="s">
        <v>42</v>
      </c>
      <c r="AA175">
        <v>0.10526315789473684</v>
      </c>
      <c r="AB175" s="1" t="s">
        <v>52</v>
      </c>
      <c r="AC175">
        <v>2</v>
      </c>
      <c r="AD175" s="2">
        <v>44927</v>
      </c>
      <c r="AE175" s="1" t="s">
        <v>53</v>
      </c>
      <c r="AF175" s="1" t="s">
        <v>72</v>
      </c>
      <c r="AG175" s="1" t="s">
        <v>63</v>
      </c>
      <c r="AH175" s="1" t="s">
        <v>47</v>
      </c>
      <c r="AI175">
        <v>18054</v>
      </c>
      <c r="AJ175">
        <v>0</v>
      </c>
    </row>
    <row r="176" spans="1:36" x14ac:dyDescent="0.25">
      <c r="A176">
        <v>10175</v>
      </c>
      <c r="B176">
        <v>28</v>
      </c>
      <c r="C176" s="1" t="s">
        <v>36</v>
      </c>
      <c r="D176" s="1" t="s">
        <v>71</v>
      </c>
      <c r="E176" s="2">
        <v>45029</v>
      </c>
      <c r="F176" s="2">
        <v>45017</v>
      </c>
      <c r="G176" s="1" t="s">
        <v>62</v>
      </c>
      <c r="H176">
        <v>1168</v>
      </c>
      <c r="I176">
        <v>34</v>
      </c>
      <c r="J176">
        <v>0</v>
      </c>
      <c r="K176">
        <v>47.96</v>
      </c>
      <c r="L176">
        <v>20</v>
      </c>
      <c r="M176" s="1" t="s">
        <v>50</v>
      </c>
      <c r="N176" s="1" t="s">
        <v>56</v>
      </c>
      <c r="O176">
        <v>39478.400000000001</v>
      </c>
      <c r="P176" t="b">
        <v>0</v>
      </c>
      <c r="Q176">
        <v>2.8333333333333335</v>
      </c>
      <c r="R176">
        <v>1161.129411764706</v>
      </c>
      <c r="S176">
        <v>47.96</v>
      </c>
      <c r="T176" s="2">
        <v>45017</v>
      </c>
      <c r="U176" s="1" t="s">
        <v>57</v>
      </c>
      <c r="V176">
        <v>0</v>
      </c>
      <c r="W176" s="1" t="s">
        <v>40</v>
      </c>
      <c r="Y176" s="1" t="s">
        <v>52</v>
      </c>
      <c r="Z176" s="1" t="s">
        <v>52</v>
      </c>
      <c r="AA176">
        <v>0</v>
      </c>
      <c r="AB176" s="1" t="s">
        <v>43</v>
      </c>
      <c r="AC176">
        <v>2</v>
      </c>
      <c r="AD176" s="2">
        <v>45017</v>
      </c>
      <c r="AE176" s="1" t="s">
        <v>44</v>
      </c>
      <c r="AF176" s="1" t="s">
        <v>54</v>
      </c>
      <c r="AG176" s="1" t="s">
        <v>63</v>
      </c>
      <c r="AH176" s="1" t="s">
        <v>47</v>
      </c>
      <c r="AI176">
        <v>39712</v>
      </c>
      <c r="AJ176">
        <v>-233.59999999999854</v>
      </c>
    </row>
    <row r="177" spans="1:36" x14ac:dyDescent="0.25">
      <c r="A177">
        <v>10176</v>
      </c>
      <c r="B177">
        <v>45</v>
      </c>
      <c r="C177" s="1" t="s">
        <v>36</v>
      </c>
      <c r="D177" s="1" t="s">
        <v>48</v>
      </c>
      <c r="E177" s="2">
        <v>44601</v>
      </c>
      <c r="F177" s="2">
        <v>45000</v>
      </c>
      <c r="G177" s="1" t="s">
        <v>38</v>
      </c>
      <c r="H177">
        <v>532</v>
      </c>
      <c r="I177">
        <v>12</v>
      </c>
      <c r="J177">
        <v>1</v>
      </c>
      <c r="K177">
        <v>104.71</v>
      </c>
      <c r="L177">
        <v>20</v>
      </c>
      <c r="M177" s="1" t="s">
        <v>65</v>
      </c>
      <c r="N177" s="1" t="s">
        <v>56</v>
      </c>
      <c r="O177">
        <v>6277.6</v>
      </c>
      <c r="P177" t="b">
        <v>1</v>
      </c>
      <c r="Q177">
        <v>1</v>
      </c>
      <c r="R177">
        <v>523.13333333333333</v>
      </c>
      <c r="S177">
        <v>52.354999999999997</v>
      </c>
      <c r="T177" s="2">
        <v>44593</v>
      </c>
      <c r="U177" s="1" t="s">
        <v>51</v>
      </c>
      <c r="V177">
        <v>0</v>
      </c>
      <c r="W177" s="1" t="s">
        <v>56</v>
      </c>
      <c r="X177">
        <v>399</v>
      </c>
      <c r="Y177" s="1" t="s">
        <v>43</v>
      </c>
      <c r="Z177" s="1" t="s">
        <v>52</v>
      </c>
      <c r="AA177">
        <v>7.6923076923076927E-2</v>
      </c>
      <c r="AB177" s="1" t="s">
        <v>42</v>
      </c>
      <c r="AC177">
        <v>1</v>
      </c>
      <c r="AD177" s="2">
        <v>44593</v>
      </c>
      <c r="AE177" s="1" t="s">
        <v>74</v>
      </c>
      <c r="AF177" s="1" t="s">
        <v>54</v>
      </c>
      <c r="AG177" s="1" t="s">
        <v>63</v>
      </c>
      <c r="AH177" s="1" t="s">
        <v>64</v>
      </c>
      <c r="AI177">
        <v>6384</v>
      </c>
      <c r="AJ177">
        <v>-106.39999999999964</v>
      </c>
    </row>
    <row r="178" spans="1:36" x14ac:dyDescent="0.25">
      <c r="A178">
        <v>10177</v>
      </c>
      <c r="B178">
        <v>42</v>
      </c>
      <c r="C178" s="1" t="s">
        <v>36</v>
      </c>
      <c r="D178" s="1" t="s">
        <v>48</v>
      </c>
      <c r="E178" s="2">
        <v>44479</v>
      </c>
      <c r="F178" s="2">
        <v>44622</v>
      </c>
      <c r="G178" s="1" t="s">
        <v>38</v>
      </c>
      <c r="H178">
        <v>1357</v>
      </c>
      <c r="I178">
        <v>16</v>
      </c>
      <c r="J178">
        <v>2</v>
      </c>
      <c r="K178">
        <v>40.68</v>
      </c>
      <c r="L178">
        <v>15</v>
      </c>
      <c r="M178" s="1" t="s">
        <v>65</v>
      </c>
      <c r="N178" s="1" t="s">
        <v>56</v>
      </c>
      <c r="O178">
        <v>21508.45</v>
      </c>
      <c r="P178" t="b">
        <v>1</v>
      </c>
      <c r="Q178">
        <v>1.3333333333333333</v>
      </c>
      <c r="R178">
        <v>1344.278125</v>
      </c>
      <c r="S178">
        <v>13.56</v>
      </c>
      <c r="T178" s="2">
        <v>44470</v>
      </c>
      <c r="U178" s="1" t="s">
        <v>51</v>
      </c>
      <c r="V178">
        <v>0</v>
      </c>
      <c r="W178" s="1" t="s">
        <v>40</v>
      </c>
      <c r="X178">
        <v>143</v>
      </c>
      <c r="Y178" s="1" t="s">
        <v>52</v>
      </c>
      <c r="Z178" s="1" t="s">
        <v>42</v>
      </c>
      <c r="AA178">
        <v>0.11764705882352941</v>
      </c>
      <c r="AB178" s="1" t="s">
        <v>43</v>
      </c>
      <c r="AC178">
        <v>1</v>
      </c>
      <c r="AD178" s="2">
        <v>44470</v>
      </c>
      <c r="AE178" s="1" t="s">
        <v>53</v>
      </c>
      <c r="AF178" s="1" t="s">
        <v>72</v>
      </c>
      <c r="AG178" s="1" t="s">
        <v>55</v>
      </c>
      <c r="AH178" s="1" t="s">
        <v>47</v>
      </c>
      <c r="AI178">
        <v>21712</v>
      </c>
      <c r="AJ178">
        <v>-203.54999999999927</v>
      </c>
    </row>
    <row r="179" spans="1:36" x14ac:dyDescent="0.25">
      <c r="A179">
        <v>10178</v>
      </c>
      <c r="B179">
        <v>56</v>
      </c>
      <c r="C179" s="1" t="s">
        <v>60</v>
      </c>
      <c r="D179" s="1" t="s">
        <v>48</v>
      </c>
      <c r="E179" s="2">
        <v>44558</v>
      </c>
      <c r="F179" s="2">
        <v>44354</v>
      </c>
      <c r="G179" s="1" t="s">
        <v>38</v>
      </c>
      <c r="H179">
        <v>1250</v>
      </c>
      <c r="I179">
        <v>4</v>
      </c>
      <c r="J179">
        <v>7</v>
      </c>
      <c r="K179">
        <v>14.13</v>
      </c>
      <c r="L179">
        <v>20</v>
      </c>
      <c r="M179" s="1" t="s">
        <v>65</v>
      </c>
      <c r="N179" s="1" t="s">
        <v>56</v>
      </c>
      <c r="O179">
        <v>4750</v>
      </c>
      <c r="P179" t="b">
        <v>0</v>
      </c>
      <c r="Q179">
        <v>0.33333333333333331</v>
      </c>
      <c r="R179">
        <v>1187.5</v>
      </c>
      <c r="S179">
        <v>1.7662500000000001</v>
      </c>
      <c r="T179" s="2">
        <v>44531</v>
      </c>
      <c r="U179" s="1" t="s">
        <v>41</v>
      </c>
      <c r="V179">
        <v>0</v>
      </c>
      <c r="W179" s="1" t="s">
        <v>56</v>
      </c>
      <c r="Y179" s="1" t="s">
        <v>42</v>
      </c>
      <c r="Z179" s="1" t="s">
        <v>52</v>
      </c>
      <c r="AA179">
        <v>1.4</v>
      </c>
      <c r="AB179" s="1" t="s">
        <v>42</v>
      </c>
      <c r="AC179">
        <v>1</v>
      </c>
      <c r="AD179" s="2">
        <v>44531</v>
      </c>
      <c r="AE179" s="1" t="s">
        <v>58</v>
      </c>
      <c r="AF179" s="1" t="s">
        <v>78</v>
      </c>
      <c r="AG179" s="1" t="s">
        <v>46</v>
      </c>
      <c r="AH179" s="1" t="s">
        <v>47</v>
      </c>
      <c r="AI179">
        <v>5000</v>
      </c>
      <c r="AJ179">
        <v>-250</v>
      </c>
    </row>
    <row r="180" spans="1:36" x14ac:dyDescent="0.25">
      <c r="A180">
        <v>10179</v>
      </c>
      <c r="B180">
        <v>50</v>
      </c>
      <c r="C180" s="1" t="s">
        <v>60</v>
      </c>
      <c r="D180" s="1" t="s">
        <v>69</v>
      </c>
      <c r="E180" s="2">
        <v>44575</v>
      </c>
      <c r="F180" s="2">
        <v>44913</v>
      </c>
      <c r="G180" s="1" t="s">
        <v>62</v>
      </c>
      <c r="H180">
        <v>358</v>
      </c>
      <c r="I180">
        <v>25</v>
      </c>
      <c r="J180">
        <v>5</v>
      </c>
      <c r="K180">
        <v>56.18</v>
      </c>
      <c r="L180">
        <v>5</v>
      </c>
      <c r="M180" s="1" t="s">
        <v>50</v>
      </c>
      <c r="N180" s="1" t="s">
        <v>56</v>
      </c>
      <c r="O180">
        <v>8932.1</v>
      </c>
      <c r="P180" t="b">
        <v>1</v>
      </c>
      <c r="Q180">
        <v>2.0833333333333335</v>
      </c>
      <c r="R180">
        <v>357.28399999999999</v>
      </c>
      <c r="S180">
        <v>9.3633333333333333</v>
      </c>
      <c r="T180" s="2">
        <v>44562</v>
      </c>
      <c r="U180" s="1" t="s">
        <v>51</v>
      </c>
      <c r="V180">
        <v>0</v>
      </c>
      <c r="W180" s="1" t="s">
        <v>56</v>
      </c>
      <c r="X180">
        <v>338</v>
      </c>
      <c r="Y180" s="1" t="s">
        <v>52</v>
      </c>
      <c r="Z180" s="1" t="s">
        <v>42</v>
      </c>
      <c r="AA180">
        <v>0.19230769230769232</v>
      </c>
      <c r="AB180" s="1" t="s">
        <v>52</v>
      </c>
      <c r="AC180">
        <v>2</v>
      </c>
      <c r="AD180" s="2">
        <v>44562</v>
      </c>
      <c r="AE180" s="1" t="s">
        <v>44</v>
      </c>
      <c r="AF180" s="1" t="s">
        <v>45</v>
      </c>
      <c r="AG180" s="1" t="s">
        <v>63</v>
      </c>
      <c r="AH180" s="1" t="s">
        <v>68</v>
      </c>
      <c r="AI180">
        <v>8950</v>
      </c>
      <c r="AJ180">
        <v>-17.899999999999636</v>
      </c>
    </row>
    <row r="181" spans="1:36" x14ac:dyDescent="0.25">
      <c r="A181">
        <v>10180</v>
      </c>
      <c r="B181">
        <v>18</v>
      </c>
      <c r="C181" s="1" t="s">
        <v>60</v>
      </c>
      <c r="D181" s="1" t="s">
        <v>73</v>
      </c>
      <c r="E181" s="2">
        <v>44394</v>
      </c>
      <c r="F181" s="2">
        <v>44963</v>
      </c>
      <c r="G181" s="1" t="s">
        <v>62</v>
      </c>
      <c r="H181">
        <v>1070</v>
      </c>
      <c r="I181">
        <v>34</v>
      </c>
      <c r="J181">
        <v>3</v>
      </c>
      <c r="K181">
        <v>95.29</v>
      </c>
      <c r="L181">
        <v>10</v>
      </c>
      <c r="M181" s="1" t="s">
        <v>67</v>
      </c>
      <c r="N181" s="1" t="s">
        <v>40</v>
      </c>
      <c r="O181">
        <v>36273</v>
      </c>
      <c r="P181" t="b">
        <v>1</v>
      </c>
      <c r="Q181">
        <v>2.8333333333333335</v>
      </c>
      <c r="R181">
        <v>1066.8529411764705</v>
      </c>
      <c r="S181">
        <v>23.822500000000002</v>
      </c>
      <c r="T181" s="2">
        <v>44378</v>
      </c>
      <c r="U181" s="1" t="s">
        <v>66</v>
      </c>
      <c r="V181">
        <v>1</v>
      </c>
      <c r="W181" s="1" t="s">
        <v>40</v>
      </c>
      <c r="X181">
        <v>569</v>
      </c>
      <c r="Y181" s="1" t="s">
        <v>43</v>
      </c>
      <c r="Z181" s="1" t="s">
        <v>42</v>
      </c>
      <c r="AA181">
        <v>8.5714285714285715E-2</v>
      </c>
      <c r="AB181" s="1" t="s">
        <v>43</v>
      </c>
      <c r="AC181">
        <v>2</v>
      </c>
      <c r="AD181" s="2">
        <v>44378</v>
      </c>
      <c r="AE181" s="1" t="s">
        <v>44</v>
      </c>
      <c r="AF181" s="1" t="s">
        <v>72</v>
      </c>
      <c r="AG181" s="1" t="s">
        <v>63</v>
      </c>
      <c r="AH181" s="1" t="s">
        <v>47</v>
      </c>
      <c r="AI181">
        <v>36380</v>
      </c>
      <c r="AJ181">
        <v>-107</v>
      </c>
    </row>
    <row r="182" spans="1:36" x14ac:dyDescent="0.25">
      <c r="A182">
        <v>10181</v>
      </c>
      <c r="B182">
        <v>44</v>
      </c>
      <c r="C182" s="1" t="s">
        <v>36</v>
      </c>
      <c r="D182" s="1" t="s">
        <v>73</v>
      </c>
      <c r="E182" s="2">
        <v>44752</v>
      </c>
      <c r="F182" s="2">
        <v>45201</v>
      </c>
      <c r="G182" s="1" t="s">
        <v>62</v>
      </c>
      <c r="H182">
        <v>1401</v>
      </c>
      <c r="I182">
        <v>28</v>
      </c>
      <c r="J182">
        <v>0</v>
      </c>
      <c r="K182">
        <v>8.5399999999999991</v>
      </c>
      <c r="L182">
        <v>10</v>
      </c>
      <c r="M182" s="1" t="s">
        <v>65</v>
      </c>
      <c r="N182" s="1" t="s">
        <v>56</v>
      </c>
      <c r="O182">
        <v>39087.9</v>
      </c>
      <c r="P182" t="b">
        <v>1</v>
      </c>
      <c r="Q182">
        <v>2.3333333333333335</v>
      </c>
      <c r="R182">
        <v>1395.9964285714286</v>
      </c>
      <c r="S182">
        <v>8.5399999999999991</v>
      </c>
      <c r="T182" s="2">
        <v>44743</v>
      </c>
      <c r="U182" s="1" t="s">
        <v>51</v>
      </c>
      <c r="V182">
        <v>0</v>
      </c>
      <c r="W182" s="1" t="s">
        <v>40</v>
      </c>
      <c r="X182">
        <v>449</v>
      </c>
      <c r="Y182" s="1" t="s">
        <v>42</v>
      </c>
      <c r="Z182" s="1" t="s">
        <v>42</v>
      </c>
      <c r="AA182">
        <v>0</v>
      </c>
      <c r="AB182" s="1" t="s">
        <v>43</v>
      </c>
      <c r="AC182">
        <v>2</v>
      </c>
      <c r="AD182" s="2">
        <v>44743</v>
      </c>
      <c r="AE182" s="1" t="s">
        <v>44</v>
      </c>
      <c r="AF182" s="1" t="s">
        <v>54</v>
      </c>
      <c r="AG182" s="1" t="s">
        <v>77</v>
      </c>
      <c r="AH182" s="1" t="s">
        <v>47</v>
      </c>
      <c r="AI182">
        <v>39228</v>
      </c>
      <c r="AJ182">
        <v>-140.09999999999854</v>
      </c>
    </row>
    <row r="183" spans="1:36" x14ac:dyDescent="0.25">
      <c r="A183">
        <v>10182</v>
      </c>
      <c r="B183">
        <v>30</v>
      </c>
      <c r="C183" s="1" t="s">
        <v>36</v>
      </c>
      <c r="D183" s="1" t="s">
        <v>37</v>
      </c>
      <c r="E183" s="2">
        <v>44552</v>
      </c>
      <c r="F183" s="2">
        <v>45197</v>
      </c>
      <c r="G183" s="1" t="s">
        <v>49</v>
      </c>
      <c r="H183">
        <v>1017</v>
      </c>
      <c r="I183">
        <v>11</v>
      </c>
      <c r="J183">
        <v>1</v>
      </c>
      <c r="K183">
        <v>72.38</v>
      </c>
      <c r="L183">
        <v>10</v>
      </c>
      <c r="M183" s="1" t="s">
        <v>67</v>
      </c>
      <c r="N183" s="1" t="s">
        <v>56</v>
      </c>
      <c r="O183">
        <v>11085.3</v>
      </c>
      <c r="P183" t="b">
        <v>1</v>
      </c>
      <c r="Q183">
        <v>0.91666666666666663</v>
      </c>
      <c r="R183">
        <v>1007.7545454545453</v>
      </c>
      <c r="S183">
        <v>36.19</v>
      </c>
      <c r="T183" s="2">
        <v>44531</v>
      </c>
      <c r="U183" s="1" t="s">
        <v>57</v>
      </c>
      <c r="V183">
        <v>0</v>
      </c>
      <c r="W183" s="1" t="s">
        <v>56</v>
      </c>
      <c r="X183">
        <v>645</v>
      </c>
      <c r="Y183" s="1" t="s">
        <v>43</v>
      </c>
      <c r="Z183" s="1" t="s">
        <v>42</v>
      </c>
      <c r="AA183">
        <v>8.3333333333333329E-2</v>
      </c>
      <c r="AB183" s="1" t="s">
        <v>52</v>
      </c>
      <c r="AC183">
        <v>3</v>
      </c>
      <c r="AD183" s="2">
        <v>44531</v>
      </c>
      <c r="AE183" s="1" t="s">
        <v>74</v>
      </c>
      <c r="AF183" s="1" t="s">
        <v>54</v>
      </c>
      <c r="AG183" s="1" t="s">
        <v>63</v>
      </c>
      <c r="AH183" s="1" t="s">
        <v>47</v>
      </c>
      <c r="AI183">
        <v>11187</v>
      </c>
      <c r="AJ183">
        <v>-101.70000000000073</v>
      </c>
    </row>
    <row r="184" spans="1:36" x14ac:dyDescent="0.25">
      <c r="A184">
        <v>10183</v>
      </c>
      <c r="B184">
        <v>58</v>
      </c>
      <c r="C184" s="1" t="s">
        <v>60</v>
      </c>
      <c r="D184" s="1" t="s">
        <v>73</v>
      </c>
      <c r="E184" s="2">
        <v>44736</v>
      </c>
      <c r="F184" s="2">
        <v>44920</v>
      </c>
      <c r="G184" s="1" t="s">
        <v>49</v>
      </c>
      <c r="H184">
        <v>601</v>
      </c>
      <c r="I184">
        <v>13</v>
      </c>
      <c r="J184">
        <v>2</v>
      </c>
      <c r="K184">
        <v>73.36</v>
      </c>
      <c r="L184">
        <v>15</v>
      </c>
      <c r="M184" s="1" t="s">
        <v>50</v>
      </c>
      <c r="N184" s="1" t="s">
        <v>56</v>
      </c>
      <c r="O184">
        <v>7722.85</v>
      </c>
      <c r="P184" t="b">
        <v>1</v>
      </c>
      <c r="Q184">
        <v>1.0833333333333333</v>
      </c>
      <c r="R184">
        <v>594.06538461538469</v>
      </c>
      <c r="S184">
        <v>24.453333333333333</v>
      </c>
      <c r="T184" s="2">
        <v>44713</v>
      </c>
      <c r="U184" s="1" t="s">
        <v>41</v>
      </c>
      <c r="V184">
        <v>0</v>
      </c>
      <c r="W184" s="1" t="s">
        <v>56</v>
      </c>
      <c r="X184">
        <v>184</v>
      </c>
      <c r="Y184" s="1" t="s">
        <v>43</v>
      </c>
      <c r="Z184" s="1" t="s">
        <v>42</v>
      </c>
      <c r="AA184">
        <v>0.14285714285714285</v>
      </c>
      <c r="AB184" s="1" t="s">
        <v>42</v>
      </c>
      <c r="AC184">
        <v>3</v>
      </c>
      <c r="AD184" s="2">
        <v>44713</v>
      </c>
      <c r="AE184" s="1" t="s">
        <v>53</v>
      </c>
      <c r="AF184" s="1" t="s">
        <v>72</v>
      </c>
      <c r="AG184" s="1" t="s">
        <v>63</v>
      </c>
      <c r="AH184" s="1" t="s">
        <v>64</v>
      </c>
      <c r="AI184">
        <v>7813</v>
      </c>
      <c r="AJ184">
        <v>-90.149999999999636</v>
      </c>
    </row>
    <row r="185" spans="1:36" x14ac:dyDescent="0.25">
      <c r="A185">
        <v>10184</v>
      </c>
      <c r="B185">
        <v>20</v>
      </c>
      <c r="C185" s="1" t="s">
        <v>60</v>
      </c>
      <c r="D185" s="1" t="s">
        <v>76</v>
      </c>
      <c r="E185" s="2">
        <v>44625</v>
      </c>
      <c r="F185" s="2">
        <v>44946</v>
      </c>
      <c r="G185" s="1" t="s">
        <v>62</v>
      </c>
      <c r="H185">
        <v>1102</v>
      </c>
      <c r="I185">
        <v>31</v>
      </c>
      <c r="J185">
        <v>1</v>
      </c>
      <c r="K185">
        <v>111.78</v>
      </c>
      <c r="L185">
        <v>15</v>
      </c>
      <c r="M185" s="1" t="s">
        <v>67</v>
      </c>
      <c r="N185" s="1" t="s">
        <v>56</v>
      </c>
      <c r="O185">
        <v>33996.699999999997</v>
      </c>
      <c r="P185" t="b">
        <v>1</v>
      </c>
      <c r="Q185">
        <v>2.5833333333333335</v>
      </c>
      <c r="R185">
        <v>1096.6677419354837</v>
      </c>
      <c r="S185">
        <v>55.89</v>
      </c>
      <c r="T185" s="2">
        <v>44621</v>
      </c>
      <c r="U185" s="1" t="s">
        <v>66</v>
      </c>
      <c r="V185">
        <v>0</v>
      </c>
      <c r="W185" s="1" t="s">
        <v>40</v>
      </c>
      <c r="X185">
        <v>321</v>
      </c>
      <c r="Y185" s="1" t="s">
        <v>43</v>
      </c>
      <c r="Z185" s="1" t="s">
        <v>42</v>
      </c>
      <c r="AA185">
        <v>3.125E-2</v>
      </c>
      <c r="AB185" s="1" t="s">
        <v>43</v>
      </c>
      <c r="AC185">
        <v>2</v>
      </c>
      <c r="AD185" s="2">
        <v>44621</v>
      </c>
      <c r="AE185" s="1" t="s">
        <v>44</v>
      </c>
      <c r="AF185" s="1" t="s">
        <v>54</v>
      </c>
      <c r="AG185" s="1" t="s">
        <v>63</v>
      </c>
      <c r="AH185" s="1" t="s">
        <v>47</v>
      </c>
      <c r="AI185">
        <v>34162</v>
      </c>
      <c r="AJ185">
        <v>-165.30000000000291</v>
      </c>
    </row>
    <row r="186" spans="1:36" x14ac:dyDescent="0.25">
      <c r="A186">
        <v>10185</v>
      </c>
      <c r="B186">
        <v>56</v>
      </c>
      <c r="C186" s="1" t="s">
        <v>36</v>
      </c>
      <c r="D186" s="1" t="s">
        <v>69</v>
      </c>
      <c r="E186" s="2">
        <v>44213</v>
      </c>
      <c r="F186" s="2">
        <v>45117</v>
      </c>
      <c r="G186" s="1" t="s">
        <v>38</v>
      </c>
      <c r="H186">
        <v>1196</v>
      </c>
      <c r="I186">
        <v>25</v>
      </c>
      <c r="J186">
        <v>1</v>
      </c>
      <c r="K186">
        <v>37.94</v>
      </c>
      <c r="L186">
        <v>10</v>
      </c>
      <c r="M186" s="1" t="s">
        <v>39</v>
      </c>
      <c r="N186" s="1" t="s">
        <v>56</v>
      </c>
      <c r="O186">
        <v>29780.400000000001</v>
      </c>
      <c r="P186" t="b">
        <v>1</v>
      </c>
      <c r="Q186">
        <v>2.0833333333333335</v>
      </c>
      <c r="R186">
        <v>1191.2160000000001</v>
      </c>
      <c r="S186">
        <v>18.97</v>
      </c>
      <c r="T186" s="2">
        <v>44197</v>
      </c>
      <c r="U186" s="1" t="s">
        <v>41</v>
      </c>
      <c r="V186">
        <v>0</v>
      </c>
      <c r="W186" s="1" t="s">
        <v>40</v>
      </c>
      <c r="X186">
        <v>904</v>
      </c>
      <c r="Y186" s="1" t="s">
        <v>52</v>
      </c>
      <c r="Z186" s="1" t="s">
        <v>42</v>
      </c>
      <c r="AA186">
        <v>3.8461538461538464E-2</v>
      </c>
      <c r="AB186" s="1" t="s">
        <v>43</v>
      </c>
      <c r="AC186">
        <v>1</v>
      </c>
      <c r="AD186" s="2">
        <v>44197</v>
      </c>
      <c r="AE186" s="1" t="s">
        <v>44</v>
      </c>
      <c r="AF186" s="1" t="s">
        <v>54</v>
      </c>
      <c r="AG186" s="1" t="s">
        <v>55</v>
      </c>
      <c r="AH186" s="1" t="s">
        <v>47</v>
      </c>
      <c r="AI186">
        <v>29900</v>
      </c>
      <c r="AJ186">
        <v>-119.59999999999854</v>
      </c>
    </row>
    <row r="187" spans="1:36" x14ac:dyDescent="0.25">
      <c r="A187">
        <v>10186</v>
      </c>
      <c r="B187">
        <v>23</v>
      </c>
      <c r="C187" s="1" t="s">
        <v>36</v>
      </c>
      <c r="D187" s="1" t="s">
        <v>48</v>
      </c>
      <c r="E187" s="2">
        <v>44835</v>
      </c>
      <c r="F187" s="2">
        <v>44525</v>
      </c>
      <c r="G187" s="1" t="s">
        <v>62</v>
      </c>
      <c r="H187">
        <v>411</v>
      </c>
      <c r="I187">
        <v>10</v>
      </c>
      <c r="J187">
        <v>1</v>
      </c>
      <c r="K187">
        <v>37.07</v>
      </c>
      <c r="L187">
        <v>0</v>
      </c>
      <c r="M187" s="1" t="s">
        <v>65</v>
      </c>
      <c r="N187" s="1" t="s">
        <v>56</v>
      </c>
      <c r="O187">
        <v>4110</v>
      </c>
      <c r="P187" t="b">
        <v>0</v>
      </c>
      <c r="Q187">
        <v>0.83333333333333337</v>
      </c>
      <c r="R187">
        <v>411</v>
      </c>
      <c r="S187">
        <v>18.535</v>
      </c>
      <c r="T187" s="2">
        <v>44835</v>
      </c>
      <c r="U187" s="1" t="s">
        <v>66</v>
      </c>
      <c r="V187">
        <v>0</v>
      </c>
      <c r="W187" s="1" t="s">
        <v>56</v>
      </c>
      <c r="Y187" s="1" t="s">
        <v>52</v>
      </c>
      <c r="Z187" s="1" t="s">
        <v>42</v>
      </c>
      <c r="AA187">
        <v>9.0909090909090912E-2</v>
      </c>
      <c r="AB187" s="1" t="s">
        <v>42</v>
      </c>
      <c r="AC187">
        <v>2</v>
      </c>
      <c r="AD187" s="2">
        <v>44835</v>
      </c>
      <c r="AE187" s="1" t="s">
        <v>74</v>
      </c>
      <c r="AF187" s="1" t="s">
        <v>54</v>
      </c>
      <c r="AG187" s="1" t="s">
        <v>55</v>
      </c>
      <c r="AH187" s="1" t="s">
        <v>68</v>
      </c>
      <c r="AI187">
        <v>4110</v>
      </c>
      <c r="AJ187">
        <v>0</v>
      </c>
    </row>
    <row r="188" spans="1:36" x14ac:dyDescent="0.25">
      <c r="A188">
        <v>10187</v>
      </c>
      <c r="B188">
        <v>25</v>
      </c>
      <c r="C188" s="1" t="s">
        <v>36</v>
      </c>
      <c r="D188" s="1" t="s">
        <v>73</v>
      </c>
      <c r="E188" s="2">
        <v>44575</v>
      </c>
      <c r="F188" s="2">
        <v>44589</v>
      </c>
      <c r="G188" s="1" t="s">
        <v>38</v>
      </c>
      <c r="H188">
        <v>616</v>
      </c>
      <c r="I188">
        <v>24</v>
      </c>
      <c r="J188">
        <v>5</v>
      </c>
      <c r="K188">
        <v>55.66</v>
      </c>
      <c r="L188">
        <v>10</v>
      </c>
      <c r="M188" s="1" t="s">
        <v>50</v>
      </c>
      <c r="N188" s="1" t="s">
        <v>40</v>
      </c>
      <c r="O188">
        <v>14722.4</v>
      </c>
      <c r="P188" t="b">
        <v>1</v>
      </c>
      <c r="Q188">
        <v>2</v>
      </c>
      <c r="R188">
        <v>613.43333333333328</v>
      </c>
      <c r="S188">
        <v>9.2766666666666655</v>
      </c>
      <c r="T188" s="2">
        <v>44562</v>
      </c>
      <c r="U188" s="1" t="s">
        <v>66</v>
      </c>
      <c r="V188">
        <v>1</v>
      </c>
      <c r="W188" s="1" t="s">
        <v>40</v>
      </c>
      <c r="X188">
        <v>14</v>
      </c>
      <c r="Y188" s="1" t="s">
        <v>52</v>
      </c>
      <c r="Z188" s="1" t="s">
        <v>42</v>
      </c>
      <c r="AA188">
        <v>0.2</v>
      </c>
      <c r="AB188" s="1" t="s">
        <v>52</v>
      </c>
      <c r="AC188">
        <v>1</v>
      </c>
      <c r="AD188" s="2">
        <v>44562</v>
      </c>
      <c r="AE188" s="1" t="s">
        <v>53</v>
      </c>
      <c r="AF188" s="1" t="s">
        <v>45</v>
      </c>
      <c r="AG188" s="1" t="s">
        <v>63</v>
      </c>
      <c r="AH188" s="1" t="s">
        <v>64</v>
      </c>
      <c r="AI188">
        <v>14784</v>
      </c>
      <c r="AJ188">
        <v>-61.600000000000364</v>
      </c>
    </row>
    <row r="189" spans="1:36" x14ac:dyDescent="0.25">
      <c r="A189">
        <v>10188</v>
      </c>
      <c r="B189">
        <v>44</v>
      </c>
      <c r="C189" s="1" t="s">
        <v>36</v>
      </c>
      <c r="D189" s="1" t="s">
        <v>69</v>
      </c>
      <c r="E189" s="2">
        <v>44876</v>
      </c>
      <c r="F189" s="2">
        <v>44550</v>
      </c>
      <c r="G189" s="1" t="s">
        <v>62</v>
      </c>
      <c r="H189">
        <v>1468</v>
      </c>
      <c r="I189">
        <v>1</v>
      </c>
      <c r="J189">
        <v>2</v>
      </c>
      <c r="K189">
        <v>46.05</v>
      </c>
      <c r="L189">
        <v>20</v>
      </c>
      <c r="M189" s="1" t="s">
        <v>50</v>
      </c>
      <c r="N189" s="1" t="s">
        <v>56</v>
      </c>
      <c r="O189">
        <v>1174.4000000000001</v>
      </c>
      <c r="P189" t="b">
        <v>0</v>
      </c>
      <c r="Q189">
        <v>8.3333333333333329E-2</v>
      </c>
      <c r="R189">
        <v>1174.4000000000001</v>
      </c>
      <c r="S189">
        <v>15.35</v>
      </c>
      <c r="T189" s="2">
        <v>44866</v>
      </c>
      <c r="U189" s="1" t="s">
        <v>51</v>
      </c>
      <c r="V189">
        <v>0</v>
      </c>
      <c r="W189" s="1" t="s">
        <v>56</v>
      </c>
      <c r="Y189" s="1" t="s">
        <v>52</v>
      </c>
      <c r="Z189" s="1" t="s">
        <v>52</v>
      </c>
      <c r="AA189">
        <v>1</v>
      </c>
      <c r="AB189" s="1" t="s">
        <v>42</v>
      </c>
      <c r="AC189">
        <v>2</v>
      </c>
      <c r="AD189" s="2">
        <v>44866</v>
      </c>
      <c r="AE189" s="1" t="s">
        <v>58</v>
      </c>
      <c r="AF189" s="1" t="s">
        <v>72</v>
      </c>
      <c r="AG189" s="1" t="s">
        <v>63</v>
      </c>
      <c r="AH189" s="1" t="s">
        <v>47</v>
      </c>
      <c r="AI189">
        <v>1468</v>
      </c>
      <c r="AJ189">
        <v>-293.59999999999991</v>
      </c>
    </row>
    <row r="190" spans="1:36" x14ac:dyDescent="0.25">
      <c r="A190">
        <v>10189</v>
      </c>
      <c r="B190">
        <v>26</v>
      </c>
      <c r="C190" s="1" t="s">
        <v>60</v>
      </c>
      <c r="D190" s="1" t="s">
        <v>73</v>
      </c>
      <c r="E190" s="2">
        <v>44702</v>
      </c>
      <c r="F190" s="2">
        <v>44890</v>
      </c>
      <c r="G190" s="1" t="s">
        <v>62</v>
      </c>
      <c r="H190">
        <v>967</v>
      </c>
      <c r="I190">
        <v>25</v>
      </c>
      <c r="J190">
        <v>1</v>
      </c>
      <c r="K190">
        <v>89.68</v>
      </c>
      <c r="L190">
        <v>10</v>
      </c>
      <c r="M190" s="1" t="s">
        <v>67</v>
      </c>
      <c r="N190" s="1" t="s">
        <v>40</v>
      </c>
      <c r="O190">
        <v>24078.3</v>
      </c>
      <c r="P190" t="b">
        <v>1</v>
      </c>
      <c r="Q190">
        <v>2.0833333333333335</v>
      </c>
      <c r="R190">
        <v>963.13199999999995</v>
      </c>
      <c r="S190">
        <v>44.84</v>
      </c>
      <c r="T190" s="2">
        <v>44682</v>
      </c>
      <c r="U190" s="1" t="s">
        <v>57</v>
      </c>
      <c r="V190">
        <v>1</v>
      </c>
      <c r="W190" s="1" t="s">
        <v>40</v>
      </c>
      <c r="X190">
        <v>188</v>
      </c>
      <c r="Y190" s="1" t="s">
        <v>43</v>
      </c>
      <c r="Z190" s="1" t="s">
        <v>42</v>
      </c>
      <c r="AA190">
        <v>3.8461538461538464E-2</v>
      </c>
      <c r="AB190" s="1" t="s">
        <v>43</v>
      </c>
      <c r="AC190">
        <v>2</v>
      </c>
      <c r="AD190" s="2">
        <v>44682</v>
      </c>
      <c r="AE190" s="1" t="s">
        <v>44</v>
      </c>
      <c r="AF190" s="1" t="s">
        <v>54</v>
      </c>
      <c r="AG190" s="1" t="s">
        <v>63</v>
      </c>
      <c r="AH190" s="1" t="s">
        <v>59</v>
      </c>
      <c r="AI190">
        <v>24175</v>
      </c>
      <c r="AJ190">
        <v>-96.700000000000728</v>
      </c>
    </row>
    <row r="191" spans="1:36" x14ac:dyDescent="0.25">
      <c r="A191">
        <v>10190</v>
      </c>
      <c r="B191">
        <v>54</v>
      </c>
      <c r="C191" s="1" t="s">
        <v>60</v>
      </c>
      <c r="D191" s="1" t="s">
        <v>71</v>
      </c>
      <c r="E191" s="2">
        <v>44952</v>
      </c>
      <c r="F191" s="2">
        <v>45148</v>
      </c>
      <c r="G191" s="1" t="s">
        <v>38</v>
      </c>
      <c r="H191">
        <v>989</v>
      </c>
      <c r="I191">
        <v>28</v>
      </c>
      <c r="J191">
        <v>3</v>
      </c>
      <c r="K191">
        <v>78.8</v>
      </c>
      <c r="L191">
        <v>10</v>
      </c>
      <c r="M191" s="1" t="s">
        <v>65</v>
      </c>
      <c r="N191" s="1" t="s">
        <v>40</v>
      </c>
      <c r="O191">
        <v>27593.1</v>
      </c>
      <c r="P191" t="b">
        <v>1</v>
      </c>
      <c r="Q191">
        <v>2.3333333333333335</v>
      </c>
      <c r="R191">
        <v>985.46785714285704</v>
      </c>
      <c r="S191">
        <v>19.7</v>
      </c>
      <c r="T191" s="2">
        <v>44927</v>
      </c>
      <c r="U191" s="1" t="s">
        <v>41</v>
      </c>
      <c r="V191">
        <v>1</v>
      </c>
      <c r="W191" s="1" t="s">
        <v>40</v>
      </c>
      <c r="X191">
        <v>196</v>
      </c>
      <c r="Y191" s="1" t="s">
        <v>43</v>
      </c>
      <c r="Z191" s="1" t="s">
        <v>42</v>
      </c>
      <c r="AA191">
        <v>0.10344827586206896</v>
      </c>
      <c r="AB191" s="1" t="s">
        <v>43</v>
      </c>
      <c r="AC191">
        <v>1</v>
      </c>
      <c r="AD191" s="2">
        <v>44927</v>
      </c>
      <c r="AE191" s="1" t="s">
        <v>44</v>
      </c>
      <c r="AF191" s="1" t="s">
        <v>72</v>
      </c>
      <c r="AG191" s="1" t="s">
        <v>63</v>
      </c>
      <c r="AH191" s="1" t="s">
        <v>59</v>
      </c>
      <c r="AI191">
        <v>27692</v>
      </c>
      <c r="AJ191">
        <v>-98.900000000001455</v>
      </c>
    </row>
    <row r="192" spans="1:36" x14ac:dyDescent="0.25">
      <c r="A192">
        <v>10191</v>
      </c>
      <c r="B192">
        <v>50</v>
      </c>
      <c r="C192" s="1" t="s">
        <v>36</v>
      </c>
      <c r="D192" s="1" t="s">
        <v>48</v>
      </c>
      <c r="E192" s="2">
        <v>45095</v>
      </c>
      <c r="F192" s="2">
        <v>44809</v>
      </c>
      <c r="G192" s="1" t="s">
        <v>49</v>
      </c>
      <c r="H192">
        <v>317</v>
      </c>
      <c r="I192">
        <v>18</v>
      </c>
      <c r="J192">
        <v>5</v>
      </c>
      <c r="K192">
        <v>92.28</v>
      </c>
      <c r="L192">
        <v>0</v>
      </c>
      <c r="M192" s="1" t="s">
        <v>50</v>
      </c>
      <c r="N192" s="1" t="s">
        <v>56</v>
      </c>
      <c r="O192">
        <v>5706</v>
      </c>
      <c r="P192" t="b">
        <v>0</v>
      </c>
      <c r="Q192">
        <v>1.5</v>
      </c>
      <c r="R192">
        <v>317</v>
      </c>
      <c r="S192">
        <v>15.38</v>
      </c>
      <c r="T192" s="2">
        <v>45078</v>
      </c>
      <c r="U192" s="1" t="s">
        <v>51</v>
      </c>
      <c r="V192">
        <v>0</v>
      </c>
      <c r="W192" s="1" t="s">
        <v>56</v>
      </c>
      <c r="Y192" s="1" t="s">
        <v>43</v>
      </c>
      <c r="Z192" s="1" t="s">
        <v>42</v>
      </c>
      <c r="AA192">
        <v>0.26315789473684209</v>
      </c>
      <c r="AB192" s="1" t="s">
        <v>42</v>
      </c>
      <c r="AC192">
        <v>3</v>
      </c>
      <c r="AD192" s="2">
        <v>45078</v>
      </c>
      <c r="AE192" s="1" t="s">
        <v>53</v>
      </c>
      <c r="AF192" s="1" t="s">
        <v>45</v>
      </c>
      <c r="AG192" s="1" t="s">
        <v>63</v>
      </c>
      <c r="AH192" s="1" t="s">
        <v>68</v>
      </c>
      <c r="AI192">
        <v>5706</v>
      </c>
      <c r="AJ192">
        <v>0</v>
      </c>
    </row>
    <row r="193" spans="1:36" x14ac:dyDescent="0.25">
      <c r="A193">
        <v>10192</v>
      </c>
      <c r="B193">
        <v>59</v>
      </c>
      <c r="C193" s="1" t="s">
        <v>36</v>
      </c>
      <c r="D193" s="1" t="s">
        <v>71</v>
      </c>
      <c r="E193" s="2">
        <v>44272</v>
      </c>
      <c r="F193" s="2">
        <v>44427</v>
      </c>
      <c r="G193" s="1" t="s">
        <v>38</v>
      </c>
      <c r="H193">
        <v>1478</v>
      </c>
      <c r="I193">
        <v>6</v>
      </c>
      <c r="J193">
        <v>1</v>
      </c>
      <c r="K193">
        <v>99.3</v>
      </c>
      <c r="L193">
        <v>15</v>
      </c>
      <c r="M193" s="1" t="s">
        <v>39</v>
      </c>
      <c r="N193" s="1" t="s">
        <v>56</v>
      </c>
      <c r="O193">
        <v>8646.2999999999993</v>
      </c>
      <c r="P193" t="b">
        <v>1</v>
      </c>
      <c r="Q193">
        <v>0.5</v>
      </c>
      <c r="R193">
        <v>1441.05</v>
      </c>
      <c r="S193">
        <v>49.65</v>
      </c>
      <c r="T193" s="2">
        <v>44256</v>
      </c>
      <c r="U193" s="1" t="s">
        <v>41</v>
      </c>
      <c r="V193">
        <v>0</v>
      </c>
      <c r="W193" s="1" t="s">
        <v>56</v>
      </c>
      <c r="X193">
        <v>155</v>
      </c>
      <c r="Y193" s="1" t="s">
        <v>43</v>
      </c>
      <c r="Z193" s="1" t="s">
        <v>42</v>
      </c>
      <c r="AA193">
        <v>0.14285714285714285</v>
      </c>
      <c r="AB193" s="1" t="s">
        <v>42</v>
      </c>
      <c r="AC193">
        <v>1</v>
      </c>
      <c r="AD193" s="2">
        <v>44256</v>
      </c>
      <c r="AE193" s="1" t="s">
        <v>58</v>
      </c>
      <c r="AF193" s="1" t="s">
        <v>54</v>
      </c>
      <c r="AG193" s="1" t="s">
        <v>63</v>
      </c>
      <c r="AH193" s="1" t="s">
        <v>47</v>
      </c>
      <c r="AI193">
        <v>8868</v>
      </c>
      <c r="AJ193">
        <v>-221.70000000000073</v>
      </c>
    </row>
    <row r="194" spans="1:36" x14ac:dyDescent="0.25">
      <c r="A194">
        <v>10193</v>
      </c>
      <c r="B194">
        <v>61</v>
      </c>
      <c r="C194" s="1" t="s">
        <v>60</v>
      </c>
      <c r="D194" s="1" t="s">
        <v>48</v>
      </c>
      <c r="E194" s="2">
        <v>44427</v>
      </c>
      <c r="F194" s="2">
        <v>44870</v>
      </c>
      <c r="G194" s="1" t="s">
        <v>62</v>
      </c>
      <c r="H194">
        <v>1077</v>
      </c>
      <c r="I194">
        <v>2</v>
      </c>
      <c r="J194">
        <v>3</v>
      </c>
      <c r="K194">
        <v>111.14</v>
      </c>
      <c r="L194">
        <v>15</v>
      </c>
      <c r="M194" s="1" t="s">
        <v>67</v>
      </c>
      <c r="N194" s="1" t="s">
        <v>56</v>
      </c>
      <c r="O194">
        <v>1992.45</v>
      </c>
      <c r="P194" t="b">
        <v>1</v>
      </c>
      <c r="Q194">
        <v>0.16666666666666666</v>
      </c>
      <c r="R194">
        <v>996.22500000000002</v>
      </c>
      <c r="S194">
        <v>27.785</v>
      </c>
      <c r="T194" s="2">
        <v>44409</v>
      </c>
      <c r="U194" s="1" t="s">
        <v>41</v>
      </c>
      <c r="V194">
        <v>0</v>
      </c>
      <c r="W194" s="1" t="s">
        <v>56</v>
      </c>
      <c r="X194">
        <v>443</v>
      </c>
      <c r="Y194" s="1" t="s">
        <v>43</v>
      </c>
      <c r="Z194" s="1" t="s">
        <v>42</v>
      </c>
      <c r="AA194">
        <v>1</v>
      </c>
      <c r="AB194" s="1" t="s">
        <v>42</v>
      </c>
      <c r="AC194">
        <v>2</v>
      </c>
      <c r="AD194" s="2">
        <v>44409</v>
      </c>
      <c r="AE194" s="1" t="s">
        <v>58</v>
      </c>
      <c r="AF194" s="1" t="s">
        <v>72</v>
      </c>
      <c r="AG194" s="1" t="s">
        <v>63</v>
      </c>
      <c r="AH194" s="1" t="s">
        <v>47</v>
      </c>
      <c r="AI194">
        <v>2154</v>
      </c>
      <c r="AJ194">
        <v>-161.54999999999995</v>
      </c>
    </row>
    <row r="195" spans="1:36" x14ac:dyDescent="0.25">
      <c r="A195">
        <v>10194</v>
      </c>
      <c r="B195">
        <v>41</v>
      </c>
      <c r="C195" s="1" t="s">
        <v>36</v>
      </c>
      <c r="D195" s="1" t="s">
        <v>76</v>
      </c>
      <c r="E195" s="2">
        <v>44912</v>
      </c>
      <c r="F195" s="2">
        <v>44764</v>
      </c>
      <c r="G195" s="1" t="s">
        <v>38</v>
      </c>
      <c r="H195">
        <v>659</v>
      </c>
      <c r="I195">
        <v>3</v>
      </c>
      <c r="J195">
        <v>1</v>
      </c>
      <c r="K195">
        <v>54.56</v>
      </c>
      <c r="L195">
        <v>20</v>
      </c>
      <c r="M195" s="1" t="s">
        <v>39</v>
      </c>
      <c r="N195" s="1" t="s">
        <v>56</v>
      </c>
      <c r="O195">
        <v>1845.2</v>
      </c>
      <c r="P195" t="b">
        <v>0</v>
      </c>
      <c r="Q195">
        <v>0.25</v>
      </c>
      <c r="R195">
        <v>615.06666666666672</v>
      </c>
      <c r="S195">
        <v>27.28</v>
      </c>
      <c r="T195" s="2">
        <v>44896</v>
      </c>
      <c r="U195" s="1" t="s">
        <v>51</v>
      </c>
      <c r="V195">
        <v>0</v>
      </c>
      <c r="W195" s="1" t="s">
        <v>56</v>
      </c>
      <c r="Y195" s="1" t="s">
        <v>52</v>
      </c>
      <c r="Z195" s="1" t="s">
        <v>52</v>
      </c>
      <c r="AA195">
        <v>0.25</v>
      </c>
      <c r="AB195" s="1" t="s">
        <v>42</v>
      </c>
      <c r="AC195">
        <v>1</v>
      </c>
      <c r="AD195" s="2">
        <v>44896</v>
      </c>
      <c r="AE195" s="1" t="s">
        <v>58</v>
      </c>
      <c r="AF195" s="1" t="s">
        <v>54</v>
      </c>
      <c r="AG195" s="1" t="s">
        <v>63</v>
      </c>
      <c r="AH195" s="1" t="s">
        <v>64</v>
      </c>
      <c r="AI195">
        <v>1977</v>
      </c>
      <c r="AJ195">
        <v>-131.79999999999995</v>
      </c>
    </row>
    <row r="196" spans="1:36" x14ac:dyDescent="0.25">
      <c r="A196">
        <v>10195</v>
      </c>
      <c r="B196">
        <v>32</v>
      </c>
      <c r="C196" s="1" t="s">
        <v>36</v>
      </c>
      <c r="D196" s="1" t="s">
        <v>37</v>
      </c>
      <c r="E196" s="2">
        <v>44444</v>
      </c>
      <c r="F196" s="2">
        <v>45113</v>
      </c>
      <c r="G196" s="1" t="s">
        <v>49</v>
      </c>
      <c r="H196">
        <v>631</v>
      </c>
      <c r="I196">
        <v>8</v>
      </c>
      <c r="J196">
        <v>3</v>
      </c>
      <c r="K196">
        <v>118.24</v>
      </c>
      <c r="L196">
        <v>10</v>
      </c>
      <c r="M196" s="1" t="s">
        <v>39</v>
      </c>
      <c r="N196" s="1" t="s">
        <v>56</v>
      </c>
      <c r="O196">
        <v>4984.8999999999996</v>
      </c>
      <c r="P196" t="b">
        <v>1</v>
      </c>
      <c r="Q196">
        <v>0.66666666666666663</v>
      </c>
      <c r="R196">
        <v>623.11249999999995</v>
      </c>
      <c r="S196">
        <v>29.56</v>
      </c>
      <c r="T196" s="2">
        <v>44440</v>
      </c>
      <c r="U196" s="1" t="s">
        <v>57</v>
      </c>
      <c r="V196">
        <v>0</v>
      </c>
      <c r="W196" s="1" t="s">
        <v>56</v>
      </c>
      <c r="X196">
        <v>669</v>
      </c>
      <c r="Y196" s="1" t="s">
        <v>43</v>
      </c>
      <c r="Z196" s="1" t="s">
        <v>42</v>
      </c>
      <c r="AA196">
        <v>0.33333333333333331</v>
      </c>
      <c r="AB196" s="1" t="s">
        <v>42</v>
      </c>
      <c r="AC196">
        <v>3</v>
      </c>
      <c r="AD196" s="2">
        <v>44440</v>
      </c>
      <c r="AE196" s="1" t="s">
        <v>74</v>
      </c>
      <c r="AF196" s="1" t="s">
        <v>72</v>
      </c>
      <c r="AG196" s="1" t="s">
        <v>63</v>
      </c>
      <c r="AH196" s="1" t="s">
        <v>64</v>
      </c>
      <c r="AI196">
        <v>5048</v>
      </c>
      <c r="AJ196">
        <v>-63.100000000000364</v>
      </c>
    </row>
    <row r="197" spans="1:36" x14ac:dyDescent="0.25">
      <c r="A197">
        <v>10196</v>
      </c>
      <c r="B197">
        <v>49</v>
      </c>
      <c r="C197" s="1" t="s">
        <v>36</v>
      </c>
      <c r="D197" s="1" t="s">
        <v>73</v>
      </c>
      <c r="E197" s="2">
        <v>44498</v>
      </c>
      <c r="F197" s="2">
        <v>44731</v>
      </c>
      <c r="G197" s="1" t="s">
        <v>38</v>
      </c>
      <c r="H197">
        <v>827</v>
      </c>
      <c r="I197">
        <v>31</v>
      </c>
      <c r="J197">
        <v>5</v>
      </c>
      <c r="K197">
        <v>29.8</v>
      </c>
      <c r="L197">
        <v>5</v>
      </c>
      <c r="M197" s="1" t="s">
        <v>67</v>
      </c>
      <c r="N197" s="1" t="s">
        <v>56</v>
      </c>
      <c r="O197">
        <v>25595.65</v>
      </c>
      <c r="P197" t="b">
        <v>1</v>
      </c>
      <c r="Q197">
        <v>2.5833333333333335</v>
      </c>
      <c r="R197">
        <v>825.66612903225814</v>
      </c>
      <c r="S197">
        <v>4.9666666666666668</v>
      </c>
      <c r="T197" s="2">
        <v>44470</v>
      </c>
      <c r="U197" s="1" t="s">
        <v>51</v>
      </c>
      <c r="V197">
        <v>0</v>
      </c>
      <c r="W197" s="1" t="s">
        <v>40</v>
      </c>
      <c r="X197">
        <v>233</v>
      </c>
      <c r="Y197" s="1" t="s">
        <v>52</v>
      </c>
      <c r="Z197" s="1" t="s">
        <v>42</v>
      </c>
      <c r="AA197">
        <v>0.15625</v>
      </c>
      <c r="AB197" s="1" t="s">
        <v>43</v>
      </c>
      <c r="AC197">
        <v>1</v>
      </c>
      <c r="AD197" s="2">
        <v>44470</v>
      </c>
      <c r="AE197" s="1" t="s">
        <v>44</v>
      </c>
      <c r="AF197" s="1" t="s">
        <v>45</v>
      </c>
      <c r="AG197" s="1" t="s">
        <v>70</v>
      </c>
      <c r="AH197" s="1" t="s">
        <v>59</v>
      </c>
      <c r="AI197">
        <v>25637</v>
      </c>
      <c r="AJ197">
        <v>-41.349999999998545</v>
      </c>
    </row>
    <row r="198" spans="1:36" x14ac:dyDescent="0.25">
      <c r="A198">
        <v>10197</v>
      </c>
      <c r="B198">
        <v>49</v>
      </c>
      <c r="C198" s="1" t="s">
        <v>36</v>
      </c>
      <c r="D198" s="1" t="s">
        <v>73</v>
      </c>
      <c r="E198" s="2">
        <v>44922</v>
      </c>
      <c r="F198" s="2">
        <v>44738</v>
      </c>
      <c r="G198" s="1" t="s">
        <v>38</v>
      </c>
      <c r="H198">
        <v>311</v>
      </c>
      <c r="I198">
        <v>19</v>
      </c>
      <c r="J198">
        <v>2</v>
      </c>
      <c r="K198">
        <v>87.15</v>
      </c>
      <c r="L198">
        <v>20</v>
      </c>
      <c r="M198" s="1" t="s">
        <v>39</v>
      </c>
      <c r="N198" s="1" t="s">
        <v>56</v>
      </c>
      <c r="O198">
        <v>5846.8</v>
      </c>
      <c r="P198" t="b">
        <v>0</v>
      </c>
      <c r="Q198">
        <v>1.5833333333333333</v>
      </c>
      <c r="R198">
        <v>307.72631578947369</v>
      </c>
      <c r="S198">
        <v>29.05</v>
      </c>
      <c r="T198" s="2">
        <v>44896</v>
      </c>
      <c r="U198" s="1" t="s">
        <v>51</v>
      </c>
      <c r="V198">
        <v>0</v>
      </c>
      <c r="W198" s="1" t="s">
        <v>56</v>
      </c>
      <c r="Y198" s="1" t="s">
        <v>43</v>
      </c>
      <c r="Z198" s="1" t="s">
        <v>52</v>
      </c>
      <c r="AA198">
        <v>0.1</v>
      </c>
      <c r="AB198" s="1" t="s">
        <v>42</v>
      </c>
      <c r="AC198">
        <v>1</v>
      </c>
      <c r="AD198" s="2">
        <v>44896</v>
      </c>
      <c r="AE198" s="1" t="s">
        <v>53</v>
      </c>
      <c r="AF198" s="1" t="s">
        <v>72</v>
      </c>
      <c r="AG198" s="1" t="s">
        <v>63</v>
      </c>
      <c r="AH198" s="1" t="s">
        <v>68</v>
      </c>
      <c r="AI198">
        <v>5909</v>
      </c>
      <c r="AJ198">
        <v>-62.199999999999818</v>
      </c>
    </row>
    <row r="199" spans="1:36" x14ac:dyDescent="0.25">
      <c r="A199">
        <v>10198</v>
      </c>
      <c r="B199">
        <v>41</v>
      </c>
      <c r="C199" s="1" t="s">
        <v>60</v>
      </c>
      <c r="D199" s="1" t="s">
        <v>61</v>
      </c>
      <c r="E199" s="2">
        <v>44411</v>
      </c>
      <c r="F199" s="2">
        <v>45243</v>
      </c>
      <c r="G199" s="1" t="s">
        <v>38</v>
      </c>
      <c r="H199">
        <v>1398</v>
      </c>
      <c r="I199">
        <v>6</v>
      </c>
      <c r="J199">
        <v>1</v>
      </c>
      <c r="K199">
        <v>66.41</v>
      </c>
      <c r="L199">
        <v>15</v>
      </c>
      <c r="M199" s="1" t="s">
        <v>67</v>
      </c>
      <c r="N199" s="1" t="s">
        <v>40</v>
      </c>
      <c r="O199">
        <v>8178.3</v>
      </c>
      <c r="P199" t="b">
        <v>1</v>
      </c>
      <c r="Q199">
        <v>0.5</v>
      </c>
      <c r="R199">
        <v>1363.05</v>
      </c>
      <c r="S199">
        <v>33.204999999999998</v>
      </c>
      <c r="T199" s="2">
        <v>44409</v>
      </c>
      <c r="U199" s="1" t="s">
        <v>51</v>
      </c>
      <c r="V199">
        <v>1</v>
      </c>
      <c r="W199" s="1" t="s">
        <v>56</v>
      </c>
      <c r="X199">
        <v>832</v>
      </c>
      <c r="Y199" s="1" t="s">
        <v>43</v>
      </c>
      <c r="Z199" s="1" t="s">
        <v>42</v>
      </c>
      <c r="AA199">
        <v>0.14285714285714285</v>
      </c>
      <c r="AB199" s="1" t="s">
        <v>42</v>
      </c>
      <c r="AC199">
        <v>1</v>
      </c>
      <c r="AD199" s="2">
        <v>44409</v>
      </c>
      <c r="AE199" s="1" t="s">
        <v>58</v>
      </c>
      <c r="AF199" s="1" t="s">
        <v>54</v>
      </c>
      <c r="AG199" s="1" t="s">
        <v>63</v>
      </c>
      <c r="AH199" s="1" t="s">
        <v>47</v>
      </c>
      <c r="AI199">
        <v>8388</v>
      </c>
      <c r="AJ199">
        <v>-209.69999999999982</v>
      </c>
    </row>
    <row r="200" spans="1:36" x14ac:dyDescent="0.25">
      <c r="A200">
        <v>10199</v>
      </c>
      <c r="B200">
        <v>58</v>
      </c>
      <c r="C200" s="1" t="s">
        <v>36</v>
      </c>
      <c r="D200" s="1" t="s">
        <v>71</v>
      </c>
      <c r="E200" s="2">
        <v>44354</v>
      </c>
      <c r="F200" s="2">
        <v>45146</v>
      </c>
      <c r="G200" s="1" t="s">
        <v>38</v>
      </c>
      <c r="H200">
        <v>511</v>
      </c>
      <c r="I200">
        <v>14</v>
      </c>
      <c r="J200">
        <v>0</v>
      </c>
      <c r="K200">
        <v>98.94</v>
      </c>
      <c r="L200">
        <v>10</v>
      </c>
      <c r="M200" s="1" t="s">
        <v>67</v>
      </c>
      <c r="N200" s="1" t="s">
        <v>56</v>
      </c>
      <c r="O200">
        <v>7154</v>
      </c>
      <c r="P200" t="b">
        <v>1</v>
      </c>
      <c r="Q200">
        <v>1.1666666666666667</v>
      </c>
      <c r="R200">
        <v>511</v>
      </c>
      <c r="S200">
        <v>98.94</v>
      </c>
      <c r="T200" s="2">
        <v>44348</v>
      </c>
      <c r="U200" s="1" t="s">
        <v>41</v>
      </c>
      <c r="V200">
        <v>0</v>
      </c>
      <c r="W200" s="1" t="s">
        <v>56</v>
      </c>
      <c r="X200">
        <v>792</v>
      </c>
      <c r="Y200" s="1" t="s">
        <v>43</v>
      </c>
      <c r="Z200" s="1" t="s">
        <v>42</v>
      </c>
      <c r="AA200">
        <v>0</v>
      </c>
      <c r="AB200" s="1" t="s">
        <v>42</v>
      </c>
      <c r="AC200">
        <v>1</v>
      </c>
      <c r="AD200" s="2">
        <v>44348</v>
      </c>
      <c r="AE200" s="1" t="s">
        <v>53</v>
      </c>
      <c r="AF200" s="1" t="s">
        <v>54</v>
      </c>
      <c r="AG200" s="1" t="s">
        <v>63</v>
      </c>
      <c r="AH200" s="1" t="s">
        <v>64</v>
      </c>
      <c r="AI200">
        <v>7154</v>
      </c>
      <c r="AJ200">
        <v>0</v>
      </c>
    </row>
    <row r="201" spans="1:36" x14ac:dyDescent="0.25">
      <c r="A201">
        <v>10200</v>
      </c>
      <c r="B201">
        <v>29</v>
      </c>
      <c r="C201" s="1" t="s">
        <v>36</v>
      </c>
      <c r="D201" s="1" t="s">
        <v>73</v>
      </c>
      <c r="E201" s="2">
        <v>44265</v>
      </c>
      <c r="F201" s="2">
        <v>45035</v>
      </c>
      <c r="G201" s="1" t="s">
        <v>38</v>
      </c>
      <c r="H201">
        <v>940</v>
      </c>
      <c r="I201">
        <v>3</v>
      </c>
      <c r="J201">
        <v>1</v>
      </c>
      <c r="K201">
        <v>59.83</v>
      </c>
      <c r="L201">
        <v>15</v>
      </c>
      <c r="M201" s="1" t="s">
        <v>50</v>
      </c>
      <c r="N201" s="1" t="s">
        <v>40</v>
      </c>
      <c r="O201">
        <v>2679</v>
      </c>
      <c r="P201" t="b">
        <v>1</v>
      </c>
      <c r="Q201">
        <v>0.25</v>
      </c>
      <c r="R201">
        <v>893</v>
      </c>
      <c r="S201">
        <v>29.914999999999999</v>
      </c>
      <c r="T201" s="2">
        <v>44256</v>
      </c>
      <c r="U201" s="1" t="s">
        <v>57</v>
      </c>
      <c r="V201">
        <v>1</v>
      </c>
      <c r="W201" s="1" t="s">
        <v>56</v>
      </c>
      <c r="X201">
        <v>770</v>
      </c>
      <c r="Y201" s="1" t="s">
        <v>52</v>
      </c>
      <c r="Z201" s="1" t="s">
        <v>42</v>
      </c>
      <c r="AA201">
        <v>0.25</v>
      </c>
      <c r="AB201" s="1" t="s">
        <v>42</v>
      </c>
      <c r="AC201">
        <v>1</v>
      </c>
      <c r="AD201" s="2">
        <v>44256</v>
      </c>
      <c r="AE201" s="1" t="s">
        <v>58</v>
      </c>
      <c r="AF201" s="1" t="s">
        <v>54</v>
      </c>
      <c r="AG201" s="1" t="s">
        <v>63</v>
      </c>
      <c r="AH201" s="1" t="s">
        <v>59</v>
      </c>
      <c r="AI201">
        <v>2820</v>
      </c>
      <c r="AJ201">
        <v>-141</v>
      </c>
    </row>
    <row r="202" spans="1:36" x14ac:dyDescent="0.25">
      <c r="A202">
        <v>10201</v>
      </c>
      <c r="B202">
        <v>56</v>
      </c>
      <c r="C202" s="1" t="s">
        <v>36</v>
      </c>
      <c r="D202" s="1" t="s">
        <v>69</v>
      </c>
      <c r="E202" s="2">
        <v>44589</v>
      </c>
      <c r="F202" s="2">
        <v>44473</v>
      </c>
      <c r="G202" s="1" t="s">
        <v>62</v>
      </c>
      <c r="H202">
        <v>582</v>
      </c>
      <c r="I202">
        <v>1</v>
      </c>
      <c r="J202">
        <v>3</v>
      </c>
      <c r="K202">
        <v>95.15</v>
      </c>
      <c r="L202">
        <v>15</v>
      </c>
      <c r="M202" s="1" t="s">
        <v>50</v>
      </c>
      <c r="N202" s="1" t="s">
        <v>56</v>
      </c>
      <c r="O202">
        <v>494.7</v>
      </c>
      <c r="P202" t="b">
        <v>0</v>
      </c>
      <c r="Q202">
        <v>8.3333333333333329E-2</v>
      </c>
      <c r="R202">
        <v>494.7</v>
      </c>
      <c r="S202">
        <v>23.787500000000001</v>
      </c>
      <c r="T202" s="2">
        <v>44562</v>
      </c>
      <c r="U202" s="1" t="s">
        <v>41</v>
      </c>
      <c r="V202">
        <v>0</v>
      </c>
      <c r="W202" s="1" t="s">
        <v>56</v>
      </c>
      <c r="Y202" s="1" t="s">
        <v>43</v>
      </c>
      <c r="Z202" s="1" t="s">
        <v>42</v>
      </c>
      <c r="AA202">
        <v>1.5</v>
      </c>
      <c r="AB202" s="1" t="s">
        <v>42</v>
      </c>
      <c r="AC202">
        <v>2</v>
      </c>
      <c r="AD202" s="2">
        <v>44562</v>
      </c>
      <c r="AE202" s="1" t="s">
        <v>58</v>
      </c>
      <c r="AF202" s="1" t="s">
        <v>72</v>
      </c>
      <c r="AG202" s="1" t="s">
        <v>63</v>
      </c>
      <c r="AH202" s="1" t="s">
        <v>64</v>
      </c>
      <c r="AI202">
        <v>582</v>
      </c>
      <c r="AJ202">
        <v>-87.300000000000011</v>
      </c>
    </row>
    <row r="203" spans="1:36" x14ac:dyDescent="0.25">
      <c r="A203">
        <v>10202</v>
      </c>
      <c r="B203">
        <v>19</v>
      </c>
      <c r="C203" s="1" t="s">
        <v>36</v>
      </c>
      <c r="D203" s="1" t="s">
        <v>37</v>
      </c>
      <c r="E203" s="2">
        <v>44281</v>
      </c>
      <c r="F203" s="2">
        <v>44841</v>
      </c>
      <c r="G203" s="1" t="s">
        <v>38</v>
      </c>
      <c r="H203">
        <v>1079</v>
      </c>
      <c r="I203">
        <v>30</v>
      </c>
      <c r="J203">
        <v>4</v>
      </c>
      <c r="K203">
        <v>62.59</v>
      </c>
      <c r="L203">
        <v>0</v>
      </c>
      <c r="M203" s="1" t="s">
        <v>39</v>
      </c>
      <c r="N203" s="1" t="s">
        <v>56</v>
      </c>
      <c r="O203">
        <v>32370</v>
      </c>
      <c r="P203" t="b">
        <v>1</v>
      </c>
      <c r="Q203">
        <v>2.5</v>
      </c>
      <c r="R203">
        <v>1079</v>
      </c>
      <c r="S203">
        <v>12.518000000000001</v>
      </c>
      <c r="T203" s="2">
        <v>44256</v>
      </c>
      <c r="U203" s="1" t="s">
        <v>66</v>
      </c>
      <c r="V203">
        <v>0</v>
      </c>
      <c r="W203" s="1" t="s">
        <v>40</v>
      </c>
      <c r="X203">
        <v>560</v>
      </c>
      <c r="Y203" s="1" t="s">
        <v>43</v>
      </c>
      <c r="Z203" s="1" t="s">
        <v>42</v>
      </c>
      <c r="AA203">
        <v>0.12903225806451613</v>
      </c>
      <c r="AB203" s="1" t="s">
        <v>43</v>
      </c>
      <c r="AC203">
        <v>1</v>
      </c>
      <c r="AD203" s="2">
        <v>44256</v>
      </c>
      <c r="AE203" s="1" t="s">
        <v>44</v>
      </c>
      <c r="AF203" s="1" t="s">
        <v>45</v>
      </c>
      <c r="AG203" s="1" t="s">
        <v>63</v>
      </c>
      <c r="AH203" s="1" t="s">
        <v>47</v>
      </c>
      <c r="AI203">
        <v>32370</v>
      </c>
      <c r="AJ203">
        <v>0</v>
      </c>
    </row>
    <row r="204" spans="1:36" x14ac:dyDescent="0.25">
      <c r="A204">
        <v>10203</v>
      </c>
      <c r="B204">
        <v>20</v>
      </c>
      <c r="C204" s="1" t="s">
        <v>36</v>
      </c>
      <c r="D204" s="1" t="s">
        <v>69</v>
      </c>
      <c r="E204" s="2">
        <v>44463</v>
      </c>
      <c r="F204" s="2">
        <v>44394</v>
      </c>
      <c r="G204" s="1" t="s">
        <v>38</v>
      </c>
      <c r="H204">
        <v>1353</v>
      </c>
      <c r="I204">
        <v>19</v>
      </c>
      <c r="J204">
        <v>1</v>
      </c>
      <c r="K204">
        <v>89.21</v>
      </c>
      <c r="L204">
        <v>10</v>
      </c>
      <c r="M204" s="1" t="s">
        <v>39</v>
      </c>
      <c r="N204" s="1" t="s">
        <v>56</v>
      </c>
      <c r="O204">
        <v>25571.7</v>
      </c>
      <c r="P204" t="b">
        <v>0</v>
      </c>
      <c r="Q204">
        <v>1.5833333333333333</v>
      </c>
      <c r="R204">
        <v>1345.878947368421</v>
      </c>
      <c r="S204">
        <v>44.604999999999997</v>
      </c>
      <c r="T204" s="2">
        <v>44440</v>
      </c>
      <c r="U204" s="1" t="s">
        <v>66</v>
      </c>
      <c r="V204">
        <v>0</v>
      </c>
      <c r="W204" s="1" t="s">
        <v>40</v>
      </c>
      <c r="Y204" s="1" t="s">
        <v>43</v>
      </c>
      <c r="Z204" s="1" t="s">
        <v>42</v>
      </c>
      <c r="AA204">
        <v>0.05</v>
      </c>
      <c r="AB204" s="1" t="s">
        <v>43</v>
      </c>
      <c r="AC204">
        <v>1</v>
      </c>
      <c r="AD204" s="2">
        <v>44440</v>
      </c>
      <c r="AE204" s="1" t="s">
        <v>53</v>
      </c>
      <c r="AF204" s="1" t="s">
        <v>54</v>
      </c>
      <c r="AG204" s="1" t="s">
        <v>63</v>
      </c>
      <c r="AH204" s="1" t="s">
        <v>47</v>
      </c>
      <c r="AI204">
        <v>25707</v>
      </c>
      <c r="AJ204">
        <v>-135.29999999999927</v>
      </c>
    </row>
    <row r="205" spans="1:36" x14ac:dyDescent="0.25">
      <c r="A205">
        <v>10204</v>
      </c>
      <c r="B205">
        <v>54</v>
      </c>
      <c r="C205" s="1" t="s">
        <v>60</v>
      </c>
      <c r="D205" s="1" t="s">
        <v>71</v>
      </c>
      <c r="E205" s="2">
        <v>44265</v>
      </c>
      <c r="F205" s="2">
        <v>45065</v>
      </c>
      <c r="G205" s="1" t="s">
        <v>38</v>
      </c>
      <c r="H205">
        <v>1332</v>
      </c>
      <c r="I205">
        <v>19</v>
      </c>
      <c r="J205">
        <v>5</v>
      </c>
      <c r="K205">
        <v>94.25</v>
      </c>
      <c r="L205">
        <v>10</v>
      </c>
      <c r="M205" s="1" t="s">
        <v>39</v>
      </c>
      <c r="N205" s="1" t="s">
        <v>56</v>
      </c>
      <c r="O205">
        <v>25174.799999999999</v>
      </c>
      <c r="P205" t="b">
        <v>1</v>
      </c>
      <c r="Q205">
        <v>1.5833333333333333</v>
      </c>
      <c r="R205">
        <v>1324.9894736842105</v>
      </c>
      <c r="S205">
        <v>15.708333333333334</v>
      </c>
      <c r="T205" s="2">
        <v>44256</v>
      </c>
      <c r="U205" s="1" t="s">
        <v>41</v>
      </c>
      <c r="V205">
        <v>0</v>
      </c>
      <c r="W205" s="1" t="s">
        <v>40</v>
      </c>
      <c r="X205">
        <v>800</v>
      </c>
      <c r="Y205" s="1" t="s">
        <v>43</v>
      </c>
      <c r="Z205" s="1" t="s">
        <v>42</v>
      </c>
      <c r="AA205">
        <v>0.25</v>
      </c>
      <c r="AB205" s="1" t="s">
        <v>43</v>
      </c>
      <c r="AC205">
        <v>1</v>
      </c>
      <c r="AD205" s="2">
        <v>44256</v>
      </c>
      <c r="AE205" s="1" t="s">
        <v>53</v>
      </c>
      <c r="AF205" s="1" t="s">
        <v>45</v>
      </c>
      <c r="AG205" s="1" t="s">
        <v>63</v>
      </c>
      <c r="AH205" s="1" t="s">
        <v>47</v>
      </c>
      <c r="AI205">
        <v>25308</v>
      </c>
      <c r="AJ205">
        <v>-133.20000000000073</v>
      </c>
    </row>
    <row r="206" spans="1:36" x14ac:dyDescent="0.25">
      <c r="A206">
        <v>10205</v>
      </c>
      <c r="B206">
        <v>34</v>
      </c>
      <c r="C206" s="1" t="s">
        <v>36</v>
      </c>
      <c r="D206" s="1" t="s">
        <v>61</v>
      </c>
      <c r="E206" s="2">
        <v>44807</v>
      </c>
      <c r="F206" s="2">
        <v>44823</v>
      </c>
      <c r="G206" s="1" t="s">
        <v>49</v>
      </c>
      <c r="H206">
        <v>976</v>
      </c>
      <c r="I206">
        <v>9</v>
      </c>
      <c r="J206">
        <v>2</v>
      </c>
      <c r="K206">
        <v>12.73</v>
      </c>
      <c r="L206">
        <v>15</v>
      </c>
      <c r="M206" s="1" t="s">
        <v>39</v>
      </c>
      <c r="N206" s="1" t="s">
        <v>40</v>
      </c>
      <c r="O206">
        <v>8637.6</v>
      </c>
      <c r="P206" t="b">
        <v>1</v>
      </c>
      <c r="Q206">
        <v>0.75</v>
      </c>
      <c r="R206">
        <v>959.73333333333335</v>
      </c>
      <c r="S206">
        <v>4.2433333333333332</v>
      </c>
      <c r="T206" s="2">
        <v>44805</v>
      </c>
      <c r="U206" s="1" t="s">
        <v>57</v>
      </c>
      <c r="V206">
        <v>1</v>
      </c>
      <c r="W206" s="1" t="s">
        <v>56</v>
      </c>
      <c r="X206">
        <v>16</v>
      </c>
      <c r="Y206" s="1" t="s">
        <v>42</v>
      </c>
      <c r="Z206" s="1" t="s">
        <v>42</v>
      </c>
      <c r="AA206">
        <v>0.2</v>
      </c>
      <c r="AB206" s="1" t="s">
        <v>42</v>
      </c>
      <c r="AC206">
        <v>3</v>
      </c>
      <c r="AD206" s="2">
        <v>44805</v>
      </c>
      <c r="AE206" s="1" t="s">
        <v>74</v>
      </c>
      <c r="AF206" s="1" t="s">
        <v>72</v>
      </c>
      <c r="AG206" s="1" t="s">
        <v>46</v>
      </c>
      <c r="AH206" s="1" t="s">
        <v>59</v>
      </c>
      <c r="AI206">
        <v>8784</v>
      </c>
      <c r="AJ206">
        <v>-146.39999999999964</v>
      </c>
    </row>
    <row r="207" spans="1:36" x14ac:dyDescent="0.25">
      <c r="A207">
        <v>10206</v>
      </c>
      <c r="B207">
        <v>19</v>
      </c>
      <c r="C207" s="1" t="s">
        <v>36</v>
      </c>
      <c r="D207" s="1" t="s">
        <v>76</v>
      </c>
      <c r="E207" s="2">
        <v>44543</v>
      </c>
      <c r="F207" s="2">
        <v>44966</v>
      </c>
      <c r="G207" s="1" t="s">
        <v>62</v>
      </c>
      <c r="H207">
        <v>1004</v>
      </c>
      <c r="I207">
        <v>7</v>
      </c>
      <c r="J207">
        <v>3</v>
      </c>
      <c r="K207">
        <v>28.57</v>
      </c>
      <c r="L207">
        <v>20</v>
      </c>
      <c r="M207" s="1" t="s">
        <v>39</v>
      </c>
      <c r="N207" s="1" t="s">
        <v>56</v>
      </c>
      <c r="O207">
        <v>6827.2</v>
      </c>
      <c r="P207" t="b">
        <v>1</v>
      </c>
      <c r="Q207">
        <v>0.58333333333333337</v>
      </c>
      <c r="R207">
        <v>975.31428571428569</v>
      </c>
      <c r="S207">
        <v>7.1425000000000001</v>
      </c>
      <c r="T207" s="2">
        <v>44531</v>
      </c>
      <c r="U207" s="1" t="s">
        <v>66</v>
      </c>
      <c r="V207">
        <v>0</v>
      </c>
      <c r="W207" s="1" t="s">
        <v>56</v>
      </c>
      <c r="X207">
        <v>423</v>
      </c>
      <c r="Y207" s="1" t="s">
        <v>52</v>
      </c>
      <c r="Z207" s="1" t="s">
        <v>52</v>
      </c>
      <c r="AA207">
        <v>0.375</v>
      </c>
      <c r="AB207" s="1" t="s">
        <v>42</v>
      </c>
      <c r="AC207">
        <v>2</v>
      </c>
      <c r="AD207" s="2">
        <v>44531</v>
      </c>
      <c r="AE207" s="1" t="s">
        <v>74</v>
      </c>
      <c r="AF207" s="1" t="s">
        <v>72</v>
      </c>
      <c r="AG207" s="1" t="s">
        <v>70</v>
      </c>
      <c r="AH207" s="1" t="s">
        <v>47</v>
      </c>
      <c r="AI207">
        <v>7028</v>
      </c>
      <c r="AJ207">
        <v>-200.80000000000018</v>
      </c>
    </row>
    <row r="208" spans="1:36" x14ac:dyDescent="0.25">
      <c r="A208">
        <v>10207</v>
      </c>
      <c r="B208">
        <v>19</v>
      </c>
      <c r="C208" s="1" t="s">
        <v>36</v>
      </c>
      <c r="D208" s="1" t="s">
        <v>69</v>
      </c>
      <c r="E208" s="2">
        <v>44924</v>
      </c>
      <c r="F208" s="2">
        <v>44811</v>
      </c>
      <c r="G208" s="1" t="s">
        <v>62</v>
      </c>
      <c r="H208">
        <v>725</v>
      </c>
      <c r="I208">
        <v>7</v>
      </c>
      <c r="J208">
        <v>1</v>
      </c>
      <c r="K208">
        <v>117.04</v>
      </c>
      <c r="L208">
        <v>5</v>
      </c>
      <c r="M208" s="1" t="s">
        <v>50</v>
      </c>
      <c r="N208" s="1" t="s">
        <v>56</v>
      </c>
      <c r="O208">
        <v>5038.75</v>
      </c>
      <c r="P208" t="b">
        <v>0</v>
      </c>
      <c r="Q208">
        <v>0.58333333333333337</v>
      </c>
      <c r="R208">
        <v>719.82142857142856</v>
      </c>
      <c r="S208">
        <v>58.52</v>
      </c>
      <c r="T208" s="2">
        <v>44896</v>
      </c>
      <c r="U208" s="1" t="s">
        <v>66</v>
      </c>
      <c r="V208">
        <v>0</v>
      </c>
      <c r="W208" s="1" t="s">
        <v>56</v>
      </c>
      <c r="Y208" s="1" t="s">
        <v>43</v>
      </c>
      <c r="Z208" s="1" t="s">
        <v>42</v>
      </c>
      <c r="AA208">
        <v>0.125</v>
      </c>
      <c r="AB208" s="1" t="s">
        <v>42</v>
      </c>
      <c r="AC208">
        <v>2</v>
      </c>
      <c r="AD208" s="2">
        <v>44896</v>
      </c>
      <c r="AE208" s="1" t="s">
        <v>74</v>
      </c>
      <c r="AF208" s="1" t="s">
        <v>54</v>
      </c>
      <c r="AG208" s="1" t="s">
        <v>63</v>
      </c>
      <c r="AH208" s="1" t="s">
        <v>59</v>
      </c>
      <c r="AI208">
        <v>5075</v>
      </c>
      <c r="AJ208">
        <v>-36.25</v>
      </c>
    </row>
    <row r="209" spans="1:36" x14ac:dyDescent="0.25">
      <c r="A209">
        <v>10208</v>
      </c>
      <c r="B209">
        <v>45</v>
      </c>
      <c r="C209" s="1" t="s">
        <v>36</v>
      </c>
      <c r="D209" s="1" t="s">
        <v>48</v>
      </c>
      <c r="E209" s="2">
        <v>44869</v>
      </c>
      <c r="F209" s="2">
        <v>45134</v>
      </c>
      <c r="G209" s="1" t="s">
        <v>62</v>
      </c>
      <c r="H209">
        <v>890</v>
      </c>
      <c r="I209">
        <v>9</v>
      </c>
      <c r="J209">
        <v>3</v>
      </c>
      <c r="K209">
        <v>84.72</v>
      </c>
      <c r="L209">
        <v>20</v>
      </c>
      <c r="M209" s="1" t="s">
        <v>39</v>
      </c>
      <c r="N209" s="1" t="s">
        <v>56</v>
      </c>
      <c r="O209">
        <v>7832</v>
      </c>
      <c r="P209" t="b">
        <v>1</v>
      </c>
      <c r="Q209">
        <v>0.75</v>
      </c>
      <c r="R209">
        <v>870.22222222222217</v>
      </c>
      <c r="S209">
        <v>21.18</v>
      </c>
      <c r="T209" s="2">
        <v>44866</v>
      </c>
      <c r="U209" s="1" t="s">
        <v>51</v>
      </c>
      <c r="V209">
        <v>0</v>
      </c>
      <c r="W209" s="1" t="s">
        <v>56</v>
      </c>
      <c r="X209">
        <v>265</v>
      </c>
      <c r="Y209" s="1" t="s">
        <v>43</v>
      </c>
      <c r="Z209" s="1" t="s">
        <v>52</v>
      </c>
      <c r="AA209">
        <v>0.3</v>
      </c>
      <c r="AB209" s="1" t="s">
        <v>42</v>
      </c>
      <c r="AC209">
        <v>2</v>
      </c>
      <c r="AD209" s="2">
        <v>44866</v>
      </c>
      <c r="AE209" s="1" t="s">
        <v>74</v>
      </c>
      <c r="AF209" s="1" t="s">
        <v>72</v>
      </c>
      <c r="AG209" s="1" t="s">
        <v>63</v>
      </c>
      <c r="AH209" s="1" t="s">
        <v>59</v>
      </c>
      <c r="AI209">
        <v>8010</v>
      </c>
      <c r="AJ209">
        <v>-178</v>
      </c>
    </row>
    <row r="210" spans="1:36" x14ac:dyDescent="0.25">
      <c r="A210">
        <v>10209</v>
      </c>
      <c r="B210">
        <v>40</v>
      </c>
      <c r="C210" s="1" t="s">
        <v>36</v>
      </c>
      <c r="D210" s="1" t="s">
        <v>37</v>
      </c>
      <c r="E210" s="2">
        <v>44619</v>
      </c>
      <c r="F210" s="2">
        <v>45196</v>
      </c>
      <c r="G210" s="1" t="s">
        <v>38</v>
      </c>
      <c r="H210">
        <v>390</v>
      </c>
      <c r="I210">
        <v>4</v>
      </c>
      <c r="J210">
        <v>1</v>
      </c>
      <c r="K210">
        <v>69.569999999999993</v>
      </c>
      <c r="L210">
        <v>20</v>
      </c>
      <c r="M210" s="1" t="s">
        <v>39</v>
      </c>
      <c r="N210" s="1" t="s">
        <v>56</v>
      </c>
      <c r="O210">
        <v>1482</v>
      </c>
      <c r="P210" t="b">
        <v>1</v>
      </c>
      <c r="Q210">
        <v>0.33333333333333331</v>
      </c>
      <c r="R210">
        <v>370.5</v>
      </c>
      <c r="S210">
        <v>34.784999999999997</v>
      </c>
      <c r="T210" s="2">
        <v>44593</v>
      </c>
      <c r="U210" s="1" t="s">
        <v>51</v>
      </c>
      <c r="V210">
        <v>0</v>
      </c>
      <c r="W210" s="1" t="s">
        <v>56</v>
      </c>
      <c r="X210">
        <v>577</v>
      </c>
      <c r="Y210" s="1" t="s">
        <v>43</v>
      </c>
      <c r="Z210" s="1" t="s">
        <v>52</v>
      </c>
      <c r="AA210">
        <v>0.2</v>
      </c>
      <c r="AB210" s="1" t="s">
        <v>42</v>
      </c>
      <c r="AC210">
        <v>1</v>
      </c>
      <c r="AD210" s="2">
        <v>44593</v>
      </c>
      <c r="AE210" s="1" t="s">
        <v>58</v>
      </c>
      <c r="AF210" s="1" t="s">
        <v>54</v>
      </c>
      <c r="AG210" s="1" t="s">
        <v>63</v>
      </c>
      <c r="AH210" s="1" t="s">
        <v>68</v>
      </c>
      <c r="AI210">
        <v>1560</v>
      </c>
      <c r="AJ210">
        <v>-78</v>
      </c>
    </row>
    <row r="211" spans="1:36" x14ac:dyDescent="0.25">
      <c r="A211">
        <v>10210</v>
      </c>
      <c r="B211">
        <v>54</v>
      </c>
      <c r="C211" s="1" t="s">
        <v>60</v>
      </c>
      <c r="D211" s="1" t="s">
        <v>69</v>
      </c>
      <c r="E211" s="2">
        <v>44802</v>
      </c>
      <c r="F211" s="2">
        <v>44470</v>
      </c>
      <c r="G211" s="1" t="s">
        <v>38</v>
      </c>
      <c r="H211">
        <v>755</v>
      </c>
      <c r="I211">
        <v>25</v>
      </c>
      <c r="J211">
        <v>5</v>
      </c>
      <c r="K211">
        <v>47.2</v>
      </c>
      <c r="L211">
        <v>15</v>
      </c>
      <c r="M211" s="1" t="s">
        <v>65</v>
      </c>
      <c r="N211" s="1" t="s">
        <v>56</v>
      </c>
      <c r="O211">
        <v>18761.75</v>
      </c>
      <c r="P211" t="b">
        <v>0</v>
      </c>
      <c r="Q211">
        <v>2.0833333333333335</v>
      </c>
      <c r="R211">
        <v>750.47</v>
      </c>
      <c r="S211">
        <v>7.8666666666666671</v>
      </c>
      <c r="T211" s="2">
        <v>44774</v>
      </c>
      <c r="U211" s="1" t="s">
        <v>41</v>
      </c>
      <c r="V211">
        <v>0</v>
      </c>
      <c r="W211" s="1" t="s">
        <v>40</v>
      </c>
      <c r="Y211" s="1" t="s">
        <v>52</v>
      </c>
      <c r="Z211" s="1" t="s">
        <v>42</v>
      </c>
      <c r="AA211">
        <v>0.19230769230769232</v>
      </c>
      <c r="AB211" s="1" t="s">
        <v>52</v>
      </c>
      <c r="AC211">
        <v>1</v>
      </c>
      <c r="AD211" s="2">
        <v>44774</v>
      </c>
      <c r="AE211" s="1" t="s">
        <v>44</v>
      </c>
      <c r="AF211" s="1" t="s">
        <v>45</v>
      </c>
      <c r="AG211" s="1" t="s">
        <v>63</v>
      </c>
      <c r="AH211" s="1" t="s">
        <v>59</v>
      </c>
      <c r="AI211">
        <v>18875</v>
      </c>
      <c r="AJ211">
        <v>-113.25</v>
      </c>
    </row>
    <row r="212" spans="1:36" x14ac:dyDescent="0.25">
      <c r="A212">
        <v>10211</v>
      </c>
      <c r="B212">
        <v>49</v>
      </c>
      <c r="C212" s="1" t="s">
        <v>36</v>
      </c>
      <c r="D212" s="1" t="s">
        <v>76</v>
      </c>
      <c r="E212" s="2">
        <v>44370</v>
      </c>
      <c r="F212" s="2">
        <v>44821</v>
      </c>
      <c r="G212" s="1" t="s">
        <v>38</v>
      </c>
      <c r="H212">
        <v>743</v>
      </c>
      <c r="I212">
        <v>12</v>
      </c>
      <c r="J212">
        <v>4</v>
      </c>
      <c r="K212">
        <v>10.1</v>
      </c>
      <c r="L212">
        <v>15</v>
      </c>
      <c r="M212" s="1" t="s">
        <v>67</v>
      </c>
      <c r="N212" s="1" t="s">
        <v>56</v>
      </c>
      <c r="O212">
        <v>8804.5499999999993</v>
      </c>
      <c r="P212" t="b">
        <v>1</v>
      </c>
      <c r="Q212">
        <v>1</v>
      </c>
      <c r="R212">
        <v>733.71249999999998</v>
      </c>
      <c r="S212">
        <v>2.02</v>
      </c>
      <c r="T212" s="2">
        <v>44348</v>
      </c>
      <c r="U212" s="1" t="s">
        <v>51</v>
      </c>
      <c r="V212">
        <v>0</v>
      </c>
      <c r="W212" s="1" t="s">
        <v>56</v>
      </c>
      <c r="X212">
        <v>451</v>
      </c>
      <c r="Y212" s="1" t="s">
        <v>42</v>
      </c>
      <c r="Z212" s="1" t="s">
        <v>42</v>
      </c>
      <c r="AA212">
        <v>0.30769230769230771</v>
      </c>
      <c r="AB212" s="1" t="s">
        <v>42</v>
      </c>
      <c r="AC212">
        <v>1</v>
      </c>
      <c r="AD212" s="2">
        <v>44348</v>
      </c>
      <c r="AE212" s="1" t="s">
        <v>74</v>
      </c>
      <c r="AF212" s="1" t="s">
        <v>45</v>
      </c>
      <c r="AG212" s="1" t="s">
        <v>46</v>
      </c>
      <c r="AH212" s="1" t="s">
        <v>59</v>
      </c>
      <c r="AI212">
        <v>8916</v>
      </c>
      <c r="AJ212">
        <v>-111.45000000000073</v>
      </c>
    </row>
    <row r="213" spans="1:36" x14ac:dyDescent="0.25">
      <c r="A213">
        <v>10212</v>
      </c>
      <c r="B213">
        <v>50</v>
      </c>
      <c r="C213" s="1" t="s">
        <v>60</v>
      </c>
      <c r="D213" s="1" t="s">
        <v>73</v>
      </c>
      <c r="E213" s="2">
        <v>44873</v>
      </c>
      <c r="F213" s="2">
        <v>44481</v>
      </c>
      <c r="G213" s="1" t="s">
        <v>49</v>
      </c>
      <c r="H213">
        <v>378</v>
      </c>
      <c r="I213">
        <v>6</v>
      </c>
      <c r="J213">
        <v>2</v>
      </c>
      <c r="K213">
        <v>47.45</v>
      </c>
      <c r="L213">
        <v>5</v>
      </c>
      <c r="M213" s="1" t="s">
        <v>67</v>
      </c>
      <c r="N213" s="1" t="s">
        <v>40</v>
      </c>
      <c r="O213">
        <v>2249.1</v>
      </c>
      <c r="P213" t="b">
        <v>0</v>
      </c>
      <c r="Q213">
        <v>0.5</v>
      </c>
      <c r="R213">
        <v>374.84999999999997</v>
      </c>
      <c r="S213">
        <v>15.816666666666668</v>
      </c>
      <c r="T213" s="2">
        <v>44866</v>
      </c>
      <c r="U213" s="1" t="s">
        <v>51</v>
      </c>
      <c r="V213">
        <v>1</v>
      </c>
      <c r="W213" s="1" t="s">
        <v>56</v>
      </c>
      <c r="Y213" s="1" t="s">
        <v>52</v>
      </c>
      <c r="Z213" s="1" t="s">
        <v>42</v>
      </c>
      <c r="AA213">
        <v>0.2857142857142857</v>
      </c>
      <c r="AB213" s="1" t="s">
        <v>42</v>
      </c>
      <c r="AC213">
        <v>3</v>
      </c>
      <c r="AD213" s="2">
        <v>44866</v>
      </c>
      <c r="AE213" s="1" t="s">
        <v>58</v>
      </c>
      <c r="AF213" s="1" t="s">
        <v>72</v>
      </c>
      <c r="AG213" s="1" t="s">
        <v>63</v>
      </c>
      <c r="AH213" s="1" t="s">
        <v>68</v>
      </c>
      <c r="AI213">
        <v>2268</v>
      </c>
      <c r="AJ213">
        <v>-18.900000000000091</v>
      </c>
    </row>
    <row r="214" spans="1:36" x14ac:dyDescent="0.25">
      <c r="A214">
        <v>10213</v>
      </c>
      <c r="B214">
        <v>18</v>
      </c>
      <c r="C214" s="1" t="s">
        <v>60</v>
      </c>
      <c r="D214" s="1" t="s">
        <v>48</v>
      </c>
      <c r="E214" s="2">
        <v>44311</v>
      </c>
      <c r="F214" s="2">
        <v>44966</v>
      </c>
      <c r="G214" s="1" t="s">
        <v>49</v>
      </c>
      <c r="H214">
        <v>1226</v>
      </c>
      <c r="I214">
        <v>18</v>
      </c>
      <c r="J214">
        <v>3</v>
      </c>
      <c r="K214">
        <v>62.37</v>
      </c>
      <c r="L214">
        <v>5</v>
      </c>
      <c r="M214" s="1" t="s">
        <v>50</v>
      </c>
      <c r="N214" s="1" t="s">
        <v>40</v>
      </c>
      <c r="O214">
        <v>22006.7</v>
      </c>
      <c r="P214" t="b">
        <v>1</v>
      </c>
      <c r="Q214">
        <v>1.5</v>
      </c>
      <c r="R214">
        <v>1222.5944444444444</v>
      </c>
      <c r="S214">
        <v>15.592499999999999</v>
      </c>
      <c r="T214" s="2">
        <v>44287</v>
      </c>
      <c r="U214" s="1" t="s">
        <v>66</v>
      </c>
      <c r="V214">
        <v>1</v>
      </c>
      <c r="W214" s="1" t="s">
        <v>40</v>
      </c>
      <c r="X214">
        <v>655</v>
      </c>
      <c r="Y214" s="1" t="s">
        <v>43</v>
      </c>
      <c r="Z214" s="1" t="s">
        <v>42</v>
      </c>
      <c r="AA214">
        <v>0.15789473684210525</v>
      </c>
      <c r="AB214" s="1" t="s">
        <v>43</v>
      </c>
      <c r="AC214">
        <v>3</v>
      </c>
      <c r="AD214" s="2">
        <v>44287</v>
      </c>
      <c r="AE214" s="1" t="s">
        <v>53</v>
      </c>
      <c r="AF214" s="1" t="s">
        <v>72</v>
      </c>
      <c r="AG214" s="1" t="s">
        <v>63</v>
      </c>
      <c r="AH214" s="1" t="s">
        <v>47</v>
      </c>
      <c r="AI214">
        <v>22068</v>
      </c>
      <c r="AJ214">
        <v>-61.299999999999272</v>
      </c>
    </row>
    <row r="215" spans="1:36" x14ac:dyDescent="0.25">
      <c r="A215">
        <v>10214</v>
      </c>
      <c r="B215">
        <v>36</v>
      </c>
      <c r="C215" s="1" t="s">
        <v>36</v>
      </c>
      <c r="D215" s="1" t="s">
        <v>61</v>
      </c>
      <c r="E215" s="2">
        <v>44416</v>
      </c>
      <c r="F215" s="2">
        <v>45164</v>
      </c>
      <c r="G215" s="1" t="s">
        <v>62</v>
      </c>
      <c r="H215">
        <v>402</v>
      </c>
      <c r="I215">
        <v>21</v>
      </c>
      <c r="J215">
        <v>1</v>
      </c>
      <c r="K215">
        <v>29.32</v>
      </c>
      <c r="L215">
        <v>10</v>
      </c>
      <c r="M215" s="1" t="s">
        <v>67</v>
      </c>
      <c r="N215" s="1" t="s">
        <v>56</v>
      </c>
      <c r="O215">
        <v>8421.9</v>
      </c>
      <c r="P215" t="b">
        <v>1</v>
      </c>
      <c r="Q215">
        <v>1.75</v>
      </c>
      <c r="R215">
        <v>401.04285714285714</v>
      </c>
      <c r="S215">
        <v>14.66</v>
      </c>
      <c r="T215" s="2">
        <v>44409</v>
      </c>
      <c r="U215" s="1" t="s">
        <v>51</v>
      </c>
      <c r="V215">
        <v>0</v>
      </c>
      <c r="W215" s="1" t="s">
        <v>56</v>
      </c>
      <c r="X215">
        <v>748</v>
      </c>
      <c r="Y215" s="1" t="s">
        <v>52</v>
      </c>
      <c r="Z215" s="1" t="s">
        <v>42</v>
      </c>
      <c r="AA215">
        <v>4.5454545454545456E-2</v>
      </c>
      <c r="AB215" s="1" t="s">
        <v>42</v>
      </c>
      <c r="AC215">
        <v>2</v>
      </c>
      <c r="AD215" s="2">
        <v>44409</v>
      </c>
      <c r="AE215" s="1" t="s">
        <v>53</v>
      </c>
      <c r="AF215" s="1" t="s">
        <v>54</v>
      </c>
      <c r="AG215" s="1" t="s">
        <v>70</v>
      </c>
      <c r="AH215" s="1" t="s">
        <v>68</v>
      </c>
      <c r="AI215">
        <v>8442</v>
      </c>
      <c r="AJ215">
        <v>-20.100000000000364</v>
      </c>
    </row>
    <row r="216" spans="1:36" x14ac:dyDescent="0.25">
      <c r="A216">
        <v>10215</v>
      </c>
      <c r="B216">
        <v>19</v>
      </c>
      <c r="C216" s="1" t="s">
        <v>36</v>
      </c>
      <c r="D216" s="1" t="s">
        <v>61</v>
      </c>
      <c r="E216" s="2">
        <v>44227</v>
      </c>
      <c r="F216" s="2">
        <v>45188</v>
      </c>
      <c r="G216" s="1" t="s">
        <v>38</v>
      </c>
      <c r="H216">
        <v>922</v>
      </c>
      <c r="I216">
        <v>15</v>
      </c>
      <c r="J216">
        <v>2</v>
      </c>
      <c r="K216">
        <v>24.91</v>
      </c>
      <c r="L216">
        <v>15</v>
      </c>
      <c r="M216" s="1" t="s">
        <v>39</v>
      </c>
      <c r="N216" s="1" t="s">
        <v>56</v>
      </c>
      <c r="O216">
        <v>13691.7</v>
      </c>
      <c r="P216" t="b">
        <v>1</v>
      </c>
      <c r="Q216">
        <v>1.25</v>
      </c>
      <c r="R216">
        <v>912.78000000000009</v>
      </c>
      <c r="S216">
        <v>8.3033333333333328</v>
      </c>
      <c r="T216" s="2">
        <v>44197</v>
      </c>
      <c r="U216" s="1" t="s">
        <v>66</v>
      </c>
      <c r="V216">
        <v>0</v>
      </c>
      <c r="W216" s="1" t="s">
        <v>40</v>
      </c>
      <c r="X216">
        <v>961</v>
      </c>
      <c r="Y216" s="1" t="s">
        <v>52</v>
      </c>
      <c r="Z216" s="1" t="s">
        <v>42</v>
      </c>
      <c r="AA216">
        <v>0.125</v>
      </c>
      <c r="AB216" s="1" t="s">
        <v>52</v>
      </c>
      <c r="AC216">
        <v>1</v>
      </c>
      <c r="AD216" s="2">
        <v>44197</v>
      </c>
      <c r="AE216" s="1" t="s">
        <v>53</v>
      </c>
      <c r="AF216" s="1" t="s">
        <v>72</v>
      </c>
      <c r="AG216" s="1" t="s">
        <v>70</v>
      </c>
      <c r="AH216" s="1" t="s">
        <v>59</v>
      </c>
      <c r="AI216">
        <v>13830</v>
      </c>
      <c r="AJ216">
        <v>-138.29999999999927</v>
      </c>
    </row>
    <row r="217" spans="1:36" x14ac:dyDescent="0.25">
      <c r="A217">
        <v>10216</v>
      </c>
      <c r="B217">
        <v>61</v>
      </c>
      <c r="C217" s="1" t="s">
        <v>60</v>
      </c>
      <c r="D217" s="1" t="s">
        <v>48</v>
      </c>
      <c r="E217" s="2">
        <v>44719</v>
      </c>
      <c r="F217" s="2">
        <v>44909</v>
      </c>
      <c r="G217" s="1" t="s">
        <v>38</v>
      </c>
      <c r="H217">
        <v>1289</v>
      </c>
      <c r="I217">
        <v>3</v>
      </c>
      <c r="J217">
        <v>1</v>
      </c>
      <c r="K217">
        <v>63.47</v>
      </c>
      <c r="L217">
        <v>15</v>
      </c>
      <c r="M217" s="1" t="s">
        <v>67</v>
      </c>
      <c r="N217" s="1" t="s">
        <v>56</v>
      </c>
      <c r="O217">
        <v>3673.65</v>
      </c>
      <c r="P217" t="b">
        <v>1</v>
      </c>
      <c r="Q217">
        <v>0.25</v>
      </c>
      <c r="R217">
        <v>1224.55</v>
      </c>
      <c r="S217">
        <v>31.734999999999999</v>
      </c>
      <c r="T217" s="2">
        <v>44713</v>
      </c>
      <c r="U217" s="1" t="s">
        <v>41</v>
      </c>
      <c r="V217">
        <v>0</v>
      </c>
      <c r="W217" s="1" t="s">
        <v>56</v>
      </c>
      <c r="X217">
        <v>190</v>
      </c>
      <c r="Y217" s="1" t="s">
        <v>43</v>
      </c>
      <c r="Z217" s="1" t="s">
        <v>42</v>
      </c>
      <c r="AA217">
        <v>0.25</v>
      </c>
      <c r="AB217" s="1" t="s">
        <v>42</v>
      </c>
      <c r="AC217">
        <v>1</v>
      </c>
      <c r="AD217" s="2">
        <v>44713</v>
      </c>
      <c r="AE217" s="1" t="s">
        <v>58</v>
      </c>
      <c r="AF217" s="1" t="s">
        <v>54</v>
      </c>
      <c r="AG217" s="1" t="s">
        <v>63</v>
      </c>
      <c r="AH217" s="1" t="s">
        <v>47</v>
      </c>
      <c r="AI217">
        <v>3867</v>
      </c>
      <c r="AJ217">
        <v>-193.34999999999991</v>
      </c>
    </row>
    <row r="218" spans="1:36" x14ac:dyDescent="0.25">
      <c r="A218">
        <v>10217</v>
      </c>
      <c r="B218">
        <v>43</v>
      </c>
      <c r="C218" s="1" t="s">
        <v>60</v>
      </c>
      <c r="D218" s="1" t="s">
        <v>37</v>
      </c>
      <c r="E218" s="2">
        <v>44539</v>
      </c>
      <c r="F218" s="2">
        <v>45196</v>
      </c>
      <c r="G218" s="1" t="s">
        <v>38</v>
      </c>
      <c r="H218">
        <v>533</v>
      </c>
      <c r="I218">
        <v>2</v>
      </c>
      <c r="J218">
        <v>5</v>
      </c>
      <c r="K218">
        <v>72.38</v>
      </c>
      <c r="L218">
        <v>20</v>
      </c>
      <c r="M218" s="1" t="s">
        <v>50</v>
      </c>
      <c r="N218" s="1" t="s">
        <v>56</v>
      </c>
      <c r="O218">
        <v>959.4</v>
      </c>
      <c r="P218" t="b">
        <v>1</v>
      </c>
      <c r="Q218">
        <v>0.16666666666666666</v>
      </c>
      <c r="R218">
        <v>479.7</v>
      </c>
      <c r="S218">
        <v>12.063333333333333</v>
      </c>
      <c r="T218" s="2">
        <v>44531</v>
      </c>
      <c r="U218" s="1" t="s">
        <v>51</v>
      </c>
      <c r="V218">
        <v>0</v>
      </c>
      <c r="W218" s="1" t="s">
        <v>56</v>
      </c>
      <c r="X218">
        <v>657</v>
      </c>
      <c r="Y218" s="1" t="s">
        <v>43</v>
      </c>
      <c r="Z218" s="1" t="s">
        <v>52</v>
      </c>
      <c r="AA218">
        <v>1.6666666666666667</v>
      </c>
      <c r="AB218" s="1" t="s">
        <v>42</v>
      </c>
      <c r="AC218">
        <v>1</v>
      </c>
      <c r="AD218" s="2">
        <v>44531</v>
      </c>
      <c r="AE218" s="1" t="s">
        <v>58</v>
      </c>
      <c r="AF218" s="1" t="s">
        <v>45</v>
      </c>
      <c r="AG218" s="1" t="s">
        <v>63</v>
      </c>
      <c r="AH218" s="1" t="s">
        <v>64</v>
      </c>
      <c r="AI218">
        <v>1066</v>
      </c>
      <c r="AJ218">
        <v>-106.60000000000002</v>
      </c>
    </row>
    <row r="219" spans="1:36" x14ac:dyDescent="0.25">
      <c r="A219">
        <v>10218</v>
      </c>
      <c r="B219">
        <v>49</v>
      </c>
      <c r="C219" s="1" t="s">
        <v>36</v>
      </c>
      <c r="D219" s="1" t="s">
        <v>73</v>
      </c>
      <c r="E219" s="2">
        <v>44573</v>
      </c>
      <c r="F219" s="2">
        <v>44954</v>
      </c>
      <c r="G219" s="1" t="s">
        <v>62</v>
      </c>
      <c r="H219">
        <v>943</v>
      </c>
      <c r="I219">
        <v>4</v>
      </c>
      <c r="J219">
        <v>1</v>
      </c>
      <c r="K219">
        <v>32.590000000000003</v>
      </c>
      <c r="L219">
        <v>10</v>
      </c>
      <c r="M219" s="1" t="s">
        <v>67</v>
      </c>
      <c r="N219" s="1" t="s">
        <v>56</v>
      </c>
      <c r="O219">
        <v>3630.55</v>
      </c>
      <c r="P219" t="b">
        <v>1</v>
      </c>
      <c r="Q219">
        <v>0.33333333333333331</v>
      </c>
      <c r="R219">
        <v>907.63750000000005</v>
      </c>
      <c r="S219">
        <v>16.295000000000002</v>
      </c>
      <c r="T219" s="2">
        <v>44562</v>
      </c>
      <c r="U219" s="1" t="s">
        <v>51</v>
      </c>
      <c r="V219">
        <v>0</v>
      </c>
      <c r="W219" s="1" t="s">
        <v>56</v>
      </c>
      <c r="X219">
        <v>381</v>
      </c>
      <c r="Y219" s="1" t="s">
        <v>52</v>
      </c>
      <c r="Z219" s="1" t="s">
        <v>42</v>
      </c>
      <c r="AA219">
        <v>0.2</v>
      </c>
      <c r="AB219" s="1" t="s">
        <v>42</v>
      </c>
      <c r="AC219">
        <v>2</v>
      </c>
      <c r="AD219" s="2">
        <v>44562</v>
      </c>
      <c r="AE219" s="1" t="s">
        <v>58</v>
      </c>
      <c r="AF219" s="1" t="s">
        <v>54</v>
      </c>
      <c r="AG219" s="1" t="s">
        <v>55</v>
      </c>
      <c r="AH219" s="1" t="s">
        <v>59</v>
      </c>
      <c r="AI219">
        <v>3772</v>
      </c>
      <c r="AJ219">
        <v>-141.44999999999982</v>
      </c>
    </row>
    <row r="220" spans="1:36" x14ac:dyDescent="0.25">
      <c r="A220">
        <v>10219</v>
      </c>
      <c r="B220">
        <v>23</v>
      </c>
      <c r="C220" s="1" t="s">
        <v>60</v>
      </c>
      <c r="D220" s="1" t="s">
        <v>69</v>
      </c>
      <c r="E220" s="2">
        <v>44326</v>
      </c>
      <c r="F220" s="2">
        <v>45127</v>
      </c>
      <c r="G220" s="1" t="s">
        <v>38</v>
      </c>
      <c r="H220">
        <v>1089</v>
      </c>
      <c r="I220">
        <v>32</v>
      </c>
      <c r="J220">
        <v>2</v>
      </c>
      <c r="K220">
        <v>62.59</v>
      </c>
      <c r="L220">
        <v>10</v>
      </c>
      <c r="M220" s="1" t="s">
        <v>67</v>
      </c>
      <c r="N220" s="1" t="s">
        <v>56</v>
      </c>
      <c r="O220">
        <v>34739.1</v>
      </c>
      <c r="P220" t="b">
        <v>1</v>
      </c>
      <c r="Q220">
        <v>2.6666666666666665</v>
      </c>
      <c r="R220">
        <v>1085.596875</v>
      </c>
      <c r="S220">
        <v>20.863333333333333</v>
      </c>
      <c r="T220" s="2">
        <v>44317</v>
      </c>
      <c r="U220" s="1" t="s">
        <v>66</v>
      </c>
      <c r="V220">
        <v>0</v>
      </c>
      <c r="W220" s="1" t="s">
        <v>40</v>
      </c>
      <c r="X220">
        <v>801</v>
      </c>
      <c r="Y220" s="1" t="s">
        <v>43</v>
      </c>
      <c r="Z220" s="1" t="s">
        <v>42</v>
      </c>
      <c r="AA220">
        <v>6.0606060606060608E-2</v>
      </c>
      <c r="AB220" s="1" t="s">
        <v>43</v>
      </c>
      <c r="AC220">
        <v>1</v>
      </c>
      <c r="AD220" s="2">
        <v>44317</v>
      </c>
      <c r="AE220" s="1" t="s">
        <v>44</v>
      </c>
      <c r="AF220" s="1" t="s">
        <v>72</v>
      </c>
      <c r="AG220" s="1" t="s">
        <v>63</v>
      </c>
      <c r="AH220" s="1" t="s">
        <v>47</v>
      </c>
      <c r="AI220">
        <v>34848</v>
      </c>
      <c r="AJ220">
        <v>-108.90000000000146</v>
      </c>
    </row>
    <row r="221" spans="1:36" x14ac:dyDescent="0.25">
      <c r="A221">
        <v>10220</v>
      </c>
      <c r="B221">
        <v>49</v>
      </c>
      <c r="C221" s="1" t="s">
        <v>60</v>
      </c>
      <c r="D221" s="1" t="s">
        <v>48</v>
      </c>
      <c r="E221" s="2">
        <v>44813</v>
      </c>
      <c r="F221" s="2">
        <v>44370</v>
      </c>
      <c r="G221" s="1" t="s">
        <v>49</v>
      </c>
      <c r="H221">
        <v>686</v>
      </c>
      <c r="I221">
        <v>2</v>
      </c>
      <c r="J221">
        <v>0</v>
      </c>
      <c r="K221">
        <v>108.54</v>
      </c>
      <c r="L221">
        <v>10</v>
      </c>
      <c r="M221" s="1" t="s">
        <v>65</v>
      </c>
      <c r="N221" s="1" t="s">
        <v>56</v>
      </c>
      <c r="O221">
        <v>1303.4000000000001</v>
      </c>
      <c r="P221" t="b">
        <v>0</v>
      </c>
      <c r="Q221">
        <v>0.16666666666666666</v>
      </c>
      <c r="R221">
        <v>651.70000000000005</v>
      </c>
      <c r="S221">
        <v>108.54</v>
      </c>
      <c r="T221" s="2">
        <v>44805</v>
      </c>
      <c r="U221" s="1" t="s">
        <v>51</v>
      </c>
      <c r="V221">
        <v>0</v>
      </c>
      <c r="W221" s="1" t="s">
        <v>56</v>
      </c>
      <c r="Y221" s="1" t="s">
        <v>43</v>
      </c>
      <c r="Z221" s="1" t="s">
        <v>42</v>
      </c>
      <c r="AA221">
        <v>0</v>
      </c>
      <c r="AB221" s="1" t="s">
        <v>42</v>
      </c>
      <c r="AC221">
        <v>3</v>
      </c>
      <c r="AD221" s="2">
        <v>44805</v>
      </c>
      <c r="AE221" s="1" t="s">
        <v>58</v>
      </c>
      <c r="AF221" s="1" t="s">
        <v>54</v>
      </c>
      <c r="AG221" s="1" t="s">
        <v>63</v>
      </c>
      <c r="AH221" s="1" t="s">
        <v>64</v>
      </c>
      <c r="AI221">
        <v>1372</v>
      </c>
      <c r="AJ221">
        <v>-68.599999999999909</v>
      </c>
    </row>
    <row r="222" spans="1:36" x14ac:dyDescent="0.25">
      <c r="A222">
        <v>10221</v>
      </c>
      <c r="B222">
        <v>21</v>
      </c>
      <c r="C222" s="1" t="s">
        <v>60</v>
      </c>
      <c r="D222" s="1" t="s">
        <v>71</v>
      </c>
      <c r="E222" s="2">
        <v>44735</v>
      </c>
      <c r="F222" s="2">
        <v>44913</v>
      </c>
      <c r="G222" s="1" t="s">
        <v>38</v>
      </c>
      <c r="H222">
        <v>1146</v>
      </c>
      <c r="I222">
        <v>29</v>
      </c>
      <c r="J222">
        <v>1</v>
      </c>
      <c r="K222">
        <v>59.41</v>
      </c>
      <c r="L222">
        <v>5</v>
      </c>
      <c r="M222" s="1" t="s">
        <v>65</v>
      </c>
      <c r="N222" s="1" t="s">
        <v>40</v>
      </c>
      <c r="O222">
        <v>33176.699999999997</v>
      </c>
      <c r="P222" t="b">
        <v>1</v>
      </c>
      <c r="Q222">
        <v>2.4166666666666665</v>
      </c>
      <c r="R222">
        <v>1144.0241379310344</v>
      </c>
      <c r="S222">
        <v>29.704999999999998</v>
      </c>
      <c r="T222" s="2">
        <v>44713</v>
      </c>
      <c r="U222" s="1" t="s">
        <v>66</v>
      </c>
      <c r="V222">
        <v>1</v>
      </c>
      <c r="W222" s="1" t="s">
        <v>40</v>
      </c>
      <c r="X222">
        <v>178</v>
      </c>
      <c r="Y222" s="1" t="s">
        <v>52</v>
      </c>
      <c r="Z222" s="1" t="s">
        <v>42</v>
      </c>
      <c r="AA222">
        <v>3.3333333333333333E-2</v>
      </c>
      <c r="AB222" s="1" t="s">
        <v>43</v>
      </c>
      <c r="AC222">
        <v>1</v>
      </c>
      <c r="AD222" s="2">
        <v>44713</v>
      </c>
      <c r="AE222" s="1" t="s">
        <v>44</v>
      </c>
      <c r="AF222" s="1" t="s">
        <v>54</v>
      </c>
      <c r="AG222" s="1" t="s">
        <v>63</v>
      </c>
      <c r="AH222" s="1" t="s">
        <v>47</v>
      </c>
      <c r="AI222">
        <v>33234</v>
      </c>
      <c r="AJ222">
        <v>-57.30000000000291</v>
      </c>
    </row>
    <row r="223" spans="1:36" x14ac:dyDescent="0.25">
      <c r="A223">
        <v>10222</v>
      </c>
      <c r="B223">
        <v>28</v>
      </c>
      <c r="C223" s="1" t="s">
        <v>60</v>
      </c>
      <c r="D223" s="1" t="s">
        <v>37</v>
      </c>
      <c r="E223" s="2">
        <v>44935</v>
      </c>
      <c r="F223" s="2">
        <v>45233</v>
      </c>
      <c r="G223" s="1" t="s">
        <v>49</v>
      </c>
      <c r="H223">
        <v>337</v>
      </c>
      <c r="I223">
        <v>2</v>
      </c>
      <c r="J223">
        <v>0</v>
      </c>
      <c r="K223">
        <v>103.6</v>
      </c>
      <c r="L223">
        <v>15</v>
      </c>
      <c r="M223" s="1" t="s">
        <v>39</v>
      </c>
      <c r="N223" s="1" t="s">
        <v>56</v>
      </c>
      <c r="O223">
        <v>623.45000000000005</v>
      </c>
      <c r="P223" t="b">
        <v>1</v>
      </c>
      <c r="Q223">
        <v>0.16666666666666666</v>
      </c>
      <c r="R223">
        <v>311.72500000000002</v>
      </c>
      <c r="S223">
        <v>103.6</v>
      </c>
      <c r="T223" s="2">
        <v>44927</v>
      </c>
      <c r="U223" s="1" t="s">
        <v>57</v>
      </c>
      <c r="V223">
        <v>0</v>
      </c>
      <c r="W223" s="1" t="s">
        <v>56</v>
      </c>
      <c r="X223">
        <v>298</v>
      </c>
      <c r="Y223" s="1" t="s">
        <v>43</v>
      </c>
      <c r="Z223" s="1" t="s">
        <v>42</v>
      </c>
      <c r="AA223">
        <v>0</v>
      </c>
      <c r="AB223" s="1" t="s">
        <v>42</v>
      </c>
      <c r="AC223">
        <v>3</v>
      </c>
      <c r="AD223" s="2">
        <v>44927</v>
      </c>
      <c r="AE223" s="1" t="s">
        <v>58</v>
      </c>
      <c r="AF223" s="1" t="s">
        <v>54</v>
      </c>
      <c r="AG223" s="1" t="s">
        <v>63</v>
      </c>
      <c r="AH223" s="1" t="s">
        <v>68</v>
      </c>
      <c r="AI223">
        <v>674</v>
      </c>
      <c r="AJ223">
        <v>-50.549999999999955</v>
      </c>
    </row>
    <row r="224" spans="1:36" x14ac:dyDescent="0.25">
      <c r="A224">
        <v>10223</v>
      </c>
      <c r="B224">
        <v>34</v>
      </c>
      <c r="C224" s="1" t="s">
        <v>60</v>
      </c>
      <c r="D224" s="1" t="s">
        <v>61</v>
      </c>
      <c r="E224" s="2">
        <v>44198</v>
      </c>
      <c r="F224" s="2">
        <v>45113</v>
      </c>
      <c r="G224" s="1" t="s">
        <v>62</v>
      </c>
      <c r="H224">
        <v>1484</v>
      </c>
      <c r="I224">
        <v>34</v>
      </c>
      <c r="J224">
        <v>3</v>
      </c>
      <c r="K224">
        <v>111.64</v>
      </c>
      <c r="L224">
        <v>10</v>
      </c>
      <c r="M224" s="1" t="s">
        <v>67</v>
      </c>
      <c r="N224" s="1" t="s">
        <v>56</v>
      </c>
      <c r="O224">
        <v>50307.6</v>
      </c>
      <c r="P224" t="b">
        <v>1</v>
      </c>
      <c r="Q224">
        <v>2.8333333333333335</v>
      </c>
      <c r="R224">
        <v>1479.6352941176469</v>
      </c>
      <c r="S224">
        <v>27.91</v>
      </c>
      <c r="T224" s="2">
        <v>44197</v>
      </c>
      <c r="U224" s="1" t="s">
        <v>57</v>
      </c>
      <c r="V224">
        <v>0</v>
      </c>
      <c r="W224" s="1" t="s">
        <v>40</v>
      </c>
      <c r="X224">
        <v>915</v>
      </c>
      <c r="Y224" s="1" t="s">
        <v>43</v>
      </c>
      <c r="Z224" s="1" t="s">
        <v>42</v>
      </c>
      <c r="AA224">
        <v>8.5714285714285715E-2</v>
      </c>
      <c r="AB224" s="1" t="s">
        <v>43</v>
      </c>
      <c r="AC224">
        <v>2</v>
      </c>
      <c r="AD224" s="2">
        <v>44197</v>
      </c>
      <c r="AE224" s="1" t="s">
        <v>44</v>
      </c>
      <c r="AF224" s="1" t="s">
        <v>72</v>
      </c>
      <c r="AG224" s="1" t="s">
        <v>63</v>
      </c>
      <c r="AH224" s="1" t="s">
        <v>47</v>
      </c>
      <c r="AI224">
        <v>50456</v>
      </c>
      <c r="AJ224">
        <v>-148.40000000000146</v>
      </c>
    </row>
    <row r="225" spans="1:36" x14ac:dyDescent="0.25">
      <c r="A225">
        <v>10224</v>
      </c>
      <c r="B225">
        <v>55</v>
      </c>
      <c r="C225" s="1" t="s">
        <v>60</v>
      </c>
      <c r="D225" s="1" t="s">
        <v>48</v>
      </c>
      <c r="E225" s="2">
        <v>45067</v>
      </c>
      <c r="F225" s="2">
        <v>44582</v>
      </c>
      <c r="G225" s="1" t="s">
        <v>62</v>
      </c>
      <c r="H225">
        <v>1440</v>
      </c>
      <c r="I225">
        <v>27</v>
      </c>
      <c r="J225">
        <v>0</v>
      </c>
      <c r="K225">
        <v>15.63</v>
      </c>
      <c r="L225">
        <v>20</v>
      </c>
      <c r="M225" s="1" t="s">
        <v>39</v>
      </c>
      <c r="N225" s="1" t="s">
        <v>56</v>
      </c>
      <c r="O225">
        <v>38592</v>
      </c>
      <c r="P225" t="b">
        <v>0</v>
      </c>
      <c r="Q225">
        <v>2.25</v>
      </c>
      <c r="R225">
        <v>1429.3333333333333</v>
      </c>
      <c r="S225">
        <v>15.63</v>
      </c>
      <c r="T225" s="2">
        <v>45047</v>
      </c>
      <c r="U225" s="1" t="s">
        <v>41</v>
      </c>
      <c r="V225">
        <v>0</v>
      </c>
      <c r="W225" s="1" t="s">
        <v>40</v>
      </c>
      <c r="Y225" s="1" t="s">
        <v>42</v>
      </c>
      <c r="Z225" s="1" t="s">
        <v>52</v>
      </c>
      <c r="AA225">
        <v>0</v>
      </c>
      <c r="AB225" s="1" t="s">
        <v>43</v>
      </c>
      <c r="AC225">
        <v>2</v>
      </c>
      <c r="AD225" s="2">
        <v>45047</v>
      </c>
      <c r="AE225" s="1" t="s">
        <v>44</v>
      </c>
      <c r="AF225" s="1" t="s">
        <v>54</v>
      </c>
      <c r="AG225" s="1" t="s">
        <v>46</v>
      </c>
      <c r="AH225" s="1" t="s">
        <v>47</v>
      </c>
      <c r="AI225">
        <v>38880</v>
      </c>
      <c r="AJ225">
        <v>-288</v>
      </c>
    </row>
    <row r="226" spans="1:36" x14ac:dyDescent="0.25">
      <c r="A226">
        <v>10225</v>
      </c>
      <c r="B226">
        <v>41</v>
      </c>
      <c r="C226" s="1" t="s">
        <v>60</v>
      </c>
      <c r="D226" s="1" t="s">
        <v>61</v>
      </c>
      <c r="E226" s="2">
        <v>44297</v>
      </c>
      <c r="F226" s="2">
        <v>44406</v>
      </c>
      <c r="G226" s="1" t="s">
        <v>62</v>
      </c>
      <c r="H226">
        <v>540</v>
      </c>
      <c r="I226">
        <v>18</v>
      </c>
      <c r="J226">
        <v>4</v>
      </c>
      <c r="K226">
        <v>16.02</v>
      </c>
      <c r="L226">
        <v>0</v>
      </c>
      <c r="M226" s="1" t="s">
        <v>67</v>
      </c>
      <c r="N226" s="1" t="s">
        <v>56</v>
      </c>
      <c r="O226">
        <v>9720</v>
      </c>
      <c r="P226" t="b">
        <v>1</v>
      </c>
      <c r="Q226">
        <v>1.5</v>
      </c>
      <c r="R226">
        <v>540</v>
      </c>
      <c r="S226">
        <v>3.2039999999999997</v>
      </c>
      <c r="T226" s="2">
        <v>44287</v>
      </c>
      <c r="U226" s="1" t="s">
        <v>51</v>
      </c>
      <c r="V226">
        <v>0</v>
      </c>
      <c r="W226" s="1" t="s">
        <v>56</v>
      </c>
      <c r="X226">
        <v>109</v>
      </c>
      <c r="Y226" s="1" t="s">
        <v>42</v>
      </c>
      <c r="Z226" s="1" t="s">
        <v>42</v>
      </c>
      <c r="AA226">
        <v>0.21052631578947367</v>
      </c>
      <c r="AB226" s="1" t="s">
        <v>52</v>
      </c>
      <c r="AC226">
        <v>2</v>
      </c>
      <c r="AD226" s="2">
        <v>44287</v>
      </c>
      <c r="AE226" s="1" t="s">
        <v>53</v>
      </c>
      <c r="AF226" s="1" t="s">
        <v>45</v>
      </c>
      <c r="AG226" s="1" t="s">
        <v>46</v>
      </c>
      <c r="AH226" s="1" t="s">
        <v>64</v>
      </c>
      <c r="AI226">
        <v>9720</v>
      </c>
      <c r="AJ226">
        <v>0</v>
      </c>
    </row>
    <row r="227" spans="1:36" x14ac:dyDescent="0.25">
      <c r="A227">
        <v>10226</v>
      </c>
      <c r="B227">
        <v>22</v>
      </c>
      <c r="C227" s="1" t="s">
        <v>36</v>
      </c>
      <c r="D227" s="1" t="s">
        <v>37</v>
      </c>
      <c r="E227" s="2">
        <v>44729</v>
      </c>
      <c r="F227" s="2">
        <v>44511</v>
      </c>
      <c r="G227" s="1" t="s">
        <v>62</v>
      </c>
      <c r="H227">
        <v>1349</v>
      </c>
      <c r="I227">
        <v>19</v>
      </c>
      <c r="J227">
        <v>1</v>
      </c>
      <c r="K227">
        <v>59.75</v>
      </c>
      <c r="L227">
        <v>20</v>
      </c>
      <c r="M227" s="1" t="s">
        <v>39</v>
      </c>
      <c r="N227" s="1" t="s">
        <v>56</v>
      </c>
      <c r="O227">
        <v>25361.200000000001</v>
      </c>
      <c r="P227" t="b">
        <v>0</v>
      </c>
      <c r="Q227">
        <v>1.5833333333333333</v>
      </c>
      <c r="R227">
        <v>1334.8</v>
      </c>
      <c r="S227">
        <v>29.875</v>
      </c>
      <c r="T227" s="2">
        <v>44713</v>
      </c>
      <c r="U227" s="1" t="s">
        <v>66</v>
      </c>
      <c r="V227">
        <v>0</v>
      </c>
      <c r="W227" s="1" t="s">
        <v>40</v>
      </c>
      <c r="Y227" s="1" t="s">
        <v>52</v>
      </c>
      <c r="Z227" s="1" t="s">
        <v>52</v>
      </c>
      <c r="AA227">
        <v>0.05</v>
      </c>
      <c r="AB227" s="1" t="s">
        <v>43</v>
      </c>
      <c r="AC227">
        <v>2</v>
      </c>
      <c r="AD227" s="2">
        <v>44713</v>
      </c>
      <c r="AE227" s="1" t="s">
        <v>53</v>
      </c>
      <c r="AF227" s="1" t="s">
        <v>54</v>
      </c>
      <c r="AG227" s="1" t="s">
        <v>63</v>
      </c>
      <c r="AH227" s="1" t="s">
        <v>47</v>
      </c>
      <c r="AI227">
        <v>25631</v>
      </c>
      <c r="AJ227">
        <v>-269.79999999999927</v>
      </c>
    </row>
    <row r="228" spans="1:36" x14ac:dyDescent="0.25">
      <c r="A228">
        <v>10227</v>
      </c>
      <c r="B228">
        <v>51</v>
      </c>
      <c r="C228" s="1" t="s">
        <v>36</v>
      </c>
      <c r="D228" s="1" t="s">
        <v>61</v>
      </c>
      <c r="E228" s="2">
        <v>44254</v>
      </c>
      <c r="F228" s="2">
        <v>45118</v>
      </c>
      <c r="G228" s="1" t="s">
        <v>62</v>
      </c>
      <c r="H228">
        <v>861</v>
      </c>
      <c r="I228">
        <v>27</v>
      </c>
      <c r="J228">
        <v>2</v>
      </c>
      <c r="K228">
        <v>72.63</v>
      </c>
      <c r="L228">
        <v>0</v>
      </c>
      <c r="M228" s="1" t="s">
        <v>39</v>
      </c>
      <c r="N228" s="1" t="s">
        <v>56</v>
      </c>
      <c r="O228">
        <v>23247</v>
      </c>
      <c r="P228" t="b">
        <v>1</v>
      </c>
      <c r="Q228">
        <v>2.25</v>
      </c>
      <c r="R228">
        <v>861</v>
      </c>
      <c r="S228">
        <v>24.209999999999997</v>
      </c>
      <c r="T228" s="2">
        <v>44228</v>
      </c>
      <c r="U228" s="1" t="s">
        <v>41</v>
      </c>
      <c r="V228">
        <v>0</v>
      </c>
      <c r="W228" s="1" t="s">
        <v>40</v>
      </c>
      <c r="X228">
        <v>864</v>
      </c>
      <c r="Y228" s="1" t="s">
        <v>43</v>
      </c>
      <c r="Z228" s="1" t="s">
        <v>42</v>
      </c>
      <c r="AA228">
        <v>7.1428571428571425E-2</v>
      </c>
      <c r="AB228" s="1" t="s">
        <v>43</v>
      </c>
      <c r="AC228">
        <v>2</v>
      </c>
      <c r="AD228" s="2">
        <v>44228</v>
      </c>
      <c r="AE228" s="1" t="s">
        <v>44</v>
      </c>
      <c r="AF228" s="1" t="s">
        <v>72</v>
      </c>
      <c r="AG228" s="1" t="s">
        <v>63</v>
      </c>
      <c r="AH228" s="1" t="s">
        <v>59</v>
      </c>
      <c r="AI228">
        <v>23247</v>
      </c>
      <c r="AJ228">
        <v>0</v>
      </c>
    </row>
    <row r="229" spans="1:36" x14ac:dyDescent="0.25">
      <c r="A229">
        <v>10228</v>
      </c>
      <c r="B229">
        <v>23</v>
      </c>
      <c r="C229" s="1" t="s">
        <v>36</v>
      </c>
      <c r="D229" s="1" t="s">
        <v>48</v>
      </c>
      <c r="E229" s="2">
        <v>44585</v>
      </c>
      <c r="F229" s="2">
        <v>45173</v>
      </c>
      <c r="G229" s="1" t="s">
        <v>62</v>
      </c>
      <c r="H229">
        <v>1105</v>
      </c>
      <c r="I229">
        <v>20</v>
      </c>
      <c r="J229">
        <v>2</v>
      </c>
      <c r="K229">
        <v>53.98</v>
      </c>
      <c r="L229">
        <v>10</v>
      </c>
      <c r="M229" s="1" t="s">
        <v>67</v>
      </c>
      <c r="N229" s="1" t="s">
        <v>56</v>
      </c>
      <c r="O229">
        <v>21879</v>
      </c>
      <c r="P229" t="b">
        <v>1</v>
      </c>
      <c r="Q229">
        <v>1.6666666666666667</v>
      </c>
      <c r="R229">
        <v>1093.95</v>
      </c>
      <c r="S229">
        <v>17.993333333333332</v>
      </c>
      <c r="T229" s="2">
        <v>44562</v>
      </c>
      <c r="U229" s="1" t="s">
        <v>66</v>
      </c>
      <c r="V229">
        <v>0</v>
      </c>
      <c r="W229" s="1" t="s">
        <v>40</v>
      </c>
      <c r="X229">
        <v>588</v>
      </c>
      <c r="Y229" s="1" t="s">
        <v>52</v>
      </c>
      <c r="Z229" s="1" t="s">
        <v>42</v>
      </c>
      <c r="AA229">
        <v>9.5238095238095233E-2</v>
      </c>
      <c r="AB229" s="1" t="s">
        <v>43</v>
      </c>
      <c r="AC229">
        <v>2</v>
      </c>
      <c r="AD229" s="2">
        <v>44562</v>
      </c>
      <c r="AE229" s="1" t="s">
        <v>53</v>
      </c>
      <c r="AF229" s="1" t="s">
        <v>72</v>
      </c>
      <c r="AG229" s="1" t="s">
        <v>63</v>
      </c>
      <c r="AH229" s="1" t="s">
        <v>47</v>
      </c>
      <c r="AI229">
        <v>22100</v>
      </c>
      <c r="AJ229">
        <v>-221</v>
      </c>
    </row>
    <row r="230" spans="1:36" x14ac:dyDescent="0.25">
      <c r="A230">
        <v>10229</v>
      </c>
      <c r="B230">
        <v>39</v>
      </c>
      <c r="C230" s="1" t="s">
        <v>60</v>
      </c>
      <c r="D230" s="1" t="s">
        <v>37</v>
      </c>
      <c r="E230" s="2">
        <v>44888</v>
      </c>
      <c r="F230" s="2">
        <v>44563</v>
      </c>
      <c r="G230" s="1" t="s">
        <v>62</v>
      </c>
      <c r="H230">
        <v>597</v>
      </c>
      <c r="I230">
        <v>21</v>
      </c>
      <c r="J230">
        <v>2</v>
      </c>
      <c r="K230">
        <v>42.54</v>
      </c>
      <c r="L230">
        <v>10</v>
      </c>
      <c r="M230" s="1" t="s">
        <v>65</v>
      </c>
      <c r="N230" s="1" t="s">
        <v>56</v>
      </c>
      <c r="O230">
        <v>12477.3</v>
      </c>
      <c r="P230" t="b">
        <v>0</v>
      </c>
      <c r="Q230">
        <v>1.75</v>
      </c>
      <c r="R230">
        <v>594.15714285714284</v>
      </c>
      <c r="S230">
        <v>14.18</v>
      </c>
      <c r="T230" s="2">
        <v>44866</v>
      </c>
      <c r="U230" s="1" t="s">
        <v>51</v>
      </c>
      <c r="V230">
        <v>0</v>
      </c>
      <c r="W230" s="1" t="s">
        <v>56</v>
      </c>
      <c r="Y230" s="1" t="s">
        <v>52</v>
      </c>
      <c r="Z230" s="1" t="s">
        <v>42</v>
      </c>
      <c r="AA230">
        <v>9.0909090909090912E-2</v>
      </c>
      <c r="AB230" s="1" t="s">
        <v>52</v>
      </c>
      <c r="AC230">
        <v>2</v>
      </c>
      <c r="AD230" s="2">
        <v>44866</v>
      </c>
      <c r="AE230" s="1" t="s">
        <v>53</v>
      </c>
      <c r="AF230" s="1" t="s">
        <v>72</v>
      </c>
      <c r="AG230" s="1" t="s">
        <v>55</v>
      </c>
      <c r="AH230" s="1" t="s">
        <v>64</v>
      </c>
      <c r="AI230">
        <v>12537</v>
      </c>
      <c r="AJ230">
        <v>-59.700000000000728</v>
      </c>
    </row>
    <row r="231" spans="1:36" x14ac:dyDescent="0.25">
      <c r="A231">
        <v>10230</v>
      </c>
      <c r="B231">
        <v>28</v>
      </c>
      <c r="C231" s="1" t="s">
        <v>60</v>
      </c>
      <c r="D231" s="1" t="s">
        <v>71</v>
      </c>
      <c r="E231" s="2">
        <v>44537</v>
      </c>
      <c r="F231" s="2">
        <v>44530</v>
      </c>
      <c r="G231" s="1" t="s">
        <v>49</v>
      </c>
      <c r="H231">
        <v>1104</v>
      </c>
      <c r="I231">
        <v>23</v>
      </c>
      <c r="J231">
        <v>1</v>
      </c>
      <c r="K231">
        <v>78.709999999999994</v>
      </c>
      <c r="L231">
        <v>15</v>
      </c>
      <c r="M231" s="1" t="s">
        <v>50</v>
      </c>
      <c r="N231" s="1" t="s">
        <v>56</v>
      </c>
      <c r="O231">
        <v>25226.400000000001</v>
      </c>
      <c r="P231" t="b">
        <v>0</v>
      </c>
      <c r="Q231">
        <v>1.9166666666666667</v>
      </c>
      <c r="R231">
        <v>1096.8</v>
      </c>
      <c r="S231">
        <v>39.354999999999997</v>
      </c>
      <c r="T231" s="2">
        <v>44531</v>
      </c>
      <c r="U231" s="1" t="s">
        <v>57</v>
      </c>
      <c r="V231">
        <v>0</v>
      </c>
      <c r="W231" s="1" t="s">
        <v>40</v>
      </c>
      <c r="Y231" s="1" t="s">
        <v>43</v>
      </c>
      <c r="Z231" s="1" t="s">
        <v>42</v>
      </c>
      <c r="AA231">
        <v>4.1666666666666664E-2</v>
      </c>
      <c r="AB231" s="1" t="s">
        <v>43</v>
      </c>
      <c r="AC231">
        <v>3</v>
      </c>
      <c r="AD231" s="2">
        <v>44531</v>
      </c>
      <c r="AE231" s="1" t="s">
        <v>53</v>
      </c>
      <c r="AF231" s="1" t="s">
        <v>54</v>
      </c>
      <c r="AG231" s="1" t="s">
        <v>63</v>
      </c>
      <c r="AH231" s="1" t="s">
        <v>47</v>
      </c>
      <c r="AI231">
        <v>25392</v>
      </c>
      <c r="AJ231">
        <v>-165.59999999999854</v>
      </c>
    </row>
    <row r="232" spans="1:36" x14ac:dyDescent="0.25">
      <c r="A232">
        <v>10231</v>
      </c>
      <c r="B232">
        <v>33</v>
      </c>
      <c r="C232" s="1" t="s">
        <v>36</v>
      </c>
      <c r="D232" s="1" t="s">
        <v>48</v>
      </c>
      <c r="E232" s="2">
        <v>45057</v>
      </c>
      <c r="F232" s="2">
        <v>44916</v>
      </c>
      <c r="G232" s="1" t="s">
        <v>62</v>
      </c>
      <c r="H232">
        <v>453</v>
      </c>
      <c r="I232">
        <v>30</v>
      </c>
      <c r="J232">
        <v>2</v>
      </c>
      <c r="K232">
        <v>5.24</v>
      </c>
      <c r="L232">
        <v>0</v>
      </c>
      <c r="M232" s="1" t="s">
        <v>39</v>
      </c>
      <c r="N232" s="1" t="s">
        <v>56</v>
      </c>
      <c r="O232">
        <v>13590</v>
      </c>
      <c r="P232" t="b">
        <v>0</v>
      </c>
      <c r="Q232">
        <v>2.5</v>
      </c>
      <c r="R232">
        <v>453</v>
      </c>
      <c r="S232">
        <v>1.7466666666666668</v>
      </c>
      <c r="T232" s="2">
        <v>45047</v>
      </c>
      <c r="U232" s="1" t="s">
        <v>57</v>
      </c>
      <c r="V232">
        <v>0</v>
      </c>
      <c r="W232" s="1" t="s">
        <v>40</v>
      </c>
      <c r="Y232" s="1" t="s">
        <v>42</v>
      </c>
      <c r="Z232" s="1" t="s">
        <v>42</v>
      </c>
      <c r="AA232">
        <v>6.4516129032258063E-2</v>
      </c>
      <c r="AB232" s="1" t="s">
        <v>52</v>
      </c>
      <c r="AC232">
        <v>2</v>
      </c>
      <c r="AD232" s="2">
        <v>45047</v>
      </c>
      <c r="AE232" s="1" t="s">
        <v>44</v>
      </c>
      <c r="AF232" s="1" t="s">
        <v>72</v>
      </c>
      <c r="AG232" s="1" t="s">
        <v>77</v>
      </c>
      <c r="AH232" s="1" t="s">
        <v>68</v>
      </c>
      <c r="AI232">
        <v>13590</v>
      </c>
      <c r="AJ232">
        <v>0</v>
      </c>
    </row>
    <row r="233" spans="1:36" x14ac:dyDescent="0.25">
      <c r="A233">
        <v>10232</v>
      </c>
      <c r="B233">
        <v>50</v>
      </c>
      <c r="C233" s="1" t="s">
        <v>60</v>
      </c>
      <c r="D233" s="1" t="s">
        <v>69</v>
      </c>
      <c r="E233" s="2">
        <v>44216</v>
      </c>
      <c r="F233" s="2">
        <v>45004</v>
      </c>
      <c r="G233" s="1" t="s">
        <v>62</v>
      </c>
      <c r="H233">
        <v>1031</v>
      </c>
      <c r="I233">
        <v>25</v>
      </c>
      <c r="J233">
        <v>0</v>
      </c>
      <c r="K233">
        <v>116.33</v>
      </c>
      <c r="L233">
        <v>15</v>
      </c>
      <c r="M233" s="1" t="s">
        <v>50</v>
      </c>
      <c r="N233" s="1" t="s">
        <v>56</v>
      </c>
      <c r="O233">
        <v>25620.35</v>
      </c>
      <c r="P233" t="b">
        <v>1</v>
      </c>
      <c r="Q233">
        <v>2.0833333333333335</v>
      </c>
      <c r="R233">
        <v>1024.8139999999999</v>
      </c>
      <c r="S233">
        <v>116.33</v>
      </c>
      <c r="T233" s="2">
        <v>44197</v>
      </c>
      <c r="U233" s="1" t="s">
        <v>51</v>
      </c>
      <c r="V233">
        <v>0</v>
      </c>
      <c r="W233" s="1" t="s">
        <v>40</v>
      </c>
      <c r="X233">
        <v>788</v>
      </c>
      <c r="Y233" s="1" t="s">
        <v>43</v>
      </c>
      <c r="Z233" s="1" t="s">
        <v>42</v>
      </c>
      <c r="AA233">
        <v>0</v>
      </c>
      <c r="AB233" s="1" t="s">
        <v>43</v>
      </c>
      <c r="AC233">
        <v>2</v>
      </c>
      <c r="AD233" s="2">
        <v>44197</v>
      </c>
      <c r="AE233" s="1" t="s">
        <v>44</v>
      </c>
      <c r="AF233" s="1" t="s">
        <v>54</v>
      </c>
      <c r="AG233" s="1" t="s">
        <v>63</v>
      </c>
      <c r="AH233" s="1" t="s">
        <v>47</v>
      </c>
      <c r="AI233">
        <v>25775</v>
      </c>
      <c r="AJ233">
        <v>-154.65000000000146</v>
      </c>
    </row>
    <row r="234" spans="1:36" x14ac:dyDescent="0.25">
      <c r="A234">
        <v>10233</v>
      </c>
      <c r="B234">
        <v>26</v>
      </c>
      <c r="C234" s="1" t="s">
        <v>36</v>
      </c>
      <c r="D234" s="1" t="s">
        <v>73</v>
      </c>
      <c r="E234" s="2">
        <v>44451</v>
      </c>
      <c r="F234" s="2">
        <v>44437</v>
      </c>
      <c r="G234" s="1" t="s">
        <v>49</v>
      </c>
      <c r="H234">
        <v>767</v>
      </c>
      <c r="I234">
        <v>31</v>
      </c>
      <c r="J234">
        <v>5</v>
      </c>
      <c r="K234">
        <v>31.69</v>
      </c>
      <c r="L234">
        <v>15</v>
      </c>
      <c r="M234" s="1" t="s">
        <v>67</v>
      </c>
      <c r="N234" s="1" t="s">
        <v>40</v>
      </c>
      <c r="O234">
        <v>23661.95</v>
      </c>
      <c r="P234" t="b">
        <v>0</v>
      </c>
      <c r="Q234">
        <v>2.5833333333333335</v>
      </c>
      <c r="R234">
        <v>763.28870967741943</v>
      </c>
      <c r="S234">
        <v>5.2816666666666672</v>
      </c>
      <c r="T234" s="2">
        <v>44440</v>
      </c>
      <c r="U234" s="1" t="s">
        <v>57</v>
      </c>
      <c r="V234">
        <v>1</v>
      </c>
      <c r="W234" s="1" t="s">
        <v>40</v>
      </c>
      <c r="Y234" s="1" t="s">
        <v>52</v>
      </c>
      <c r="Z234" s="1" t="s">
        <v>42</v>
      </c>
      <c r="AA234">
        <v>0.15625</v>
      </c>
      <c r="AB234" s="1" t="s">
        <v>43</v>
      </c>
      <c r="AC234">
        <v>3</v>
      </c>
      <c r="AD234" s="2">
        <v>44440</v>
      </c>
      <c r="AE234" s="1" t="s">
        <v>44</v>
      </c>
      <c r="AF234" s="1" t="s">
        <v>45</v>
      </c>
      <c r="AG234" s="1" t="s">
        <v>55</v>
      </c>
      <c r="AH234" s="1" t="s">
        <v>59</v>
      </c>
      <c r="AI234">
        <v>23777</v>
      </c>
      <c r="AJ234">
        <v>-115.04999999999927</v>
      </c>
    </row>
    <row r="235" spans="1:36" x14ac:dyDescent="0.25">
      <c r="A235">
        <v>10234</v>
      </c>
      <c r="B235">
        <v>23</v>
      </c>
      <c r="C235" s="1" t="s">
        <v>36</v>
      </c>
      <c r="D235" s="1" t="s">
        <v>48</v>
      </c>
      <c r="E235" s="2">
        <v>44513</v>
      </c>
      <c r="F235" s="2">
        <v>44658</v>
      </c>
      <c r="G235" s="1" t="s">
        <v>38</v>
      </c>
      <c r="H235">
        <v>348</v>
      </c>
      <c r="I235">
        <v>27</v>
      </c>
      <c r="J235">
        <v>4</v>
      </c>
      <c r="K235">
        <v>110.47</v>
      </c>
      <c r="L235">
        <v>10</v>
      </c>
      <c r="M235" s="1" t="s">
        <v>39</v>
      </c>
      <c r="N235" s="1" t="s">
        <v>56</v>
      </c>
      <c r="O235">
        <v>9361.2000000000007</v>
      </c>
      <c r="P235" t="b">
        <v>1</v>
      </c>
      <c r="Q235">
        <v>2.25</v>
      </c>
      <c r="R235">
        <v>346.71111111111117</v>
      </c>
      <c r="S235">
        <v>22.094000000000001</v>
      </c>
      <c r="T235" s="2">
        <v>44501</v>
      </c>
      <c r="U235" s="1" t="s">
        <v>66</v>
      </c>
      <c r="V235">
        <v>0</v>
      </c>
      <c r="W235" s="1" t="s">
        <v>56</v>
      </c>
      <c r="X235">
        <v>145</v>
      </c>
      <c r="Y235" s="1" t="s">
        <v>43</v>
      </c>
      <c r="Z235" s="1" t="s">
        <v>42</v>
      </c>
      <c r="AA235">
        <v>0.14285714285714285</v>
      </c>
      <c r="AB235" s="1" t="s">
        <v>52</v>
      </c>
      <c r="AC235">
        <v>1</v>
      </c>
      <c r="AD235" s="2">
        <v>44501</v>
      </c>
      <c r="AE235" s="1" t="s">
        <v>44</v>
      </c>
      <c r="AF235" s="1" t="s">
        <v>45</v>
      </c>
      <c r="AG235" s="1" t="s">
        <v>63</v>
      </c>
      <c r="AH235" s="1" t="s">
        <v>68</v>
      </c>
      <c r="AI235">
        <v>9396</v>
      </c>
      <c r="AJ235">
        <v>-34.799999999999272</v>
      </c>
    </row>
    <row r="236" spans="1:36" x14ac:dyDescent="0.25">
      <c r="A236">
        <v>10235</v>
      </c>
      <c r="B236">
        <v>33</v>
      </c>
      <c r="C236" s="1" t="s">
        <v>36</v>
      </c>
      <c r="D236" s="1" t="s">
        <v>37</v>
      </c>
      <c r="E236" s="2">
        <v>44234</v>
      </c>
      <c r="F236" s="2">
        <v>44904</v>
      </c>
      <c r="G236" s="1" t="s">
        <v>38</v>
      </c>
      <c r="H236">
        <v>345</v>
      </c>
      <c r="I236">
        <v>34</v>
      </c>
      <c r="J236">
        <v>4</v>
      </c>
      <c r="K236">
        <v>17.54</v>
      </c>
      <c r="L236">
        <v>5</v>
      </c>
      <c r="M236" s="1" t="s">
        <v>67</v>
      </c>
      <c r="N236" s="1" t="s">
        <v>40</v>
      </c>
      <c r="O236">
        <v>11712.75</v>
      </c>
      <c r="P236" t="b">
        <v>1</v>
      </c>
      <c r="Q236">
        <v>2.8333333333333335</v>
      </c>
      <c r="R236">
        <v>344.49264705882354</v>
      </c>
      <c r="S236">
        <v>3.508</v>
      </c>
      <c r="T236" s="2">
        <v>44228</v>
      </c>
      <c r="U236" s="1" t="s">
        <v>57</v>
      </c>
      <c r="V236">
        <v>1</v>
      </c>
      <c r="W236" s="1" t="s">
        <v>56</v>
      </c>
      <c r="X236">
        <v>670</v>
      </c>
      <c r="Y236" s="1" t="s">
        <v>42</v>
      </c>
      <c r="Z236" s="1" t="s">
        <v>42</v>
      </c>
      <c r="AA236">
        <v>0.11428571428571428</v>
      </c>
      <c r="AB236" s="1" t="s">
        <v>52</v>
      </c>
      <c r="AC236">
        <v>1</v>
      </c>
      <c r="AD236" s="2">
        <v>44228</v>
      </c>
      <c r="AE236" s="1" t="s">
        <v>44</v>
      </c>
      <c r="AF236" s="1" t="s">
        <v>45</v>
      </c>
      <c r="AG236" s="1" t="s">
        <v>46</v>
      </c>
      <c r="AH236" s="1" t="s">
        <v>68</v>
      </c>
      <c r="AI236">
        <v>11730</v>
      </c>
      <c r="AJ236">
        <v>-17.25</v>
      </c>
    </row>
    <row r="237" spans="1:36" x14ac:dyDescent="0.25">
      <c r="A237">
        <v>10236</v>
      </c>
      <c r="B237">
        <v>46</v>
      </c>
      <c r="C237" s="1" t="s">
        <v>60</v>
      </c>
      <c r="D237" s="1" t="s">
        <v>73</v>
      </c>
      <c r="E237" s="2">
        <v>44856</v>
      </c>
      <c r="F237" s="2">
        <v>44604</v>
      </c>
      <c r="G237" s="1" t="s">
        <v>62</v>
      </c>
      <c r="H237">
        <v>1079</v>
      </c>
      <c r="I237">
        <v>8</v>
      </c>
      <c r="J237">
        <v>1</v>
      </c>
      <c r="K237">
        <v>32.380000000000003</v>
      </c>
      <c r="L237">
        <v>5</v>
      </c>
      <c r="M237" s="1" t="s">
        <v>39</v>
      </c>
      <c r="N237" s="1" t="s">
        <v>56</v>
      </c>
      <c r="O237">
        <v>8578.0499999999993</v>
      </c>
      <c r="P237" t="b">
        <v>0</v>
      </c>
      <c r="Q237">
        <v>0.66666666666666663</v>
      </c>
      <c r="R237">
        <v>1072.2562499999999</v>
      </c>
      <c r="S237">
        <v>16.190000000000001</v>
      </c>
      <c r="T237" s="2">
        <v>44835</v>
      </c>
      <c r="U237" s="1" t="s">
        <v>51</v>
      </c>
      <c r="V237">
        <v>0</v>
      </c>
      <c r="W237" s="1" t="s">
        <v>56</v>
      </c>
      <c r="Y237" s="1" t="s">
        <v>52</v>
      </c>
      <c r="Z237" s="1" t="s">
        <v>42</v>
      </c>
      <c r="AA237">
        <v>0.1111111111111111</v>
      </c>
      <c r="AB237" s="1" t="s">
        <v>42</v>
      </c>
      <c r="AC237">
        <v>2</v>
      </c>
      <c r="AD237" s="2">
        <v>44835</v>
      </c>
      <c r="AE237" s="1" t="s">
        <v>74</v>
      </c>
      <c r="AF237" s="1" t="s">
        <v>54</v>
      </c>
      <c r="AG237" s="1" t="s">
        <v>55</v>
      </c>
      <c r="AH237" s="1" t="s">
        <v>47</v>
      </c>
      <c r="AI237">
        <v>8632</v>
      </c>
      <c r="AJ237">
        <v>-53.950000000000728</v>
      </c>
    </row>
    <row r="238" spans="1:36" x14ac:dyDescent="0.25">
      <c r="A238">
        <v>10237</v>
      </c>
      <c r="B238">
        <v>20</v>
      </c>
      <c r="C238" s="1" t="s">
        <v>60</v>
      </c>
      <c r="D238" s="1" t="s">
        <v>48</v>
      </c>
      <c r="E238" s="2">
        <v>44733</v>
      </c>
      <c r="F238" s="2">
        <v>44880</v>
      </c>
      <c r="G238" s="1" t="s">
        <v>62</v>
      </c>
      <c r="H238">
        <v>381</v>
      </c>
      <c r="I238">
        <v>19</v>
      </c>
      <c r="J238">
        <v>1</v>
      </c>
      <c r="K238">
        <v>32.01</v>
      </c>
      <c r="L238">
        <v>0</v>
      </c>
      <c r="M238" s="1" t="s">
        <v>65</v>
      </c>
      <c r="N238" s="1" t="s">
        <v>56</v>
      </c>
      <c r="O238">
        <v>7239</v>
      </c>
      <c r="P238" t="b">
        <v>1</v>
      </c>
      <c r="Q238">
        <v>1.5833333333333333</v>
      </c>
      <c r="R238">
        <v>381</v>
      </c>
      <c r="S238">
        <v>16.004999999999999</v>
      </c>
      <c r="T238" s="2">
        <v>44713</v>
      </c>
      <c r="U238" s="1" t="s">
        <v>66</v>
      </c>
      <c r="V238">
        <v>0</v>
      </c>
      <c r="W238" s="1" t="s">
        <v>56</v>
      </c>
      <c r="X238">
        <v>147</v>
      </c>
      <c r="Y238" s="1" t="s">
        <v>52</v>
      </c>
      <c r="Z238" s="1" t="s">
        <v>42</v>
      </c>
      <c r="AA238">
        <v>0.05</v>
      </c>
      <c r="AB238" s="1" t="s">
        <v>42</v>
      </c>
      <c r="AC238">
        <v>2</v>
      </c>
      <c r="AD238" s="2">
        <v>44713</v>
      </c>
      <c r="AE238" s="1" t="s">
        <v>53</v>
      </c>
      <c r="AF238" s="1" t="s">
        <v>54</v>
      </c>
      <c r="AG238" s="1" t="s">
        <v>55</v>
      </c>
      <c r="AH238" s="1" t="s">
        <v>68</v>
      </c>
      <c r="AI238">
        <v>7239</v>
      </c>
      <c r="AJ238">
        <v>0</v>
      </c>
    </row>
    <row r="239" spans="1:36" x14ac:dyDescent="0.25">
      <c r="A239">
        <v>10238</v>
      </c>
      <c r="B239">
        <v>37</v>
      </c>
      <c r="C239" s="1" t="s">
        <v>36</v>
      </c>
      <c r="D239" s="1" t="s">
        <v>71</v>
      </c>
      <c r="E239" s="2">
        <v>44582</v>
      </c>
      <c r="F239" s="2">
        <v>44880</v>
      </c>
      <c r="G239" s="1" t="s">
        <v>49</v>
      </c>
      <c r="H239">
        <v>1367</v>
      </c>
      <c r="I239">
        <v>26</v>
      </c>
      <c r="J239">
        <v>3</v>
      </c>
      <c r="K239">
        <v>119.56</v>
      </c>
      <c r="L239">
        <v>10</v>
      </c>
      <c r="M239" s="1" t="s">
        <v>39</v>
      </c>
      <c r="N239" s="1" t="s">
        <v>56</v>
      </c>
      <c r="O239">
        <v>35405.300000000003</v>
      </c>
      <c r="P239" t="b">
        <v>1</v>
      </c>
      <c r="Q239">
        <v>2.1666666666666665</v>
      </c>
      <c r="R239">
        <v>1361.7423076923078</v>
      </c>
      <c r="S239">
        <v>29.89</v>
      </c>
      <c r="T239" s="2">
        <v>44562</v>
      </c>
      <c r="U239" s="1" t="s">
        <v>51</v>
      </c>
      <c r="V239">
        <v>0</v>
      </c>
      <c r="W239" s="1" t="s">
        <v>40</v>
      </c>
      <c r="X239">
        <v>298</v>
      </c>
      <c r="Y239" s="1" t="s">
        <v>43</v>
      </c>
      <c r="Z239" s="1" t="s">
        <v>42</v>
      </c>
      <c r="AA239">
        <v>0.1111111111111111</v>
      </c>
      <c r="AB239" s="1" t="s">
        <v>43</v>
      </c>
      <c r="AC239">
        <v>3</v>
      </c>
      <c r="AD239" s="2">
        <v>44562</v>
      </c>
      <c r="AE239" s="1" t="s">
        <v>44</v>
      </c>
      <c r="AF239" s="1" t="s">
        <v>72</v>
      </c>
      <c r="AG239" s="1" t="s">
        <v>63</v>
      </c>
      <c r="AH239" s="1" t="s">
        <v>47</v>
      </c>
      <c r="AI239">
        <v>35542</v>
      </c>
      <c r="AJ239">
        <v>-136.69999999999709</v>
      </c>
    </row>
    <row r="240" spans="1:36" x14ac:dyDescent="0.25">
      <c r="A240">
        <v>10239</v>
      </c>
      <c r="B240">
        <v>53</v>
      </c>
      <c r="C240" s="1" t="s">
        <v>60</v>
      </c>
      <c r="D240" s="1" t="s">
        <v>71</v>
      </c>
      <c r="E240" s="2">
        <v>44829</v>
      </c>
      <c r="F240" s="2">
        <v>44399</v>
      </c>
      <c r="G240" s="1" t="s">
        <v>38</v>
      </c>
      <c r="H240">
        <v>1254</v>
      </c>
      <c r="I240">
        <v>28</v>
      </c>
      <c r="J240">
        <v>1</v>
      </c>
      <c r="K240">
        <v>5.53</v>
      </c>
      <c r="L240">
        <v>15</v>
      </c>
      <c r="M240" s="1" t="s">
        <v>39</v>
      </c>
      <c r="N240" s="1" t="s">
        <v>40</v>
      </c>
      <c r="O240">
        <v>34923.9</v>
      </c>
      <c r="P240" t="b">
        <v>0</v>
      </c>
      <c r="Q240">
        <v>2.3333333333333335</v>
      </c>
      <c r="R240">
        <v>1247.2821428571428</v>
      </c>
      <c r="S240">
        <v>2.7650000000000001</v>
      </c>
      <c r="T240" s="2">
        <v>44805</v>
      </c>
      <c r="U240" s="1" t="s">
        <v>41</v>
      </c>
      <c r="V240">
        <v>1</v>
      </c>
      <c r="W240" s="1" t="s">
        <v>40</v>
      </c>
      <c r="Y240" s="1" t="s">
        <v>42</v>
      </c>
      <c r="Z240" s="1" t="s">
        <v>42</v>
      </c>
      <c r="AA240">
        <v>3.4482758620689655E-2</v>
      </c>
      <c r="AB240" s="1" t="s">
        <v>43</v>
      </c>
      <c r="AC240">
        <v>1</v>
      </c>
      <c r="AD240" s="2">
        <v>44805</v>
      </c>
      <c r="AE240" s="1" t="s">
        <v>44</v>
      </c>
      <c r="AF240" s="1" t="s">
        <v>54</v>
      </c>
      <c r="AG240" s="1" t="s">
        <v>77</v>
      </c>
      <c r="AH240" s="1" t="s">
        <v>47</v>
      </c>
      <c r="AI240">
        <v>35112</v>
      </c>
      <c r="AJ240">
        <v>-188.09999999999854</v>
      </c>
    </row>
    <row r="241" spans="1:36" x14ac:dyDescent="0.25">
      <c r="A241">
        <v>10240</v>
      </c>
      <c r="B241">
        <v>36</v>
      </c>
      <c r="C241" s="1" t="s">
        <v>36</v>
      </c>
      <c r="D241" s="1" t="s">
        <v>69</v>
      </c>
      <c r="E241" s="2">
        <v>44222</v>
      </c>
      <c r="F241" s="2">
        <v>44685</v>
      </c>
      <c r="G241" s="1" t="s">
        <v>62</v>
      </c>
      <c r="H241">
        <v>572</v>
      </c>
      <c r="I241">
        <v>4</v>
      </c>
      <c r="J241">
        <v>3</v>
      </c>
      <c r="K241">
        <v>78.56</v>
      </c>
      <c r="L241">
        <v>20</v>
      </c>
      <c r="M241" s="1" t="s">
        <v>39</v>
      </c>
      <c r="N241" s="1" t="s">
        <v>56</v>
      </c>
      <c r="O241">
        <v>2173.6</v>
      </c>
      <c r="P241" t="b">
        <v>1</v>
      </c>
      <c r="Q241">
        <v>0.33333333333333331</v>
      </c>
      <c r="R241">
        <v>543.4</v>
      </c>
      <c r="S241">
        <v>19.64</v>
      </c>
      <c r="T241" s="2">
        <v>44197</v>
      </c>
      <c r="U241" s="1" t="s">
        <v>51</v>
      </c>
      <c r="V241">
        <v>0</v>
      </c>
      <c r="W241" s="1" t="s">
        <v>56</v>
      </c>
      <c r="X241">
        <v>463</v>
      </c>
      <c r="Y241" s="1" t="s">
        <v>43</v>
      </c>
      <c r="Z241" s="1" t="s">
        <v>52</v>
      </c>
      <c r="AA241">
        <v>0.6</v>
      </c>
      <c r="AB241" s="1" t="s">
        <v>42</v>
      </c>
      <c r="AC241">
        <v>2</v>
      </c>
      <c r="AD241" s="2">
        <v>44197</v>
      </c>
      <c r="AE241" s="1" t="s">
        <v>58</v>
      </c>
      <c r="AF241" s="1" t="s">
        <v>72</v>
      </c>
      <c r="AG241" s="1" t="s">
        <v>63</v>
      </c>
      <c r="AH241" s="1" t="s">
        <v>64</v>
      </c>
      <c r="AI241">
        <v>2288</v>
      </c>
      <c r="AJ241">
        <v>-114.40000000000009</v>
      </c>
    </row>
    <row r="242" spans="1:36" x14ac:dyDescent="0.25">
      <c r="A242">
        <v>10241</v>
      </c>
      <c r="B242">
        <v>43</v>
      </c>
      <c r="C242" s="1" t="s">
        <v>36</v>
      </c>
      <c r="D242" s="1" t="s">
        <v>61</v>
      </c>
      <c r="E242" s="2">
        <v>44650</v>
      </c>
      <c r="F242" s="2">
        <v>44518</v>
      </c>
      <c r="G242" s="1" t="s">
        <v>62</v>
      </c>
      <c r="H242">
        <v>693</v>
      </c>
      <c r="I242">
        <v>31</v>
      </c>
      <c r="J242">
        <v>0</v>
      </c>
      <c r="K242">
        <v>105.01</v>
      </c>
      <c r="L242">
        <v>20</v>
      </c>
      <c r="M242" s="1" t="s">
        <v>67</v>
      </c>
      <c r="N242" s="1" t="s">
        <v>56</v>
      </c>
      <c r="O242">
        <v>21344.400000000001</v>
      </c>
      <c r="P242" t="b">
        <v>0</v>
      </c>
      <c r="Q242">
        <v>2.5833333333333335</v>
      </c>
      <c r="R242">
        <v>688.5290322580646</v>
      </c>
      <c r="S242">
        <v>105.01</v>
      </c>
      <c r="T242" s="2">
        <v>44621</v>
      </c>
      <c r="U242" s="1" t="s">
        <v>51</v>
      </c>
      <c r="V242">
        <v>0</v>
      </c>
      <c r="W242" s="1" t="s">
        <v>40</v>
      </c>
      <c r="Y242" s="1" t="s">
        <v>43</v>
      </c>
      <c r="Z242" s="1" t="s">
        <v>52</v>
      </c>
      <c r="AA242">
        <v>0</v>
      </c>
      <c r="AB242" s="1" t="s">
        <v>43</v>
      </c>
      <c r="AC242">
        <v>2</v>
      </c>
      <c r="AD242" s="2">
        <v>44621</v>
      </c>
      <c r="AE242" s="1" t="s">
        <v>44</v>
      </c>
      <c r="AF242" s="1" t="s">
        <v>54</v>
      </c>
      <c r="AG242" s="1" t="s">
        <v>63</v>
      </c>
      <c r="AH242" s="1" t="s">
        <v>64</v>
      </c>
      <c r="AI242">
        <v>21483</v>
      </c>
      <c r="AJ242">
        <v>-138.59999999999854</v>
      </c>
    </row>
    <row r="243" spans="1:36" x14ac:dyDescent="0.25">
      <c r="A243">
        <v>10242</v>
      </c>
      <c r="B243">
        <v>20</v>
      </c>
      <c r="C243" s="1" t="s">
        <v>75</v>
      </c>
      <c r="D243" s="1" t="s">
        <v>73</v>
      </c>
      <c r="E243" s="2">
        <v>44877</v>
      </c>
      <c r="F243" s="2">
        <v>44414</v>
      </c>
      <c r="G243" s="1" t="s">
        <v>38</v>
      </c>
      <c r="H243">
        <v>1089</v>
      </c>
      <c r="I243">
        <v>16</v>
      </c>
      <c r="J243">
        <v>1</v>
      </c>
      <c r="K243">
        <v>62.59</v>
      </c>
      <c r="L243">
        <v>0</v>
      </c>
      <c r="M243" s="1" t="s">
        <v>65</v>
      </c>
      <c r="N243" s="1" t="s">
        <v>40</v>
      </c>
      <c r="O243">
        <v>17424</v>
      </c>
      <c r="P243" t="b">
        <v>0</v>
      </c>
      <c r="Q243">
        <v>1.3333333333333333</v>
      </c>
      <c r="R243">
        <v>1089</v>
      </c>
      <c r="S243">
        <v>31.295000000000002</v>
      </c>
      <c r="T243" s="2">
        <v>44866</v>
      </c>
      <c r="U243" s="1" t="s">
        <v>66</v>
      </c>
      <c r="V243">
        <v>1</v>
      </c>
      <c r="W243" s="1" t="s">
        <v>40</v>
      </c>
      <c r="Y243" s="1" t="s">
        <v>43</v>
      </c>
      <c r="Z243" s="1" t="s">
        <v>42</v>
      </c>
      <c r="AA243">
        <v>5.8823529411764705E-2</v>
      </c>
      <c r="AB243" s="1" t="s">
        <v>52</v>
      </c>
      <c r="AC243">
        <v>1</v>
      </c>
      <c r="AD243" s="2">
        <v>44866</v>
      </c>
      <c r="AE243" s="1" t="s">
        <v>53</v>
      </c>
      <c r="AF243" s="1" t="s">
        <v>54</v>
      </c>
      <c r="AG243" s="1" t="s">
        <v>63</v>
      </c>
      <c r="AH243" s="1" t="s">
        <v>47</v>
      </c>
      <c r="AI243">
        <v>17424</v>
      </c>
      <c r="AJ243">
        <v>0</v>
      </c>
    </row>
    <row r="244" spans="1:36" x14ac:dyDescent="0.25">
      <c r="A244">
        <v>10243</v>
      </c>
      <c r="B244">
        <v>36</v>
      </c>
      <c r="C244" s="1" t="s">
        <v>60</v>
      </c>
      <c r="D244" s="1" t="s">
        <v>37</v>
      </c>
      <c r="E244" s="2">
        <v>44519</v>
      </c>
      <c r="F244" s="2">
        <v>44972</v>
      </c>
      <c r="G244" s="1" t="s">
        <v>62</v>
      </c>
      <c r="H244">
        <v>894</v>
      </c>
      <c r="I244">
        <v>10</v>
      </c>
      <c r="J244">
        <v>3</v>
      </c>
      <c r="K244">
        <v>46.71</v>
      </c>
      <c r="L244">
        <v>0</v>
      </c>
      <c r="M244" s="1" t="s">
        <v>67</v>
      </c>
      <c r="N244" s="1" t="s">
        <v>56</v>
      </c>
      <c r="O244">
        <v>8940</v>
      </c>
      <c r="P244" t="b">
        <v>1</v>
      </c>
      <c r="Q244">
        <v>0.83333333333333337</v>
      </c>
      <c r="R244">
        <v>894</v>
      </c>
      <c r="S244">
        <v>11.6775</v>
      </c>
      <c r="T244" s="2">
        <v>44501</v>
      </c>
      <c r="U244" s="1" t="s">
        <v>51</v>
      </c>
      <c r="V244">
        <v>0</v>
      </c>
      <c r="W244" s="1" t="s">
        <v>56</v>
      </c>
      <c r="X244">
        <v>453</v>
      </c>
      <c r="Y244" s="1" t="s">
        <v>52</v>
      </c>
      <c r="Z244" s="1" t="s">
        <v>42</v>
      </c>
      <c r="AA244">
        <v>0.27272727272727271</v>
      </c>
      <c r="AB244" s="1" t="s">
        <v>52</v>
      </c>
      <c r="AC244">
        <v>2</v>
      </c>
      <c r="AD244" s="2">
        <v>44501</v>
      </c>
      <c r="AE244" s="1" t="s">
        <v>74</v>
      </c>
      <c r="AF244" s="1" t="s">
        <v>72</v>
      </c>
      <c r="AG244" s="1" t="s">
        <v>63</v>
      </c>
      <c r="AH244" s="1" t="s">
        <v>59</v>
      </c>
      <c r="AI244">
        <v>8940</v>
      </c>
      <c r="AJ244">
        <v>0</v>
      </c>
    </row>
    <row r="245" spans="1:36" x14ac:dyDescent="0.25">
      <c r="A245">
        <v>10244</v>
      </c>
      <c r="B245">
        <v>37</v>
      </c>
      <c r="C245" s="1" t="s">
        <v>36</v>
      </c>
      <c r="D245" s="1" t="s">
        <v>37</v>
      </c>
      <c r="E245" s="2">
        <v>44933</v>
      </c>
      <c r="F245" s="2">
        <v>44647</v>
      </c>
      <c r="G245" s="1" t="s">
        <v>49</v>
      </c>
      <c r="H245">
        <v>357</v>
      </c>
      <c r="I245">
        <v>10</v>
      </c>
      <c r="J245">
        <v>2</v>
      </c>
      <c r="K245">
        <v>115.21</v>
      </c>
      <c r="L245">
        <v>0</v>
      </c>
      <c r="M245" s="1" t="s">
        <v>50</v>
      </c>
      <c r="N245" s="1" t="s">
        <v>56</v>
      </c>
      <c r="O245">
        <v>3570</v>
      </c>
      <c r="P245" t="b">
        <v>0</v>
      </c>
      <c r="Q245">
        <v>0.83333333333333337</v>
      </c>
      <c r="R245">
        <v>357</v>
      </c>
      <c r="S245">
        <v>38.403333333333329</v>
      </c>
      <c r="T245" s="2">
        <v>44927</v>
      </c>
      <c r="U245" s="1" t="s">
        <v>51</v>
      </c>
      <c r="V245">
        <v>0</v>
      </c>
      <c r="W245" s="1" t="s">
        <v>56</v>
      </c>
      <c r="Y245" s="1" t="s">
        <v>43</v>
      </c>
      <c r="Z245" s="1" t="s">
        <v>42</v>
      </c>
      <c r="AA245">
        <v>0.18181818181818182</v>
      </c>
      <c r="AB245" s="1" t="s">
        <v>42</v>
      </c>
      <c r="AC245">
        <v>3</v>
      </c>
      <c r="AD245" s="2">
        <v>44927</v>
      </c>
      <c r="AE245" s="1" t="s">
        <v>74</v>
      </c>
      <c r="AF245" s="1" t="s">
        <v>72</v>
      </c>
      <c r="AG245" s="1" t="s">
        <v>63</v>
      </c>
      <c r="AH245" s="1" t="s">
        <v>68</v>
      </c>
      <c r="AI245">
        <v>3570</v>
      </c>
      <c r="AJ245">
        <v>0</v>
      </c>
    </row>
    <row r="246" spans="1:36" x14ac:dyDescent="0.25">
      <c r="A246">
        <v>10245</v>
      </c>
      <c r="B246">
        <v>49</v>
      </c>
      <c r="C246" s="1" t="s">
        <v>36</v>
      </c>
      <c r="D246" s="1" t="s">
        <v>61</v>
      </c>
      <c r="E246" s="2">
        <v>44709</v>
      </c>
      <c r="F246" s="2">
        <v>45019</v>
      </c>
      <c r="G246" s="1" t="s">
        <v>38</v>
      </c>
      <c r="H246">
        <v>864</v>
      </c>
      <c r="I246">
        <v>9</v>
      </c>
      <c r="J246">
        <v>3</v>
      </c>
      <c r="K246">
        <v>107.75</v>
      </c>
      <c r="L246">
        <v>10</v>
      </c>
      <c r="M246" s="1" t="s">
        <v>65</v>
      </c>
      <c r="N246" s="1" t="s">
        <v>56</v>
      </c>
      <c r="O246">
        <v>7689.6</v>
      </c>
      <c r="P246" t="b">
        <v>1</v>
      </c>
      <c r="Q246">
        <v>0.75</v>
      </c>
      <c r="R246">
        <v>854.40000000000009</v>
      </c>
      <c r="S246">
        <v>26.9375</v>
      </c>
      <c r="T246" s="2">
        <v>44682</v>
      </c>
      <c r="U246" s="1" t="s">
        <v>51</v>
      </c>
      <c r="V246">
        <v>0</v>
      </c>
      <c r="W246" s="1" t="s">
        <v>56</v>
      </c>
      <c r="X246">
        <v>310</v>
      </c>
      <c r="Y246" s="1" t="s">
        <v>43</v>
      </c>
      <c r="Z246" s="1" t="s">
        <v>42</v>
      </c>
      <c r="AA246">
        <v>0.3</v>
      </c>
      <c r="AB246" s="1" t="s">
        <v>42</v>
      </c>
      <c r="AC246">
        <v>1</v>
      </c>
      <c r="AD246" s="2">
        <v>44682</v>
      </c>
      <c r="AE246" s="1" t="s">
        <v>74</v>
      </c>
      <c r="AF246" s="1" t="s">
        <v>72</v>
      </c>
      <c r="AG246" s="1" t="s">
        <v>63</v>
      </c>
      <c r="AH246" s="1" t="s">
        <v>59</v>
      </c>
      <c r="AI246">
        <v>7776</v>
      </c>
      <c r="AJ246">
        <v>-86.399999999999636</v>
      </c>
    </row>
    <row r="247" spans="1:36" x14ac:dyDescent="0.25">
      <c r="A247">
        <v>10246</v>
      </c>
      <c r="B247">
        <v>24</v>
      </c>
      <c r="C247" s="1" t="s">
        <v>60</v>
      </c>
      <c r="D247" s="1" t="s">
        <v>71</v>
      </c>
      <c r="E247" s="2">
        <v>45015</v>
      </c>
      <c r="F247" s="2">
        <v>45125</v>
      </c>
      <c r="G247" s="1" t="s">
        <v>62</v>
      </c>
      <c r="H247">
        <v>300</v>
      </c>
      <c r="I247">
        <v>19</v>
      </c>
      <c r="J247">
        <v>2</v>
      </c>
      <c r="K247">
        <v>54.9</v>
      </c>
      <c r="L247">
        <v>20</v>
      </c>
      <c r="M247" s="1" t="s">
        <v>39</v>
      </c>
      <c r="N247" s="1" t="s">
        <v>40</v>
      </c>
      <c r="O247">
        <v>5640</v>
      </c>
      <c r="P247" t="b">
        <v>1</v>
      </c>
      <c r="Q247">
        <v>1.5833333333333333</v>
      </c>
      <c r="R247">
        <v>296.84210526315792</v>
      </c>
      <c r="S247">
        <v>18.3</v>
      </c>
      <c r="T247" s="2">
        <v>44986</v>
      </c>
      <c r="U247" s="1" t="s">
        <v>66</v>
      </c>
      <c r="V247">
        <v>1</v>
      </c>
      <c r="W247" s="1" t="s">
        <v>56</v>
      </c>
      <c r="X247">
        <v>110</v>
      </c>
      <c r="Y247" s="1" t="s">
        <v>52</v>
      </c>
      <c r="Z247" s="1" t="s">
        <v>52</v>
      </c>
      <c r="AA247">
        <v>0.1</v>
      </c>
      <c r="AB247" s="1" t="s">
        <v>42</v>
      </c>
      <c r="AC247">
        <v>2</v>
      </c>
      <c r="AD247" s="2">
        <v>44986</v>
      </c>
      <c r="AE247" s="1" t="s">
        <v>53</v>
      </c>
      <c r="AF247" s="1" t="s">
        <v>72</v>
      </c>
      <c r="AG247" s="1" t="s">
        <v>63</v>
      </c>
      <c r="AH247" s="1" t="s">
        <v>79</v>
      </c>
      <c r="AI247">
        <v>5700</v>
      </c>
      <c r="AJ247">
        <v>-60</v>
      </c>
    </row>
    <row r="248" spans="1:36" x14ac:dyDescent="0.25">
      <c r="A248">
        <v>10247</v>
      </c>
      <c r="B248">
        <v>58</v>
      </c>
      <c r="C248" s="1" t="s">
        <v>60</v>
      </c>
      <c r="D248" s="1" t="s">
        <v>71</v>
      </c>
      <c r="E248" s="2">
        <v>44969</v>
      </c>
      <c r="F248" s="2">
        <v>45179</v>
      </c>
      <c r="G248" s="1" t="s">
        <v>62</v>
      </c>
      <c r="H248">
        <v>515</v>
      </c>
      <c r="I248">
        <v>19</v>
      </c>
      <c r="J248">
        <v>1</v>
      </c>
      <c r="K248">
        <v>70.930000000000007</v>
      </c>
      <c r="L248">
        <v>10</v>
      </c>
      <c r="M248" s="1" t="s">
        <v>39</v>
      </c>
      <c r="N248" s="1" t="s">
        <v>56</v>
      </c>
      <c r="O248">
        <v>9733.5</v>
      </c>
      <c r="P248" t="b">
        <v>1</v>
      </c>
      <c r="Q248">
        <v>1.5833333333333333</v>
      </c>
      <c r="R248">
        <v>512.28947368421052</v>
      </c>
      <c r="S248">
        <v>35.465000000000003</v>
      </c>
      <c r="T248" s="2">
        <v>44958</v>
      </c>
      <c r="U248" s="1" t="s">
        <v>41</v>
      </c>
      <c r="V248">
        <v>0</v>
      </c>
      <c r="W248" s="1" t="s">
        <v>56</v>
      </c>
      <c r="X248">
        <v>210</v>
      </c>
      <c r="Y248" s="1" t="s">
        <v>43</v>
      </c>
      <c r="Z248" s="1" t="s">
        <v>42</v>
      </c>
      <c r="AA248">
        <v>0.05</v>
      </c>
      <c r="AB248" s="1" t="s">
        <v>52</v>
      </c>
      <c r="AC248">
        <v>2</v>
      </c>
      <c r="AD248" s="2">
        <v>44958</v>
      </c>
      <c r="AE248" s="1" t="s">
        <v>53</v>
      </c>
      <c r="AF248" s="1" t="s">
        <v>54</v>
      </c>
      <c r="AG248" s="1" t="s">
        <v>63</v>
      </c>
      <c r="AH248" s="1" t="s">
        <v>64</v>
      </c>
      <c r="AI248">
        <v>9785</v>
      </c>
      <c r="AJ248">
        <v>-51.5</v>
      </c>
    </row>
    <row r="249" spans="1:36" x14ac:dyDescent="0.25">
      <c r="A249">
        <v>10248</v>
      </c>
      <c r="B249">
        <v>50</v>
      </c>
      <c r="C249" s="1" t="s">
        <v>36</v>
      </c>
      <c r="D249" s="1" t="s">
        <v>48</v>
      </c>
      <c r="E249" s="2">
        <v>44209</v>
      </c>
      <c r="F249" s="2">
        <v>44579</v>
      </c>
      <c r="G249" s="1" t="s">
        <v>38</v>
      </c>
      <c r="H249">
        <v>1065</v>
      </c>
      <c r="I249">
        <v>12</v>
      </c>
      <c r="J249">
        <v>2</v>
      </c>
      <c r="K249">
        <v>116.26</v>
      </c>
      <c r="L249">
        <v>10</v>
      </c>
      <c r="M249" s="1" t="s">
        <v>39</v>
      </c>
      <c r="N249" s="1" t="s">
        <v>40</v>
      </c>
      <c r="O249">
        <v>12673.5</v>
      </c>
      <c r="P249" t="b">
        <v>1</v>
      </c>
      <c r="Q249">
        <v>1</v>
      </c>
      <c r="R249">
        <v>1056.125</v>
      </c>
      <c r="S249">
        <v>38.753333333333337</v>
      </c>
      <c r="T249" s="2">
        <v>44197</v>
      </c>
      <c r="U249" s="1" t="s">
        <v>51</v>
      </c>
      <c r="V249">
        <v>1</v>
      </c>
      <c r="W249" s="1" t="s">
        <v>56</v>
      </c>
      <c r="X249">
        <v>370</v>
      </c>
      <c r="Y249" s="1" t="s">
        <v>43</v>
      </c>
      <c r="Z249" s="1" t="s">
        <v>42</v>
      </c>
      <c r="AA249">
        <v>0.15384615384615385</v>
      </c>
      <c r="AB249" s="1" t="s">
        <v>52</v>
      </c>
      <c r="AC249">
        <v>1</v>
      </c>
      <c r="AD249" s="2">
        <v>44197</v>
      </c>
      <c r="AE249" s="1" t="s">
        <v>74</v>
      </c>
      <c r="AF249" s="1" t="s">
        <v>72</v>
      </c>
      <c r="AG249" s="1" t="s">
        <v>63</v>
      </c>
      <c r="AH249" s="1" t="s">
        <v>47</v>
      </c>
      <c r="AI249">
        <v>12780</v>
      </c>
      <c r="AJ249">
        <v>-106.5</v>
      </c>
    </row>
    <row r="250" spans="1:36" x14ac:dyDescent="0.25">
      <c r="A250">
        <v>10249</v>
      </c>
      <c r="B250">
        <v>57</v>
      </c>
      <c r="C250" s="1" t="s">
        <v>60</v>
      </c>
      <c r="D250" s="1" t="s">
        <v>69</v>
      </c>
      <c r="E250" s="2">
        <v>44756</v>
      </c>
      <c r="F250" s="2">
        <v>45184</v>
      </c>
      <c r="G250" s="1" t="s">
        <v>38</v>
      </c>
      <c r="H250">
        <v>970</v>
      </c>
      <c r="I250">
        <v>13</v>
      </c>
      <c r="J250">
        <v>1</v>
      </c>
      <c r="K250">
        <v>117.99</v>
      </c>
      <c r="L250">
        <v>15</v>
      </c>
      <c r="M250" s="1" t="s">
        <v>50</v>
      </c>
      <c r="N250" s="1" t="s">
        <v>40</v>
      </c>
      <c r="O250">
        <v>12464.5</v>
      </c>
      <c r="P250" t="b">
        <v>1</v>
      </c>
      <c r="Q250">
        <v>1.0833333333333333</v>
      </c>
      <c r="R250">
        <v>958.80769230769226</v>
      </c>
      <c r="S250">
        <v>58.994999999999997</v>
      </c>
      <c r="T250" s="2">
        <v>44743</v>
      </c>
      <c r="U250" s="1" t="s">
        <v>41</v>
      </c>
      <c r="V250">
        <v>1</v>
      </c>
      <c r="W250" s="1" t="s">
        <v>56</v>
      </c>
      <c r="X250">
        <v>428</v>
      </c>
      <c r="Y250" s="1" t="s">
        <v>43</v>
      </c>
      <c r="Z250" s="1" t="s">
        <v>42</v>
      </c>
      <c r="AA250">
        <v>7.1428571428571425E-2</v>
      </c>
      <c r="AB250" s="1" t="s">
        <v>52</v>
      </c>
      <c r="AC250">
        <v>1</v>
      </c>
      <c r="AD250" s="2">
        <v>44743</v>
      </c>
      <c r="AE250" s="1" t="s">
        <v>53</v>
      </c>
      <c r="AF250" s="1" t="s">
        <v>54</v>
      </c>
      <c r="AG250" s="1" t="s">
        <v>63</v>
      </c>
      <c r="AH250" s="1" t="s">
        <v>59</v>
      </c>
      <c r="AI250">
        <v>12610</v>
      </c>
      <c r="AJ250">
        <v>-145.5</v>
      </c>
    </row>
    <row r="251" spans="1:36" x14ac:dyDescent="0.25">
      <c r="A251">
        <v>10250</v>
      </c>
      <c r="B251">
        <v>56</v>
      </c>
      <c r="C251" s="1" t="s">
        <v>60</v>
      </c>
      <c r="D251" s="1" t="s">
        <v>73</v>
      </c>
      <c r="E251" s="2">
        <v>45021</v>
      </c>
      <c r="F251" s="2">
        <v>44415</v>
      </c>
      <c r="G251" s="1" t="s">
        <v>49</v>
      </c>
      <c r="H251">
        <v>810</v>
      </c>
      <c r="I251">
        <v>25</v>
      </c>
      <c r="J251">
        <v>1</v>
      </c>
      <c r="K251">
        <v>56.73</v>
      </c>
      <c r="L251">
        <v>10</v>
      </c>
      <c r="M251" s="1" t="s">
        <v>50</v>
      </c>
      <c r="N251" s="1" t="s">
        <v>40</v>
      </c>
      <c r="O251">
        <v>20169</v>
      </c>
      <c r="P251" t="b">
        <v>0</v>
      </c>
      <c r="Q251">
        <v>2.0833333333333335</v>
      </c>
      <c r="R251">
        <v>806.76</v>
      </c>
      <c r="S251">
        <v>28.364999999999998</v>
      </c>
      <c r="T251" s="2">
        <v>45017</v>
      </c>
      <c r="U251" s="1" t="s">
        <v>41</v>
      </c>
      <c r="V251">
        <v>1</v>
      </c>
      <c r="W251" s="1" t="s">
        <v>40</v>
      </c>
      <c r="Y251" s="1" t="s">
        <v>52</v>
      </c>
      <c r="Z251" s="1" t="s">
        <v>42</v>
      </c>
      <c r="AA251">
        <v>3.8461538461538464E-2</v>
      </c>
      <c r="AB251" s="1" t="s">
        <v>43</v>
      </c>
      <c r="AC251">
        <v>3</v>
      </c>
      <c r="AD251" s="2">
        <v>45017</v>
      </c>
      <c r="AE251" s="1" t="s">
        <v>44</v>
      </c>
      <c r="AF251" s="1" t="s">
        <v>54</v>
      </c>
      <c r="AG251" s="1" t="s">
        <v>63</v>
      </c>
      <c r="AH251" s="1" t="s">
        <v>59</v>
      </c>
      <c r="AI251">
        <v>20250</v>
      </c>
      <c r="AJ251">
        <v>-81</v>
      </c>
    </row>
    <row r="252" spans="1:36" x14ac:dyDescent="0.25">
      <c r="A252">
        <v>10251</v>
      </c>
      <c r="B252">
        <v>35</v>
      </c>
      <c r="C252" s="1" t="s">
        <v>60</v>
      </c>
      <c r="D252" s="1" t="s">
        <v>69</v>
      </c>
      <c r="E252" s="2">
        <v>44567</v>
      </c>
      <c r="F252" s="2">
        <v>44853</v>
      </c>
      <c r="G252" s="1" t="s">
        <v>38</v>
      </c>
      <c r="H252">
        <v>1214</v>
      </c>
      <c r="I252">
        <v>25</v>
      </c>
      <c r="J252">
        <v>3</v>
      </c>
      <c r="K252">
        <v>102.45</v>
      </c>
      <c r="L252">
        <v>10</v>
      </c>
      <c r="M252" s="1" t="s">
        <v>39</v>
      </c>
      <c r="N252" s="1" t="s">
        <v>56</v>
      </c>
      <c r="O252">
        <v>30228.6</v>
      </c>
      <c r="P252" t="b">
        <v>1</v>
      </c>
      <c r="Q252">
        <v>2.0833333333333335</v>
      </c>
      <c r="R252">
        <v>1209.144</v>
      </c>
      <c r="S252">
        <v>25.612500000000001</v>
      </c>
      <c r="T252" s="2">
        <v>44562</v>
      </c>
      <c r="U252" s="1" t="s">
        <v>57</v>
      </c>
      <c r="V252">
        <v>0</v>
      </c>
      <c r="W252" s="1" t="s">
        <v>40</v>
      </c>
      <c r="X252">
        <v>286</v>
      </c>
      <c r="Y252" s="1" t="s">
        <v>43</v>
      </c>
      <c r="Z252" s="1" t="s">
        <v>42</v>
      </c>
      <c r="AA252">
        <v>0.11538461538461539</v>
      </c>
      <c r="AB252" s="1" t="s">
        <v>43</v>
      </c>
      <c r="AC252">
        <v>1</v>
      </c>
      <c r="AD252" s="2">
        <v>44562</v>
      </c>
      <c r="AE252" s="1" t="s">
        <v>44</v>
      </c>
      <c r="AF252" s="1" t="s">
        <v>72</v>
      </c>
      <c r="AG252" s="1" t="s">
        <v>63</v>
      </c>
      <c r="AH252" s="1" t="s">
        <v>47</v>
      </c>
      <c r="AI252">
        <v>30350</v>
      </c>
      <c r="AJ252">
        <v>-121.40000000000146</v>
      </c>
    </row>
    <row r="253" spans="1:36" x14ac:dyDescent="0.25">
      <c r="A253">
        <v>10252</v>
      </c>
      <c r="B253">
        <v>57</v>
      </c>
      <c r="C253" s="1" t="s">
        <v>36</v>
      </c>
      <c r="D253" s="1" t="s">
        <v>69</v>
      </c>
      <c r="E253" s="2">
        <v>44487</v>
      </c>
      <c r="F253" s="2">
        <v>44375</v>
      </c>
      <c r="G253" s="1" t="s">
        <v>38</v>
      </c>
      <c r="H253">
        <v>394</v>
      </c>
      <c r="I253">
        <v>28</v>
      </c>
      <c r="J253">
        <v>6</v>
      </c>
      <c r="K253">
        <v>39.729999999999997</v>
      </c>
      <c r="L253">
        <v>15</v>
      </c>
      <c r="M253" s="1" t="s">
        <v>39</v>
      </c>
      <c r="N253" s="1" t="s">
        <v>56</v>
      </c>
      <c r="O253">
        <v>10972.9</v>
      </c>
      <c r="P253" t="b">
        <v>0</v>
      </c>
      <c r="Q253">
        <v>2.3333333333333335</v>
      </c>
      <c r="R253">
        <v>391.88928571428568</v>
      </c>
      <c r="S253">
        <v>5.6757142857142853</v>
      </c>
      <c r="T253" s="2">
        <v>44470</v>
      </c>
      <c r="U253" s="1" t="s">
        <v>41</v>
      </c>
      <c r="V253">
        <v>0</v>
      </c>
      <c r="W253" s="1" t="s">
        <v>56</v>
      </c>
      <c r="Y253" s="1" t="s">
        <v>52</v>
      </c>
      <c r="Z253" s="1" t="s">
        <v>42</v>
      </c>
      <c r="AA253">
        <v>0.20689655172413793</v>
      </c>
      <c r="AB253" s="1" t="s">
        <v>52</v>
      </c>
      <c r="AC253">
        <v>1</v>
      </c>
      <c r="AD253" s="2">
        <v>44470</v>
      </c>
      <c r="AE253" s="1" t="s">
        <v>44</v>
      </c>
      <c r="AF253" s="1" t="s">
        <v>78</v>
      </c>
      <c r="AG253" s="1" t="s">
        <v>55</v>
      </c>
      <c r="AH253" s="1" t="s">
        <v>68</v>
      </c>
      <c r="AI253">
        <v>11032</v>
      </c>
      <c r="AJ253">
        <v>-59.100000000000364</v>
      </c>
    </row>
    <row r="254" spans="1:36" x14ac:dyDescent="0.25">
      <c r="A254">
        <v>10253</v>
      </c>
      <c r="B254">
        <v>18</v>
      </c>
      <c r="C254" s="1" t="s">
        <v>36</v>
      </c>
      <c r="D254" s="1" t="s">
        <v>48</v>
      </c>
      <c r="E254" s="2">
        <v>44528</v>
      </c>
      <c r="F254" s="2">
        <v>44975</v>
      </c>
      <c r="G254" s="1" t="s">
        <v>38</v>
      </c>
      <c r="H254">
        <v>792</v>
      </c>
      <c r="I254">
        <v>30</v>
      </c>
      <c r="J254">
        <v>1</v>
      </c>
      <c r="K254">
        <v>47.76</v>
      </c>
      <c r="L254">
        <v>5</v>
      </c>
      <c r="M254" s="1" t="s">
        <v>50</v>
      </c>
      <c r="N254" s="1" t="s">
        <v>56</v>
      </c>
      <c r="O254">
        <v>23720.400000000001</v>
      </c>
      <c r="P254" t="b">
        <v>1</v>
      </c>
      <c r="Q254">
        <v>2.5</v>
      </c>
      <c r="R254">
        <v>790.68000000000006</v>
      </c>
      <c r="S254">
        <v>23.88</v>
      </c>
      <c r="T254" s="2">
        <v>44501</v>
      </c>
      <c r="U254" s="1" t="s">
        <v>66</v>
      </c>
      <c r="V254">
        <v>0</v>
      </c>
      <c r="W254" s="1" t="s">
        <v>40</v>
      </c>
      <c r="X254">
        <v>447</v>
      </c>
      <c r="Y254" s="1" t="s">
        <v>52</v>
      </c>
      <c r="Z254" s="1" t="s">
        <v>42</v>
      </c>
      <c r="AA254">
        <v>3.2258064516129031E-2</v>
      </c>
      <c r="AB254" s="1" t="s">
        <v>43</v>
      </c>
      <c r="AC254">
        <v>1</v>
      </c>
      <c r="AD254" s="2">
        <v>44501</v>
      </c>
      <c r="AE254" s="1" t="s">
        <v>44</v>
      </c>
      <c r="AF254" s="1" t="s">
        <v>54</v>
      </c>
      <c r="AG254" s="1" t="s">
        <v>63</v>
      </c>
      <c r="AH254" s="1" t="s">
        <v>59</v>
      </c>
      <c r="AI254">
        <v>23760</v>
      </c>
      <c r="AJ254">
        <v>-39.599999999998545</v>
      </c>
    </row>
    <row r="255" spans="1:36" x14ac:dyDescent="0.25">
      <c r="A255">
        <v>10254</v>
      </c>
      <c r="B255">
        <v>28</v>
      </c>
      <c r="C255" s="1" t="s">
        <v>36</v>
      </c>
      <c r="D255" s="1" t="s">
        <v>69</v>
      </c>
      <c r="E255" s="2">
        <v>44802</v>
      </c>
      <c r="F255" s="2">
        <v>44398</v>
      </c>
      <c r="G255" s="1" t="s">
        <v>62</v>
      </c>
      <c r="H255">
        <v>1064</v>
      </c>
      <c r="I255">
        <v>5</v>
      </c>
      <c r="J255">
        <v>2</v>
      </c>
      <c r="K255">
        <v>23.95</v>
      </c>
      <c r="L255">
        <v>15</v>
      </c>
      <c r="M255" s="1" t="s">
        <v>67</v>
      </c>
      <c r="N255" s="1" t="s">
        <v>56</v>
      </c>
      <c r="O255">
        <v>5160.3999999999996</v>
      </c>
      <c r="P255" t="b">
        <v>0</v>
      </c>
      <c r="Q255">
        <v>0.41666666666666669</v>
      </c>
      <c r="R255">
        <v>1032.08</v>
      </c>
      <c r="S255">
        <v>7.9833333333333334</v>
      </c>
      <c r="T255" s="2">
        <v>44774</v>
      </c>
      <c r="U255" s="1" t="s">
        <v>57</v>
      </c>
      <c r="V255">
        <v>0</v>
      </c>
      <c r="W255" s="1" t="s">
        <v>56</v>
      </c>
      <c r="Y255" s="1" t="s">
        <v>52</v>
      </c>
      <c r="Z255" s="1" t="s">
        <v>42</v>
      </c>
      <c r="AA255">
        <v>0.33333333333333331</v>
      </c>
      <c r="AB255" s="1" t="s">
        <v>42</v>
      </c>
      <c r="AC255">
        <v>2</v>
      </c>
      <c r="AD255" s="2">
        <v>44774</v>
      </c>
      <c r="AE255" s="1" t="s">
        <v>58</v>
      </c>
      <c r="AF255" s="1" t="s">
        <v>72</v>
      </c>
      <c r="AG255" s="1" t="s">
        <v>70</v>
      </c>
      <c r="AH255" s="1" t="s">
        <v>47</v>
      </c>
      <c r="AI255">
        <v>5320</v>
      </c>
      <c r="AJ255">
        <v>-159.60000000000036</v>
      </c>
    </row>
    <row r="256" spans="1:36" x14ac:dyDescent="0.25">
      <c r="A256">
        <v>10255</v>
      </c>
      <c r="B256">
        <v>45</v>
      </c>
      <c r="C256" s="1" t="s">
        <v>60</v>
      </c>
      <c r="D256" s="1" t="s">
        <v>61</v>
      </c>
      <c r="E256" s="2">
        <v>44457</v>
      </c>
      <c r="F256" s="2">
        <v>45040</v>
      </c>
      <c r="G256" s="1" t="s">
        <v>62</v>
      </c>
      <c r="H256">
        <v>1321</v>
      </c>
      <c r="I256">
        <v>17</v>
      </c>
      <c r="J256">
        <v>5</v>
      </c>
      <c r="K256">
        <v>29.06</v>
      </c>
      <c r="L256">
        <v>0</v>
      </c>
      <c r="M256" s="1" t="s">
        <v>65</v>
      </c>
      <c r="N256" s="1" t="s">
        <v>56</v>
      </c>
      <c r="O256">
        <v>22457</v>
      </c>
      <c r="P256" t="b">
        <v>1</v>
      </c>
      <c r="Q256">
        <v>1.4166666666666667</v>
      </c>
      <c r="R256">
        <v>1321</v>
      </c>
      <c r="S256">
        <v>4.8433333333333328</v>
      </c>
      <c r="T256" s="2">
        <v>44440</v>
      </c>
      <c r="U256" s="1" t="s">
        <v>51</v>
      </c>
      <c r="V256">
        <v>0</v>
      </c>
      <c r="W256" s="1" t="s">
        <v>40</v>
      </c>
      <c r="X256">
        <v>583</v>
      </c>
      <c r="Y256" s="1" t="s">
        <v>52</v>
      </c>
      <c r="Z256" s="1" t="s">
        <v>42</v>
      </c>
      <c r="AA256">
        <v>0.27777777777777779</v>
      </c>
      <c r="AB256" s="1" t="s">
        <v>43</v>
      </c>
      <c r="AC256">
        <v>2</v>
      </c>
      <c r="AD256" s="2">
        <v>44440</v>
      </c>
      <c r="AE256" s="1" t="s">
        <v>53</v>
      </c>
      <c r="AF256" s="1" t="s">
        <v>45</v>
      </c>
      <c r="AG256" s="1" t="s">
        <v>70</v>
      </c>
      <c r="AH256" s="1" t="s">
        <v>47</v>
      </c>
      <c r="AI256">
        <v>22457</v>
      </c>
      <c r="AJ256">
        <v>0</v>
      </c>
    </row>
    <row r="257" spans="1:36" x14ac:dyDescent="0.25">
      <c r="A257">
        <v>10256</v>
      </c>
      <c r="B257">
        <v>42</v>
      </c>
      <c r="C257" s="1" t="s">
        <v>60</v>
      </c>
      <c r="D257" s="1" t="s">
        <v>48</v>
      </c>
      <c r="E257" s="2">
        <v>44986</v>
      </c>
      <c r="F257" s="2">
        <v>44607</v>
      </c>
      <c r="G257" s="1" t="s">
        <v>62</v>
      </c>
      <c r="H257">
        <v>449</v>
      </c>
      <c r="I257">
        <v>18</v>
      </c>
      <c r="J257">
        <v>2</v>
      </c>
      <c r="K257">
        <v>80.540000000000006</v>
      </c>
      <c r="L257">
        <v>5</v>
      </c>
      <c r="M257" s="1" t="s">
        <v>65</v>
      </c>
      <c r="N257" s="1" t="s">
        <v>56</v>
      </c>
      <c r="O257">
        <v>8059.55</v>
      </c>
      <c r="P257" t="b">
        <v>0</v>
      </c>
      <c r="Q257">
        <v>1.5</v>
      </c>
      <c r="R257">
        <v>447.75277777777779</v>
      </c>
      <c r="S257">
        <v>26.846666666666668</v>
      </c>
      <c r="T257" s="2">
        <v>44986</v>
      </c>
      <c r="U257" s="1" t="s">
        <v>51</v>
      </c>
      <c r="V257">
        <v>0</v>
      </c>
      <c r="W257" s="1" t="s">
        <v>56</v>
      </c>
      <c r="Y257" s="1" t="s">
        <v>43</v>
      </c>
      <c r="Z257" s="1" t="s">
        <v>42</v>
      </c>
      <c r="AA257">
        <v>0.10526315789473684</v>
      </c>
      <c r="AB257" s="1" t="s">
        <v>42</v>
      </c>
      <c r="AC257">
        <v>2</v>
      </c>
      <c r="AD257" s="2">
        <v>44986</v>
      </c>
      <c r="AE257" s="1" t="s">
        <v>53</v>
      </c>
      <c r="AF257" s="1" t="s">
        <v>72</v>
      </c>
      <c r="AG257" s="1" t="s">
        <v>63</v>
      </c>
      <c r="AH257" s="1" t="s">
        <v>68</v>
      </c>
      <c r="AI257">
        <v>8082</v>
      </c>
      <c r="AJ257">
        <v>-22.449999999999818</v>
      </c>
    </row>
    <row r="258" spans="1:36" x14ac:dyDescent="0.25">
      <c r="A258">
        <v>10257</v>
      </c>
      <c r="B258">
        <v>40</v>
      </c>
      <c r="C258" s="1" t="s">
        <v>36</v>
      </c>
      <c r="D258" s="1" t="s">
        <v>61</v>
      </c>
      <c r="E258" s="2">
        <v>45067</v>
      </c>
      <c r="F258" s="2">
        <v>44938</v>
      </c>
      <c r="G258" s="1" t="s">
        <v>38</v>
      </c>
      <c r="H258">
        <v>1346</v>
      </c>
      <c r="I258">
        <v>21</v>
      </c>
      <c r="J258">
        <v>0</v>
      </c>
      <c r="K258">
        <v>63.74</v>
      </c>
      <c r="L258">
        <v>20</v>
      </c>
      <c r="M258" s="1" t="s">
        <v>50</v>
      </c>
      <c r="N258" s="1" t="s">
        <v>56</v>
      </c>
      <c r="O258">
        <v>27996.799999999999</v>
      </c>
      <c r="P258" t="b">
        <v>0</v>
      </c>
      <c r="Q258">
        <v>1.75</v>
      </c>
      <c r="R258">
        <v>1333.1809523809522</v>
      </c>
      <c r="S258">
        <v>63.74</v>
      </c>
      <c r="T258" s="2">
        <v>45047</v>
      </c>
      <c r="U258" s="1" t="s">
        <v>51</v>
      </c>
      <c r="V258">
        <v>0</v>
      </c>
      <c r="W258" s="1" t="s">
        <v>40</v>
      </c>
      <c r="Y258" s="1" t="s">
        <v>43</v>
      </c>
      <c r="Z258" s="1" t="s">
        <v>52</v>
      </c>
      <c r="AA258">
        <v>0</v>
      </c>
      <c r="AB258" s="1" t="s">
        <v>43</v>
      </c>
      <c r="AC258">
        <v>1</v>
      </c>
      <c r="AD258" s="2">
        <v>45047</v>
      </c>
      <c r="AE258" s="1" t="s">
        <v>53</v>
      </c>
      <c r="AF258" s="1" t="s">
        <v>54</v>
      </c>
      <c r="AG258" s="1" t="s">
        <v>63</v>
      </c>
      <c r="AH258" s="1" t="s">
        <v>47</v>
      </c>
      <c r="AI258">
        <v>28266</v>
      </c>
      <c r="AJ258">
        <v>-269.20000000000073</v>
      </c>
    </row>
    <row r="259" spans="1:36" x14ac:dyDescent="0.25">
      <c r="A259">
        <v>10258</v>
      </c>
      <c r="B259">
        <v>48</v>
      </c>
      <c r="C259" s="1" t="s">
        <v>36</v>
      </c>
      <c r="D259" s="1" t="s">
        <v>48</v>
      </c>
      <c r="E259" s="2">
        <v>44401</v>
      </c>
      <c r="F259" s="2">
        <v>45132</v>
      </c>
      <c r="G259" s="1" t="s">
        <v>49</v>
      </c>
      <c r="H259">
        <v>1055</v>
      </c>
      <c r="I259">
        <v>22</v>
      </c>
      <c r="J259">
        <v>4</v>
      </c>
      <c r="K259">
        <v>31.58</v>
      </c>
      <c r="L259">
        <v>10</v>
      </c>
      <c r="M259" s="1" t="s">
        <v>50</v>
      </c>
      <c r="N259" s="1" t="s">
        <v>40</v>
      </c>
      <c r="O259">
        <v>23104.5</v>
      </c>
      <c r="P259" t="b">
        <v>1</v>
      </c>
      <c r="Q259">
        <v>1.8333333333333333</v>
      </c>
      <c r="R259">
        <v>1050.2045454545455</v>
      </c>
      <c r="S259">
        <v>6.3159999999999998</v>
      </c>
      <c r="T259" s="2">
        <v>44378</v>
      </c>
      <c r="U259" s="1" t="s">
        <v>51</v>
      </c>
      <c r="V259">
        <v>1</v>
      </c>
      <c r="W259" s="1" t="s">
        <v>40</v>
      </c>
      <c r="X259">
        <v>731</v>
      </c>
      <c r="Y259" s="1" t="s">
        <v>52</v>
      </c>
      <c r="Z259" s="1" t="s">
        <v>42</v>
      </c>
      <c r="AA259">
        <v>0.17391304347826086</v>
      </c>
      <c r="AB259" s="1" t="s">
        <v>43</v>
      </c>
      <c r="AC259">
        <v>3</v>
      </c>
      <c r="AD259" s="2">
        <v>44378</v>
      </c>
      <c r="AE259" s="1" t="s">
        <v>53</v>
      </c>
      <c r="AF259" s="1" t="s">
        <v>45</v>
      </c>
      <c r="AG259" s="1" t="s">
        <v>55</v>
      </c>
      <c r="AH259" s="1" t="s">
        <v>47</v>
      </c>
      <c r="AI259">
        <v>23210</v>
      </c>
      <c r="AJ259">
        <v>-105.5</v>
      </c>
    </row>
    <row r="260" spans="1:36" x14ac:dyDescent="0.25">
      <c r="A260">
        <v>10259</v>
      </c>
      <c r="B260">
        <v>47</v>
      </c>
      <c r="C260" s="1" t="s">
        <v>60</v>
      </c>
      <c r="D260" s="1" t="s">
        <v>69</v>
      </c>
      <c r="E260" s="2">
        <v>44893</v>
      </c>
      <c r="F260" s="2">
        <v>44967</v>
      </c>
      <c r="G260" s="1" t="s">
        <v>38</v>
      </c>
      <c r="H260">
        <v>698</v>
      </c>
      <c r="I260">
        <v>6</v>
      </c>
      <c r="J260">
        <v>1</v>
      </c>
      <c r="K260">
        <v>51.33</v>
      </c>
      <c r="L260">
        <v>5</v>
      </c>
      <c r="M260" s="1" t="s">
        <v>67</v>
      </c>
      <c r="N260" s="1" t="s">
        <v>56</v>
      </c>
      <c r="O260">
        <v>4153.1000000000004</v>
      </c>
      <c r="P260" t="b">
        <v>1</v>
      </c>
      <c r="Q260">
        <v>0.5</v>
      </c>
      <c r="R260">
        <v>692.18333333333339</v>
      </c>
      <c r="S260">
        <v>25.664999999999999</v>
      </c>
      <c r="T260" s="2">
        <v>44866</v>
      </c>
      <c r="U260" s="1" t="s">
        <v>51</v>
      </c>
      <c r="V260">
        <v>0</v>
      </c>
      <c r="W260" s="1" t="s">
        <v>56</v>
      </c>
      <c r="X260">
        <v>74</v>
      </c>
      <c r="Y260" s="1" t="s">
        <v>52</v>
      </c>
      <c r="Z260" s="1" t="s">
        <v>42</v>
      </c>
      <c r="AA260">
        <v>0.14285714285714285</v>
      </c>
      <c r="AB260" s="1" t="s">
        <v>42</v>
      </c>
      <c r="AC260">
        <v>1</v>
      </c>
      <c r="AD260" s="2">
        <v>44866</v>
      </c>
      <c r="AE260" s="1" t="s">
        <v>58</v>
      </c>
      <c r="AF260" s="1" t="s">
        <v>54</v>
      </c>
      <c r="AG260" s="1" t="s">
        <v>63</v>
      </c>
      <c r="AH260" s="1" t="s">
        <v>64</v>
      </c>
      <c r="AI260">
        <v>4188</v>
      </c>
      <c r="AJ260">
        <v>-34.899999999999636</v>
      </c>
    </row>
    <row r="261" spans="1:36" x14ac:dyDescent="0.25">
      <c r="A261">
        <v>10260</v>
      </c>
      <c r="B261">
        <v>59</v>
      </c>
      <c r="C261" s="1" t="s">
        <v>36</v>
      </c>
      <c r="D261" s="1" t="s">
        <v>61</v>
      </c>
      <c r="E261" s="2">
        <v>44883</v>
      </c>
      <c r="F261" s="2">
        <v>44933</v>
      </c>
      <c r="G261" s="1" t="s">
        <v>38</v>
      </c>
      <c r="H261">
        <v>709</v>
      </c>
      <c r="I261">
        <v>16</v>
      </c>
      <c r="J261">
        <v>1</v>
      </c>
      <c r="K261">
        <v>47.92</v>
      </c>
      <c r="L261">
        <v>20</v>
      </c>
      <c r="M261" s="1" t="s">
        <v>39</v>
      </c>
      <c r="N261" s="1" t="s">
        <v>56</v>
      </c>
      <c r="O261">
        <v>11202.2</v>
      </c>
      <c r="P261" t="b">
        <v>1</v>
      </c>
      <c r="Q261">
        <v>1.3333333333333333</v>
      </c>
      <c r="R261">
        <v>700.13750000000005</v>
      </c>
      <c r="S261">
        <v>23.96</v>
      </c>
      <c r="T261" s="2">
        <v>44866</v>
      </c>
      <c r="U261" s="1" t="s">
        <v>41</v>
      </c>
      <c r="V261">
        <v>0</v>
      </c>
      <c r="W261" s="1" t="s">
        <v>56</v>
      </c>
      <c r="X261">
        <v>50</v>
      </c>
      <c r="Y261" s="1" t="s">
        <v>52</v>
      </c>
      <c r="Z261" s="1" t="s">
        <v>52</v>
      </c>
      <c r="AA261">
        <v>5.8823529411764705E-2</v>
      </c>
      <c r="AB261" s="1" t="s">
        <v>52</v>
      </c>
      <c r="AC261">
        <v>1</v>
      </c>
      <c r="AD261" s="2">
        <v>44866</v>
      </c>
      <c r="AE261" s="1" t="s">
        <v>53</v>
      </c>
      <c r="AF261" s="1" t="s">
        <v>54</v>
      </c>
      <c r="AG261" s="1" t="s">
        <v>63</v>
      </c>
      <c r="AH261" s="1" t="s">
        <v>59</v>
      </c>
      <c r="AI261">
        <v>11344</v>
      </c>
      <c r="AJ261">
        <v>-141.79999999999927</v>
      </c>
    </row>
    <row r="262" spans="1:36" x14ac:dyDescent="0.25">
      <c r="A262">
        <v>10261</v>
      </c>
      <c r="B262">
        <v>52</v>
      </c>
      <c r="C262" s="1" t="s">
        <v>75</v>
      </c>
      <c r="D262" s="1" t="s">
        <v>61</v>
      </c>
      <c r="E262" s="2">
        <v>44583</v>
      </c>
      <c r="F262" s="2">
        <v>45034</v>
      </c>
      <c r="G262" s="1" t="s">
        <v>62</v>
      </c>
      <c r="H262">
        <v>430</v>
      </c>
      <c r="I262">
        <v>2</v>
      </c>
      <c r="J262">
        <v>0</v>
      </c>
      <c r="K262">
        <v>118.55</v>
      </c>
      <c r="L262">
        <v>15</v>
      </c>
      <c r="M262" s="1" t="s">
        <v>50</v>
      </c>
      <c r="N262" s="1" t="s">
        <v>56</v>
      </c>
      <c r="O262">
        <v>795.5</v>
      </c>
      <c r="P262" t="b">
        <v>1</v>
      </c>
      <c r="Q262">
        <v>0.16666666666666666</v>
      </c>
      <c r="R262">
        <v>397.75</v>
      </c>
      <c r="S262">
        <v>118.55</v>
      </c>
      <c r="T262" s="2">
        <v>44562</v>
      </c>
      <c r="U262" s="1" t="s">
        <v>41</v>
      </c>
      <c r="V262">
        <v>0</v>
      </c>
      <c r="W262" s="1" t="s">
        <v>56</v>
      </c>
      <c r="X262">
        <v>451</v>
      </c>
      <c r="Y262" s="1" t="s">
        <v>43</v>
      </c>
      <c r="Z262" s="1" t="s">
        <v>42</v>
      </c>
      <c r="AA262">
        <v>0</v>
      </c>
      <c r="AB262" s="1" t="s">
        <v>42</v>
      </c>
      <c r="AC262">
        <v>2</v>
      </c>
      <c r="AD262" s="2">
        <v>44562</v>
      </c>
      <c r="AE262" s="1" t="s">
        <v>58</v>
      </c>
      <c r="AF262" s="1" t="s">
        <v>54</v>
      </c>
      <c r="AG262" s="1" t="s">
        <v>63</v>
      </c>
      <c r="AH262" s="1" t="s">
        <v>68</v>
      </c>
      <c r="AI262">
        <v>860</v>
      </c>
      <c r="AJ262">
        <v>-64.5</v>
      </c>
    </row>
    <row r="263" spans="1:36" x14ac:dyDescent="0.25">
      <c r="A263">
        <v>10262</v>
      </c>
      <c r="B263">
        <v>24</v>
      </c>
      <c r="C263" s="1" t="s">
        <v>36</v>
      </c>
      <c r="D263" s="1" t="s">
        <v>61</v>
      </c>
      <c r="E263" s="2">
        <v>45088</v>
      </c>
      <c r="F263" s="2">
        <v>44531</v>
      </c>
      <c r="G263" s="1" t="s">
        <v>38</v>
      </c>
      <c r="H263">
        <v>1154</v>
      </c>
      <c r="I263">
        <v>1</v>
      </c>
      <c r="J263">
        <v>1</v>
      </c>
      <c r="K263">
        <v>103.16</v>
      </c>
      <c r="L263">
        <v>15</v>
      </c>
      <c r="M263" s="1" t="s">
        <v>67</v>
      </c>
      <c r="N263" s="1" t="s">
        <v>40</v>
      </c>
      <c r="O263">
        <v>980.9</v>
      </c>
      <c r="P263" t="b">
        <v>0</v>
      </c>
      <c r="Q263">
        <v>8.3333333333333329E-2</v>
      </c>
      <c r="R263">
        <v>980.9</v>
      </c>
      <c r="S263">
        <v>51.58</v>
      </c>
      <c r="T263" s="2">
        <v>45078</v>
      </c>
      <c r="U263" s="1" t="s">
        <v>66</v>
      </c>
      <c r="V263">
        <v>1</v>
      </c>
      <c r="W263" s="1" t="s">
        <v>56</v>
      </c>
      <c r="Y263" s="1" t="s">
        <v>43</v>
      </c>
      <c r="Z263" s="1" t="s">
        <v>42</v>
      </c>
      <c r="AA263">
        <v>0.5</v>
      </c>
      <c r="AB263" s="1" t="s">
        <v>42</v>
      </c>
      <c r="AC263">
        <v>1</v>
      </c>
      <c r="AD263" s="2">
        <v>45078</v>
      </c>
      <c r="AE263" s="1" t="s">
        <v>58</v>
      </c>
      <c r="AF263" s="1" t="s">
        <v>54</v>
      </c>
      <c r="AG263" s="1" t="s">
        <v>63</v>
      </c>
      <c r="AH263" s="1" t="s">
        <v>47</v>
      </c>
      <c r="AI263">
        <v>1154</v>
      </c>
      <c r="AJ263">
        <v>-173.10000000000002</v>
      </c>
    </row>
    <row r="264" spans="1:36" x14ac:dyDescent="0.25">
      <c r="A264">
        <v>10263</v>
      </c>
      <c r="B264">
        <v>33</v>
      </c>
      <c r="C264" s="1" t="s">
        <v>36</v>
      </c>
      <c r="D264" s="1" t="s">
        <v>76</v>
      </c>
      <c r="E264" s="2">
        <v>45017</v>
      </c>
      <c r="F264" s="2">
        <v>44370</v>
      </c>
      <c r="G264" s="1" t="s">
        <v>49</v>
      </c>
      <c r="H264">
        <v>447</v>
      </c>
      <c r="I264">
        <v>30</v>
      </c>
      <c r="J264">
        <v>3</v>
      </c>
      <c r="K264">
        <v>49.62</v>
      </c>
      <c r="L264">
        <v>0</v>
      </c>
      <c r="M264" s="1" t="s">
        <v>50</v>
      </c>
      <c r="N264" s="1" t="s">
        <v>40</v>
      </c>
      <c r="O264">
        <v>13410</v>
      </c>
      <c r="P264" t="b">
        <v>0</v>
      </c>
      <c r="Q264">
        <v>2.5</v>
      </c>
      <c r="R264">
        <v>447</v>
      </c>
      <c r="S264">
        <v>12.404999999999999</v>
      </c>
      <c r="T264" s="2">
        <v>45017</v>
      </c>
      <c r="U264" s="1" t="s">
        <v>57</v>
      </c>
      <c r="V264">
        <v>1</v>
      </c>
      <c r="W264" s="1" t="s">
        <v>56</v>
      </c>
      <c r="Y264" s="1" t="s">
        <v>52</v>
      </c>
      <c r="Z264" s="1" t="s">
        <v>42</v>
      </c>
      <c r="AA264">
        <v>9.6774193548387094E-2</v>
      </c>
      <c r="AB264" s="1" t="s">
        <v>52</v>
      </c>
      <c r="AC264">
        <v>3</v>
      </c>
      <c r="AD264" s="2">
        <v>45017</v>
      </c>
      <c r="AE264" s="1" t="s">
        <v>44</v>
      </c>
      <c r="AF264" s="1" t="s">
        <v>72</v>
      </c>
      <c r="AG264" s="1" t="s">
        <v>63</v>
      </c>
      <c r="AH264" s="1" t="s">
        <v>68</v>
      </c>
      <c r="AI264">
        <v>13410</v>
      </c>
      <c r="AJ264">
        <v>0</v>
      </c>
    </row>
    <row r="265" spans="1:36" x14ac:dyDescent="0.25">
      <c r="A265">
        <v>10264</v>
      </c>
      <c r="B265">
        <v>43</v>
      </c>
      <c r="C265" s="1" t="s">
        <v>36</v>
      </c>
      <c r="D265" s="1" t="s">
        <v>37</v>
      </c>
      <c r="E265" s="2">
        <v>44664</v>
      </c>
      <c r="F265" s="2">
        <v>45133</v>
      </c>
      <c r="G265" s="1" t="s">
        <v>49</v>
      </c>
      <c r="H265">
        <v>680</v>
      </c>
      <c r="I265">
        <v>23</v>
      </c>
      <c r="J265">
        <v>3</v>
      </c>
      <c r="K265">
        <v>110.1</v>
      </c>
      <c r="L265">
        <v>0</v>
      </c>
      <c r="M265" s="1" t="s">
        <v>39</v>
      </c>
      <c r="N265" s="1" t="s">
        <v>56</v>
      </c>
      <c r="O265">
        <v>15640</v>
      </c>
      <c r="P265" t="b">
        <v>1</v>
      </c>
      <c r="Q265">
        <v>1.9166666666666667</v>
      </c>
      <c r="R265">
        <v>680</v>
      </c>
      <c r="S265">
        <v>27.524999999999999</v>
      </c>
      <c r="T265" s="2">
        <v>44652</v>
      </c>
      <c r="U265" s="1" t="s">
        <v>51</v>
      </c>
      <c r="V265">
        <v>0</v>
      </c>
      <c r="W265" s="1" t="s">
        <v>40</v>
      </c>
      <c r="X265">
        <v>469</v>
      </c>
      <c r="Y265" s="1" t="s">
        <v>43</v>
      </c>
      <c r="Z265" s="1" t="s">
        <v>42</v>
      </c>
      <c r="AA265">
        <v>0.125</v>
      </c>
      <c r="AB265" s="1" t="s">
        <v>52</v>
      </c>
      <c r="AC265">
        <v>3</v>
      </c>
      <c r="AD265" s="2">
        <v>44652</v>
      </c>
      <c r="AE265" s="1" t="s">
        <v>53</v>
      </c>
      <c r="AF265" s="1" t="s">
        <v>72</v>
      </c>
      <c r="AG265" s="1" t="s">
        <v>63</v>
      </c>
      <c r="AH265" s="1" t="s">
        <v>64</v>
      </c>
      <c r="AI265">
        <v>15640</v>
      </c>
      <c r="AJ265">
        <v>0</v>
      </c>
    </row>
    <row r="266" spans="1:36" x14ac:dyDescent="0.25">
      <c r="A266">
        <v>10265</v>
      </c>
      <c r="B266">
        <v>19</v>
      </c>
      <c r="C266" s="1" t="s">
        <v>60</v>
      </c>
      <c r="D266" s="1" t="s">
        <v>69</v>
      </c>
      <c r="E266" s="2">
        <v>44611</v>
      </c>
      <c r="F266" s="2">
        <v>44476</v>
      </c>
      <c r="G266" s="1" t="s">
        <v>38</v>
      </c>
      <c r="H266">
        <v>1432</v>
      </c>
      <c r="I266">
        <v>1</v>
      </c>
      <c r="J266">
        <v>2</v>
      </c>
      <c r="K266">
        <v>44.4</v>
      </c>
      <c r="L266">
        <v>5</v>
      </c>
      <c r="M266" s="1" t="s">
        <v>50</v>
      </c>
      <c r="N266" s="1" t="s">
        <v>56</v>
      </c>
      <c r="O266">
        <v>1360.4</v>
      </c>
      <c r="P266" t="b">
        <v>0</v>
      </c>
      <c r="Q266">
        <v>8.3333333333333329E-2</v>
      </c>
      <c r="R266">
        <v>1360.4</v>
      </c>
      <c r="S266">
        <v>14.799999999999999</v>
      </c>
      <c r="T266" s="2">
        <v>44593</v>
      </c>
      <c r="U266" s="1" t="s">
        <v>66</v>
      </c>
      <c r="V266">
        <v>0</v>
      </c>
      <c r="W266" s="1" t="s">
        <v>56</v>
      </c>
      <c r="Y266" s="1" t="s">
        <v>52</v>
      </c>
      <c r="Z266" s="1" t="s">
        <v>42</v>
      </c>
      <c r="AA266">
        <v>1</v>
      </c>
      <c r="AB266" s="1" t="s">
        <v>42</v>
      </c>
      <c r="AC266">
        <v>1</v>
      </c>
      <c r="AD266" s="2">
        <v>44593</v>
      </c>
      <c r="AE266" s="1" t="s">
        <v>58</v>
      </c>
      <c r="AF266" s="1" t="s">
        <v>72</v>
      </c>
      <c r="AG266" s="1" t="s">
        <v>55</v>
      </c>
      <c r="AH266" s="1" t="s">
        <v>47</v>
      </c>
      <c r="AI266">
        <v>1432</v>
      </c>
      <c r="AJ266">
        <v>-71.599999999999909</v>
      </c>
    </row>
    <row r="267" spans="1:36" x14ac:dyDescent="0.25">
      <c r="A267">
        <v>10266</v>
      </c>
      <c r="B267">
        <v>18</v>
      </c>
      <c r="C267" s="1" t="s">
        <v>36</v>
      </c>
      <c r="D267" s="1" t="s">
        <v>61</v>
      </c>
      <c r="E267" s="2">
        <v>44265</v>
      </c>
      <c r="F267" s="2">
        <v>44638</v>
      </c>
      <c r="G267" s="1" t="s">
        <v>49</v>
      </c>
      <c r="H267">
        <v>851</v>
      </c>
      <c r="I267">
        <v>19</v>
      </c>
      <c r="J267">
        <v>0</v>
      </c>
      <c r="K267">
        <v>81.81</v>
      </c>
      <c r="L267">
        <v>10</v>
      </c>
      <c r="M267" s="1" t="s">
        <v>39</v>
      </c>
      <c r="N267" s="1" t="s">
        <v>56</v>
      </c>
      <c r="O267">
        <v>16083.9</v>
      </c>
      <c r="P267" t="b">
        <v>1</v>
      </c>
      <c r="Q267">
        <v>1.5833333333333333</v>
      </c>
      <c r="R267">
        <v>846.52105263157898</v>
      </c>
      <c r="S267">
        <v>81.81</v>
      </c>
      <c r="T267" s="2">
        <v>44256</v>
      </c>
      <c r="U267" s="1" t="s">
        <v>66</v>
      </c>
      <c r="V267">
        <v>0</v>
      </c>
      <c r="W267" s="1" t="s">
        <v>40</v>
      </c>
      <c r="X267">
        <v>373</v>
      </c>
      <c r="Y267" s="1" t="s">
        <v>43</v>
      </c>
      <c r="Z267" s="1" t="s">
        <v>42</v>
      </c>
      <c r="AA267">
        <v>0</v>
      </c>
      <c r="AB267" s="1" t="s">
        <v>52</v>
      </c>
      <c r="AC267">
        <v>3</v>
      </c>
      <c r="AD267" s="2">
        <v>44256</v>
      </c>
      <c r="AE267" s="1" t="s">
        <v>53</v>
      </c>
      <c r="AF267" s="1" t="s">
        <v>54</v>
      </c>
      <c r="AG267" s="1" t="s">
        <v>63</v>
      </c>
      <c r="AH267" s="1" t="s">
        <v>59</v>
      </c>
      <c r="AI267">
        <v>16169</v>
      </c>
      <c r="AJ267">
        <v>-85.100000000000364</v>
      </c>
    </row>
    <row r="268" spans="1:36" x14ac:dyDescent="0.25">
      <c r="A268">
        <v>10267</v>
      </c>
      <c r="B268">
        <v>29</v>
      </c>
      <c r="C268" s="1" t="s">
        <v>75</v>
      </c>
      <c r="D268" s="1" t="s">
        <v>73</v>
      </c>
      <c r="E268" s="2">
        <v>44668</v>
      </c>
      <c r="F268" s="2">
        <v>45179</v>
      </c>
      <c r="G268" s="1" t="s">
        <v>62</v>
      </c>
      <c r="H268">
        <v>1444</v>
      </c>
      <c r="I268">
        <v>3</v>
      </c>
      <c r="J268">
        <v>2</v>
      </c>
      <c r="K268">
        <v>116.16</v>
      </c>
      <c r="L268">
        <v>15</v>
      </c>
      <c r="M268" s="1" t="s">
        <v>67</v>
      </c>
      <c r="N268" s="1" t="s">
        <v>56</v>
      </c>
      <c r="O268">
        <v>4115.3999999999996</v>
      </c>
      <c r="P268" t="b">
        <v>1</v>
      </c>
      <c r="Q268">
        <v>0.25</v>
      </c>
      <c r="R268">
        <v>1371.8</v>
      </c>
      <c r="S268">
        <v>38.72</v>
      </c>
      <c r="T268" s="2">
        <v>44652</v>
      </c>
      <c r="U268" s="1" t="s">
        <v>57</v>
      </c>
      <c r="V268">
        <v>0</v>
      </c>
      <c r="W268" s="1" t="s">
        <v>56</v>
      </c>
      <c r="X268">
        <v>511</v>
      </c>
      <c r="Y268" s="1" t="s">
        <v>43</v>
      </c>
      <c r="Z268" s="1" t="s">
        <v>42</v>
      </c>
      <c r="AA268">
        <v>0.5</v>
      </c>
      <c r="AB268" s="1" t="s">
        <v>42</v>
      </c>
      <c r="AC268">
        <v>2</v>
      </c>
      <c r="AD268" s="2">
        <v>44652</v>
      </c>
      <c r="AE268" s="1" t="s">
        <v>58</v>
      </c>
      <c r="AF268" s="1" t="s">
        <v>72</v>
      </c>
      <c r="AG268" s="1" t="s">
        <v>63</v>
      </c>
      <c r="AH268" s="1" t="s">
        <v>47</v>
      </c>
      <c r="AI268">
        <v>4332</v>
      </c>
      <c r="AJ268">
        <v>-216.60000000000036</v>
      </c>
    </row>
    <row r="269" spans="1:36" x14ac:dyDescent="0.25">
      <c r="A269">
        <v>10268</v>
      </c>
      <c r="B269">
        <v>22</v>
      </c>
      <c r="C269" s="1" t="s">
        <v>60</v>
      </c>
      <c r="D269" s="1" t="s">
        <v>37</v>
      </c>
      <c r="E269" s="2">
        <v>44300</v>
      </c>
      <c r="F269" s="2">
        <v>44848</v>
      </c>
      <c r="G269" s="1" t="s">
        <v>49</v>
      </c>
      <c r="H269">
        <v>594</v>
      </c>
      <c r="I269">
        <v>2</v>
      </c>
      <c r="J269">
        <v>1</v>
      </c>
      <c r="K269">
        <v>49.88</v>
      </c>
      <c r="L269">
        <v>5</v>
      </c>
      <c r="M269" s="1" t="s">
        <v>65</v>
      </c>
      <c r="N269" s="1" t="s">
        <v>40</v>
      </c>
      <c r="O269">
        <v>1158.3</v>
      </c>
      <c r="P269" t="b">
        <v>1</v>
      </c>
      <c r="Q269">
        <v>0.16666666666666666</v>
      </c>
      <c r="R269">
        <v>579.15</v>
      </c>
      <c r="S269">
        <v>24.94</v>
      </c>
      <c r="T269" s="2">
        <v>44287</v>
      </c>
      <c r="U269" s="1" t="s">
        <v>66</v>
      </c>
      <c r="V269">
        <v>1</v>
      </c>
      <c r="W269" s="1" t="s">
        <v>56</v>
      </c>
      <c r="X269">
        <v>548</v>
      </c>
      <c r="Y269" s="1" t="s">
        <v>52</v>
      </c>
      <c r="Z269" s="1" t="s">
        <v>42</v>
      </c>
      <c r="AA269">
        <v>0.33333333333333331</v>
      </c>
      <c r="AB269" s="1" t="s">
        <v>42</v>
      </c>
      <c r="AC269">
        <v>3</v>
      </c>
      <c r="AD269" s="2">
        <v>44287</v>
      </c>
      <c r="AE269" s="1" t="s">
        <v>58</v>
      </c>
      <c r="AF269" s="1" t="s">
        <v>54</v>
      </c>
      <c r="AG269" s="1" t="s">
        <v>63</v>
      </c>
      <c r="AH269" s="1" t="s">
        <v>64</v>
      </c>
      <c r="AI269">
        <v>1188</v>
      </c>
      <c r="AJ269">
        <v>-29.700000000000045</v>
      </c>
    </row>
    <row r="270" spans="1:36" x14ac:dyDescent="0.25">
      <c r="A270">
        <v>10269</v>
      </c>
      <c r="B270">
        <v>54</v>
      </c>
      <c r="C270" s="1" t="s">
        <v>36</v>
      </c>
      <c r="D270" s="1" t="s">
        <v>76</v>
      </c>
      <c r="E270" s="2">
        <v>44954</v>
      </c>
      <c r="F270" s="2">
        <v>44533</v>
      </c>
      <c r="G270" s="1" t="s">
        <v>38</v>
      </c>
      <c r="H270">
        <v>1443</v>
      </c>
      <c r="I270">
        <v>17</v>
      </c>
      <c r="J270">
        <v>3</v>
      </c>
      <c r="K270">
        <v>83.19</v>
      </c>
      <c r="L270">
        <v>5</v>
      </c>
      <c r="M270" s="1" t="s">
        <v>67</v>
      </c>
      <c r="N270" s="1" t="s">
        <v>56</v>
      </c>
      <c r="O270">
        <v>24458.85</v>
      </c>
      <c r="P270" t="b">
        <v>0</v>
      </c>
      <c r="Q270">
        <v>1.4166666666666667</v>
      </c>
      <c r="R270">
        <v>1438.7558823529412</v>
      </c>
      <c r="S270">
        <v>20.797499999999999</v>
      </c>
      <c r="T270" s="2">
        <v>44927</v>
      </c>
      <c r="U270" s="1" t="s">
        <v>41</v>
      </c>
      <c r="V270">
        <v>0</v>
      </c>
      <c r="W270" s="1" t="s">
        <v>40</v>
      </c>
      <c r="Y270" s="1" t="s">
        <v>43</v>
      </c>
      <c r="Z270" s="1" t="s">
        <v>42</v>
      </c>
      <c r="AA270">
        <v>0.16666666666666666</v>
      </c>
      <c r="AB270" s="1" t="s">
        <v>43</v>
      </c>
      <c r="AC270">
        <v>1</v>
      </c>
      <c r="AD270" s="2">
        <v>44927</v>
      </c>
      <c r="AE270" s="1" t="s">
        <v>53</v>
      </c>
      <c r="AF270" s="1" t="s">
        <v>72</v>
      </c>
      <c r="AG270" s="1" t="s">
        <v>63</v>
      </c>
      <c r="AH270" s="1" t="s">
        <v>47</v>
      </c>
      <c r="AI270">
        <v>24531</v>
      </c>
      <c r="AJ270">
        <v>-72.150000000001455</v>
      </c>
    </row>
    <row r="271" spans="1:36" x14ac:dyDescent="0.25">
      <c r="A271">
        <v>10270</v>
      </c>
      <c r="B271">
        <v>49</v>
      </c>
      <c r="C271" s="1" t="s">
        <v>36</v>
      </c>
      <c r="D271" s="1" t="s">
        <v>69</v>
      </c>
      <c r="E271" s="2">
        <v>44357</v>
      </c>
      <c r="F271" s="2">
        <v>44826</v>
      </c>
      <c r="G271" s="1" t="s">
        <v>62</v>
      </c>
      <c r="H271">
        <v>755</v>
      </c>
      <c r="I271">
        <v>28</v>
      </c>
      <c r="J271">
        <v>0</v>
      </c>
      <c r="K271">
        <v>39.03</v>
      </c>
      <c r="L271">
        <v>5</v>
      </c>
      <c r="M271" s="1" t="s">
        <v>65</v>
      </c>
      <c r="N271" s="1" t="s">
        <v>56</v>
      </c>
      <c r="O271">
        <v>21102.25</v>
      </c>
      <c r="P271" t="b">
        <v>1</v>
      </c>
      <c r="Q271">
        <v>2.3333333333333335</v>
      </c>
      <c r="R271">
        <v>753.65178571428567</v>
      </c>
      <c r="S271">
        <v>39.03</v>
      </c>
      <c r="T271" s="2">
        <v>44348</v>
      </c>
      <c r="U271" s="1" t="s">
        <v>51</v>
      </c>
      <c r="V271">
        <v>0</v>
      </c>
      <c r="W271" s="1" t="s">
        <v>40</v>
      </c>
      <c r="X271">
        <v>469</v>
      </c>
      <c r="Y271" s="1" t="s">
        <v>52</v>
      </c>
      <c r="Z271" s="1" t="s">
        <v>42</v>
      </c>
      <c r="AA271">
        <v>0</v>
      </c>
      <c r="AB271" s="1" t="s">
        <v>43</v>
      </c>
      <c r="AC271">
        <v>2</v>
      </c>
      <c r="AD271" s="2">
        <v>44348</v>
      </c>
      <c r="AE271" s="1" t="s">
        <v>44</v>
      </c>
      <c r="AF271" s="1" t="s">
        <v>54</v>
      </c>
      <c r="AG271" s="1" t="s">
        <v>55</v>
      </c>
      <c r="AH271" s="1" t="s">
        <v>59</v>
      </c>
      <c r="AI271">
        <v>21140</v>
      </c>
      <c r="AJ271">
        <v>-37.75</v>
      </c>
    </row>
    <row r="272" spans="1:36" x14ac:dyDescent="0.25">
      <c r="A272">
        <v>10271</v>
      </c>
      <c r="B272">
        <v>26</v>
      </c>
      <c r="C272" s="1" t="s">
        <v>36</v>
      </c>
      <c r="D272" s="1" t="s">
        <v>69</v>
      </c>
      <c r="E272" s="2">
        <v>44396</v>
      </c>
      <c r="F272" s="2">
        <v>44918</v>
      </c>
      <c r="G272" s="1" t="s">
        <v>38</v>
      </c>
      <c r="H272">
        <v>468</v>
      </c>
      <c r="I272">
        <v>18</v>
      </c>
      <c r="J272">
        <v>1</v>
      </c>
      <c r="K272">
        <v>35.630000000000003</v>
      </c>
      <c r="L272">
        <v>0</v>
      </c>
      <c r="M272" s="1" t="s">
        <v>67</v>
      </c>
      <c r="N272" s="1" t="s">
        <v>56</v>
      </c>
      <c r="O272">
        <v>8424</v>
      </c>
      <c r="P272" t="b">
        <v>1</v>
      </c>
      <c r="Q272">
        <v>1.5</v>
      </c>
      <c r="R272">
        <v>468</v>
      </c>
      <c r="S272">
        <v>17.815000000000001</v>
      </c>
      <c r="T272" s="2">
        <v>44378</v>
      </c>
      <c r="U272" s="1" t="s">
        <v>57</v>
      </c>
      <c r="V272">
        <v>0</v>
      </c>
      <c r="W272" s="1" t="s">
        <v>56</v>
      </c>
      <c r="X272">
        <v>522</v>
      </c>
      <c r="Y272" s="1" t="s">
        <v>52</v>
      </c>
      <c r="Z272" s="1" t="s">
        <v>42</v>
      </c>
      <c r="AA272">
        <v>5.2631578947368418E-2</v>
      </c>
      <c r="AB272" s="1" t="s">
        <v>42</v>
      </c>
      <c r="AC272">
        <v>1</v>
      </c>
      <c r="AD272" s="2">
        <v>44378</v>
      </c>
      <c r="AE272" s="1" t="s">
        <v>53</v>
      </c>
      <c r="AF272" s="1" t="s">
        <v>54</v>
      </c>
      <c r="AG272" s="1" t="s">
        <v>55</v>
      </c>
      <c r="AH272" s="1" t="s">
        <v>68</v>
      </c>
      <c r="AI272">
        <v>8424</v>
      </c>
      <c r="AJ272">
        <v>0</v>
      </c>
    </row>
    <row r="273" spans="1:36" x14ac:dyDescent="0.25">
      <c r="A273">
        <v>10272</v>
      </c>
      <c r="B273">
        <v>58</v>
      </c>
      <c r="C273" s="1" t="s">
        <v>36</v>
      </c>
      <c r="D273" s="1" t="s">
        <v>61</v>
      </c>
      <c r="E273" s="2">
        <v>44412</v>
      </c>
      <c r="F273" s="2">
        <v>44839</v>
      </c>
      <c r="G273" s="1" t="s">
        <v>49</v>
      </c>
      <c r="H273">
        <v>1009</v>
      </c>
      <c r="I273">
        <v>33</v>
      </c>
      <c r="J273">
        <v>3</v>
      </c>
      <c r="K273">
        <v>71.03</v>
      </c>
      <c r="L273">
        <v>15</v>
      </c>
      <c r="M273" s="1" t="s">
        <v>65</v>
      </c>
      <c r="N273" s="1" t="s">
        <v>56</v>
      </c>
      <c r="O273">
        <v>33145.65</v>
      </c>
      <c r="P273" t="b">
        <v>1</v>
      </c>
      <c r="Q273">
        <v>2.75</v>
      </c>
      <c r="R273">
        <v>1004.4136363636364</v>
      </c>
      <c r="S273">
        <v>17.7575</v>
      </c>
      <c r="T273" s="2">
        <v>44409</v>
      </c>
      <c r="U273" s="1" t="s">
        <v>41</v>
      </c>
      <c r="V273">
        <v>0</v>
      </c>
      <c r="W273" s="1" t="s">
        <v>40</v>
      </c>
      <c r="X273">
        <v>427</v>
      </c>
      <c r="Y273" s="1" t="s">
        <v>43</v>
      </c>
      <c r="Z273" s="1" t="s">
        <v>42</v>
      </c>
      <c r="AA273">
        <v>8.8235294117647065E-2</v>
      </c>
      <c r="AB273" s="1" t="s">
        <v>43</v>
      </c>
      <c r="AC273">
        <v>3</v>
      </c>
      <c r="AD273" s="2">
        <v>44409</v>
      </c>
      <c r="AE273" s="1" t="s">
        <v>44</v>
      </c>
      <c r="AF273" s="1" t="s">
        <v>72</v>
      </c>
      <c r="AG273" s="1" t="s">
        <v>63</v>
      </c>
      <c r="AH273" s="1" t="s">
        <v>47</v>
      </c>
      <c r="AI273">
        <v>33297</v>
      </c>
      <c r="AJ273">
        <v>-151.34999999999854</v>
      </c>
    </row>
    <row r="274" spans="1:36" x14ac:dyDescent="0.25">
      <c r="A274">
        <v>10273</v>
      </c>
      <c r="B274">
        <v>52</v>
      </c>
      <c r="C274" s="1" t="s">
        <v>36</v>
      </c>
      <c r="D274" s="1" t="s">
        <v>61</v>
      </c>
      <c r="E274" s="2">
        <v>44408</v>
      </c>
      <c r="F274" s="2">
        <v>44860</v>
      </c>
      <c r="G274" s="1" t="s">
        <v>38</v>
      </c>
      <c r="H274">
        <v>1466</v>
      </c>
      <c r="I274">
        <v>15</v>
      </c>
      <c r="J274">
        <v>4</v>
      </c>
      <c r="K274">
        <v>117.62</v>
      </c>
      <c r="L274">
        <v>0</v>
      </c>
      <c r="M274" s="1" t="s">
        <v>67</v>
      </c>
      <c r="N274" s="1" t="s">
        <v>56</v>
      </c>
      <c r="O274">
        <v>21990</v>
      </c>
      <c r="P274" t="b">
        <v>1</v>
      </c>
      <c r="Q274">
        <v>1.25</v>
      </c>
      <c r="R274">
        <v>1466</v>
      </c>
      <c r="S274">
        <v>23.524000000000001</v>
      </c>
      <c r="T274" s="2">
        <v>44378</v>
      </c>
      <c r="U274" s="1" t="s">
        <v>41</v>
      </c>
      <c r="V274">
        <v>0</v>
      </c>
      <c r="W274" s="1" t="s">
        <v>40</v>
      </c>
      <c r="X274">
        <v>452</v>
      </c>
      <c r="Y274" s="1" t="s">
        <v>43</v>
      </c>
      <c r="Z274" s="1" t="s">
        <v>42</v>
      </c>
      <c r="AA274">
        <v>0.25</v>
      </c>
      <c r="AB274" s="1" t="s">
        <v>43</v>
      </c>
      <c r="AC274">
        <v>1</v>
      </c>
      <c r="AD274" s="2">
        <v>44378</v>
      </c>
      <c r="AE274" s="1" t="s">
        <v>53</v>
      </c>
      <c r="AF274" s="1" t="s">
        <v>45</v>
      </c>
      <c r="AG274" s="1" t="s">
        <v>63</v>
      </c>
      <c r="AH274" s="1" t="s">
        <v>47</v>
      </c>
      <c r="AI274">
        <v>21990</v>
      </c>
      <c r="AJ274">
        <v>0</v>
      </c>
    </row>
    <row r="275" spans="1:36" x14ac:dyDescent="0.25">
      <c r="A275">
        <v>10274</v>
      </c>
      <c r="B275">
        <v>36</v>
      </c>
      <c r="C275" s="1" t="s">
        <v>36</v>
      </c>
      <c r="D275" s="1" t="s">
        <v>48</v>
      </c>
      <c r="E275" s="2">
        <v>44704</v>
      </c>
      <c r="F275" s="2">
        <v>44990</v>
      </c>
      <c r="G275" s="1" t="s">
        <v>62</v>
      </c>
      <c r="H275">
        <v>336</v>
      </c>
      <c r="I275">
        <v>22</v>
      </c>
      <c r="J275">
        <v>0</v>
      </c>
      <c r="K275">
        <v>57.11</v>
      </c>
      <c r="L275">
        <v>10</v>
      </c>
      <c r="M275" s="1" t="s">
        <v>39</v>
      </c>
      <c r="N275" s="1" t="s">
        <v>56</v>
      </c>
      <c r="O275">
        <v>7392</v>
      </c>
      <c r="P275" t="b">
        <v>1</v>
      </c>
      <c r="Q275">
        <v>1.8333333333333333</v>
      </c>
      <c r="R275">
        <v>336</v>
      </c>
      <c r="S275">
        <v>57.11</v>
      </c>
      <c r="T275" s="2">
        <v>44682</v>
      </c>
      <c r="U275" s="1" t="s">
        <v>51</v>
      </c>
      <c r="V275">
        <v>0</v>
      </c>
      <c r="W275" s="1" t="s">
        <v>56</v>
      </c>
      <c r="X275">
        <v>286</v>
      </c>
      <c r="Y275" s="1" t="s">
        <v>52</v>
      </c>
      <c r="Z275" s="1" t="s">
        <v>42</v>
      </c>
      <c r="AA275">
        <v>0</v>
      </c>
      <c r="AB275" s="1" t="s">
        <v>42</v>
      </c>
      <c r="AC275">
        <v>2</v>
      </c>
      <c r="AD275" s="2">
        <v>44682</v>
      </c>
      <c r="AE275" s="1" t="s">
        <v>53</v>
      </c>
      <c r="AF275" s="1" t="s">
        <v>54</v>
      </c>
      <c r="AG275" s="1" t="s">
        <v>63</v>
      </c>
      <c r="AH275" s="1" t="s">
        <v>68</v>
      </c>
      <c r="AI275">
        <v>7392</v>
      </c>
      <c r="AJ275">
        <v>0</v>
      </c>
    </row>
    <row r="276" spans="1:36" x14ac:dyDescent="0.25">
      <c r="A276">
        <v>10275</v>
      </c>
      <c r="B276">
        <v>33</v>
      </c>
      <c r="C276" s="1" t="s">
        <v>60</v>
      </c>
      <c r="D276" s="1" t="s">
        <v>37</v>
      </c>
      <c r="E276" s="2">
        <v>44212</v>
      </c>
      <c r="F276" s="2">
        <v>44414</v>
      </c>
      <c r="G276" s="1" t="s">
        <v>38</v>
      </c>
      <c r="H276">
        <v>530</v>
      </c>
      <c r="I276">
        <v>27</v>
      </c>
      <c r="J276">
        <v>2</v>
      </c>
      <c r="K276">
        <v>112.83</v>
      </c>
      <c r="L276">
        <v>5</v>
      </c>
      <c r="M276" s="1" t="s">
        <v>65</v>
      </c>
      <c r="N276" s="1" t="s">
        <v>56</v>
      </c>
      <c r="O276">
        <v>14283.5</v>
      </c>
      <c r="P276" t="b">
        <v>1</v>
      </c>
      <c r="Q276">
        <v>2.25</v>
      </c>
      <c r="R276">
        <v>529.01851851851848</v>
      </c>
      <c r="S276">
        <v>37.61</v>
      </c>
      <c r="T276" s="2">
        <v>44197</v>
      </c>
      <c r="U276" s="1" t="s">
        <v>57</v>
      </c>
      <c r="V276">
        <v>0</v>
      </c>
      <c r="W276" s="1" t="s">
        <v>40</v>
      </c>
      <c r="X276">
        <v>202</v>
      </c>
      <c r="Y276" s="1" t="s">
        <v>43</v>
      </c>
      <c r="Z276" s="1" t="s">
        <v>42</v>
      </c>
      <c r="AA276">
        <v>7.1428571428571425E-2</v>
      </c>
      <c r="AB276" s="1" t="s">
        <v>52</v>
      </c>
      <c r="AC276">
        <v>1</v>
      </c>
      <c r="AD276" s="2">
        <v>44197</v>
      </c>
      <c r="AE276" s="1" t="s">
        <v>44</v>
      </c>
      <c r="AF276" s="1" t="s">
        <v>72</v>
      </c>
      <c r="AG276" s="1" t="s">
        <v>63</v>
      </c>
      <c r="AH276" s="1" t="s">
        <v>64</v>
      </c>
      <c r="AI276">
        <v>14310</v>
      </c>
      <c r="AJ276">
        <v>-26.5</v>
      </c>
    </row>
    <row r="277" spans="1:36" x14ac:dyDescent="0.25">
      <c r="A277">
        <v>10276</v>
      </c>
      <c r="B277">
        <v>20</v>
      </c>
      <c r="C277" s="1" t="s">
        <v>36</v>
      </c>
      <c r="D277" s="1" t="s">
        <v>37</v>
      </c>
      <c r="E277" s="2">
        <v>44694</v>
      </c>
      <c r="F277" s="2">
        <v>45152</v>
      </c>
      <c r="G277" s="1" t="s">
        <v>38</v>
      </c>
      <c r="H277">
        <v>553</v>
      </c>
      <c r="I277">
        <v>32</v>
      </c>
      <c r="J277">
        <v>1</v>
      </c>
      <c r="K277">
        <v>110.15</v>
      </c>
      <c r="L277">
        <v>20</v>
      </c>
      <c r="M277" s="1" t="s">
        <v>65</v>
      </c>
      <c r="N277" s="1" t="s">
        <v>56</v>
      </c>
      <c r="O277">
        <v>17585.400000000001</v>
      </c>
      <c r="P277" t="b">
        <v>1</v>
      </c>
      <c r="Q277">
        <v>2.6666666666666665</v>
      </c>
      <c r="R277">
        <v>549.54375000000005</v>
      </c>
      <c r="S277">
        <v>55.075000000000003</v>
      </c>
      <c r="T277" s="2">
        <v>44682</v>
      </c>
      <c r="U277" s="1" t="s">
        <v>66</v>
      </c>
      <c r="V277">
        <v>0</v>
      </c>
      <c r="W277" s="1" t="s">
        <v>40</v>
      </c>
      <c r="X277">
        <v>458</v>
      </c>
      <c r="Y277" s="1" t="s">
        <v>43</v>
      </c>
      <c r="Z277" s="1" t="s">
        <v>52</v>
      </c>
      <c r="AA277">
        <v>3.0303030303030304E-2</v>
      </c>
      <c r="AB277" s="1" t="s">
        <v>52</v>
      </c>
      <c r="AC277">
        <v>1</v>
      </c>
      <c r="AD277" s="2">
        <v>44682</v>
      </c>
      <c r="AE277" s="1" t="s">
        <v>44</v>
      </c>
      <c r="AF277" s="1" t="s">
        <v>54</v>
      </c>
      <c r="AG277" s="1" t="s">
        <v>63</v>
      </c>
      <c r="AH277" s="1" t="s">
        <v>64</v>
      </c>
      <c r="AI277">
        <v>17696</v>
      </c>
      <c r="AJ277">
        <v>-110.59999999999854</v>
      </c>
    </row>
    <row r="278" spans="1:36" x14ac:dyDescent="0.25">
      <c r="A278">
        <v>10277</v>
      </c>
      <c r="B278">
        <v>37</v>
      </c>
      <c r="C278" s="1" t="s">
        <v>60</v>
      </c>
      <c r="D278" s="1" t="s">
        <v>61</v>
      </c>
      <c r="E278" s="2">
        <v>45080</v>
      </c>
      <c r="F278" s="2">
        <v>44814</v>
      </c>
      <c r="G278" s="1" t="s">
        <v>62</v>
      </c>
      <c r="H278">
        <v>628</v>
      </c>
      <c r="I278">
        <v>19</v>
      </c>
      <c r="J278">
        <v>1</v>
      </c>
      <c r="K278">
        <v>34.18</v>
      </c>
      <c r="L278">
        <v>20</v>
      </c>
      <c r="M278" s="1" t="s">
        <v>39</v>
      </c>
      <c r="N278" s="1" t="s">
        <v>56</v>
      </c>
      <c r="O278">
        <v>11806.4</v>
      </c>
      <c r="P278" t="b">
        <v>0</v>
      </c>
      <c r="Q278">
        <v>1.5833333333333333</v>
      </c>
      <c r="R278">
        <v>621.38947368421054</v>
      </c>
      <c r="S278">
        <v>17.09</v>
      </c>
      <c r="T278" s="2">
        <v>45078</v>
      </c>
      <c r="U278" s="1" t="s">
        <v>51</v>
      </c>
      <c r="V278">
        <v>0</v>
      </c>
      <c r="W278" s="1" t="s">
        <v>56</v>
      </c>
      <c r="Y278" s="1" t="s">
        <v>52</v>
      </c>
      <c r="Z278" s="1" t="s">
        <v>52</v>
      </c>
      <c r="AA278">
        <v>0.05</v>
      </c>
      <c r="AB278" s="1" t="s">
        <v>52</v>
      </c>
      <c r="AC278">
        <v>2</v>
      </c>
      <c r="AD278" s="2">
        <v>45078</v>
      </c>
      <c r="AE278" s="1" t="s">
        <v>53</v>
      </c>
      <c r="AF278" s="1" t="s">
        <v>54</v>
      </c>
      <c r="AG278" s="1" t="s">
        <v>55</v>
      </c>
      <c r="AH278" s="1" t="s">
        <v>64</v>
      </c>
      <c r="AI278">
        <v>11932</v>
      </c>
      <c r="AJ278">
        <v>-125.60000000000036</v>
      </c>
    </row>
    <row r="279" spans="1:36" x14ac:dyDescent="0.25">
      <c r="A279">
        <v>10278</v>
      </c>
      <c r="B279">
        <v>41</v>
      </c>
      <c r="C279" s="1" t="s">
        <v>60</v>
      </c>
      <c r="D279" s="1" t="s">
        <v>69</v>
      </c>
      <c r="E279" s="2">
        <v>44528</v>
      </c>
      <c r="F279" s="2">
        <v>44632</v>
      </c>
      <c r="G279" s="1" t="s">
        <v>49</v>
      </c>
      <c r="H279">
        <v>1279</v>
      </c>
      <c r="I279">
        <v>28</v>
      </c>
      <c r="J279">
        <v>2</v>
      </c>
      <c r="K279">
        <v>51.21</v>
      </c>
      <c r="L279">
        <v>20</v>
      </c>
      <c r="M279" s="1" t="s">
        <v>39</v>
      </c>
      <c r="N279" s="1" t="s">
        <v>56</v>
      </c>
      <c r="O279">
        <v>35556.199999999997</v>
      </c>
      <c r="P279" t="b">
        <v>1</v>
      </c>
      <c r="Q279">
        <v>2.3333333333333335</v>
      </c>
      <c r="R279">
        <v>1269.8642857142856</v>
      </c>
      <c r="S279">
        <v>17.07</v>
      </c>
      <c r="T279" s="2">
        <v>44501</v>
      </c>
      <c r="U279" s="1" t="s">
        <v>51</v>
      </c>
      <c r="V279">
        <v>0</v>
      </c>
      <c r="W279" s="1" t="s">
        <v>40</v>
      </c>
      <c r="X279">
        <v>104</v>
      </c>
      <c r="Y279" s="1" t="s">
        <v>52</v>
      </c>
      <c r="Z279" s="1" t="s">
        <v>52</v>
      </c>
      <c r="AA279">
        <v>6.8965517241379309E-2</v>
      </c>
      <c r="AB279" s="1" t="s">
        <v>43</v>
      </c>
      <c r="AC279">
        <v>3</v>
      </c>
      <c r="AD279" s="2">
        <v>44501</v>
      </c>
      <c r="AE279" s="1" t="s">
        <v>44</v>
      </c>
      <c r="AF279" s="1" t="s">
        <v>72</v>
      </c>
      <c r="AG279" s="1" t="s">
        <v>63</v>
      </c>
      <c r="AH279" s="1" t="s">
        <v>47</v>
      </c>
      <c r="AI279">
        <v>35812</v>
      </c>
      <c r="AJ279">
        <v>-255.80000000000291</v>
      </c>
    </row>
    <row r="280" spans="1:36" x14ac:dyDescent="0.25">
      <c r="A280">
        <v>10279</v>
      </c>
      <c r="B280">
        <v>50</v>
      </c>
      <c r="C280" s="1" t="s">
        <v>60</v>
      </c>
      <c r="D280" s="1" t="s">
        <v>61</v>
      </c>
      <c r="E280" s="2">
        <v>44913</v>
      </c>
      <c r="F280" s="2">
        <v>44948</v>
      </c>
      <c r="G280" s="1" t="s">
        <v>62</v>
      </c>
      <c r="H280">
        <v>309</v>
      </c>
      <c r="I280">
        <v>28</v>
      </c>
      <c r="J280">
        <v>1</v>
      </c>
      <c r="K280">
        <v>78.98</v>
      </c>
      <c r="L280">
        <v>5</v>
      </c>
      <c r="M280" s="1" t="s">
        <v>65</v>
      </c>
      <c r="N280" s="1" t="s">
        <v>40</v>
      </c>
      <c r="O280">
        <v>8636.5499999999993</v>
      </c>
      <c r="P280" t="b">
        <v>1</v>
      </c>
      <c r="Q280">
        <v>2.3333333333333335</v>
      </c>
      <c r="R280">
        <v>308.44821428571424</v>
      </c>
      <c r="S280">
        <v>39.49</v>
      </c>
      <c r="T280" s="2">
        <v>44896</v>
      </c>
      <c r="U280" s="1" t="s">
        <v>51</v>
      </c>
      <c r="V280">
        <v>1</v>
      </c>
      <c r="W280" s="1" t="s">
        <v>56</v>
      </c>
      <c r="X280">
        <v>35</v>
      </c>
      <c r="Y280" s="1" t="s">
        <v>43</v>
      </c>
      <c r="Z280" s="1" t="s">
        <v>42</v>
      </c>
      <c r="AA280">
        <v>3.4482758620689655E-2</v>
      </c>
      <c r="AB280" s="1" t="s">
        <v>42</v>
      </c>
      <c r="AC280">
        <v>2</v>
      </c>
      <c r="AD280" s="2">
        <v>44896</v>
      </c>
      <c r="AE280" s="1" t="s">
        <v>44</v>
      </c>
      <c r="AF280" s="1" t="s">
        <v>54</v>
      </c>
      <c r="AG280" s="1" t="s">
        <v>63</v>
      </c>
      <c r="AH280" s="1" t="s">
        <v>68</v>
      </c>
      <c r="AI280">
        <v>8652</v>
      </c>
      <c r="AJ280">
        <v>-15.450000000000728</v>
      </c>
    </row>
    <row r="281" spans="1:36" x14ac:dyDescent="0.25">
      <c r="A281">
        <v>10280</v>
      </c>
      <c r="B281">
        <v>41</v>
      </c>
      <c r="C281" s="1" t="s">
        <v>36</v>
      </c>
      <c r="D281" s="1" t="s">
        <v>69</v>
      </c>
      <c r="E281" s="2">
        <v>45073</v>
      </c>
      <c r="F281" s="2">
        <v>44764</v>
      </c>
      <c r="G281" s="1" t="s">
        <v>49</v>
      </c>
      <c r="H281">
        <v>745</v>
      </c>
      <c r="I281">
        <v>10</v>
      </c>
      <c r="J281">
        <v>4</v>
      </c>
      <c r="K281">
        <v>64.58</v>
      </c>
      <c r="L281">
        <v>10</v>
      </c>
      <c r="M281" s="1" t="s">
        <v>65</v>
      </c>
      <c r="N281" s="1" t="s">
        <v>40</v>
      </c>
      <c r="O281">
        <v>7375.5</v>
      </c>
      <c r="P281" t="b">
        <v>0</v>
      </c>
      <c r="Q281">
        <v>0.83333333333333337</v>
      </c>
      <c r="R281">
        <v>737.55</v>
      </c>
      <c r="S281">
        <v>12.916</v>
      </c>
      <c r="T281" s="2">
        <v>45047</v>
      </c>
      <c r="U281" s="1" t="s">
        <v>51</v>
      </c>
      <c r="V281">
        <v>1</v>
      </c>
      <c r="W281" s="1" t="s">
        <v>56</v>
      </c>
      <c r="Y281" s="1" t="s">
        <v>43</v>
      </c>
      <c r="Z281" s="1" t="s">
        <v>42</v>
      </c>
      <c r="AA281">
        <v>0.36363636363636365</v>
      </c>
      <c r="AB281" s="1" t="s">
        <v>42</v>
      </c>
      <c r="AC281">
        <v>3</v>
      </c>
      <c r="AD281" s="2">
        <v>45047</v>
      </c>
      <c r="AE281" s="1" t="s">
        <v>74</v>
      </c>
      <c r="AF281" s="1" t="s">
        <v>45</v>
      </c>
      <c r="AG281" s="1" t="s">
        <v>63</v>
      </c>
      <c r="AH281" s="1" t="s">
        <v>59</v>
      </c>
      <c r="AI281">
        <v>7450</v>
      </c>
      <c r="AJ281">
        <v>-74.5</v>
      </c>
    </row>
    <row r="282" spans="1:36" x14ac:dyDescent="0.25">
      <c r="A282">
        <v>10281</v>
      </c>
      <c r="B282">
        <v>28</v>
      </c>
      <c r="C282" s="1" t="s">
        <v>60</v>
      </c>
      <c r="D282" s="1" t="s">
        <v>69</v>
      </c>
      <c r="E282" s="2">
        <v>44747</v>
      </c>
      <c r="F282" s="2">
        <v>44447</v>
      </c>
      <c r="G282" s="1" t="s">
        <v>38</v>
      </c>
      <c r="H282">
        <v>1221</v>
      </c>
      <c r="I282">
        <v>20</v>
      </c>
      <c r="J282">
        <v>3</v>
      </c>
      <c r="K282">
        <v>16.04</v>
      </c>
      <c r="L282">
        <v>10</v>
      </c>
      <c r="M282" s="1" t="s">
        <v>65</v>
      </c>
      <c r="N282" s="1" t="s">
        <v>56</v>
      </c>
      <c r="O282">
        <v>24236.85</v>
      </c>
      <c r="P282" t="b">
        <v>0</v>
      </c>
      <c r="Q282">
        <v>1.6666666666666667</v>
      </c>
      <c r="R282">
        <v>1211.8425</v>
      </c>
      <c r="S282">
        <v>4.01</v>
      </c>
      <c r="T282" s="2">
        <v>44743</v>
      </c>
      <c r="U282" s="1" t="s">
        <v>57</v>
      </c>
      <c r="V282">
        <v>0</v>
      </c>
      <c r="W282" s="1" t="s">
        <v>40</v>
      </c>
      <c r="Y282" s="1" t="s">
        <v>42</v>
      </c>
      <c r="Z282" s="1" t="s">
        <v>42</v>
      </c>
      <c r="AA282">
        <v>0.14285714285714285</v>
      </c>
      <c r="AB282" s="1" t="s">
        <v>43</v>
      </c>
      <c r="AC282">
        <v>1</v>
      </c>
      <c r="AD282" s="2">
        <v>44743</v>
      </c>
      <c r="AE282" s="1" t="s">
        <v>53</v>
      </c>
      <c r="AF282" s="1" t="s">
        <v>72</v>
      </c>
      <c r="AG282" s="1" t="s">
        <v>46</v>
      </c>
      <c r="AH282" s="1" t="s">
        <v>47</v>
      </c>
      <c r="AI282">
        <v>24420</v>
      </c>
      <c r="AJ282">
        <v>-183.15000000000146</v>
      </c>
    </row>
    <row r="283" spans="1:36" x14ac:dyDescent="0.25">
      <c r="A283">
        <v>10282</v>
      </c>
      <c r="B283">
        <v>25</v>
      </c>
      <c r="C283" s="1" t="s">
        <v>36</v>
      </c>
      <c r="D283" s="1" t="s">
        <v>61</v>
      </c>
      <c r="E283" s="2">
        <v>44797</v>
      </c>
      <c r="F283" s="2">
        <v>44536</v>
      </c>
      <c r="G283" s="1" t="s">
        <v>62</v>
      </c>
      <c r="H283">
        <v>1135</v>
      </c>
      <c r="I283">
        <v>25</v>
      </c>
      <c r="J283">
        <v>3</v>
      </c>
      <c r="K283">
        <v>119.28</v>
      </c>
      <c r="L283">
        <v>5</v>
      </c>
      <c r="M283" s="1" t="s">
        <v>50</v>
      </c>
      <c r="N283" s="1" t="s">
        <v>56</v>
      </c>
      <c r="O283">
        <v>28318.25</v>
      </c>
      <c r="P283" t="b">
        <v>0</v>
      </c>
      <c r="Q283">
        <v>2.0833333333333335</v>
      </c>
      <c r="R283">
        <v>1132.73</v>
      </c>
      <c r="S283">
        <v>29.82</v>
      </c>
      <c r="T283" s="2">
        <v>44774</v>
      </c>
      <c r="U283" s="1" t="s">
        <v>66</v>
      </c>
      <c r="V283">
        <v>0</v>
      </c>
      <c r="W283" s="1" t="s">
        <v>40</v>
      </c>
      <c r="Y283" s="1" t="s">
        <v>43</v>
      </c>
      <c r="Z283" s="1" t="s">
        <v>42</v>
      </c>
      <c r="AA283">
        <v>0.11538461538461539</v>
      </c>
      <c r="AB283" s="1" t="s">
        <v>43</v>
      </c>
      <c r="AC283">
        <v>2</v>
      </c>
      <c r="AD283" s="2">
        <v>44774</v>
      </c>
      <c r="AE283" s="1" t="s">
        <v>44</v>
      </c>
      <c r="AF283" s="1" t="s">
        <v>72</v>
      </c>
      <c r="AG283" s="1" t="s">
        <v>63</v>
      </c>
      <c r="AH283" s="1" t="s">
        <v>47</v>
      </c>
      <c r="AI283">
        <v>28375</v>
      </c>
      <c r="AJ283">
        <v>-56.75</v>
      </c>
    </row>
    <row r="284" spans="1:36" x14ac:dyDescent="0.25">
      <c r="A284">
        <v>10283</v>
      </c>
      <c r="B284">
        <v>53</v>
      </c>
      <c r="C284" s="1" t="s">
        <v>36</v>
      </c>
      <c r="D284" s="1" t="s">
        <v>71</v>
      </c>
      <c r="E284" s="2">
        <v>44452</v>
      </c>
      <c r="F284" s="2">
        <v>45237</v>
      </c>
      <c r="G284" s="1" t="s">
        <v>62</v>
      </c>
      <c r="H284">
        <v>377</v>
      </c>
      <c r="I284">
        <v>21</v>
      </c>
      <c r="J284">
        <v>3</v>
      </c>
      <c r="K284">
        <v>91.56</v>
      </c>
      <c r="L284">
        <v>5</v>
      </c>
      <c r="M284" s="1" t="s">
        <v>67</v>
      </c>
      <c r="N284" s="1" t="s">
        <v>56</v>
      </c>
      <c r="O284">
        <v>7898.15</v>
      </c>
      <c r="P284" t="b">
        <v>1</v>
      </c>
      <c r="Q284">
        <v>1.75</v>
      </c>
      <c r="R284">
        <v>376.10238095238094</v>
      </c>
      <c r="S284">
        <v>22.89</v>
      </c>
      <c r="T284" s="2">
        <v>44440</v>
      </c>
      <c r="U284" s="1" t="s">
        <v>41</v>
      </c>
      <c r="V284">
        <v>0</v>
      </c>
      <c r="W284" s="1" t="s">
        <v>56</v>
      </c>
      <c r="X284">
        <v>785</v>
      </c>
      <c r="Y284" s="1" t="s">
        <v>43</v>
      </c>
      <c r="Z284" s="1" t="s">
        <v>42</v>
      </c>
      <c r="AA284">
        <v>0.13636363636363635</v>
      </c>
      <c r="AB284" s="1" t="s">
        <v>42</v>
      </c>
      <c r="AC284">
        <v>2</v>
      </c>
      <c r="AD284" s="2">
        <v>44440</v>
      </c>
      <c r="AE284" s="1" t="s">
        <v>53</v>
      </c>
      <c r="AF284" s="1" t="s">
        <v>72</v>
      </c>
      <c r="AG284" s="1" t="s">
        <v>63</v>
      </c>
      <c r="AH284" s="1" t="s">
        <v>68</v>
      </c>
      <c r="AI284">
        <v>7917</v>
      </c>
      <c r="AJ284">
        <v>-18.850000000000364</v>
      </c>
    </row>
    <row r="285" spans="1:36" x14ac:dyDescent="0.25">
      <c r="A285">
        <v>10284</v>
      </c>
      <c r="B285">
        <v>55</v>
      </c>
      <c r="C285" s="1" t="s">
        <v>36</v>
      </c>
      <c r="D285" s="1" t="s">
        <v>37</v>
      </c>
      <c r="E285" s="2">
        <v>44962</v>
      </c>
      <c r="F285" s="2">
        <v>45205</v>
      </c>
      <c r="G285" s="1" t="s">
        <v>38</v>
      </c>
      <c r="H285">
        <v>492</v>
      </c>
      <c r="I285">
        <v>14</v>
      </c>
      <c r="J285">
        <v>4</v>
      </c>
      <c r="K285">
        <v>55.33</v>
      </c>
      <c r="L285">
        <v>0</v>
      </c>
      <c r="M285" s="1" t="s">
        <v>39</v>
      </c>
      <c r="N285" s="1" t="s">
        <v>40</v>
      </c>
      <c r="O285">
        <v>6888</v>
      </c>
      <c r="P285" t="b">
        <v>1</v>
      </c>
      <c r="Q285">
        <v>1.1666666666666667</v>
      </c>
      <c r="R285">
        <v>492</v>
      </c>
      <c r="S285">
        <v>11.065999999999999</v>
      </c>
      <c r="T285" s="2">
        <v>44958</v>
      </c>
      <c r="U285" s="1" t="s">
        <v>41</v>
      </c>
      <c r="V285">
        <v>1</v>
      </c>
      <c r="W285" s="1" t="s">
        <v>56</v>
      </c>
      <c r="X285">
        <v>243</v>
      </c>
      <c r="Y285" s="1" t="s">
        <v>52</v>
      </c>
      <c r="Z285" s="1" t="s">
        <v>42</v>
      </c>
      <c r="AA285">
        <v>0.26666666666666666</v>
      </c>
      <c r="AB285" s="1" t="s">
        <v>42</v>
      </c>
      <c r="AC285">
        <v>1</v>
      </c>
      <c r="AD285" s="2">
        <v>44958</v>
      </c>
      <c r="AE285" s="1" t="s">
        <v>53</v>
      </c>
      <c r="AF285" s="1" t="s">
        <v>45</v>
      </c>
      <c r="AG285" s="1" t="s">
        <v>63</v>
      </c>
      <c r="AH285" s="1" t="s">
        <v>68</v>
      </c>
      <c r="AI285">
        <v>6888</v>
      </c>
      <c r="AJ285">
        <v>0</v>
      </c>
    </row>
    <row r="286" spans="1:36" x14ac:dyDescent="0.25">
      <c r="A286">
        <v>10285</v>
      </c>
      <c r="B286">
        <v>57</v>
      </c>
      <c r="C286" s="1" t="s">
        <v>60</v>
      </c>
      <c r="D286" s="1" t="s">
        <v>73</v>
      </c>
      <c r="E286" s="2">
        <v>44924</v>
      </c>
      <c r="F286" s="2">
        <v>44735</v>
      </c>
      <c r="G286" s="1" t="s">
        <v>62</v>
      </c>
      <c r="H286">
        <v>700</v>
      </c>
      <c r="I286">
        <v>22</v>
      </c>
      <c r="J286">
        <v>1</v>
      </c>
      <c r="K286">
        <v>76.09</v>
      </c>
      <c r="L286">
        <v>20</v>
      </c>
      <c r="M286" s="1" t="s">
        <v>39</v>
      </c>
      <c r="N286" s="1" t="s">
        <v>56</v>
      </c>
      <c r="O286">
        <v>15260</v>
      </c>
      <c r="P286" t="b">
        <v>0</v>
      </c>
      <c r="Q286">
        <v>1.8333333333333333</v>
      </c>
      <c r="R286">
        <v>693.63636363636363</v>
      </c>
      <c r="S286">
        <v>38.045000000000002</v>
      </c>
      <c r="T286" s="2">
        <v>44896</v>
      </c>
      <c r="U286" s="1" t="s">
        <v>41</v>
      </c>
      <c r="V286">
        <v>0</v>
      </c>
      <c r="W286" s="1" t="s">
        <v>40</v>
      </c>
      <c r="Y286" s="1" t="s">
        <v>43</v>
      </c>
      <c r="Z286" s="1" t="s">
        <v>52</v>
      </c>
      <c r="AA286">
        <v>4.3478260869565216E-2</v>
      </c>
      <c r="AB286" s="1" t="s">
        <v>52</v>
      </c>
      <c r="AC286">
        <v>2</v>
      </c>
      <c r="AD286" s="2">
        <v>44896</v>
      </c>
      <c r="AE286" s="1" t="s">
        <v>53</v>
      </c>
      <c r="AF286" s="1" t="s">
        <v>54</v>
      </c>
      <c r="AG286" s="1" t="s">
        <v>63</v>
      </c>
      <c r="AH286" s="1" t="s">
        <v>64</v>
      </c>
      <c r="AI286">
        <v>15400</v>
      </c>
      <c r="AJ286">
        <v>-140</v>
      </c>
    </row>
    <row r="287" spans="1:36" x14ac:dyDescent="0.25">
      <c r="A287">
        <v>10286</v>
      </c>
      <c r="B287">
        <v>37</v>
      </c>
      <c r="C287" s="1" t="s">
        <v>36</v>
      </c>
      <c r="D287" s="1" t="s">
        <v>69</v>
      </c>
      <c r="E287" s="2">
        <v>45076</v>
      </c>
      <c r="F287" s="2">
        <v>44588</v>
      </c>
      <c r="G287" s="1" t="s">
        <v>62</v>
      </c>
      <c r="H287">
        <v>408</v>
      </c>
      <c r="I287">
        <v>26</v>
      </c>
      <c r="J287">
        <v>3</v>
      </c>
      <c r="K287">
        <v>15.07</v>
      </c>
      <c r="L287">
        <v>5</v>
      </c>
      <c r="M287" s="1" t="s">
        <v>67</v>
      </c>
      <c r="N287" s="1" t="s">
        <v>56</v>
      </c>
      <c r="O287">
        <v>10587.6</v>
      </c>
      <c r="P287" t="b">
        <v>0</v>
      </c>
      <c r="Q287">
        <v>2.1666666666666665</v>
      </c>
      <c r="R287">
        <v>407.21538461538461</v>
      </c>
      <c r="S287">
        <v>3.7675000000000001</v>
      </c>
      <c r="T287" s="2">
        <v>45047</v>
      </c>
      <c r="U287" s="1" t="s">
        <v>51</v>
      </c>
      <c r="V287">
        <v>0</v>
      </c>
      <c r="W287" s="1" t="s">
        <v>56</v>
      </c>
      <c r="Y287" s="1" t="s">
        <v>42</v>
      </c>
      <c r="Z287" s="1" t="s">
        <v>42</v>
      </c>
      <c r="AA287">
        <v>0.1111111111111111</v>
      </c>
      <c r="AB287" s="1" t="s">
        <v>52</v>
      </c>
      <c r="AC287">
        <v>2</v>
      </c>
      <c r="AD287" s="2">
        <v>45047</v>
      </c>
      <c r="AE287" s="1" t="s">
        <v>44</v>
      </c>
      <c r="AF287" s="1" t="s">
        <v>72</v>
      </c>
      <c r="AG287" s="1" t="s">
        <v>46</v>
      </c>
      <c r="AH287" s="1" t="s">
        <v>68</v>
      </c>
      <c r="AI287">
        <v>10608</v>
      </c>
      <c r="AJ287">
        <v>-20.399999999999636</v>
      </c>
    </row>
    <row r="288" spans="1:36" x14ac:dyDescent="0.25">
      <c r="A288">
        <v>10287</v>
      </c>
      <c r="B288">
        <v>52</v>
      </c>
      <c r="C288" s="1" t="s">
        <v>36</v>
      </c>
      <c r="D288" s="1" t="s">
        <v>69</v>
      </c>
      <c r="E288" s="2">
        <v>45011</v>
      </c>
      <c r="F288" s="2">
        <v>45129</v>
      </c>
      <c r="G288" s="1" t="s">
        <v>62</v>
      </c>
      <c r="H288">
        <v>1091</v>
      </c>
      <c r="I288">
        <v>11</v>
      </c>
      <c r="J288">
        <v>3</v>
      </c>
      <c r="K288">
        <v>61.96</v>
      </c>
      <c r="L288">
        <v>10</v>
      </c>
      <c r="M288" s="1" t="s">
        <v>39</v>
      </c>
      <c r="N288" s="1" t="s">
        <v>56</v>
      </c>
      <c r="O288">
        <v>11891.9</v>
      </c>
      <c r="P288" t="b">
        <v>1</v>
      </c>
      <c r="Q288">
        <v>0.91666666666666663</v>
      </c>
      <c r="R288">
        <v>1081.0818181818181</v>
      </c>
      <c r="S288">
        <v>15.49</v>
      </c>
      <c r="T288" s="2">
        <v>44986</v>
      </c>
      <c r="U288" s="1" t="s">
        <v>41</v>
      </c>
      <c r="V288">
        <v>0</v>
      </c>
      <c r="W288" s="1" t="s">
        <v>56</v>
      </c>
      <c r="X288">
        <v>118</v>
      </c>
      <c r="Y288" s="1" t="s">
        <v>43</v>
      </c>
      <c r="Z288" s="1" t="s">
        <v>42</v>
      </c>
      <c r="AA288">
        <v>0.25</v>
      </c>
      <c r="AB288" s="1" t="s">
        <v>52</v>
      </c>
      <c r="AC288">
        <v>2</v>
      </c>
      <c r="AD288" s="2">
        <v>44986</v>
      </c>
      <c r="AE288" s="1" t="s">
        <v>74</v>
      </c>
      <c r="AF288" s="1" t="s">
        <v>72</v>
      </c>
      <c r="AG288" s="1" t="s">
        <v>63</v>
      </c>
      <c r="AH288" s="1" t="s">
        <v>47</v>
      </c>
      <c r="AI288">
        <v>12001</v>
      </c>
      <c r="AJ288">
        <v>-109.10000000000036</v>
      </c>
    </row>
    <row r="289" spans="1:36" x14ac:dyDescent="0.25">
      <c r="A289">
        <v>10288</v>
      </c>
      <c r="B289">
        <v>42</v>
      </c>
      <c r="C289" s="1" t="s">
        <v>36</v>
      </c>
      <c r="D289" s="1" t="s">
        <v>71</v>
      </c>
      <c r="E289" s="2">
        <v>44368</v>
      </c>
      <c r="F289" s="2">
        <v>45078</v>
      </c>
      <c r="G289" s="1" t="s">
        <v>62</v>
      </c>
      <c r="H289">
        <v>562</v>
      </c>
      <c r="I289">
        <v>7</v>
      </c>
      <c r="J289">
        <v>3</v>
      </c>
      <c r="K289">
        <v>112.05</v>
      </c>
      <c r="L289">
        <v>15</v>
      </c>
      <c r="M289" s="1" t="s">
        <v>39</v>
      </c>
      <c r="N289" s="1" t="s">
        <v>56</v>
      </c>
      <c r="O289">
        <v>3849.7</v>
      </c>
      <c r="P289" t="b">
        <v>1</v>
      </c>
      <c r="Q289">
        <v>0.58333333333333337</v>
      </c>
      <c r="R289">
        <v>549.9571428571428</v>
      </c>
      <c r="S289">
        <v>28.012499999999999</v>
      </c>
      <c r="T289" s="2">
        <v>44348</v>
      </c>
      <c r="U289" s="1" t="s">
        <v>51</v>
      </c>
      <c r="V289">
        <v>0</v>
      </c>
      <c r="W289" s="1" t="s">
        <v>56</v>
      </c>
      <c r="X289">
        <v>710</v>
      </c>
      <c r="Y289" s="1" t="s">
        <v>43</v>
      </c>
      <c r="Z289" s="1" t="s">
        <v>42</v>
      </c>
      <c r="AA289">
        <v>0.375</v>
      </c>
      <c r="AB289" s="1" t="s">
        <v>42</v>
      </c>
      <c r="AC289">
        <v>2</v>
      </c>
      <c r="AD289" s="2">
        <v>44348</v>
      </c>
      <c r="AE289" s="1" t="s">
        <v>74</v>
      </c>
      <c r="AF289" s="1" t="s">
        <v>72</v>
      </c>
      <c r="AG289" s="1" t="s">
        <v>63</v>
      </c>
      <c r="AH289" s="1" t="s">
        <v>64</v>
      </c>
      <c r="AI289">
        <v>3934</v>
      </c>
      <c r="AJ289">
        <v>-84.300000000000182</v>
      </c>
    </row>
    <row r="290" spans="1:36" x14ac:dyDescent="0.25">
      <c r="A290">
        <v>10289</v>
      </c>
      <c r="B290">
        <v>52</v>
      </c>
      <c r="C290" s="1" t="s">
        <v>60</v>
      </c>
      <c r="D290" s="1" t="s">
        <v>73</v>
      </c>
      <c r="E290" s="2">
        <v>44845</v>
      </c>
      <c r="F290" s="2">
        <v>44764</v>
      </c>
      <c r="G290" s="1" t="s">
        <v>62</v>
      </c>
      <c r="H290">
        <v>628</v>
      </c>
      <c r="I290">
        <v>17</v>
      </c>
      <c r="J290">
        <v>4</v>
      </c>
      <c r="K290">
        <v>108.11</v>
      </c>
      <c r="L290">
        <v>10</v>
      </c>
      <c r="M290" s="1" t="s">
        <v>65</v>
      </c>
      <c r="N290" s="1" t="s">
        <v>56</v>
      </c>
      <c r="O290">
        <v>10613.2</v>
      </c>
      <c r="P290" t="b">
        <v>0</v>
      </c>
      <c r="Q290">
        <v>1.4166666666666667</v>
      </c>
      <c r="R290">
        <v>624.30588235294124</v>
      </c>
      <c r="S290">
        <v>21.622</v>
      </c>
      <c r="T290" s="2">
        <v>44835</v>
      </c>
      <c r="U290" s="1" t="s">
        <v>41</v>
      </c>
      <c r="V290">
        <v>0</v>
      </c>
      <c r="W290" s="1" t="s">
        <v>56</v>
      </c>
      <c r="Y290" s="1" t="s">
        <v>43</v>
      </c>
      <c r="Z290" s="1" t="s">
        <v>42</v>
      </c>
      <c r="AA290">
        <v>0.22222222222222221</v>
      </c>
      <c r="AB290" s="1" t="s">
        <v>52</v>
      </c>
      <c r="AC290">
        <v>2</v>
      </c>
      <c r="AD290" s="2">
        <v>44835</v>
      </c>
      <c r="AE290" s="1" t="s">
        <v>53</v>
      </c>
      <c r="AF290" s="1" t="s">
        <v>45</v>
      </c>
      <c r="AG290" s="1" t="s">
        <v>63</v>
      </c>
      <c r="AH290" s="1" t="s">
        <v>64</v>
      </c>
      <c r="AI290">
        <v>10676</v>
      </c>
      <c r="AJ290">
        <v>-62.799999999999272</v>
      </c>
    </row>
    <row r="291" spans="1:36" x14ac:dyDescent="0.25">
      <c r="A291">
        <v>10290</v>
      </c>
      <c r="B291">
        <v>42</v>
      </c>
      <c r="C291" s="1" t="s">
        <v>60</v>
      </c>
      <c r="D291" s="1" t="s">
        <v>48</v>
      </c>
      <c r="E291" s="2">
        <v>44694</v>
      </c>
      <c r="F291" s="2">
        <v>44523</v>
      </c>
      <c r="G291" s="1" t="s">
        <v>38</v>
      </c>
      <c r="H291">
        <v>662</v>
      </c>
      <c r="I291">
        <v>18</v>
      </c>
      <c r="J291">
        <v>1</v>
      </c>
      <c r="K291">
        <v>43.8</v>
      </c>
      <c r="L291">
        <v>5</v>
      </c>
      <c r="M291" s="1" t="s">
        <v>39</v>
      </c>
      <c r="N291" s="1" t="s">
        <v>56</v>
      </c>
      <c r="O291">
        <v>11882.9</v>
      </c>
      <c r="P291" t="b">
        <v>0</v>
      </c>
      <c r="Q291">
        <v>1.5</v>
      </c>
      <c r="R291">
        <v>660.16111111111104</v>
      </c>
      <c r="S291">
        <v>21.9</v>
      </c>
      <c r="T291" s="2">
        <v>44682</v>
      </c>
      <c r="U291" s="1" t="s">
        <v>51</v>
      </c>
      <c r="V291">
        <v>0</v>
      </c>
      <c r="W291" s="1" t="s">
        <v>56</v>
      </c>
      <c r="Y291" s="1" t="s">
        <v>52</v>
      </c>
      <c r="Z291" s="1" t="s">
        <v>42</v>
      </c>
      <c r="AA291">
        <v>5.2631578947368418E-2</v>
      </c>
      <c r="AB291" s="1" t="s">
        <v>52</v>
      </c>
      <c r="AC291">
        <v>1</v>
      </c>
      <c r="AD291" s="2">
        <v>44682</v>
      </c>
      <c r="AE291" s="1" t="s">
        <v>53</v>
      </c>
      <c r="AF291" s="1" t="s">
        <v>54</v>
      </c>
      <c r="AG291" s="1" t="s">
        <v>55</v>
      </c>
      <c r="AH291" s="1" t="s">
        <v>64</v>
      </c>
      <c r="AI291">
        <v>11916</v>
      </c>
      <c r="AJ291">
        <v>-33.100000000000364</v>
      </c>
    </row>
    <row r="292" spans="1:36" x14ac:dyDescent="0.25">
      <c r="A292">
        <v>10291</v>
      </c>
      <c r="B292">
        <v>46</v>
      </c>
      <c r="C292" s="1" t="s">
        <v>60</v>
      </c>
      <c r="D292" s="1" t="s">
        <v>71</v>
      </c>
      <c r="E292" s="2">
        <v>44667</v>
      </c>
      <c r="F292" s="2">
        <v>44734</v>
      </c>
      <c r="G292" s="1" t="s">
        <v>38</v>
      </c>
      <c r="H292">
        <v>558</v>
      </c>
      <c r="I292">
        <v>7</v>
      </c>
      <c r="J292">
        <v>1</v>
      </c>
      <c r="K292">
        <v>66.11</v>
      </c>
      <c r="L292">
        <v>5</v>
      </c>
      <c r="M292" s="1" t="s">
        <v>50</v>
      </c>
      <c r="N292" s="1" t="s">
        <v>56</v>
      </c>
      <c r="O292">
        <v>3878.1</v>
      </c>
      <c r="P292" t="b">
        <v>1</v>
      </c>
      <c r="Q292">
        <v>0.58333333333333337</v>
      </c>
      <c r="R292">
        <v>554.01428571428573</v>
      </c>
      <c r="S292">
        <v>33.055</v>
      </c>
      <c r="T292" s="2">
        <v>44652</v>
      </c>
      <c r="U292" s="1" t="s">
        <v>51</v>
      </c>
      <c r="V292">
        <v>0</v>
      </c>
      <c r="W292" s="1" t="s">
        <v>56</v>
      </c>
      <c r="X292">
        <v>67</v>
      </c>
      <c r="Y292" s="1" t="s">
        <v>43</v>
      </c>
      <c r="Z292" s="1" t="s">
        <v>42</v>
      </c>
      <c r="AA292">
        <v>0.125</v>
      </c>
      <c r="AB292" s="1" t="s">
        <v>42</v>
      </c>
      <c r="AC292">
        <v>1</v>
      </c>
      <c r="AD292" s="2">
        <v>44652</v>
      </c>
      <c r="AE292" s="1" t="s">
        <v>74</v>
      </c>
      <c r="AF292" s="1" t="s">
        <v>54</v>
      </c>
      <c r="AG292" s="1" t="s">
        <v>63</v>
      </c>
      <c r="AH292" s="1" t="s">
        <v>64</v>
      </c>
      <c r="AI292">
        <v>3906</v>
      </c>
      <c r="AJ292">
        <v>-27.900000000000091</v>
      </c>
    </row>
    <row r="293" spans="1:36" x14ac:dyDescent="0.25">
      <c r="A293">
        <v>10292</v>
      </c>
      <c r="B293">
        <v>35</v>
      </c>
      <c r="C293" s="1" t="s">
        <v>60</v>
      </c>
      <c r="D293" s="1" t="s">
        <v>73</v>
      </c>
      <c r="E293" s="2">
        <v>44580</v>
      </c>
      <c r="F293" s="2">
        <v>44818</v>
      </c>
      <c r="G293" s="1" t="s">
        <v>62</v>
      </c>
      <c r="H293">
        <v>384</v>
      </c>
      <c r="I293">
        <v>20</v>
      </c>
      <c r="J293">
        <v>0</v>
      </c>
      <c r="K293">
        <v>85.2</v>
      </c>
      <c r="L293">
        <v>0</v>
      </c>
      <c r="M293" s="1" t="s">
        <v>50</v>
      </c>
      <c r="N293" s="1" t="s">
        <v>56</v>
      </c>
      <c r="O293">
        <v>7680</v>
      </c>
      <c r="P293" t="b">
        <v>1</v>
      </c>
      <c r="Q293">
        <v>1.6666666666666667</v>
      </c>
      <c r="R293">
        <v>384</v>
      </c>
      <c r="S293">
        <v>85.2</v>
      </c>
      <c r="T293" s="2">
        <v>44562</v>
      </c>
      <c r="U293" s="1" t="s">
        <v>57</v>
      </c>
      <c r="V293">
        <v>0</v>
      </c>
      <c r="W293" s="1" t="s">
        <v>56</v>
      </c>
      <c r="X293">
        <v>238</v>
      </c>
      <c r="Y293" s="1" t="s">
        <v>43</v>
      </c>
      <c r="Z293" s="1" t="s">
        <v>42</v>
      </c>
      <c r="AA293">
        <v>0</v>
      </c>
      <c r="AB293" s="1" t="s">
        <v>42</v>
      </c>
      <c r="AC293">
        <v>2</v>
      </c>
      <c r="AD293" s="2">
        <v>44562</v>
      </c>
      <c r="AE293" s="1" t="s">
        <v>53</v>
      </c>
      <c r="AF293" s="1" t="s">
        <v>54</v>
      </c>
      <c r="AG293" s="1" t="s">
        <v>63</v>
      </c>
      <c r="AH293" s="1" t="s">
        <v>68</v>
      </c>
      <c r="AI293">
        <v>7680</v>
      </c>
      <c r="AJ293">
        <v>0</v>
      </c>
    </row>
    <row r="294" spans="1:36" x14ac:dyDescent="0.25">
      <c r="A294">
        <v>10293</v>
      </c>
      <c r="B294">
        <v>63</v>
      </c>
      <c r="C294" s="1" t="s">
        <v>60</v>
      </c>
      <c r="D294" s="1" t="s">
        <v>71</v>
      </c>
      <c r="E294" s="2">
        <v>44886</v>
      </c>
      <c r="F294" s="2">
        <v>45200</v>
      </c>
      <c r="G294" s="1" t="s">
        <v>38</v>
      </c>
      <c r="H294">
        <v>607</v>
      </c>
      <c r="I294">
        <v>11</v>
      </c>
      <c r="J294">
        <v>6</v>
      </c>
      <c r="K294">
        <v>44.1</v>
      </c>
      <c r="L294">
        <v>10</v>
      </c>
      <c r="M294" s="1" t="s">
        <v>65</v>
      </c>
      <c r="N294" s="1" t="s">
        <v>56</v>
      </c>
      <c r="O294">
        <v>6616.3</v>
      </c>
      <c r="P294" t="b">
        <v>1</v>
      </c>
      <c r="Q294">
        <v>0.91666666666666663</v>
      </c>
      <c r="R294">
        <v>601.4818181818182</v>
      </c>
      <c r="S294">
        <v>6.3</v>
      </c>
      <c r="T294" s="2">
        <v>44866</v>
      </c>
      <c r="U294" s="1" t="s">
        <v>41</v>
      </c>
      <c r="V294">
        <v>0</v>
      </c>
      <c r="W294" s="1" t="s">
        <v>56</v>
      </c>
      <c r="X294">
        <v>314</v>
      </c>
      <c r="Y294" s="1" t="s">
        <v>52</v>
      </c>
      <c r="Z294" s="1" t="s">
        <v>42</v>
      </c>
      <c r="AA294">
        <v>0.5</v>
      </c>
      <c r="AB294" s="1" t="s">
        <v>42</v>
      </c>
      <c r="AC294">
        <v>1</v>
      </c>
      <c r="AD294" s="2">
        <v>44866</v>
      </c>
      <c r="AE294" s="1" t="s">
        <v>74</v>
      </c>
      <c r="AF294" s="1" t="s">
        <v>78</v>
      </c>
      <c r="AG294" s="1" t="s">
        <v>55</v>
      </c>
      <c r="AH294" s="1" t="s">
        <v>64</v>
      </c>
      <c r="AI294">
        <v>6677</v>
      </c>
      <c r="AJ294">
        <v>-60.699999999999818</v>
      </c>
    </row>
    <row r="295" spans="1:36" x14ac:dyDescent="0.25">
      <c r="A295">
        <v>10294</v>
      </c>
      <c r="B295">
        <v>35</v>
      </c>
      <c r="C295" s="1" t="s">
        <v>36</v>
      </c>
      <c r="D295" s="1" t="s">
        <v>76</v>
      </c>
      <c r="E295" s="2">
        <v>44785</v>
      </c>
      <c r="F295" s="2">
        <v>44580</v>
      </c>
      <c r="G295" s="1" t="s">
        <v>38</v>
      </c>
      <c r="H295">
        <v>561</v>
      </c>
      <c r="I295">
        <v>16</v>
      </c>
      <c r="J295">
        <v>0</v>
      </c>
      <c r="K295">
        <v>12.46</v>
      </c>
      <c r="L295">
        <v>0</v>
      </c>
      <c r="M295" s="1" t="s">
        <v>65</v>
      </c>
      <c r="N295" s="1" t="s">
        <v>56</v>
      </c>
      <c r="O295">
        <v>8976</v>
      </c>
      <c r="P295" t="b">
        <v>0</v>
      </c>
      <c r="Q295">
        <v>1.3333333333333333</v>
      </c>
      <c r="R295">
        <v>561</v>
      </c>
      <c r="S295">
        <v>12.46</v>
      </c>
      <c r="T295" s="2">
        <v>44774</v>
      </c>
      <c r="U295" s="1" t="s">
        <v>57</v>
      </c>
      <c r="V295">
        <v>0</v>
      </c>
      <c r="W295" s="1" t="s">
        <v>56</v>
      </c>
      <c r="Y295" s="1" t="s">
        <v>42</v>
      </c>
      <c r="Z295" s="1" t="s">
        <v>42</v>
      </c>
      <c r="AA295">
        <v>0</v>
      </c>
      <c r="AB295" s="1" t="s">
        <v>52</v>
      </c>
      <c r="AC295">
        <v>1</v>
      </c>
      <c r="AD295" s="2">
        <v>44774</v>
      </c>
      <c r="AE295" s="1" t="s">
        <v>53</v>
      </c>
      <c r="AF295" s="1" t="s">
        <v>54</v>
      </c>
      <c r="AG295" s="1" t="s">
        <v>46</v>
      </c>
      <c r="AH295" s="1" t="s">
        <v>64</v>
      </c>
      <c r="AI295">
        <v>8976</v>
      </c>
      <c r="AJ295">
        <v>0</v>
      </c>
    </row>
    <row r="296" spans="1:36" x14ac:dyDescent="0.25">
      <c r="A296">
        <v>10295</v>
      </c>
      <c r="B296">
        <v>19</v>
      </c>
      <c r="C296" s="1" t="s">
        <v>60</v>
      </c>
      <c r="D296" s="1" t="s">
        <v>37</v>
      </c>
      <c r="E296" s="2">
        <v>44896</v>
      </c>
      <c r="F296" s="2">
        <v>45010</v>
      </c>
      <c r="G296" s="1" t="s">
        <v>38</v>
      </c>
      <c r="H296">
        <v>1096</v>
      </c>
      <c r="I296">
        <v>27</v>
      </c>
      <c r="J296">
        <v>1</v>
      </c>
      <c r="K296">
        <v>63.13</v>
      </c>
      <c r="L296">
        <v>10</v>
      </c>
      <c r="M296" s="1" t="s">
        <v>39</v>
      </c>
      <c r="N296" s="1" t="s">
        <v>56</v>
      </c>
      <c r="O296">
        <v>29482.400000000001</v>
      </c>
      <c r="P296" t="b">
        <v>1</v>
      </c>
      <c r="Q296">
        <v>2.25</v>
      </c>
      <c r="R296">
        <v>1091.9407407407407</v>
      </c>
      <c r="S296">
        <v>31.565000000000001</v>
      </c>
      <c r="T296" s="2">
        <v>44896</v>
      </c>
      <c r="U296" s="1" t="s">
        <v>66</v>
      </c>
      <c r="V296">
        <v>0</v>
      </c>
      <c r="W296" s="1" t="s">
        <v>40</v>
      </c>
      <c r="X296">
        <v>114</v>
      </c>
      <c r="Y296" s="1" t="s">
        <v>43</v>
      </c>
      <c r="Z296" s="1" t="s">
        <v>42</v>
      </c>
      <c r="AA296">
        <v>3.5714285714285712E-2</v>
      </c>
      <c r="AB296" s="1" t="s">
        <v>43</v>
      </c>
      <c r="AC296">
        <v>1</v>
      </c>
      <c r="AD296" s="2">
        <v>44896</v>
      </c>
      <c r="AE296" s="1" t="s">
        <v>44</v>
      </c>
      <c r="AF296" s="1" t="s">
        <v>54</v>
      </c>
      <c r="AG296" s="1" t="s">
        <v>63</v>
      </c>
      <c r="AH296" s="1" t="s">
        <v>47</v>
      </c>
      <c r="AI296">
        <v>29592</v>
      </c>
      <c r="AJ296">
        <v>-109.59999999999854</v>
      </c>
    </row>
    <row r="297" spans="1:36" x14ac:dyDescent="0.25">
      <c r="A297">
        <v>10296</v>
      </c>
      <c r="B297">
        <v>41</v>
      </c>
      <c r="C297" s="1" t="s">
        <v>60</v>
      </c>
      <c r="D297" s="1" t="s">
        <v>71</v>
      </c>
      <c r="E297" s="2">
        <v>44703</v>
      </c>
      <c r="F297" s="2">
        <v>44799</v>
      </c>
      <c r="G297" s="1" t="s">
        <v>62</v>
      </c>
      <c r="H297">
        <v>930</v>
      </c>
      <c r="I297">
        <v>11</v>
      </c>
      <c r="J297">
        <v>3</v>
      </c>
      <c r="K297">
        <v>74.19</v>
      </c>
      <c r="L297">
        <v>20</v>
      </c>
      <c r="M297" s="1" t="s">
        <v>65</v>
      </c>
      <c r="N297" s="1" t="s">
        <v>56</v>
      </c>
      <c r="O297">
        <v>10044</v>
      </c>
      <c r="P297" t="b">
        <v>1</v>
      </c>
      <c r="Q297">
        <v>0.91666666666666663</v>
      </c>
      <c r="R297">
        <v>913.09090909090912</v>
      </c>
      <c r="S297">
        <v>18.547499999999999</v>
      </c>
      <c r="T297" s="2">
        <v>44682</v>
      </c>
      <c r="U297" s="1" t="s">
        <v>51</v>
      </c>
      <c r="V297">
        <v>0</v>
      </c>
      <c r="W297" s="1" t="s">
        <v>56</v>
      </c>
      <c r="X297">
        <v>96</v>
      </c>
      <c r="Y297" s="1" t="s">
        <v>43</v>
      </c>
      <c r="Z297" s="1" t="s">
        <v>52</v>
      </c>
      <c r="AA297">
        <v>0.25</v>
      </c>
      <c r="AB297" s="1" t="s">
        <v>52</v>
      </c>
      <c r="AC297">
        <v>2</v>
      </c>
      <c r="AD297" s="2">
        <v>44682</v>
      </c>
      <c r="AE297" s="1" t="s">
        <v>74</v>
      </c>
      <c r="AF297" s="1" t="s">
        <v>72</v>
      </c>
      <c r="AG297" s="1" t="s">
        <v>63</v>
      </c>
      <c r="AH297" s="1" t="s">
        <v>59</v>
      </c>
      <c r="AI297">
        <v>10230</v>
      </c>
      <c r="AJ297">
        <v>-186</v>
      </c>
    </row>
    <row r="298" spans="1:36" x14ac:dyDescent="0.25">
      <c r="A298">
        <v>10297</v>
      </c>
      <c r="B298">
        <v>33</v>
      </c>
      <c r="C298" s="1" t="s">
        <v>60</v>
      </c>
      <c r="D298" s="1" t="s">
        <v>48</v>
      </c>
      <c r="E298" s="2">
        <v>44723</v>
      </c>
      <c r="F298" s="2">
        <v>44624</v>
      </c>
      <c r="G298" s="1" t="s">
        <v>38</v>
      </c>
      <c r="H298">
        <v>979</v>
      </c>
      <c r="I298">
        <v>16</v>
      </c>
      <c r="J298">
        <v>1</v>
      </c>
      <c r="K298">
        <v>5.67</v>
      </c>
      <c r="L298">
        <v>10</v>
      </c>
      <c r="M298" s="1" t="s">
        <v>65</v>
      </c>
      <c r="N298" s="1" t="s">
        <v>56</v>
      </c>
      <c r="O298">
        <v>15468.2</v>
      </c>
      <c r="P298" t="b">
        <v>0</v>
      </c>
      <c r="Q298">
        <v>1.3333333333333333</v>
      </c>
      <c r="R298">
        <v>966.76250000000005</v>
      </c>
      <c r="S298">
        <v>2.835</v>
      </c>
      <c r="T298" s="2">
        <v>44713</v>
      </c>
      <c r="U298" s="1" t="s">
        <v>57</v>
      </c>
      <c r="V298">
        <v>0</v>
      </c>
      <c r="W298" s="1" t="s">
        <v>40</v>
      </c>
      <c r="Y298" s="1" t="s">
        <v>42</v>
      </c>
      <c r="Z298" s="1" t="s">
        <v>42</v>
      </c>
      <c r="AA298">
        <v>5.8823529411764705E-2</v>
      </c>
      <c r="AB298" s="1" t="s">
        <v>52</v>
      </c>
      <c r="AC298">
        <v>1</v>
      </c>
      <c r="AD298" s="2">
        <v>44713</v>
      </c>
      <c r="AE298" s="1" t="s">
        <v>53</v>
      </c>
      <c r="AF298" s="1" t="s">
        <v>54</v>
      </c>
      <c r="AG298" s="1" t="s">
        <v>77</v>
      </c>
      <c r="AH298" s="1" t="s">
        <v>59</v>
      </c>
      <c r="AI298">
        <v>15664</v>
      </c>
      <c r="AJ298">
        <v>-195.79999999999927</v>
      </c>
    </row>
    <row r="299" spans="1:36" x14ac:dyDescent="0.25">
      <c r="A299">
        <v>10298</v>
      </c>
      <c r="B299">
        <v>41</v>
      </c>
      <c r="C299" s="1" t="s">
        <v>60</v>
      </c>
      <c r="D299" s="1" t="s">
        <v>61</v>
      </c>
      <c r="E299" s="2">
        <v>45000</v>
      </c>
      <c r="F299" s="2">
        <v>44576</v>
      </c>
      <c r="G299" s="1" t="s">
        <v>62</v>
      </c>
      <c r="H299">
        <v>1164</v>
      </c>
      <c r="I299">
        <v>23</v>
      </c>
      <c r="J299">
        <v>2</v>
      </c>
      <c r="K299">
        <v>15.99</v>
      </c>
      <c r="L299">
        <v>10</v>
      </c>
      <c r="M299" s="1" t="s">
        <v>67</v>
      </c>
      <c r="N299" s="1" t="s">
        <v>40</v>
      </c>
      <c r="O299">
        <v>26655.599999999999</v>
      </c>
      <c r="P299" t="b">
        <v>0</v>
      </c>
      <c r="Q299">
        <v>1.9166666666666667</v>
      </c>
      <c r="R299">
        <v>1158.9391304347826</v>
      </c>
      <c r="S299">
        <v>5.33</v>
      </c>
      <c r="T299" s="2">
        <v>44986</v>
      </c>
      <c r="U299" s="1" t="s">
        <v>51</v>
      </c>
      <c r="V299">
        <v>1</v>
      </c>
      <c r="W299" s="1" t="s">
        <v>40</v>
      </c>
      <c r="Y299" s="1" t="s">
        <v>42</v>
      </c>
      <c r="Z299" s="1" t="s">
        <v>42</v>
      </c>
      <c r="AA299">
        <v>8.3333333333333329E-2</v>
      </c>
      <c r="AB299" s="1" t="s">
        <v>43</v>
      </c>
      <c r="AC299">
        <v>2</v>
      </c>
      <c r="AD299" s="2">
        <v>44986</v>
      </c>
      <c r="AE299" s="1" t="s">
        <v>53</v>
      </c>
      <c r="AF299" s="1" t="s">
        <v>72</v>
      </c>
      <c r="AG299" s="1" t="s">
        <v>46</v>
      </c>
      <c r="AH299" s="1" t="s">
        <v>47</v>
      </c>
      <c r="AI299">
        <v>26772</v>
      </c>
      <c r="AJ299">
        <v>-116.40000000000146</v>
      </c>
    </row>
    <row r="300" spans="1:36" x14ac:dyDescent="0.25">
      <c r="A300">
        <v>10299</v>
      </c>
      <c r="B300">
        <v>53</v>
      </c>
      <c r="C300" s="1" t="s">
        <v>60</v>
      </c>
      <c r="D300" s="1" t="s">
        <v>73</v>
      </c>
      <c r="E300" s="2">
        <v>45027</v>
      </c>
      <c r="F300" s="2">
        <v>44518</v>
      </c>
      <c r="G300" s="1" t="s">
        <v>62</v>
      </c>
      <c r="H300">
        <v>623</v>
      </c>
      <c r="I300">
        <v>12</v>
      </c>
      <c r="J300">
        <v>1</v>
      </c>
      <c r="K300">
        <v>28.84</v>
      </c>
      <c r="L300">
        <v>0</v>
      </c>
      <c r="M300" s="1" t="s">
        <v>65</v>
      </c>
      <c r="N300" s="1" t="s">
        <v>56</v>
      </c>
      <c r="O300">
        <v>7476</v>
      </c>
      <c r="P300" t="b">
        <v>0</v>
      </c>
      <c r="Q300">
        <v>1</v>
      </c>
      <c r="R300">
        <v>623</v>
      </c>
      <c r="S300">
        <v>14.42</v>
      </c>
      <c r="T300" s="2">
        <v>45017</v>
      </c>
      <c r="U300" s="1" t="s">
        <v>41</v>
      </c>
      <c r="V300">
        <v>0</v>
      </c>
      <c r="W300" s="1" t="s">
        <v>56</v>
      </c>
      <c r="Y300" s="1" t="s">
        <v>52</v>
      </c>
      <c r="Z300" s="1" t="s">
        <v>42</v>
      </c>
      <c r="AA300">
        <v>7.6923076923076927E-2</v>
      </c>
      <c r="AB300" s="1" t="s">
        <v>42</v>
      </c>
      <c r="AC300">
        <v>2</v>
      </c>
      <c r="AD300" s="2">
        <v>45017</v>
      </c>
      <c r="AE300" s="1" t="s">
        <v>74</v>
      </c>
      <c r="AF300" s="1" t="s">
        <v>54</v>
      </c>
      <c r="AG300" s="1" t="s">
        <v>70</v>
      </c>
      <c r="AH300" s="1" t="s">
        <v>64</v>
      </c>
      <c r="AI300">
        <v>7476</v>
      </c>
      <c r="AJ300">
        <v>0</v>
      </c>
    </row>
    <row r="301" spans="1:36" x14ac:dyDescent="0.25">
      <c r="A301">
        <v>10300</v>
      </c>
      <c r="B301">
        <v>50</v>
      </c>
      <c r="C301" s="1" t="s">
        <v>60</v>
      </c>
      <c r="D301" s="1" t="s">
        <v>71</v>
      </c>
      <c r="E301" s="2">
        <v>44521</v>
      </c>
      <c r="F301" s="2">
        <v>45082</v>
      </c>
      <c r="G301" s="1" t="s">
        <v>38</v>
      </c>
      <c r="H301">
        <v>1224</v>
      </c>
      <c r="I301">
        <v>3</v>
      </c>
      <c r="J301">
        <v>1</v>
      </c>
      <c r="K301">
        <v>45.03</v>
      </c>
      <c r="L301">
        <v>20</v>
      </c>
      <c r="M301" s="1" t="s">
        <v>50</v>
      </c>
      <c r="N301" s="1" t="s">
        <v>40</v>
      </c>
      <c r="O301">
        <v>3427.2</v>
      </c>
      <c r="P301" t="b">
        <v>1</v>
      </c>
      <c r="Q301">
        <v>0.25</v>
      </c>
      <c r="R301">
        <v>1142.3999999999999</v>
      </c>
      <c r="S301">
        <v>22.515000000000001</v>
      </c>
      <c r="T301" s="2">
        <v>44501</v>
      </c>
      <c r="U301" s="1" t="s">
        <v>51</v>
      </c>
      <c r="V301">
        <v>1</v>
      </c>
      <c r="W301" s="1" t="s">
        <v>56</v>
      </c>
      <c r="X301">
        <v>561</v>
      </c>
      <c r="Y301" s="1" t="s">
        <v>52</v>
      </c>
      <c r="Z301" s="1" t="s">
        <v>52</v>
      </c>
      <c r="AA301">
        <v>0.25</v>
      </c>
      <c r="AB301" s="1" t="s">
        <v>42</v>
      </c>
      <c r="AC301">
        <v>1</v>
      </c>
      <c r="AD301" s="2">
        <v>44501</v>
      </c>
      <c r="AE301" s="1" t="s">
        <v>58</v>
      </c>
      <c r="AF301" s="1" t="s">
        <v>54</v>
      </c>
      <c r="AG301" s="1" t="s">
        <v>63</v>
      </c>
      <c r="AH301" s="1" t="s">
        <v>47</v>
      </c>
      <c r="AI301">
        <v>3672</v>
      </c>
      <c r="AJ301">
        <v>-244.80000000000018</v>
      </c>
    </row>
    <row r="302" spans="1:36" x14ac:dyDescent="0.25">
      <c r="A302">
        <v>10301</v>
      </c>
      <c r="B302">
        <v>21</v>
      </c>
      <c r="C302" s="1" t="s">
        <v>60</v>
      </c>
      <c r="D302" s="1" t="s">
        <v>71</v>
      </c>
      <c r="E302" s="2">
        <v>44410</v>
      </c>
      <c r="F302" s="2">
        <v>44560</v>
      </c>
      <c r="G302" s="1" t="s">
        <v>62</v>
      </c>
      <c r="H302">
        <v>1026</v>
      </c>
      <c r="I302">
        <v>2</v>
      </c>
      <c r="J302">
        <v>2</v>
      </c>
      <c r="K302">
        <v>67.22</v>
      </c>
      <c r="L302">
        <v>5</v>
      </c>
      <c r="M302" s="1" t="s">
        <v>39</v>
      </c>
      <c r="N302" s="1" t="s">
        <v>56</v>
      </c>
      <c r="O302">
        <v>2000.7</v>
      </c>
      <c r="P302" t="b">
        <v>1</v>
      </c>
      <c r="Q302">
        <v>0.16666666666666666</v>
      </c>
      <c r="R302">
        <v>1000.35</v>
      </c>
      <c r="S302">
        <v>22.406666666666666</v>
      </c>
      <c r="T302" s="2">
        <v>44409</v>
      </c>
      <c r="U302" s="1" t="s">
        <v>66</v>
      </c>
      <c r="V302">
        <v>0</v>
      </c>
      <c r="W302" s="1" t="s">
        <v>56</v>
      </c>
      <c r="X302">
        <v>150</v>
      </c>
      <c r="Y302" s="1" t="s">
        <v>43</v>
      </c>
      <c r="Z302" s="1" t="s">
        <v>42</v>
      </c>
      <c r="AA302">
        <v>0.66666666666666663</v>
      </c>
      <c r="AB302" s="1" t="s">
        <v>42</v>
      </c>
      <c r="AC302">
        <v>2</v>
      </c>
      <c r="AD302" s="2">
        <v>44409</v>
      </c>
      <c r="AE302" s="1" t="s">
        <v>58</v>
      </c>
      <c r="AF302" s="1" t="s">
        <v>72</v>
      </c>
      <c r="AG302" s="1" t="s">
        <v>63</v>
      </c>
      <c r="AH302" s="1" t="s">
        <v>47</v>
      </c>
      <c r="AI302">
        <v>2052</v>
      </c>
      <c r="AJ302">
        <v>-51.299999999999955</v>
      </c>
    </row>
    <row r="303" spans="1:36" x14ac:dyDescent="0.25">
      <c r="A303">
        <v>10302</v>
      </c>
      <c r="B303">
        <v>50</v>
      </c>
      <c r="C303" s="1" t="s">
        <v>36</v>
      </c>
      <c r="D303" s="1" t="s">
        <v>48</v>
      </c>
      <c r="E303" s="2">
        <v>44404</v>
      </c>
      <c r="F303" s="2">
        <v>44629</v>
      </c>
      <c r="G303" s="1" t="s">
        <v>62</v>
      </c>
      <c r="H303">
        <v>1277</v>
      </c>
      <c r="I303">
        <v>24</v>
      </c>
      <c r="J303">
        <v>2</v>
      </c>
      <c r="K303">
        <v>38.79</v>
      </c>
      <c r="L303">
        <v>15</v>
      </c>
      <c r="M303" s="1" t="s">
        <v>65</v>
      </c>
      <c r="N303" s="1" t="s">
        <v>56</v>
      </c>
      <c r="O303">
        <v>30456.45</v>
      </c>
      <c r="P303" t="b">
        <v>1</v>
      </c>
      <c r="Q303">
        <v>2</v>
      </c>
      <c r="R303">
        <v>1269.01875</v>
      </c>
      <c r="S303">
        <v>12.93</v>
      </c>
      <c r="T303" s="2">
        <v>44378</v>
      </c>
      <c r="U303" s="1" t="s">
        <v>51</v>
      </c>
      <c r="V303">
        <v>0</v>
      </c>
      <c r="W303" s="1" t="s">
        <v>40</v>
      </c>
      <c r="X303">
        <v>225</v>
      </c>
      <c r="Y303" s="1" t="s">
        <v>52</v>
      </c>
      <c r="Z303" s="1" t="s">
        <v>42</v>
      </c>
      <c r="AA303">
        <v>0.08</v>
      </c>
      <c r="AB303" s="1" t="s">
        <v>43</v>
      </c>
      <c r="AC303">
        <v>2</v>
      </c>
      <c r="AD303" s="2">
        <v>44378</v>
      </c>
      <c r="AE303" s="1" t="s">
        <v>53</v>
      </c>
      <c r="AF303" s="1" t="s">
        <v>72</v>
      </c>
      <c r="AG303" s="1" t="s">
        <v>55</v>
      </c>
      <c r="AH303" s="1" t="s">
        <v>47</v>
      </c>
      <c r="AI303">
        <v>30648</v>
      </c>
      <c r="AJ303">
        <v>-191.54999999999927</v>
      </c>
    </row>
    <row r="304" spans="1:36" x14ac:dyDescent="0.25">
      <c r="A304">
        <v>10303</v>
      </c>
      <c r="B304">
        <v>31</v>
      </c>
      <c r="C304" s="1" t="s">
        <v>75</v>
      </c>
      <c r="D304" s="1" t="s">
        <v>37</v>
      </c>
      <c r="E304" s="2">
        <v>44365</v>
      </c>
      <c r="F304" s="2">
        <v>44388</v>
      </c>
      <c r="G304" s="1" t="s">
        <v>62</v>
      </c>
      <c r="H304">
        <v>516</v>
      </c>
      <c r="I304">
        <v>29</v>
      </c>
      <c r="J304">
        <v>2</v>
      </c>
      <c r="K304">
        <v>36.76</v>
      </c>
      <c r="L304">
        <v>0</v>
      </c>
      <c r="M304" s="1" t="s">
        <v>67</v>
      </c>
      <c r="N304" s="1" t="s">
        <v>56</v>
      </c>
      <c r="O304">
        <v>14964</v>
      </c>
      <c r="P304" t="b">
        <v>1</v>
      </c>
      <c r="Q304">
        <v>2.4166666666666665</v>
      </c>
      <c r="R304">
        <v>516</v>
      </c>
      <c r="S304">
        <v>12.253333333333332</v>
      </c>
      <c r="T304" s="2">
        <v>44348</v>
      </c>
      <c r="U304" s="1" t="s">
        <v>57</v>
      </c>
      <c r="V304">
        <v>0</v>
      </c>
      <c r="W304" s="1" t="s">
        <v>40</v>
      </c>
      <c r="X304">
        <v>23</v>
      </c>
      <c r="Y304" s="1" t="s">
        <v>52</v>
      </c>
      <c r="Z304" s="1" t="s">
        <v>42</v>
      </c>
      <c r="AA304">
        <v>6.6666666666666666E-2</v>
      </c>
      <c r="AB304" s="1" t="s">
        <v>52</v>
      </c>
      <c r="AC304">
        <v>2</v>
      </c>
      <c r="AD304" s="2">
        <v>44348</v>
      </c>
      <c r="AE304" s="1" t="s">
        <v>44</v>
      </c>
      <c r="AF304" s="1" t="s">
        <v>72</v>
      </c>
      <c r="AG304" s="1" t="s">
        <v>55</v>
      </c>
      <c r="AH304" s="1" t="s">
        <v>64</v>
      </c>
      <c r="AI304">
        <v>14964</v>
      </c>
      <c r="AJ304">
        <v>0</v>
      </c>
    </row>
    <row r="305" spans="1:36" x14ac:dyDescent="0.25">
      <c r="A305">
        <v>10304</v>
      </c>
      <c r="B305">
        <v>38</v>
      </c>
      <c r="C305" s="1" t="s">
        <v>60</v>
      </c>
      <c r="D305" s="1" t="s">
        <v>71</v>
      </c>
      <c r="E305" s="2">
        <v>44526</v>
      </c>
      <c r="F305" s="2">
        <v>44469</v>
      </c>
      <c r="G305" s="1" t="s">
        <v>62</v>
      </c>
      <c r="H305">
        <v>747</v>
      </c>
      <c r="I305">
        <v>34</v>
      </c>
      <c r="J305">
        <v>2</v>
      </c>
      <c r="K305">
        <v>104.98</v>
      </c>
      <c r="L305">
        <v>10</v>
      </c>
      <c r="M305" s="1" t="s">
        <v>39</v>
      </c>
      <c r="N305" s="1" t="s">
        <v>56</v>
      </c>
      <c r="O305">
        <v>25323.3</v>
      </c>
      <c r="P305" t="b">
        <v>0</v>
      </c>
      <c r="Q305">
        <v>2.8333333333333335</v>
      </c>
      <c r="R305">
        <v>744.80294117647054</v>
      </c>
      <c r="S305">
        <v>34.993333333333332</v>
      </c>
      <c r="T305" s="2">
        <v>44501</v>
      </c>
      <c r="U305" s="1" t="s">
        <v>51</v>
      </c>
      <c r="V305">
        <v>0</v>
      </c>
      <c r="W305" s="1" t="s">
        <v>40</v>
      </c>
      <c r="Y305" s="1" t="s">
        <v>43</v>
      </c>
      <c r="Z305" s="1" t="s">
        <v>42</v>
      </c>
      <c r="AA305">
        <v>5.7142857142857141E-2</v>
      </c>
      <c r="AB305" s="1" t="s">
        <v>43</v>
      </c>
      <c r="AC305">
        <v>2</v>
      </c>
      <c r="AD305" s="2">
        <v>44501</v>
      </c>
      <c r="AE305" s="1" t="s">
        <v>44</v>
      </c>
      <c r="AF305" s="1" t="s">
        <v>72</v>
      </c>
      <c r="AG305" s="1" t="s">
        <v>63</v>
      </c>
      <c r="AH305" s="1" t="s">
        <v>59</v>
      </c>
      <c r="AI305">
        <v>25398</v>
      </c>
      <c r="AJ305">
        <v>-74.700000000000728</v>
      </c>
    </row>
    <row r="306" spans="1:36" x14ac:dyDescent="0.25">
      <c r="A306">
        <v>10305</v>
      </c>
      <c r="B306">
        <v>37</v>
      </c>
      <c r="C306" s="1" t="s">
        <v>60</v>
      </c>
      <c r="D306" s="1" t="s">
        <v>71</v>
      </c>
      <c r="E306" s="2">
        <v>44476</v>
      </c>
      <c r="F306" s="2">
        <v>44574</v>
      </c>
      <c r="G306" s="1" t="s">
        <v>38</v>
      </c>
      <c r="H306">
        <v>618</v>
      </c>
      <c r="I306">
        <v>20</v>
      </c>
      <c r="J306">
        <v>2</v>
      </c>
      <c r="K306">
        <v>21.68</v>
      </c>
      <c r="L306">
        <v>15</v>
      </c>
      <c r="M306" s="1" t="s">
        <v>39</v>
      </c>
      <c r="N306" s="1" t="s">
        <v>56</v>
      </c>
      <c r="O306">
        <v>12267.3</v>
      </c>
      <c r="P306" t="b">
        <v>1</v>
      </c>
      <c r="Q306">
        <v>1.6666666666666667</v>
      </c>
      <c r="R306">
        <v>613.36500000000001</v>
      </c>
      <c r="S306">
        <v>7.2266666666666666</v>
      </c>
      <c r="T306" s="2">
        <v>44470</v>
      </c>
      <c r="U306" s="1" t="s">
        <v>51</v>
      </c>
      <c r="V306">
        <v>0</v>
      </c>
      <c r="W306" s="1" t="s">
        <v>56</v>
      </c>
      <c r="X306">
        <v>98</v>
      </c>
      <c r="Y306" s="1" t="s">
        <v>52</v>
      </c>
      <c r="Z306" s="1" t="s">
        <v>42</v>
      </c>
      <c r="AA306">
        <v>9.5238095238095233E-2</v>
      </c>
      <c r="AB306" s="1" t="s">
        <v>52</v>
      </c>
      <c r="AC306">
        <v>1</v>
      </c>
      <c r="AD306" s="2">
        <v>44470</v>
      </c>
      <c r="AE306" s="1" t="s">
        <v>53</v>
      </c>
      <c r="AF306" s="1" t="s">
        <v>72</v>
      </c>
      <c r="AG306" s="1" t="s">
        <v>70</v>
      </c>
      <c r="AH306" s="1" t="s">
        <v>64</v>
      </c>
      <c r="AI306">
        <v>12360</v>
      </c>
      <c r="AJ306">
        <v>-92.700000000000728</v>
      </c>
    </row>
    <row r="307" spans="1:36" x14ac:dyDescent="0.25">
      <c r="A307">
        <v>10306</v>
      </c>
      <c r="B307">
        <v>25</v>
      </c>
      <c r="C307" s="1" t="s">
        <v>36</v>
      </c>
      <c r="D307" s="1" t="s">
        <v>37</v>
      </c>
      <c r="E307" s="2">
        <v>44501</v>
      </c>
      <c r="F307" s="2">
        <v>44641</v>
      </c>
      <c r="G307" s="1" t="s">
        <v>62</v>
      </c>
      <c r="H307">
        <v>1293</v>
      </c>
      <c r="I307">
        <v>18</v>
      </c>
      <c r="J307">
        <v>2</v>
      </c>
      <c r="K307">
        <v>61.98</v>
      </c>
      <c r="L307">
        <v>15</v>
      </c>
      <c r="M307" s="1" t="s">
        <v>39</v>
      </c>
      <c r="N307" s="1" t="s">
        <v>40</v>
      </c>
      <c r="O307">
        <v>23080.05</v>
      </c>
      <c r="P307" t="b">
        <v>1</v>
      </c>
      <c r="Q307">
        <v>1.5</v>
      </c>
      <c r="R307">
        <v>1282.2249999999999</v>
      </c>
      <c r="S307">
        <v>20.66</v>
      </c>
      <c r="T307" s="2">
        <v>44501</v>
      </c>
      <c r="U307" s="1" t="s">
        <v>66</v>
      </c>
      <c r="V307">
        <v>1</v>
      </c>
      <c r="W307" s="1" t="s">
        <v>40</v>
      </c>
      <c r="X307">
        <v>140</v>
      </c>
      <c r="Y307" s="1" t="s">
        <v>43</v>
      </c>
      <c r="Z307" s="1" t="s">
        <v>42</v>
      </c>
      <c r="AA307">
        <v>0.10526315789473684</v>
      </c>
      <c r="AB307" s="1" t="s">
        <v>43</v>
      </c>
      <c r="AC307">
        <v>2</v>
      </c>
      <c r="AD307" s="2">
        <v>44501</v>
      </c>
      <c r="AE307" s="1" t="s">
        <v>53</v>
      </c>
      <c r="AF307" s="1" t="s">
        <v>72</v>
      </c>
      <c r="AG307" s="1" t="s">
        <v>63</v>
      </c>
      <c r="AH307" s="1" t="s">
        <v>47</v>
      </c>
      <c r="AI307">
        <v>23274</v>
      </c>
      <c r="AJ307">
        <v>-193.95000000000073</v>
      </c>
    </row>
    <row r="308" spans="1:36" x14ac:dyDescent="0.25">
      <c r="A308">
        <v>10307</v>
      </c>
      <c r="B308">
        <v>24</v>
      </c>
      <c r="C308" s="1" t="s">
        <v>60</v>
      </c>
      <c r="D308" s="1" t="s">
        <v>48</v>
      </c>
      <c r="E308" s="2">
        <v>44342</v>
      </c>
      <c r="F308" s="2">
        <v>44947</v>
      </c>
      <c r="G308" s="1" t="s">
        <v>38</v>
      </c>
      <c r="H308">
        <v>336</v>
      </c>
      <c r="I308">
        <v>14</v>
      </c>
      <c r="J308">
        <v>4</v>
      </c>
      <c r="K308">
        <v>114.57</v>
      </c>
      <c r="L308">
        <v>5</v>
      </c>
      <c r="M308" s="1" t="s">
        <v>67</v>
      </c>
      <c r="N308" s="1" t="s">
        <v>56</v>
      </c>
      <c r="O308">
        <v>4687.2</v>
      </c>
      <c r="P308" t="b">
        <v>1</v>
      </c>
      <c r="Q308">
        <v>1.1666666666666667</v>
      </c>
      <c r="R308">
        <v>334.8</v>
      </c>
      <c r="S308">
        <v>22.913999999999998</v>
      </c>
      <c r="T308" s="2">
        <v>44317</v>
      </c>
      <c r="U308" s="1" t="s">
        <v>66</v>
      </c>
      <c r="V308">
        <v>0</v>
      </c>
      <c r="W308" s="1" t="s">
        <v>56</v>
      </c>
      <c r="X308">
        <v>605</v>
      </c>
      <c r="Y308" s="1" t="s">
        <v>43</v>
      </c>
      <c r="Z308" s="1" t="s">
        <v>42</v>
      </c>
      <c r="AA308">
        <v>0.26666666666666666</v>
      </c>
      <c r="AB308" s="1" t="s">
        <v>42</v>
      </c>
      <c r="AC308">
        <v>1</v>
      </c>
      <c r="AD308" s="2">
        <v>44317</v>
      </c>
      <c r="AE308" s="1" t="s">
        <v>53</v>
      </c>
      <c r="AF308" s="1" t="s">
        <v>45</v>
      </c>
      <c r="AG308" s="1" t="s">
        <v>63</v>
      </c>
      <c r="AH308" s="1" t="s">
        <v>68</v>
      </c>
      <c r="AI308">
        <v>4704</v>
      </c>
      <c r="AJ308">
        <v>-16.800000000000182</v>
      </c>
    </row>
    <row r="309" spans="1:36" x14ac:dyDescent="0.25">
      <c r="A309">
        <v>10308</v>
      </c>
      <c r="B309">
        <v>20</v>
      </c>
      <c r="C309" s="1" t="s">
        <v>60</v>
      </c>
      <c r="D309" s="1" t="s">
        <v>73</v>
      </c>
      <c r="E309" s="2">
        <v>44971</v>
      </c>
      <c r="F309" s="2">
        <v>44614</v>
      </c>
      <c r="G309" s="1" t="s">
        <v>49</v>
      </c>
      <c r="H309">
        <v>1030</v>
      </c>
      <c r="I309">
        <v>18</v>
      </c>
      <c r="J309">
        <v>1</v>
      </c>
      <c r="K309">
        <v>76.88</v>
      </c>
      <c r="L309">
        <v>0</v>
      </c>
      <c r="M309" s="1" t="s">
        <v>50</v>
      </c>
      <c r="N309" s="1" t="s">
        <v>40</v>
      </c>
      <c r="O309">
        <v>18540</v>
      </c>
      <c r="P309" t="b">
        <v>0</v>
      </c>
      <c r="Q309">
        <v>1.5</v>
      </c>
      <c r="R309">
        <v>1030</v>
      </c>
      <c r="S309">
        <v>38.44</v>
      </c>
      <c r="T309" s="2">
        <v>44958</v>
      </c>
      <c r="U309" s="1" t="s">
        <v>66</v>
      </c>
      <c r="V309">
        <v>1</v>
      </c>
      <c r="W309" s="1" t="s">
        <v>40</v>
      </c>
      <c r="Y309" s="1" t="s">
        <v>43</v>
      </c>
      <c r="Z309" s="1" t="s">
        <v>42</v>
      </c>
      <c r="AA309">
        <v>5.2631578947368418E-2</v>
      </c>
      <c r="AB309" s="1" t="s">
        <v>52</v>
      </c>
      <c r="AC309">
        <v>3</v>
      </c>
      <c r="AD309" s="2">
        <v>44958</v>
      </c>
      <c r="AE309" s="1" t="s">
        <v>53</v>
      </c>
      <c r="AF309" s="1" t="s">
        <v>54</v>
      </c>
      <c r="AG309" s="1" t="s">
        <v>63</v>
      </c>
      <c r="AH309" s="1" t="s">
        <v>47</v>
      </c>
      <c r="AI309">
        <v>18540</v>
      </c>
      <c r="AJ309">
        <v>0</v>
      </c>
    </row>
    <row r="310" spans="1:36" x14ac:dyDescent="0.25">
      <c r="A310">
        <v>10309</v>
      </c>
      <c r="B310">
        <v>34</v>
      </c>
      <c r="C310" s="1" t="s">
        <v>36</v>
      </c>
      <c r="D310" s="1" t="s">
        <v>73</v>
      </c>
      <c r="E310" s="2">
        <v>44712</v>
      </c>
      <c r="F310" s="2">
        <v>44888</v>
      </c>
      <c r="G310" s="1" t="s">
        <v>49</v>
      </c>
      <c r="H310">
        <v>1310</v>
      </c>
      <c r="I310">
        <v>2</v>
      </c>
      <c r="J310">
        <v>1</v>
      </c>
      <c r="K310">
        <v>87.48</v>
      </c>
      <c r="L310">
        <v>15</v>
      </c>
      <c r="M310" s="1" t="s">
        <v>67</v>
      </c>
      <c r="N310" s="1" t="s">
        <v>56</v>
      </c>
      <c r="O310">
        <v>2423.5</v>
      </c>
      <c r="P310" t="b">
        <v>1</v>
      </c>
      <c r="Q310">
        <v>0.16666666666666666</v>
      </c>
      <c r="R310">
        <v>1211.75</v>
      </c>
      <c r="S310">
        <v>43.74</v>
      </c>
      <c r="T310" s="2">
        <v>44682</v>
      </c>
      <c r="U310" s="1" t="s">
        <v>57</v>
      </c>
      <c r="V310">
        <v>0</v>
      </c>
      <c r="W310" s="1" t="s">
        <v>56</v>
      </c>
      <c r="X310">
        <v>176</v>
      </c>
      <c r="Y310" s="1" t="s">
        <v>43</v>
      </c>
      <c r="Z310" s="1" t="s">
        <v>42</v>
      </c>
      <c r="AA310">
        <v>0.33333333333333331</v>
      </c>
      <c r="AB310" s="1" t="s">
        <v>42</v>
      </c>
      <c r="AC310">
        <v>3</v>
      </c>
      <c r="AD310" s="2">
        <v>44682</v>
      </c>
      <c r="AE310" s="1" t="s">
        <v>58</v>
      </c>
      <c r="AF310" s="1" t="s">
        <v>54</v>
      </c>
      <c r="AG310" s="1" t="s">
        <v>63</v>
      </c>
      <c r="AH310" s="1" t="s">
        <v>47</v>
      </c>
      <c r="AI310">
        <v>2620</v>
      </c>
      <c r="AJ310">
        <v>-196.5</v>
      </c>
    </row>
    <row r="311" spans="1:36" x14ac:dyDescent="0.25">
      <c r="A311">
        <v>10310</v>
      </c>
      <c r="B311">
        <v>50</v>
      </c>
      <c r="C311" s="1" t="s">
        <v>60</v>
      </c>
      <c r="D311" s="1" t="s">
        <v>71</v>
      </c>
      <c r="E311" s="2">
        <v>44286</v>
      </c>
      <c r="F311" s="2">
        <v>45106</v>
      </c>
      <c r="G311" s="1" t="s">
        <v>62</v>
      </c>
      <c r="H311">
        <v>1357</v>
      </c>
      <c r="I311">
        <v>1</v>
      </c>
      <c r="J311">
        <v>2</v>
      </c>
      <c r="K311">
        <v>54.59</v>
      </c>
      <c r="L311">
        <v>0</v>
      </c>
      <c r="M311" s="1" t="s">
        <v>67</v>
      </c>
      <c r="N311" s="1" t="s">
        <v>56</v>
      </c>
      <c r="O311">
        <v>1357</v>
      </c>
      <c r="P311" t="b">
        <v>1</v>
      </c>
      <c r="Q311">
        <v>8.3333333333333329E-2</v>
      </c>
      <c r="R311">
        <v>1357</v>
      </c>
      <c r="S311">
        <v>18.196666666666669</v>
      </c>
      <c r="T311" s="2">
        <v>44256</v>
      </c>
      <c r="U311" s="1" t="s">
        <v>51</v>
      </c>
      <c r="V311">
        <v>0</v>
      </c>
      <c r="W311" s="1" t="s">
        <v>56</v>
      </c>
      <c r="X311">
        <v>820</v>
      </c>
      <c r="Y311" s="1" t="s">
        <v>52</v>
      </c>
      <c r="Z311" s="1" t="s">
        <v>42</v>
      </c>
      <c r="AA311">
        <v>1</v>
      </c>
      <c r="AB311" s="1" t="s">
        <v>42</v>
      </c>
      <c r="AC311">
        <v>2</v>
      </c>
      <c r="AD311" s="2">
        <v>44256</v>
      </c>
      <c r="AE311" s="1" t="s">
        <v>58</v>
      </c>
      <c r="AF311" s="1" t="s">
        <v>72</v>
      </c>
      <c r="AG311" s="1" t="s">
        <v>63</v>
      </c>
      <c r="AH311" s="1" t="s">
        <v>47</v>
      </c>
      <c r="AI311">
        <v>1357</v>
      </c>
      <c r="AJ311">
        <v>0</v>
      </c>
    </row>
    <row r="312" spans="1:36" x14ac:dyDescent="0.25">
      <c r="A312">
        <v>10311</v>
      </c>
      <c r="B312">
        <v>29</v>
      </c>
      <c r="C312" s="1" t="s">
        <v>36</v>
      </c>
      <c r="D312" s="1" t="s">
        <v>37</v>
      </c>
      <c r="E312" s="2">
        <v>44649</v>
      </c>
      <c r="F312" s="2">
        <v>45175</v>
      </c>
      <c r="G312" s="1" t="s">
        <v>38</v>
      </c>
      <c r="H312">
        <v>338</v>
      </c>
      <c r="I312">
        <v>20</v>
      </c>
      <c r="J312">
        <v>2</v>
      </c>
      <c r="K312">
        <v>7.29</v>
      </c>
      <c r="L312">
        <v>5</v>
      </c>
      <c r="M312" s="1" t="s">
        <v>39</v>
      </c>
      <c r="N312" s="1" t="s">
        <v>56</v>
      </c>
      <c r="O312">
        <v>6743.1</v>
      </c>
      <c r="P312" t="b">
        <v>1</v>
      </c>
      <c r="Q312">
        <v>1.6666666666666667</v>
      </c>
      <c r="R312">
        <v>337.15500000000003</v>
      </c>
      <c r="S312">
        <v>2.4300000000000002</v>
      </c>
      <c r="T312" s="2">
        <v>44621</v>
      </c>
      <c r="U312" s="1" t="s">
        <v>57</v>
      </c>
      <c r="V312">
        <v>0</v>
      </c>
      <c r="W312" s="1" t="s">
        <v>56</v>
      </c>
      <c r="X312">
        <v>526</v>
      </c>
      <c r="Y312" s="1" t="s">
        <v>42</v>
      </c>
      <c r="Z312" s="1" t="s">
        <v>42</v>
      </c>
      <c r="AA312">
        <v>9.5238095238095233E-2</v>
      </c>
      <c r="AB312" s="1" t="s">
        <v>42</v>
      </c>
      <c r="AC312">
        <v>1</v>
      </c>
      <c r="AD312" s="2">
        <v>44621</v>
      </c>
      <c r="AE312" s="1" t="s">
        <v>53</v>
      </c>
      <c r="AF312" s="1" t="s">
        <v>72</v>
      </c>
      <c r="AG312" s="1" t="s">
        <v>77</v>
      </c>
      <c r="AH312" s="1" t="s">
        <v>68</v>
      </c>
      <c r="AI312">
        <v>6760</v>
      </c>
      <c r="AJ312">
        <v>-16.899999999999636</v>
      </c>
    </row>
    <row r="313" spans="1:36" x14ac:dyDescent="0.25">
      <c r="A313">
        <v>10312</v>
      </c>
      <c r="B313">
        <v>39</v>
      </c>
      <c r="C313" s="1" t="s">
        <v>36</v>
      </c>
      <c r="D313" s="1" t="s">
        <v>71</v>
      </c>
      <c r="E313" s="2">
        <v>44256</v>
      </c>
      <c r="F313" s="2">
        <v>44798</v>
      </c>
      <c r="G313" s="1" t="s">
        <v>38</v>
      </c>
      <c r="H313">
        <v>508</v>
      </c>
      <c r="I313">
        <v>34</v>
      </c>
      <c r="J313">
        <v>3</v>
      </c>
      <c r="K313">
        <v>79.3</v>
      </c>
      <c r="L313">
        <v>10</v>
      </c>
      <c r="M313" s="1" t="s">
        <v>67</v>
      </c>
      <c r="N313" s="1" t="s">
        <v>56</v>
      </c>
      <c r="O313">
        <v>17221.2</v>
      </c>
      <c r="P313" t="b">
        <v>1</v>
      </c>
      <c r="Q313">
        <v>2.8333333333333335</v>
      </c>
      <c r="R313">
        <v>506.50588235294117</v>
      </c>
      <c r="S313">
        <v>19.824999999999999</v>
      </c>
      <c r="T313" s="2">
        <v>44256</v>
      </c>
      <c r="U313" s="1" t="s">
        <v>51</v>
      </c>
      <c r="V313">
        <v>0</v>
      </c>
      <c r="W313" s="1" t="s">
        <v>40</v>
      </c>
      <c r="X313">
        <v>542</v>
      </c>
      <c r="Y313" s="1" t="s">
        <v>43</v>
      </c>
      <c r="Z313" s="1" t="s">
        <v>42</v>
      </c>
      <c r="AA313">
        <v>8.5714285714285715E-2</v>
      </c>
      <c r="AB313" s="1" t="s">
        <v>52</v>
      </c>
      <c r="AC313">
        <v>1</v>
      </c>
      <c r="AD313" s="2">
        <v>44256</v>
      </c>
      <c r="AE313" s="1" t="s">
        <v>44</v>
      </c>
      <c r="AF313" s="1" t="s">
        <v>72</v>
      </c>
      <c r="AG313" s="1" t="s">
        <v>63</v>
      </c>
      <c r="AH313" s="1" t="s">
        <v>64</v>
      </c>
      <c r="AI313">
        <v>17272</v>
      </c>
      <c r="AJ313">
        <v>-50.799999999999272</v>
      </c>
    </row>
    <row r="314" spans="1:36" x14ac:dyDescent="0.25">
      <c r="A314">
        <v>10313</v>
      </c>
      <c r="B314">
        <v>39</v>
      </c>
      <c r="C314" s="1" t="s">
        <v>60</v>
      </c>
      <c r="D314" s="1" t="s">
        <v>61</v>
      </c>
      <c r="E314" s="2">
        <v>44507</v>
      </c>
      <c r="F314" s="2">
        <v>44796</v>
      </c>
      <c r="G314" s="1" t="s">
        <v>38</v>
      </c>
      <c r="H314">
        <v>1129</v>
      </c>
      <c r="I314">
        <v>11</v>
      </c>
      <c r="J314">
        <v>2</v>
      </c>
      <c r="K314">
        <v>62.59</v>
      </c>
      <c r="L314">
        <v>15</v>
      </c>
      <c r="M314" s="1" t="s">
        <v>39</v>
      </c>
      <c r="N314" s="1" t="s">
        <v>56</v>
      </c>
      <c r="O314">
        <v>12249.65</v>
      </c>
      <c r="P314" t="b">
        <v>1</v>
      </c>
      <c r="Q314">
        <v>0.91666666666666663</v>
      </c>
      <c r="R314">
        <v>1113.6045454545454</v>
      </c>
      <c r="S314">
        <v>20.863333333333333</v>
      </c>
      <c r="T314" s="2">
        <v>44501</v>
      </c>
      <c r="U314" s="1" t="s">
        <v>51</v>
      </c>
      <c r="V314">
        <v>0</v>
      </c>
      <c r="W314" s="1" t="s">
        <v>56</v>
      </c>
      <c r="X314">
        <v>289</v>
      </c>
      <c r="Y314" s="1" t="s">
        <v>43</v>
      </c>
      <c r="Z314" s="1" t="s">
        <v>42</v>
      </c>
      <c r="AA314">
        <v>0.16666666666666666</v>
      </c>
      <c r="AB314" s="1" t="s">
        <v>52</v>
      </c>
      <c r="AC314">
        <v>1</v>
      </c>
      <c r="AD314" s="2">
        <v>44501</v>
      </c>
      <c r="AE314" s="1" t="s">
        <v>74</v>
      </c>
      <c r="AF314" s="1" t="s">
        <v>72</v>
      </c>
      <c r="AG314" s="1" t="s">
        <v>63</v>
      </c>
      <c r="AH314" s="1" t="s">
        <v>47</v>
      </c>
      <c r="AI314">
        <v>12419</v>
      </c>
      <c r="AJ314">
        <v>-169.35000000000036</v>
      </c>
    </row>
    <row r="315" spans="1:36" x14ac:dyDescent="0.25">
      <c r="A315">
        <v>10314</v>
      </c>
      <c r="B315">
        <v>63</v>
      </c>
      <c r="C315" s="1" t="s">
        <v>60</v>
      </c>
      <c r="D315" s="1" t="s">
        <v>73</v>
      </c>
      <c r="E315" s="2">
        <v>44724</v>
      </c>
      <c r="F315" s="2">
        <v>45103</v>
      </c>
      <c r="G315" s="1" t="s">
        <v>62</v>
      </c>
      <c r="H315">
        <v>1155</v>
      </c>
      <c r="I315">
        <v>27</v>
      </c>
      <c r="J315">
        <v>1</v>
      </c>
      <c r="K315">
        <v>17.7</v>
      </c>
      <c r="L315">
        <v>15</v>
      </c>
      <c r="M315" s="1" t="s">
        <v>65</v>
      </c>
      <c r="N315" s="1" t="s">
        <v>56</v>
      </c>
      <c r="O315">
        <v>31011.75</v>
      </c>
      <c r="P315" t="b">
        <v>1</v>
      </c>
      <c r="Q315">
        <v>2.25</v>
      </c>
      <c r="R315">
        <v>1148.5833333333333</v>
      </c>
      <c r="S315">
        <v>8.85</v>
      </c>
      <c r="T315" s="2">
        <v>44713</v>
      </c>
      <c r="U315" s="1" t="s">
        <v>41</v>
      </c>
      <c r="V315">
        <v>0</v>
      </c>
      <c r="W315" s="1" t="s">
        <v>40</v>
      </c>
      <c r="X315">
        <v>379</v>
      </c>
      <c r="Y315" s="1" t="s">
        <v>42</v>
      </c>
      <c r="Z315" s="1" t="s">
        <v>42</v>
      </c>
      <c r="AA315">
        <v>3.5714285714285712E-2</v>
      </c>
      <c r="AB315" s="1" t="s">
        <v>43</v>
      </c>
      <c r="AC315">
        <v>2</v>
      </c>
      <c r="AD315" s="2">
        <v>44713</v>
      </c>
      <c r="AE315" s="1" t="s">
        <v>44</v>
      </c>
      <c r="AF315" s="1" t="s">
        <v>54</v>
      </c>
      <c r="AG315" s="1" t="s">
        <v>46</v>
      </c>
      <c r="AH315" s="1" t="s">
        <v>47</v>
      </c>
      <c r="AI315">
        <v>31185</v>
      </c>
      <c r="AJ315">
        <v>-173.25</v>
      </c>
    </row>
    <row r="316" spans="1:36" x14ac:dyDescent="0.25">
      <c r="A316">
        <v>10315</v>
      </c>
      <c r="B316">
        <v>47</v>
      </c>
      <c r="C316" s="1" t="s">
        <v>36</v>
      </c>
      <c r="D316" s="1" t="s">
        <v>69</v>
      </c>
      <c r="E316" s="2">
        <v>44423</v>
      </c>
      <c r="F316" s="2">
        <v>44408</v>
      </c>
      <c r="G316" s="1" t="s">
        <v>38</v>
      </c>
      <c r="H316">
        <v>1475</v>
      </c>
      <c r="I316">
        <v>23</v>
      </c>
      <c r="J316">
        <v>3</v>
      </c>
      <c r="K316">
        <v>58.15</v>
      </c>
      <c r="L316">
        <v>15</v>
      </c>
      <c r="M316" s="1" t="s">
        <v>65</v>
      </c>
      <c r="N316" s="1" t="s">
        <v>56</v>
      </c>
      <c r="O316">
        <v>33703.75</v>
      </c>
      <c r="P316" t="b">
        <v>0</v>
      </c>
      <c r="Q316">
        <v>1.9166666666666667</v>
      </c>
      <c r="R316">
        <v>1465.3804347826087</v>
      </c>
      <c r="S316">
        <v>14.5375</v>
      </c>
      <c r="T316" s="2">
        <v>44409</v>
      </c>
      <c r="U316" s="1" t="s">
        <v>51</v>
      </c>
      <c r="V316">
        <v>0</v>
      </c>
      <c r="W316" s="1" t="s">
        <v>40</v>
      </c>
      <c r="Y316" s="1" t="s">
        <v>52</v>
      </c>
      <c r="Z316" s="1" t="s">
        <v>42</v>
      </c>
      <c r="AA316">
        <v>0.125</v>
      </c>
      <c r="AB316" s="1" t="s">
        <v>43</v>
      </c>
      <c r="AC316">
        <v>1</v>
      </c>
      <c r="AD316" s="2">
        <v>44409</v>
      </c>
      <c r="AE316" s="1" t="s">
        <v>53</v>
      </c>
      <c r="AF316" s="1" t="s">
        <v>72</v>
      </c>
      <c r="AG316" s="1" t="s">
        <v>63</v>
      </c>
      <c r="AH316" s="1" t="s">
        <v>47</v>
      </c>
      <c r="AI316">
        <v>33925</v>
      </c>
      <c r="AJ316">
        <v>-221.25</v>
      </c>
    </row>
    <row r="317" spans="1:36" x14ac:dyDescent="0.25">
      <c r="A317">
        <v>10316</v>
      </c>
      <c r="B317">
        <v>55</v>
      </c>
      <c r="C317" s="1" t="s">
        <v>60</v>
      </c>
      <c r="D317" s="1" t="s">
        <v>61</v>
      </c>
      <c r="E317" s="2">
        <v>44670</v>
      </c>
      <c r="F317" s="2">
        <v>44849</v>
      </c>
      <c r="G317" s="1" t="s">
        <v>62</v>
      </c>
      <c r="H317">
        <v>1198</v>
      </c>
      <c r="I317">
        <v>3</v>
      </c>
      <c r="J317">
        <v>5</v>
      </c>
      <c r="K317">
        <v>110.26</v>
      </c>
      <c r="L317">
        <v>10</v>
      </c>
      <c r="M317" s="1" t="s">
        <v>67</v>
      </c>
      <c r="N317" s="1" t="s">
        <v>40</v>
      </c>
      <c r="O317">
        <v>3594</v>
      </c>
      <c r="P317" t="b">
        <v>1</v>
      </c>
      <c r="Q317">
        <v>0.25</v>
      </c>
      <c r="R317">
        <v>1198</v>
      </c>
      <c r="S317">
        <v>18.376666666666669</v>
      </c>
      <c r="T317" s="2">
        <v>44652</v>
      </c>
      <c r="U317" s="1" t="s">
        <v>41</v>
      </c>
      <c r="V317">
        <v>1</v>
      </c>
      <c r="W317" s="1" t="s">
        <v>56</v>
      </c>
      <c r="X317">
        <v>179</v>
      </c>
      <c r="Y317" s="1" t="s">
        <v>43</v>
      </c>
      <c r="Z317" s="1" t="s">
        <v>42</v>
      </c>
      <c r="AA317">
        <v>1.25</v>
      </c>
      <c r="AB317" s="1" t="s">
        <v>42</v>
      </c>
      <c r="AC317">
        <v>2</v>
      </c>
      <c r="AD317" s="2">
        <v>44652</v>
      </c>
      <c r="AE317" s="1" t="s">
        <v>58</v>
      </c>
      <c r="AF317" s="1" t="s">
        <v>45</v>
      </c>
      <c r="AG317" s="1" t="s">
        <v>63</v>
      </c>
      <c r="AH317" s="1" t="s">
        <v>47</v>
      </c>
      <c r="AI317">
        <v>3594</v>
      </c>
      <c r="AJ317">
        <v>0</v>
      </c>
    </row>
    <row r="318" spans="1:36" x14ac:dyDescent="0.25">
      <c r="A318">
        <v>10317</v>
      </c>
      <c r="B318">
        <v>55</v>
      </c>
      <c r="C318" s="1" t="s">
        <v>60</v>
      </c>
      <c r="D318" s="1" t="s">
        <v>71</v>
      </c>
      <c r="E318" s="2">
        <v>44737</v>
      </c>
      <c r="F318" s="2">
        <v>44494</v>
      </c>
      <c r="G318" s="1" t="s">
        <v>38</v>
      </c>
      <c r="H318">
        <v>900</v>
      </c>
      <c r="I318">
        <v>12</v>
      </c>
      <c r="J318">
        <v>2</v>
      </c>
      <c r="K318">
        <v>28.58</v>
      </c>
      <c r="L318">
        <v>15</v>
      </c>
      <c r="M318" s="1" t="s">
        <v>50</v>
      </c>
      <c r="N318" s="1" t="s">
        <v>56</v>
      </c>
      <c r="O318">
        <v>10665</v>
      </c>
      <c r="P318" t="b">
        <v>0</v>
      </c>
      <c r="Q318">
        <v>1</v>
      </c>
      <c r="R318">
        <v>888.75</v>
      </c>
      <c r="S318">
        <v>9.5266666666666655</v>
      </c>
      <c r="T318" s="2">
        <v>44713</v>
      </c>
      <c r="U318" s="1" t="s">
        <v>41</v>
      </c>
      <c r="V318">
        <v>0</v>
      </c>
      <c r="W318" s="1" t="s">
        <v>56</v>
      </c>
      <c r="Y318" s="1" t="s">
        <v>52</v>
      </c>
      <c r="Z318" s="1" t="s">
        <v>42</v>
      </c>
      <c r="AA318">
        <v>0.15384615384615385</v>
      </c>
      <c r="AB318" s="1" t="s">
        <v>52</v>
      </c>
      <c r="AC318">
        <v>1</v>
      </c>
      <c r="AD318" s="2">
        <v>44713</v>
      </c>
      <c r="AE318" s="1" t="s">
        <v>74</v>
      </c>
      <c r="AF318" s="1" t="s">
        <v>72</v>
      </c>
      <c r="AG318" s="1" t="s">
        <v>70</v>
      </c>
      <c r="AH318" s="1" t="s">
        <v>59</v>
      </c>
      <c r="AI318">
        <v>10800</v>
      </c>
      <c r="AJ318">
        <v>-135</v>
      </c>
    </row>
    <row r="319" spans="1:36" x14ac:dyDescent="0.25">
      <c r="A319">
        <v>10318</v>
      </c>
      <c r="B319">
        <v>62</v>
      </c>
      <c r="C319" s="1" t="s">
        <v>36</v>
      </c>
      <c r="D319" s="1" t="s">
        <v>48</v>
      </c>
      <c r="E319" s="2">
        <v>44859</v>
      </c>
      <c r="F319" s="2">
        <v>45033</v>
      </c>
      <c r="G319" s="1" t="s">
        <v>49</v>
      </c>
      <c r="H319">
        <v>1059</v>
      </c>
      <c r="I319">
        <v>30</v>
      </c>
      <c r="J319">
        <v>3</v>
      </c>
      <c r="K319">
        <v>58.03</v>
      </c>
      <c r="L319">
        <v>0</v>
      </c>
      <c r="M319" s="1" t="s">
        <v>39</v>
      </c>
      <c r="N319" s="1" t="s">
        <v>56</v>
      </c>
      <c r="O319">
        <v>31770</v>
      </c>
      <c r="P319" t="b">
        <v>1</v>
      </c>
      <c r="Q319">
        <v>2.5</v>
      </c>
      <c r="R319">
        <v>1059</v>
      </c>
      <c r="S319">
        <v>14.5075</v>
      </c>
      <c r="T319" s="2">
        <v>44835</v>
      </c>
      <c r="U319" s="1" t="s">
        <v>41</v>
      </c>
      <c r="V319">
        <v>0</v>
      </c>
      <c r="W319" s="1" t="s">
        <v>40</v>
      </c>
      <c r="X319">
        <v>174</v>
      </c>
      <c r="Y319" s="1" t="s">
        <v>52</v>
      </c>
      <c r="Z319" s="1" t="s">
        <v>42</v>
      </c>
      <c r="AA319">
        <v>9.6774193548387094E-2</v>
      </c>
      <c r="AB319" s="1" t="s">
        <v>43</v>
      </c>
      <c r="AC319">
        <v>3</v>
      </c>
      <c r="AD319" s="2">
        <v>44835</v>
      </c>
      <c r="AE319" s="1" t="s">
        <v>44</v>
      </c>
      <c r="AF319" s="1" t="s">
        <v>72</v>
      </c>
      <c r="AG319" s="1" t="s">
        <v>63</v>
      </c>
      <c r="AH319" s="1" t="s">
        <v>47</v>
      </c>
      <c r="AI319">
        <v>31770</v>
      </c>
      <c r="AJ319">
        <v>0</v>
      </c>
    </row>
    <row r="320" spans="1:36" x14ac:dyDescent="0.25">
      <c r="A320">
        <v>10319</v>
      </c>
      <c r="B320">
        <v>25</v>
      </c>
      <c r="C320" s="1" t="s">
        <v>36</v>
      </c>
      <c r="D320" s="1" t="s">
        <v>73</v>
      </c>
      <c r="E320" s="2">
        <v>44953</v>
      </c>
      <c r="F320" s="2">
        <v>45137</v>
      </c>
      <c r="G320" s="1" t="s">
        <v>38</v>
      </c>
      <c r="H320">
        <v>1402</v>
      </c>
      <c r="I320">
        <v>31</v>
      </c>
      <c r="J320">
        <v>1</v>
      </c>
      <c r="K320">
        <v>58.03</v>
      </c>
      <c r="L320">
        <v>20</v>
      </c>
      <c r="M320" s="1" t="s">
        <v>67</v>
      </c>
      <c r="N320" s="1" t="s">
        <v>56</v>
      </c>
      <c r="O320">
        <v>43181.599999999999</v>
      </c>
      <c r="P320" t="b">
        <v>1</v>
      </c>
      <c r="Q320">
        <v>2.5833333333333335</v>
      </c>
      <c r="R320">
        <v>1392.9548387096775</v>
      </c>
      <c r="S320">
        <v>29.015000000000001</v>
      </c>
      <c r="T320" s="2">
        <v>44927</v>
      </c>
      <c r="U320" s="1" t="s">
        <v>66</v>
      </c>
      <c r="V320">
        <v>0</v>
      </c>
      <c r="W320" s="1" t="s">
        <v>40</v>
      </c>
      <c r="X320">
        <v>184</v>
      </c>
      <c r="Y320" s="1" t="s">
        <v>52</v>
      </c>
      <c r="Z320" s="1" t="s">
        <v>52</v>
      </c>
      <c r="AA320">
        <v>3.125E-2</v>
      </c>
      <c r="AB320" s="1" t="s">
        <v>43</v>
      </c>
      <c r="AC320">
        <v>1</v>
      </c>
      <c r="AD320" s="2">
        <v>44927</v>
      </c>
      <c r="AE320" s="1" t="s">
        <v>44</v>
      </c>
      <c r="AF320" s="1" t="s">
        <v>54</v>
      </c>
      <c r="AG320" s="1" t="s">
        <v>63</v>
      </c>
      <c r="AH320" s="1" t="s">
        <v>47</v>
      </c>
      <c r="AI320">
        <v>43462</v>
      </c>
      <c r="AJ320">
        <v>-280.40000000000146</v>
      </c>
    </row>
    <row r="321" spans="1:36" x14ac:dyDescent="0.25">
      <c r="A321">
        <v>10320</v>
      </c>
      <c r="B321">
        <v>44</v>
      </c>
      <c r="C321" s="1" t="s">
        <v>60</v>
      </c>
      <c r="D321" s="1" t="s">
        <v>69</v>
      </c>
      <c r="E321" s="2">
        <v>44978</v>
      </c>
      <c r="F321" s="2">
        <v>44681</v>
      </c>
      <c r="G321" s="1" t="s">
        <v>49</v>
      </c>
      <c r="H321">
        <v>733</v>
      </c>
      <c r="I321">
        <v>23</v>
      </c>
      <c r="J321">
        <v>4</v>
      </c>
      <c r="K321">
        <v>98.24</v>
      </c>
      <c r="L321">
        <v>20</v>
      </c>
      <c r="M321" s="1" t="s">
        <v>67</v>
      </c>
      <c r="N321" s="1" t="s">
        <v>40</v>
      </c>
      <c r="O321">
        <v>16712.400000000001</v>
      </c>
      <c r="P321" t="b">
        <v>0</v>
      </c>
      <c r="Q321">
        <v>1.9166666666666667</v>
      </c>
      <c r="R321">
        <v>726.62608695652182</v>
      </c>
      <c r="S321">
        <v>19.648</v>
      </c>
      <c r="T321" s="2">
        <v>44958</v>
      </c>
      <c r="U321" s="1" t="s">
        <v>51</v>
      </c>
      <c r="V321">
        <v>1</v>
      </c>
      <c r="W321" s="1" t="s">
        <v>40</v>
      </c>
      <c r="Y321" s="1" t="s">
        <v>43</v>
      </c>
      <c r="Z321" s="1" t="s">
        <v>52</v>
      </c>
      <c r="AA321">
        <v>0.16666666666666666</v>
      </c>
      <c r="AB321" s="1" t="s">
        <v>52</v>
      </c>
      <c r="AC321">
        <v>3</v>
      </c>
      <c r="AD321" s="2">
        <v>44958</v>
      </c>
      <c r="AE321" s="1" t="s">
        <v>53</v>
      </c>
      <c r="AF321" s="1" t="s">
        <v>45</v>
      </c>
      <c r="AG321" s="1" t="s">
        <v>63</v>
      </c>
      <c r="AH321" s="1" t="s">
        <v>59</v>
      </c>
      <c r="AI321">
        <v>16859</v>
      </c>
      <c r="AJ321">
        <v>-146.59999999999854</v>
      </c>
    </row>
    <row r="322" spans="1:36" x14ac:dyDescent="0.25">
      <c r="A322">
        <v>10321</v>
      </c>
      <c r="B322">
        <v>44</v>
      </c>
      <c r="C322" s="1" t="s">
        <v>36</v>
      </c>
      <c r="D322" s="1" t="s">
        <v>61</v>
      </c>
      <c r="E322" s="2">
        <v>44275</v>
      </c>
      <c r="F322" s="2">
        <v>45228</v>
      </c>
      <c r="G322" s="1" t="s">
        <v>49</v>
      </c>
      <c r="H322">
        <v>1141</v>
      </c>
      <c r="I322">
        <v>1</v>
      </c>
      <c r="J322">
        <v>3</v>
      </c>
      <c r="K322">
        <v>99.83</v>
      </c>
      <c r="L322">
        <v>0</v>
      </c>
      <c r="M322" s="1" t="s">
        <v>50</v>
      </c>
      <c r="N322" s="1" t="s">
        <v>40</v>
      </c>
      <c r="O322">
        <v>1141</v>
      </c>
      <c r="P322" t="b">
        <v>1</v>
      </c>
      <c r="Q322">
        <v>8.3333333333333329E-2</v>
      </c>
      <c r="R322">
        <v>1141</v>
      </c>
      <c r="S322">
        <v>24.9575</v>
      </c>
      <c r="T322" s="2">
        <v>44256</v>
      </c>
      <c r="U322" s="1" t="s">
        <v>51</v>
      </c>
      <c r="V322">
        <v>1</v>
      </c>
      <c r="W322" s="1" t="s">
        <v>56</v>
      </c>
      <c r="X322">
        <v>953</v>
      </c>
      <c r="Y322" s="1" t="s">
        <v>43</v>
      </c>
      <c r="Z322" s="1" t="s">
        <v>42</v>
      </c>
      <c r="AA322">
        <v>1.5</v>
      </c>
      <c r="AB322" s="1" t="s">
        <v>42</v>
      </c>
      <c r="AC322">
        <v>3</v>
      </c>
      <c r="AD322" s="2">
        <v>44256</v>
      </c>
      <c r="AE322" s="1" t="s">
        <v>58</v>
      </c>
      <c r="AF322" s="1" t="s">
        <v>72</v>
      </c>
      <c r="AG322" s="1" t="s">
        <v>63</v>
      </c>
      <c r="AH322" s="1" t="s">
        <v>47</v>
      </c>
      <c r="AI322">
        <v>1141</v>
      </c>
      <c r="AJ322">
        <v>0</v>
      </c>
    </row>
    <row r="323" spans="1:36" x14ac:dyDescent="0.25">
      <c r="A323">
        <v>10322</v>
      </c>
      <c r="B323">
        <v>51</v>
      </c>
      <c r="C323" s="1" t="s">
        <v>60</v>
      </c>
      <c r="D323" s="1" t="s">
        <v>73</v>
      </c>
      <c r="E323" s="2">
        <v>44629</v>
      </c>
      <c r="F323" s="2">
        <v>45238</v>
      </c>
      <c r="G323" s="1" t="s">
        <v>62</v>
      </c>
      <c r="H323">
        <v>331</v>
      </c>
      <c r="I323">
        <v>20</v>
      </c>
      <c r="J323">
        <v>2</v>
      </c>
      <c r="K323">
        <v>92.32</v>
      </c>
      <c r="L323">
        <v>20</v>
      </c>
      <c r="M323" s="1" t="s">
        <v>39</v>
      </c>
      <c r="N323" s="1" t="s">
        <v>56</v>
      </c>
      <c r="O323">
        <v>6553.8</v>
      </c>
      <c r="P323" t="b">
        <v>1</v>
      </c>
      <c r="Q323">
        <v>1.6666666666666667</v>
      </c>
      <c r="R323">
        <v>327.69</v>
      </c>
      <c r="S323">
        <v>30.77333333333333</v>
      </c>
      <c r="T323" s="2">
        <v>44621</v>
      </c>
      <c r="U323" s="1" t="s">
        <v>41</v>
      </c>
      <c r="V323">
        <v>0</v>
      </c>
      <c r="W323" s="1" t="s">
        <v>56</v>
      </c>
      <c r="X323">
        <v>609</v>
      </c>
      <c r="Y323" s="1" t="s">
        <v>43</v>
      </c>
      <c r="Z323" s="1" t="s">
        <v>52</v>
      </c>
      <c r="AA323">
        <v>9.5238095238095233E-2</v>
      </c>
      <c r="AB323" s="1" t="s">
        <v>42</v>
      </c>
      <c r="AC323">
        <v>2</v>
      </c>
      <c r="AD323" s="2">
        <v>44621</v>
      </c>
      <c r="AE323" s="1" t="s">
        <v>53</v>
      </c>
      <c r="AF323" s="1" t="s">
        <v>72</v>
      </c>
      <c r="AG323" s="1" t="s">
        <v>63</v>
      </c>
      <c r="AH323" s="1" t="s">
        <v>68</v>
      </c>
      <c r="AI323">
        <v>6620</v>
      </c>
      <c r="AJ323">
        <v>-66.199999999999818</v>
      </c>
    </row>
    <row r="324" spans="1:36" x14ac:dyDescent="0.25">
      <c r="A324">
        <v>10323</v>
      </c>
      <c r="B324">
        <v>38</v>
      </c>
      <c r="C324" s="1" t="s">
        <v>36</v>
      </c>
      <c r="D324" s="1" t="s">
        <v>37</v>
      </c>
      <c r="E324" s="2">
        <v>44997</v>
      </c>
      <c r="F324" s="2">
        <v>44489</v>
      </c>
      <c r="G324" s="1" t="s">
        <v>62</v>
      </c>
      <c r="H324">
        <v>1410</v>
      </c>
      <c r="I324">
        <v>6</v>
      </c>
      <c r="J324">
        <v>3</v>
      </c>
      <c r="K324">
        <v>47.03</v>
      </c>
      <c r="L324">
        <v>5</v>
      </c>
      <c r="M324" s="1" t="s">
        <v>67</v>
      </c>
      <c r="N324" s="1" t="s">
        <v>56</v>
      </c>
      <c r="O324">
        <v>8389.5</v>
      </c>
      <c r="P324" t="b">
        <v>0</v>
      </c>
      <c r="Q324">
        <v>0.5</v>
      </c>
      <c r="R324">
        <v>1398.25</v>
      </c>
      <c r="S324">
        <v>11.7575</v>
      </c>
      <c r="T324" s="2">
        <v>44986</v>
      </c>
      <c r="U324" s="1" t="s">
        <v>51</v>
      </c>
      <c r="V324">
        <v>0</v>
      </c>
      <c r="W324" s="1" t="s">
        <v>56</v>
      </c>
      <c r="Y324" s="1" t="s">
        <v>52</v>
      </c>
      <c r="Z324" s="1" t="s">
        <v>42</v>
      </c>
      <c r="AA324">
        <v>0.42857142857142855</v>
      </c>
      <c r="AB324" s="1" t="s">
        <v>42</v>
      </c>
      <c r="AC324">
        <v>2</v>
      </c>
      <c r="AD324" s="2">
        <v>44986</v>
      </c>
      <c r="AE324" s="1" t="s">
        <v>58</v>
      </c>
      <c r="AF324" s="1" t="s">
        <v>72</v>
      </c>
      <c r="AG324" s="1" t="s">
        <v>63</v>
      </c>
      <c r="AH324" s="1" t="s">
        <v>47</v>
      </c>
      <c r="AI324">
        <v>8460</v>
      </c>
      <c r="AJ324">
        <v>-70.5</v>
      </c>
    </row>
    <row r="325" spans="1:36" x14ac:dyDescent="0.25">
      <c r="A325">
        <v>10324</v>
      </c>
      <c r="B325">
        <v>47</v>
      </c>
      <c r="C325" s="1" t="s">
        <v>36</v>
      </c>
      <c r="D325" s="1" t="s">
        <v>48</v>
      </c>
      <c r="E325" s="2">
        <v>44349</v>
      </c>
      <c r="F325" s="2">
        <v>44391</v>
      </c>
      <c r="G325" s="1" t="s">
        <v>38</v>
      </c>
      <c r="H325">
        <v>692</v>
      </c>
      <c r="I325">
        <v>11</v>
      </c>
      <c r="J325">
        <v>2</v>
      </c>
      <c r="K325">
        <v>13.28</v>
      </c>
      <c r="L325">
        <v>5</v>
      </c>
      <c r="M325" s="1" t="s">
        <v>50</v>
      </c>
      <c r="N325" s="1" t="s">
        <v>56</v>
      </c>
      <c r="O325">
        <v>7577.4</v>
      </c>
      <c r="P325" t="b">
        <v>1</v>
      </c>
      <c r="Q325">
        <v>0.91666666666666663</v>
      </c>
      <c r="R325">
        <v>688.85454545454547</v>
      </c>
      <c r="S325">
        <v>4.4266666666666667</v>
      </c>
      <c r="T325" s="2">
        <v>44348</v>
      </c>
      <c r="U325" s="1" t="s">
        <v>51</v>
      </c>
      <c r="V325">
        <v>0</v>
      </c>
      <c r="W325" s="1" t="s">
        <v>56</v>
      </c>
      <c r="X325">
        <v>42</v>
      </c>
      <c r="Y325" s="1" t="s">
        <v>42</v>
      </c>
      <c r="Z325" s="1" t="s">
        <v>42</v>
      </c>
      <c r="AA325">
        <v>0.16666666666666666</v>
      </c>
      <c r="AB325" s="1" t="s">
        <v>42</v>
      </c>
      <c r="AC325">
        <v>1</v>
      </c>
      <c r="AD325" s="2">
        <v>44348</v>
      </c>
      <c r="AE325" s="1" t="s">
        <v>74</v>
      </c>
      <c r="AF325" s="1" t="s">
        <v>72</v>
      </c>
      <c r="AG325" s="1" t="s">
        <v>46</v>
      </c>
      <c r="AH325" s="1" t="s">
        <v>64</v>
      </c>
      <c r="AI325">
        <v>7612</v>
      </c>
      <c r="AJ325">
        <v>-34.600000000000364</v>
      </c>
    </row>
    <row r="326" spans="1:36" x14ac:dyDescent="0.25">
      <c r="A326">
        <v>10325</v>
      </c>
      <c r="B326">
        <v>50</v>
      </c>
      <c r="C326" s="1" t="s">
        <v>36</v>
      </c>
      <c r="D326" s="1" t="s">
        <v>61</v>
      </c>
      <c r="E326" s="2">
        <v>44985</v>
      </c>
      <c r="F326" s="2">
        <v>44491</v>
      </c>
      <c r="G326" s="1" t="s">
        <v>62</v>
      </c>
      <c r="H326">
        <v>1209</v>
      </c>
      <c r="I326">
        <v>35</v>
      </c>
      <c r="J326">
        <v>1</v>
      </c>
      <c r="K326">
        <v>45.19</v>
      </c>
      <c r="L326">
        <v>20</v>
      </c>
      <c r="M326" s="1" t="s">
        <v>39</v>
      </c>
      <c r="N326" s="1" t="s">
        <v>40</v>
      </c>
      <c r="O326">
        <v>42073.2</v>
      </c>
      <c r="P326" t="b">
        <v>0</v>
      </c>
      <c r="Q326">
        <v>2.9166666666666665</v>
      </c>
      <c r="R326">
        <v>1202.0914285714284</v>
      </c>
      <c r="S326">
        <v>22.594999999999999</v>
      </c>
      <c r="T326" s="2">
        <v>44958</v>
      </c>
      <c r="U326" s="1" t="s">
        <v>51</v>
      </c>
      <c r="V326">
        <v>1</v>
      </c>
      <c r="W326" s="1" t="s">
        <v>40</v>
      </c>
      <c r="Y326" s="1" t="s">
        <v>52</v>
      </c>
      <c r="Z326" s="1" t="s">
        <v>52</v>
      </c>
      <c r="AA326">
        <v>2.7777777777777776E-2</v>
      </c>
      <c r="AB326" s="1" t="s">
        <v>43</v>
      </c>
      <c r="AC326">
        <v>2</v>
      </c>
      <c r="AD326" s="2">
        <v>44958</v>
      </c>
      <c r="AE326" s="1" t="s">
        <v>44</v>
      </c>
      <c r="AF326" s="1" t="s">
        <v>54</v>
      </c>
      <c r="AG326" s="1" t="s">
        <v>63</v>
      </c>
      <c r="AH326" s="1" t="s">
        <v>47</v>
      </c>
      <c r="AI326">
        <v>42315</v>
      </c>
      <c r="AJ326">
        <v>-241.80000000000291</v>
      </c>
    </row>
    <row r="327" spans="1:36" x14ac:dyDescent="0.25">
      <c r="A327">
        <v>10326</v>
      </c>
      <c r="B327">
        <v>45</v>
      </c>
      <c r="C327" s="1" t="s">
        <v>36</v>
      </c>
      <c r="D327" s="1" t="s">
        <v>37</v>
      </c>
      <c r="E327" s="2">
        <v>44597</v>
      </c>
      <c r="F327" s="2">
        <v>45212</v>
      </c>
      <c r="G327" s="1" t="s">
        <v>38</v>
      </c>
      <c r="H327">
        <v>491</v>
      </c>
      <c r="I327">
        <v>4</v>
      </c>
      <c r="J327">
        <v>1</v>
      </c>
      <c r="K327">
        <v>83.18</v>
      </c>
      <c r="L327">
        <v>10</v>
      </c>
      <c r="M327" s="1" t="s">
        <v>65</v>
      </c>
      <c r="N327" s="1" t="s">
        <v>40</v>
      </c>
      <c r="O327">
        <v>1914.9</v>
      </c>
      <c r="P327" t="b">
        <v>1</v>
      </c>
      <c r="Q327">
        <v>0.33333333333333331</v>
      </c>
      <c r="R327">
        <v>478.72500000000002</v>
      </c>
      <c r="S327">
        <v>41.59</v>
      </c>
      <c r="T327" s="2">
        <v>44593</v>
      </c>
      <c r="U327" s="1" t="s">
        <v>51</v>
      </c>
      <c r="V327">
        <v>1</v>
      </c>
      <c r="W327" s="1" t="s">
        <v>56</v>
      </c>
      <c r="X327">
        <v>615</v>
      </c>
      <c r="Y327" s="1" t="s">
        <v>43</v>
      </c>
      <c r="Z327" s="1" t="s">
        <v>42</v>
      </c>
      <c r="AA327">
        <v>0.2</v>
      </c>
      <c r="AB327" s="1" t="s">
        <v>42</v>
      </c>
      <c r="AC327">
        <v>1</v>
      </c>
      <c r="AD327" s="2">
        <v>44593</v>
      </c>
      <c r="AE327" s="1" t="s">
        <v>58</v>
      </c>
      <c r="AF327" s="1" t="s">
        <v>54</v>
      </c>
      <c r="AG327" s="1" t="s">
        <v>63</v>
      </c>
      <c r="AH327" s="1" t="s">
        <v>68</v>
      </c>
      <c r="AI327">
        <v>1964</v>
      </c>
      <c r="AJ327">
        <v>-49.099999999999909</v>
      </c>
    </row>
    <row r="328" spans="1:36" x14ac:dyDescent="0.25">
      <c r="A328">
        <v>10327</v>
      </c>
      <c r="B328">
        <v>64</v>
      </c>
      <c r="C328" s="1" t="s">
        <v>75</v>
      </c>
      <c r="D328" s="1" t="s">
        <v>71</v>
      </c>
      <c r="E328" s="2">
        <v>44475</v>
      </c>
      <c r="F328" s="2">
        <v>44680</v>
      </c>
      <c r="G328" s="1" t="s">
        <v>38</v>
      </c>
      <c r="H328">
        <v>569</v>
      </c>
      <c r="I328">
        <v>29</v>
      </c>
      <c r="J328">
        <v>3</v>
      </c>
      <c r="K328">
        <v>85.82</v>
      </c>
      <c r="L328">
        <v>0</v>
      </c>
      <c r="M328" s="1" t="s">
        <v>50</v>
      </c>
      <c r="N328" s="1" t="s">
        <v>56</v>
      </c>
      <c r="O328">
        <v>16501</v>
      </c>
      <c r="P328" t="b">
        <v>1</v>
      </c>
      <c r="Q328">
        <v>2.4166666666666665</v>
      </c>
      <c r="R328">
        <v>569</v>
      </c>
      <c r="S328">
        <v>21.454999999999998</v>
      </c>
      <c r="T328" s="2">
        <v>44470</v>
      </c>
      <c r="U328" s="1" t="s">
        <v>41</v>
      </c>
      <c r="V328">
        <v>0</v>
      </c>
      <c r="W328" s="1" t="s">
        <v>40</v>
      </c>
      <c r="X328">
        <v>205</v>
      </c>
      <c r="Y328" s="1" t="s">
        <v>43</v>
      </c>
      <c r="Z328" s="1" t="s">
        <v>42</v>
      </c>
      <c r="AA328">
        <v>0.1</v>
      </c>
      <c r="AB328" s="1" t="s">
        <v>52</v>
      </c>
      <c r="AC328">
        <v>1</v>
      </c>
      <c r="AD328" s="2">
        <v>44470</v>
      </c>
      <c r="AE328" s="1" t="s">
        <v>44</v>
      </c>
      <c r="AF328" s="1" t="s">
        <v>72</v>
      </c>
      <c r="AG328" s="1" t="s">
        <v>63</v>
      </c>
      <c r="AH328" s="1" t="s">
        <v>64</v>
      </c>
      <c r="AI328">
        <v>16501</v>
      </c>
      <c r="AJ328">
        <v>0</v>
      </c>
    </row>
    <row r="329" spans="1:36" x14ac:dyDescent="0.25">
      <c r="A329">
        <v>10328</v>
      </c>
      <c r="B329">
        <v>50</v>
      </c>
      <c r="C329" s="1" t="s">
        <v>60</v>
      </c>
      <c r="D329" s="1" t="s">
        <v>37</v>
      </c>
      <c r="E329" s="2">
        <v>44253</v>
      </c>
      <c r="F329" s="2">
        <v>44844</v>
      </c>
      <c r="G329" s="1" t="s">
        <v>62</v>
      </c>
      <c r="H329">
        <v>1037</v>
      </c>
      <c r="I329">
        <v>10</v>
      </c>
      <c r="J329">
        <v>4</v>
      </c>
      <c r="K329">
        <v>115.98</v>
      </c>
      <c r="L329">
        <v>20</v>
      </c>
      <c r="M329" s="1" t="s">
        <v>67</v>
      </c>
      <c r="N329" s="1" t="s">
        <v>56</v>
      </c>
      <c r="O329">
        <v>10162.6</v>
      </c>
      <c r="P329" t="b">
        <v>1</v>
      </c>
      <c r="Q329">
        <v>0.83333333333333337</v>
      </c>
      <c r="R329">
        <v>1016.26</v>
      </c>
      <c r="S329">
        <v>23.196000000000002</v>
      </c>
      <c r="T329" s="2">
        <v>44228</v>
      </c>
      <c r="U329" s="1" t="s">
        <v>51</v>
      </c>
      <c r="V329">
        <v>0</v>
      </c>
      <c r="W329" s="1" t="s">
        <v>56</v>
      </c>
      <c r="X329">
        <v>591</v>
      </c>
      <c r="Y329" s="1" t="s">
        <v>43</v>
      </c>
      <c r="Z329" s="1" t="s">
        <v>52</v>
      </c>
      <c r="AA329">
        <v>0.36363636363636365</v>
      </c>
      <c r="AB329" s="1" t="s">
        <v>52</v>
      </c>
      <c r="AC329">
        <v>2</v>
      </c>
      <c r="AD329" s="2">
        <v>44228</v>
      </c>
      <c r="AE329" s="1" t="s">
        <v>74</v>
      </c>
      <c r="AF329" s="1" t="s">
        <v>45</v>
      </c>
      <c r="AG329" s="1" t="s">
        <v>63</v>
      </c>
      <c r="AH329" s="1" t="s">
        <v>47</v>
      </c>
      <c r="AI329">
        <v>10370</v>
      </c>
      <c r="AJ329">
        <v>-207.39999999999964</v>
      </c>
    </row>
    <row r="330" spans="1:36" x14ac:dyDescent="0.25">
      <c r="A330">
        <v>10329</v>
      </c>
      <c r="B330">
        <v>22</v>
      </c>
      <c r="C330" s="1" t="s">
        <v>36</v>
      </c>
      <c r="D330" s="1" t="s">
        <v>61</v>
      </c>
      <c r="E330" s="2">
        <v>44382</v>
      </c>
      <c r="F330" s="2">
        <v>44743</v>
      </c>
      <c r="G330" s="1" t="s">
        <v>62</v>
      </c>
      <c r="H330">
        <v>376</v>
      </c>
      <c r="I330">
        <v>29</v>
      </c>
      <c r="J330">
        <v>5</v>
      </c>
      <c r="K330">
        <v>57.17</v>
      </c>
      <c r="L330">
        <v>0</v>
      </c>
      <c r="M330" s="1" t="s">
        <v>65</v>
      </c>
      <c r="N330" s="1" t="s">
        <v>56</v>
      </c>
      <c r="O330">
        <v>10904</v>
      </c>
      <c r="P330" t="b">
        <v>1</v>
      </c>
      <c r="Q330">
        <v>2.4166666666666665</v>
      </c>
      <c r="R330">
        <v>376</v>
      </c>
      <c r="S330">
        <v>9.5283333333333342</v>
      </c>
      <c r="T330" s="2">
        <v>44378</v>
      </c>
      <c r="U330" s="1" t="s">
        <v>66</v>
      </c>
      <c r="V330">
        <v>0</v>
      </c>
      <c r="W330" s="1" t="s">
        <v>56</v>
      </c>
      <c r="X330">
        <v>361</v>
      </c>
      <c r="Y330" s="1" t="s">
        <v>52</v>
      </c>
      <c r="Z330" s="1" t="s">
        <v>42</v>
      </c>
      <c r="AA330">
        <v>0.16666666666666666</v>
      </c>
      <c r="AB330" s="1" t="s">
        <v>52</v>
      </c>
      <c r="AC330">
        <v>2</v>
      </c>
      <c r="AD330" s="2">
        <v>44378</v>
      </c>
      <c r="AE330" s="1" t="s">
        <v>44</v>
      </c>
      <c r="AF330" s="1" t="s">
        <v>45</v>
      </c>
      <c r="AG330" s="1" t="s">
        <v>63</v>
      </c>
      <c r="AH330" s="1" t="s">
        <v>68</v>
      </c>
      <c r="AI330">
        <v>10904</v>
      </c>
      <c r="AJ330">
        <v>0</v>
      </c>
    </row>
    <row r="331" spans="1:36" x14ac:dyDescent="0.25">
      <c r="A331">
        <v>10330</v>
      </c>
      <c r="B331">
        <v>36</v>
      </c>
      <c r="C331" s="1" t="s">
        <v>60</v>
      </c>
      <c r="D331" s="1" t="s">
        <v>61</v>
      </c>
      <c r="E331" s="2">
        <v>44594</v>
      </c>
      <c r="F331" s="2">
        <v>44402</v>
      </c>
      <c r="G331" s="1" t="s">
        <v>62</v>
      </c>
      <c r="H331">
        <v>1034</v>
      </c>
      <c r="I331">
        <v>1</v>
      </c>
      <c r="J331">
        <v>3</v>
      </c>
      <c r="K331">
        <v>77.73</v>
      </c>
      <c r="L331">
        <v>20</v>
      </c>
      <c r="M331" s="1" t="s">
        <v>39</v>
      </c>
      <c r="N331" s="1" t="s">
        <v>40</v>
      </c>
      <c r="O331">
        <v>827.2</v>
      </c>
      <c r="P331" t="b">
        <v>0</v>
      </c>
      <c r="Q331">
        <v>8.3333333333333329E-2</v>
      </c>
      <c r="R331">
        <v>827.2</v>
      </c>
      <c r="S331">
        <v>19.432500000000001</v>
      </c>
      <c r="T331" s="2">
        <v>44593</v>
      </c>
      <c r="U331" s="1" t="s">
        <v>51</v>
      </c>
      <c r="V331">
        <v>1</v>
      </c>
      <c r="W331" s="1" t="s">
        <v>56</v>
      </c>
      <c r="Y331" s="1" t="s">
        <v>43</v>
      </c>
      <c r="Z331" s="1" t="s">
        <v>52</v>
      </c>
      <c r="AA331">
        <v>1.5</v>
      </c>
      <c r="AB331" s="1" t="s">
        <v>42</v>
      </c>
      <c r="AC331">
        <v>2</v>
      </c>
      <c r="AD331" s="2">
        <v>44593</v>
      </c>
      <c r="AE331" s="1" t="s">
        <v>58</v>
      </c>
      <c r="AF331" s="1" t="s">
        <v>72</v>
      </c>
      <c r="AG331" s="1" t="s">
        <v>63</v>
      </c>
      <c r="AH331" s="1" t="s">
        <v>47</v>
      </c>
      <c r="AI331">
        <v>1034</v>
      </c>
      <c r="AJ331">
        <v>-206.79999999999995</v>
      </c>
    </row>
    <row r="332" spans="1:36" x14ac:dyDescent="0.25">
      <c r="A332">
        <v>10331</v>
      </c>
      <c r="B332">
        <v>21</v>
      </c>
      <c r="C332" s="1" t="s">
        <v>60</v>
      </c>
      <c r="D332" s="1" t="s">
        <v>71</v>
      </c>
      <c r="E332" s="2">
        <v>44801</v>
      </c>
      <c r="F332" s="2">
        <v>44654</v>
      </c>
      <c r="G332" s="1" t="s">
        <v>38</v>
      </c>
      <c r="H332">
        <v>1183</v>
      </c>
      <c r="I332">
        <v>8</v>
      </c>
      <c r="J332">
        <v>2</v>
      </c>
      <c r="K332">
        <v>67.010000000000005</v>
      </c>
      <c r="L332">
        <v>5</v>
      </c>
      <c r="M332" s="1" t="s">
        <v>50</v>
      </c>
      <c r="N332" s="1" t="s">
        <v>56</v>
      </c>
      <c r="O332">
        <v>9404.85</v>
      </c>
      <c r="P332" t="b">
        <v>0</v>
      </c>
      <c r="Q332">
        <v>0.66666666666666663</v>
      </c>
      <c r="R332">
        <v>1175.60625</v>
      </c>
      <c r="S332">
        <v>22.33666666666667</v>
      </c>
      <c r="T332" s="2">
        <v>44774</v>
      </c>
      <c r="U332" s="1" t="s">
        <v>66</v>
      </c>
      <c r="V332">
        <v>0</v>
      </c>
      <c r="W332" s="1" t="s">
        <v>56</v>
      </c>
      <c r="Y332" s="1" t="s">
        <v>43</v>
      </c>
      <c r="Z332" s="1" t="s">
        <v>42</v>
      </c>
      <c r="AA332">
        <v>0.22222222222222221</v>
      </c>
      <c r="AB332" s="1" t="s">
        <v>52</v>
      </c>
      <c r="AC332">
        <v>1</v>
      </c>
      <c r="AD332" s="2">
        <v>44774</v>
      </c>
      <c r="AE332" s="1" t="s">
        <v>74</v>
      </c>
      <c r="AF332" s="1" t="s">
        <v>72</v>
      </c>
      <c r="AG332" s="1" t="s">
        <v>63</v>
      </c>
      <c r="AH332" s="1" t="s">
        <v>47</v>
      </c>
      <c r="AI332">
        <v>9464</v>
      </c>
      <c r="AJ332">
        <v>-59.149999999999636</v>
      </c>
    </row>
    <row r="333" spans="1:36" x14ac:dyDescent="0.25">
      <c r="A333">
        <v>10332</v>
      </c>
      <c r="B333">
        <v>52</v>
      </c>
      <c r="C333" s="1" t="s">
        <v>60</v>
      </c>
      <c r="D333" s="1" t="s">
        <v>37</v>
      </c>
      <c r="E333" s="2">
        <v>44984</v>
      </c>
      <c r="F333" s="2">
        <v>45217</v>
      </c>
      <c r="G333" s="1" t="s">
        <v>38</v>
      </c>
      <c r="H333">
        <v>1490</v>
      </c>
      <c r="I333">
        <v>17</v>
      </c>
      <c r="J333">
        <v>0</v>
      </c>
      <c r="K333">
        <v>22.32</v>
      </c>
      <c r="L333">
        <v>10</v>
      </c>
      <c r="M333" s="1" t="s">
        <v>65</v>
      </c>
      <c r="N333" s="1" t="s">
        <v>56</v>
      </c>
      <c r="O333">
        <v>25181</v>
      </c>
      <c r="P333" t="b">
        <v>1</v>
      </c>
      <c r="Q333">
        <v>1.4166666666666667</v>
      </c>
      <c r="R333">
        <v>1481.2352941176471</v>
      </c>
      <c r="S333">
        <v>22.32</v>
      </c>
      <c r="T333" s="2">
        <v>44958</v>
      </c>
      <c r="U333" s="1" t="s">
        <v>41</v>
      </c>
      <c r="V333">
        <v>0</v>
      </c>
      <c r="W333" s="1" t="s">
        <v>40</v>
      </c>
      <c r="X333">
        <v>233</v>
      </c>
      <c r="Y333" s="1" t="s">
        <v>52</v>
      </c>
      <c r="Z333" s="1" t="s">
        <v>42</v>
      </c>
      <c r="AA333">
        <v>0</v>
      </c>
      <c r="AB333" s="1" t="s">
        <v>43</v>
      </c>
      <c r="AC333">
        <v>1</v>
      </c>
      <c r="AD333" s="2">
        <v>44958</v>
      </c>
      <c r="AE333" s="1" t="s">
        <v>53</v>
      </c>
      <c r="AF333" s="1" t="s">
        <v>54</v>
      </c>
      <c r="AG333" s="1" t="s">
        <v>70</v>
      </c>
      <c r="AH333" s="1" t="s">
        <v>47</v>
      </c>
      <c r="AI333">
        <v>25330</v>
      </c>
      <c r="AJ333">
        <v>-149</v>
      </c>
    </row>
    <row r="334" spans="1:36" x14ac:dyDescent="0.25">
      <c r="A334">
        <v>10333</v>
      </c>
      <c r="B334">
        <v>41</v>
      </c>
      <c r="C334" s="1" t="s">
        <v>36</v>
      </c>
      <c r="D334" s="1" t="s">
        <v>37</v>
      </c>
      <c r="E334" s="2">
        <v>44354</v>
      </c>
      <c r="F334" s="2">
        <v>44770</v>
      </c>
      <c r="G334" s="1" t="s">
        <v>38</v>
      </c>
      <c r="H334">
        <v>583</v>
      </c>
      <c r="I334">
        <v>19</v>
      </c>
      <c r="J334">
        <v>3</v>
      </c>
      <c r="K334">
        <v>58.04</v>
      </c>
      <c r="L334">
        <v>0</v>
      </c>
      <c r="M334" s="1" t="s">
        <v>65</v>
      </c>
      <c r="N334" s="1" t="s">
        <v>56</v>
      </c>
      <c r="O334">
        <v>11077</v>
      </c>
      <c r="P334" t="b">
        <v>1</v>
      </c>
      <c r="Q334">
        <v>1.5833333333333333</v>
      </c>
      <c r="R334">
        <v>583</v>
      </c>
      <c r="S334">
        <v>14.51</v>
      </c>
      <c r="T334" s="2">
        <v>44348</v>
      </c>
      <c r="U334" s="1" t="s">
        <v>51</v>
      </c>
      <c r="V334">
        <v>0</v>
      </c>
      <c r="W334" s="1" t="s">
        <v>56</v>
      </c>
      <c r="X334">
        <v>416</v>
      </c>
      <c r="Y334" s="1" t="s">
        <v>52</v>
      </c>
      <c r="Z334" s="1" t="s">
        <v>42</v>
      </c>
      <c r="AA334">
        <v>0.15</v>
      </c>
      <c r="AB334" s="1" t="s">
        <v>52</v>
      </c>
      <c r="AC334">
        <v>1</v>
      </c>
      <c r="AD334" s="2">
        <v>44348</v>
      </c>
      <c r="AE334" s="1" t="s">
        <v>53</v>
      </c>
      <c r="AF334" s="1" t="s">
        <v>72</v>
      </c>
      <c r="AG334" s="1" t="s">
        <v>63</v>
      </c>
      <c r="AH334" s="1" t="s">
        <v>64</v>
      </c>
      <c r="AI334">
        <v>11077</v>
      </c>
      <c r="AJ334">
        <v>0</v>
      </c>
    </row>
    <row r="335" spans="1:36" x14ac:dyDescent="0.25">
      <c r="A335">
        <v>10334</v>
      </c>
      <c r="B335">
        <v>61</v>
      </c>
      <c r="C335" s="1" t="s">
        <v>75</v>
      </c>
      <c r="D335" s="1" t="s">
        <v>71</v>
      </c>
      <c r="E335" s="2">
        <v>44983</v>
      </c>
      <c r="F335" s="2">
        <v>44764</v>
      </c>
      <c r="G335" s="1" t="s">
        <v>38</v>
      </c>
      <c r="H335">
        <v>1412</v>
      </c>
      <c r="I335">
        <v>33</v>
      </c>
      <c r="J335">
        <v>3</v>
      </c>
      <c r="K335">
        <v>67.66</v>
      </c>
      <c r="L335">
        <v>10</v>
      </c>
      <c r="M335" s="1" t="s">
        <v>67</v>
      </c>
      <c r="N335" s="1" t="s">
        <v>40</v>
      </c>
      <c r="O335">
        <v>46454.8</v>
      </c>
      <c r="P335" t="b">
        <v>0</v>
      </c>
      <c r="Q335">
        <v>2.75</v>
      </c>
      <c r="R335">
        <v>1407.7212121212121</v>
      </c>
      <c r="S335">
        <v>16.914999999999999</v>
      </c>
      <c r="T335" s="2">
        <v>44958</v>
      </c>
      <c r="U335" s="1" t="s">
        <v>41</v>
      </c>
      <c r="V335">
        <v>1</v>
      </c>
      <c r="W335" s="1" t="s">
        <v>40</v>
      </c>
      <c r="Y335" s="1" t="s">
        <v>43</v>
      </c>
      <c r="Z335" s="1" t="s">
        <v>42</v>
      </c>
      <c r="AA335">
        <v>8.8235294117647065E-2</v>
      </c>
      <c r="AB335" s="1" t="s">
        <v>43</v>
      </c>
      <c r="AC335">
        <v>1</v>
      </c>
      <c r="AD335" s="2">
        <v>44958</v>
      </c>
      <c r="AE335" s="1" t="s">
        <v>44</v>
      </c>
      <c r="AF335" s="1" t="s">
        <v>72</v>
      </c>
      <c r="AG335" s="1" t="s">
        <v>63</v>
      </c>
      <c r="AH335" s="1" t="s">
        <v>47</v>
      </c>
      <c r="AI335">
        <v>46596</v>
      </c>
      <c r="AJ335">
        <v>-141.19999999999709</v>
      </c>
    </row>
    <row r="336" spans="1:36" x14ac:dyDescent="0.25">
      <c r="A336">
        <v>10335</v>
      </c>
      <c r="B336">
        <v>45</v>
      </c>
      <c r="C336" s="1" t="s">
        <v>60</v>
      </c>
      <c r="D336" s="1" t="s">
        <v>37</v>
      </c>
      <c r="E336" s="2">
        <v>44889</v>
      </c>
      <c r="F336" s="2">
        <v>45020</v>
      </c>
      <c r="G336" s="1" t="s">
        <v>38</v>
      </c>
      <c r="H336">
        <v>843</v>
      </c>
      <c r="I336">
        <v>15</v>
      </c>
      <c r="J336">
        <v>3</v>
      </c>
      <c r="K336">
        <v>114.34</v>
      </c>
      <c r="L336">
        <v>5</v>
      </c>
      <c r="M336" s="1" t="s">
        <v>65</v>
      </c>
      <c r="N336" s="1" t="s">
        <v>56</v>
      </c>
      <c r="O336">
        <v>12602.85</v>
      </c>
      <c r="P336" t="b">
        <v>1</v>
      </c>
      <c r="Q336">
        <v>1.25</v>
      </c>
      <c r="R336">
        <v>840.19</v>
      </c>
      <c r="S336">
        <v>28.585000000000001</v>
      </c>
      <c r="T336" s="2">
        <v>44866</v>
      </c>
      <c r="U336" s="1" t="s">
        <v>51</v>
      </c>
      <c r="V336">
        <v>0</v>
      </c>
      <c r="W336" s="1" t="s">
        <v>56</v>
      </c>
      <c r="X336">
        <v>131</v>
      </c>
      <c r="Y336" s="1" t="s">
        <v>43</v>
      </c>
      <c r="Z336" s="1" t="s">
        <v>42</v>
      </c>
      <c r="AA336">
        <v>0.1875</v>
      </c>
      <c r="AB336" s="1" t="s">
        <v>52</v>
      </c>
      <c r="AC336">
        <v>1</v>
      </c>
      <c r="AD336" s="2">
        <v>44866</v>
      </c>
      <c r="AE336" s="1" t="s">
        <v>53</v>
      </c>
      <c r="AF336" s="1" t="s">
        <v>72</v>
      </c>
      <c r="AG336" s="1" t="s">
        <v>63</v>
      </c>
      <c r="AH336" s="1" t="s">
        <v>59</v>
      </c>
      <c r="AI336">
        <v>12645</v>
      </c>
      <c r="AJ336">
        <v>-42.149999999999636</v>
      </c>
    </row>
    <row r="337" spans="1:36" x14ac:dyDescent="0.25">
      <c r="A337">
        <v>10336</v>
      </c>
      <c r="B337">
        <v>47</v>
      </c>
      <c r="C337" s="1" t="s">
        <v>60</v>
      </c>
      <c r="D337" s="1" t="s">
        <v>73</v>
      </c>
      <c r="E337" s="2">
        <v>44555</v>
      </c>
      <c r="F337" s="2">
        <v>45144</v>
      </c>
      <c r="G337" s="1" t="s">
        <v>38</v>
      </c>
      <c r="H337">
        <v>948</v>
      </c>
      <c r="I337">
        <v>31</v>
      </c>
      <c r="J337">
        <v>1</v>
      </c>
      <c r="K337">
        <v>47.15</v>
      </c>
      <c r="L337">
        <v>15</v>
      </c>
      <c r="M337" s="1" t="s">
        <v>67</v>
      </c>
      <c r="N337" s="1" t="s">
        <v>56</v>
      </c>
      <c r="O337">
        <v>29245.8</v>
      </c>
      <c r="P337" t="b">
        <v>1</v>
      </c>
      <c r="Q337">
        <v>2.5833333333333335</v>
      </c>
      <c r="R337">
        <v>943.41290322580642</v>
      </c>
      <c r="S337">
        <v>23.574999999999999</v>
      </c>
      <c r="T337" s="2">
        <v>44531</v>
      </c>
      <c r="U337" s="1" t="s">
        <v>51</v>
      </c>
      <c r="V337">
        <v>0</v>
      </c>
      <c r="W337" s="1" t="s">
        <v>40</v>
      </c>
      <c r="X337">
        <v>589</v>
      </c>
      <c r="Y337" s="1" t="s">
        <v>52</v>
      </c>
      <c r="Z337" s="1" t="s">
        <v>42</v>
      </c>
      <c r="AA337">
        <v>3.125E-2</v>
      </c>
      <c r="AB337" s="1" t="s">
        <v>43</v>
      </c>
      <c r="AC337">
        <v>1</v>
      </c>
      <c r="AD337" s="2">
        <v>44531</v>
      </c>
      <c r="AE337" s="1" t="s">
        <v>44</v>
      </c>
      <c r="AF337" s="1" t="s">
        <v>54</v>
      </c>
      <c r="AG337" s="1" t="s">
        <v>63</v>
      </c>
      <c r="AH337" s="1" t="s">
        <v>59</v>
      </c>
      <c r="AI337">
        <v>29388</v>
      </c>
      <c r="AJ337">
        <v>-142.20000000000073</v>
      </c>
    </row>
    <row r="338" spans="1:36" x14ac:dyDescent="0.25">
      <c r="A338">
        <v>10337</v>
      </c>
      <c r="B338">
        <v>41</v>
      </c>
      <c r="C338" s="1" t="s">
        <v>36</v>
      </c>
      <c r="D338" s="1" t="s">
        <v>71</v>
      </c>
      <c r="E338" s="2">
        <v>44636</v>
      </c>
      <c r="F338" s="2">
        <v>44672</v>
      </c>
      <c r="G338" s="1" t="s">
        <v>38</v>
      </c>
      <c r="H338">
        <v>1479</v>
      </c>
      <c r="I338">
        <v>21</v>
      </c>
      <c r="J338">
        <v>2</v>
      </c>
      <c r="K338">
        <v>117.71</v>
      </c>
      <c r="L338">
        <v>15</v>
      </c>
      <c r="M338" s="1" t="s">
        <v>39</v>
      </c>
      <c r="N338" s="1" t="s">
        <v>56</v>
      </c>
      <c r="O338">
        <v>30837.15</v>
      </c>
      <c r="P338" t="b">
        <v>1</v>
      </c>
      <c r="Q338">
        <v>1.75</v>
      </c>
      <c r="R338">
        <v>1468.4357142857143</v>
      </c>
      <c r="S338">
        <v>39.236666666666665</v>
      </c>
      <c r="T338" s="2">
        <v>44621</v>
      </c>
      <c r="U338" s="1" t="s">
        <v>51</v>
      </c>
      <c r="V338">
        <v>0</v>
      </c>
      <c r="W338" s="1" t="s">
        <v>40</v>
      </c>
      <c r="X338">
        <v>36</v>
      </c>
      <c r="Y338" s="1" t="s">
        <v>43</v>
      </c>
      <c r="Z338" s="1" t="s">
        <v>42</v>
      </c>
      <c r="AA338">
        <v>9.0909090909090912E-2</v>
      </c>
      <c r="AB338" s="1" t="s">
        <v>43</v>
      </c>
      <c r="AC338">
        <v>1</v>
      </c>
      <c r="AD338" s="2">
        <v>44621</v>
      </c>
      <c r="AE338" s="1" t="s">
        <v>53</v>
      </c>
      <c r="AF338" s="1" t="s">
        <v>72</v>
      </c>
      <c r="AG338" s="1" t="s">
        <v>63</v>
      </c>
      <c r="AH338" s="1" t="s">
        <v>47</v>
      </c>
      <c r="AI338">
        <v>31059</v>
      </c>
      <c r="AJ338">
        <v>-221.84999999999854</v>
      </c>
    </row>
    <row r="339" spans="1:36" x14ac:dyDescent="0.25">
      <c r="A339">
        <v>10338</v>
      </c>
      <c r="B339">
        <v>63</v>
      </c>
      <c r="C339" s="1" t="s">
        <v>60</v>
      </c>
      <c r="D339" s="1" t="s">
        <v>48</v>
      </c>
      <c r="E339" s="2">
        <v>44785</v>
      </c>
      <c r="F339" s="2">
        <v>45057</v>
      </c>
      <c r="G339" s="1" t="s">
        <v>49</v>
      </c>
      <c r="H339">
        <v>549</v>
      </c>
      <c r="I339">
        <v>3</v>
      </c>
      <c r="J339">
        <v>3</v>
      </c>
      <c r="K339">
        <v>67.36</v>
      </c>
      <c r="L339">
        <v>0</v>
      </c>
      <c r="M339" s="1" t="s">
        <v>67</v>
      </c>
      <c r="N339" s="1" t="s">
        <v>56</v>
      </c>
      <c r="O339">
        <v>1647</v>
      </c>
      <c r="P339" t="b">
        <v>1</v>
      </c>
      <c r="Q339">
        <v>0.25</v>
      </c>
      <c r="R339">
        <v>549</v>
      </c>
      <c r="S339">
        <v>16.84</v>
      </c>
      <c r="T339" s="2">
        <v>44774</v>
      </c>
      <c r="U339" s="1" t="s">
        <v>41</v>
      </c>
      <c r="V339">
        <v>0</v>
      </c>
      <c r="W339" s="1" t="s">
        <v>56</v>
      </c>
      <c r="X339">
        <v>272</v>
      </c>
      <c r="Y339" s="1" t="s">
        <v>43</v>
      </c>
      <c r="Z339" s="1" t="s">
        <v>42</v>
      </c>
      <c r="AA339">
        <v>0.75</v>
      </c>
      <c r="AB339" s="1" t="s">
        <v>42</v>
      </c>
      <c r="AC339">
        <v>3</v>
      </c>
      <c r="AD339" s="2">
        <v>44774</v>
      </c>
      <c r="AE339" s="1" t="s">
        <v>58</v>
      </c>
      <c r="AF339" s="1" t="s">
        <v>72</v>
      </c>
      <c r="AG339" s="1" t="s">
        <v>63</v>
      </c>
      <c r="AH339" s="1" t="s">
        <v>64</v>
      </c>
      <c r="AI339">
        <v>1647</v>
      </c>
      <c r="AJ339">
        <v>0</v>
      </c>
    </row>
    <row r="340" spans="1:36" x14ac:dyDescent="0.25">
      <c r="A340">
        <v>10339</v>
      </c>
      <c r="B340">
        <v>23</v>
      </c>
      <c r="C340" s="1" t="s">
        <v>60</v>
      </c>
      <c r="D340" s="1" t="s">
        <v>61</v>
      </c>
      <c r="E340" s="2">
        <v>44662</v>
      </c>
      <c r="F340" s="2">
        <v>45018</v>
      </c>
      <c r="G340" s="1" t="s">
        <v>38</v>
      </c>
      <c r="H340">
        <v>394</v>
      </c>
      <c r="I340">
        <v>2</v>
      </c>
      <c r="J340">
        <v>1</v>
      </c>
      <c r="K340">
        <v>32.880000000000003</v>
      </c>
      <c r="L340">
        <v>5</v>
      </c>
      <c r="M340" s="1" t="s">
        <v>50</v>
      </c>
      <c r="N340" s="1" t="s">
        <v>56</v>
      </c>
      <c r="O340">
        <v>768.3</v>
      </c>
      <c r="P340" t="b">
        <v>1</v>
      </c>
      <c r="Q340">
        <v>0.16666666666666666</v>
      </c>
      <c r="R340">
        <v>384.15</v>
      </c>
      <c r="S340">
        <v>16.440000000000001</v>
      </c>
      <c r="T340" s="2">
        <v>44652</v>
      </c>
      <c r="U340" s="1" t="s">
        <v>66</v>
      </c>
      <c r="V340">
        <v>0</v>
      </c>
      <c r="W340" s="1" t="s">
        <v>56</v>
      </c>
      <c r="X340">
        <v>356</v>
      </c>
      <c r="Y340" s="1" t="s">
        <v>52</v>
      </c>
      <c r="Z340" s="1" t="s">
        <v>42</v>
      </c>
      <c r="AA340">
        <v>0.33333333333333331</v>
      </c>
      <c r="AB340" s="1" t="s">
        <v>42</v>
      </c>
      <c r="AC340">
        <v>1</v>
      </c>
      <c r="AD340" s="2">
        <v>44652</v>
      </c>
      <c r="AE340" s="1" t="s">
        <v>58</v>
      </c>
      <c r="AF340" s="1" t="s">
        <v>54</v>
      </c>
      <c r="AG340" s="1" t="s">
        <v>55</v>
      </c>
      <c r="AH340" s="1" t="s">
        <v>68</v>
      </c>
      <c r="AI340">
        <v>788</v>
      </c>
      <c r="AJ340">
        <v>-19.700000000000045</v>
      </c>
    </row>
    <row r="341" spans="1:36" x14ac:dyDescent="0.25">
      <c r="A341">
        <v>10340</v>
      </c>
      <c r="B341">
        <v>52</v>
      </c>
      <c r="C341" s="1" t="s">
        <v>36</v>
      </c>
      <c r="D341" s="1" t="s">
        <v>48</v>
      </c>
      <c r="E341" s="2">
        <v>44859</v>
      </c>
      <c r="F341" s="2">
        <v>44427</v>
      </c>
      <c r="G341" s="1" t="s">
        <v>62</v>
      </c>
      <c r="H341">
        <v>316</v>
      </c>
      <c r="I341">
        <v>35</v>
      </c>
      <c r="J341">
        <v>4</v>
      </c>
      <c r="K341">
        <v>62.59</v>
      </c>
      <c r="L341">
        <v>0</v>
      </c>
      <c r="M341" s="1" t="s">
        <v>65</v>
      </c>
      <c r="N341" s="1" t="s">
        <v>56</v>
      </c>
      <c r="O341">
        <v>11060</v>
      </c>
      <c r="P341" t="b">
        <v>0</v>
      </c>
      <c r="Q341">
        <v>2.9166666666666665</v>
      </c>
      <c r="R341">
        <v>316</v>
      </c>
      <c r="S341">
        <v>12.518000000000001</v>
      </c>
      <c r="T341" s="2">
        <v>44835</v>
      </c>
      <c r="U341" s="1" t="s">
        <v>41</v>
      </c>
      <c r="V341">
        <v>0</v>
      </c>
      <c r="W341" s="1" t="s">
        <v>56</v>
      </c>
      <c r="Y341" s="1" t="s">
        <v>43</v>
      </c>
      <c r="Z341" s="1" t="s">
        <v>42</v>
      </c>
      <c r="AA341">
        <v>0.1111111111111111</v>
      </c>
      <c r="AB341" s="1" t="s">
        <v>52</v>
      </c>
      <c r="AC341">
        <v>2</v>
      </c>
      <c r="AD341" s="2">
        <v>44835</v>
      </c>
      <c r="AE341" s="1" t="s">
        <v>44</v>
      </c>
      <c r="AF341" s="1" t="s">
        <v>45</v>
      </c>
      <c r="AG341" s="1" t="s">
        <v>63</v>
      </c>
      <c r="AH341" s="1" t="s">
        <v>68</v>
      </c>
      <c r="AI341">
        <v>11060</v>
      </c>
      <c r="AJ341">
        <v>0</v>
      </c>
    </row>
    <row r="342" spans="1:36" x14ac:dyDescent="0.25">
      <c r="A342">
        <v>10341</v>
      </c>
      <c r="B342">
        <v>41</v>
      </c>
      <c r="C342" s="1" t="s">
        <v>36</v>
      </c>
      <c r="D342" s="1" t="s">
        <v>73</v>
      </c>
      <c r="E342" s="2">
        <v>44642</v>
      </c>
      <c r="F342" s="2">
        <v>44378</v>
      </c>
      <c r="G342" s="1" t="s">
        <v>38</v>
      </c>
      <c r="H342">
        <v>416</v>
      </c>
      <c r="I342">
        <v>16</v>
      </c>
      <c r="J342">
        <v>2</v>
      </c>
      <c r="K342">
        <v>21.29</v>
      </c>
      <c r="L342">
        <v>0</v>
      </c>
      <c r="M342" s="1" t="s">
        <v>39</v>
      </c>
      <c r="N342" s="1" t="s">
        <v>56</v>
      </c>
      <c r="O342">
        <v>6656</v>
      </c>
      <c r="P342" t="b">
        <v>0</v>
      </c>
      <c r="Q342">
        <v>1.3333333333333333</v>
      </c>
      <c r="R342">
        <v>416</v>
      </c>
      <c r="S342">
        <v>7.0966666666666667</v>
      </c>
      <c r="T342" s="2">
        <v>44621</v>
      </c>
      <c r="U342" s="1" t="s">
        <v>51</v>
      </c>
      <c r="V342">
        <v>0</v>
      </c>
      <c r="W342" s="1" t="s">
        <v>56</v>
      </c>
      <c r="Y342" s="1" t="s">
        <v>52</v>
      </c>
      <c r="Z342" s="1" t="s">
        <v>42</v>
      </c>
      <c r="AA342">
        <v>0.11764705882352941</v>
      </c>
      <c r="AB342" s="1" t="s">
        <v>42</v>
      </c>
      <c r="AC342">
        <v>1</v>
      </c>
      <c r="AD342" s="2">
        <v>44621</v>
      </c>
      <c r="AE342" s="1" t="s">
        <v>53</v>
      </c>
      <c r="AF342" s="1" t="s">
        <v>72</v>
      </c>
      <c r="AG342" s="1" t="s">
        <v>70</v>
      </c>
      <c r="AH342" s="1" t="s">
        <v>68</v>
      </c>
      <c r="AI342">
        <v>6656</v>
      </c>
      <c r="AJ342">
        <v>0</v>
      </c>
    </row>
    <row r="343" spans="1:36" x14ac:dyDescent="0.25">
      <c r="A343">
        <v>10342</v>
      </c>
      <c r="B343">
        <v>54</v>
      </c>
      <c r="C343" s="1" t="s">
        <v>75</v>
      </c>
      <c r="D343" s="1" t="s">
        <v>73</v>
      </c>
      <c r="E343" s="2">
        <v>44946</v>
      </c>
      <c r="F343" s="2">
        <v>44459</v>
      </c>
      <c r="G343" s="1" t="s">
        <v>49</v>
      </c>
      <c r="H343">
        <v>1282</v>
      </c>
      <c r="I343">
        <v>21</v>
      </c>
      <c r="J343">
        <v>2</v>
      </c>
      <c r="K343">
        <v>57.09</v>
      </c>
      <c r="L343">
        <v>0</v>
      </c>
      <c r="M343" s="1" t="s">
        <v>67</v>
      </c>
      <c r="N343" s="1" t="s">
        <v>56</v>
      </c>
      <c r="O343">
        <v>26922</v>
      </c>
      <c r="P343" t="b">
        <v>0</v>
      </c>
      <c r="Q343">
        <v>1.75</v>
      </c>
      <c r="R343">
        <v>1282</v>
      </c>
      <c r="S343">
        <v>19.03</v>
      </c>
      <c r="T343" s="2">
        <v>44927</v>
      </c>
      <c r="U343" s="1" t="s">
        <v>41</v>
      </c>
      <c r="V343">
        <v>0</v>
      </c>
      <c r="W343" s="1" t="s">
        <v>40</v>
      </c>
      <c r="Y343" s="1" t="s">
        <v>52</v>
      </c>
      <c r="Z343" s="1" t="s">
        <v>42</v>
      </c>
      <c r="AA343">
        <v>9.0909090909090912E-2</v>
      </c>
      <c r="AB343" s="1" t="s">
        <v>43</v>
      </c>
      <c r="AC343">
        <v>3</v>
      </c>
      <c r="AD343" s="2">
        <v>44927</v>
      </c>
      <c r="AE343" s="1" t="s">
        <v>53</v>
      </c>
      <c r="AF343" s="1" t="s">
        <v>72</v>
      </c>
      <c r="AG343" s="1" t="s">
        <v>63</v>
      </c>
      <c r="AH343" s="1" t="s">
        <v>47</v>
      </c>
      <c r="AI343">
        <v>26922</v>
      </c>
      <c r="AJ343">
        <v>0</v>
      </c>
    </row>
    <row r="344" spans="1:36" x14ac:dyDescent="0.25">
      <c r="A344">
        <v>10343</v>
      </c>
      <c r="B344">
        <v>41</v>
      </c>
      <c r="C344" s="1" t="s">
        <v>60</v>
      </c>
      <c r="D344" s="1" t="s">
        <v>69</v>
      </c>
      <c r="E344" s="2">
        <v>44997</v>
      </c>
      <c r="F344" s="2">
        <v>44905</v>
      </c>
      <c r="G344" s="1" t="s">
        <v>62</v>
      </c>
      <c r="H344">
        <v>632</v>
      </c>
      <c r="I344">
        <v>12</v>
      </c>
      <c r="J344">
        <v>2</v>
      </c>
      <c r="K344">
        <v>7.52</v>
      </c>
      <c r="L344">
        <v>10</v>
      </c>
      <c r="M344" s="1" t="s">
        <v>67</v>
      </c>
      <c r="N344" s="1" t="s">
        <v>56</v>
      </c>
      <c r="O344">
        <v>7520.8</v>
      </c>
      <c r="P344" t="b">
        <v>0</v>
      </c>
      <c r="Q344">
        <v>1</v>
      </c>
      <c r="R344">
        <v>626.73333333333335</v>
      </c>
      <c r="S344">
        <v>2.5066666666666664</v>
      </c>
      <c r="T344" s="2">
        <v>44986</v>
      </c>
      <c r="U344" s="1" t="s">
        <v>51</v>
      </c>
      <c r="V344">
        <v>0</v>
      </c>
      <c r="W344" s="1" t="s">
        <v>56</v>
      </c>
      <c r="Y344" s="1" t="s">
        <v>42</v>
      </c>
      <c r="Z344" s="1" t="s">
        <v>42</v>
      </c>
      <c r="AA344">
        <v>0.15384615384615385</v>
      </c>
      <c r="AB344" s="1" t="s">
        <v>42</v>
      </c>
      <c r="AC344">
        <v>2</v>
      </c>
      <c r="AD344" s="2">
        <v>44986</v>
      </c>
      <c r="AE344" s="1" t="s">
        <v>74</v>
      </c>
      <c r="AF344" s="1" t="s">
        <v>72</v>
      </c>
      <c r="AG344" s="1" t="s">
        <v>77</v>
      </c>
      <c r="AH344" s="1" t="s">
        <v>64</v>
      </c>
      <c r="AI344">
        <v>7584</v>
      </c>
      <c r="AJ344">
        <v>-63.199999999999818</v>
      </c>
    </row>
    <row r="345" spans="1:36" x14ac:dyDescent="0.25">
      <c r="A345">
        <v>10344</v>
      </c>
      <c r="B345">
        <v>46</v>
      </c>
      <c r="C345" s="1" t="s">
        <v>60</v>
      </c>
      <c r="D345" s="1" t="s">
        <v>69</v>
      </c>
      <c r="E345" s="2">
        <v>44939</v>
      </c>
      <c r="F345" s="2">
        <v>45212</v>
      </c>
      <c r="G345" s="1" t="s">
        <v>38</v>
      </c>
      <c r="H345">
        <v>1403</v>
      </c>
      <c r="I345">
        <v>28</v>
      </c>
      <c r="J345">
        <v>1</v>
      </c>
      <c r="K345">
        <v>56.18</v>
      </c>
      <c r="L345">
        <v>20</v>
      </c>
      <c r="M345" s="1" t="s">
        <v>67</v>
      </c>
      <c r="N345" s="1" t="s">
        <v>56</v>
      </c>
      <c r="O345">
        <v>39003.4</v>
      </c>
      <c r="P345" t="b">
        <v>1</v>
      </c>
      <c r="Q345">
        <v>2.3333333333333335</v>
      </c>
      <c r="R345">
        <v>1392.9785714285715</v>
      </c>
      <c r="S345">
        <v>28.09</v>
      </c>
      <c r="T345" s="2">
        <v>44927</v>
      </c>
      <c r="U345" s="1" t="s">
        <v>51</v>
      </c>
      <c r="V345">
        <v>0</v>
      </c>
      <c r="W345" s="1" t="s">
        <v>40</v>
      </c>
      <c r="X345">
        <v>273</v>
      </c>
      <c r="Y345" s="1" t="s">
        <v>52</v>
      </c>
      <c r="Z345" s="1" t="s">
        <v>52</v>
      </c>
      <c r="AA345">
        <v>3.4482758620689655E-2</v>
      </c>
      <c r="AB345" s="1" t="s">
        <v>43</v>
      </c>
      <c r="AC345">
        <v>1</v>
      </c>
      <c r="AD345" s="2">
        <v>44927</v>
      </c>
      <c r="AE345" s="1" t="s">
        <v>44</v>
      </c>
      <c r="AF345" s="1" t="s">
        <v>54</v>
      </c>
      <c r="AG345" s="1" t="s">
        <v>63</v>
      </c>
      <c r="AH345" s="1" t="s">
        <v>47</v>
      </c>
      <c r="AI345">
        <v>39284</v>
      </c>
      <c r="AJ345">
        <v>-280.59999999999854</v>
      </c>
    </row>
    <row r="346" spans="1:36" x14ac:dyDescent="0.25">
      <c r="A346">
        <v>10345</v>
      </c>
      <c r="B346">
        <v>63</v>
      </c>
      <c r="C346" s="1" t="s">
        <v>36</v>
      </c>
      <c r="D346" s="1" t="s">
        <v>69</v>
      </c>
      <c r="E346" s="2">
        <v>44684</v>
      </c>
      <c r="F346" s="2">
        <v>45064</v>
      </c>
      <c r="G346" s="1" t="s">
        <v>62</v>
      </c>
      <c r="H346">
        <v>945</v>
      </c>
      <c r="I346">
        <v>12</v>
      </c>
      <c r="J346">
        <v>2</v>
      </c>
      <c r="K346">
        <v>118.67</v>
      </c>
      <c r="L346">
        <v>5</v>
      </c>
      <c r="M346" s="1" t="s">
        <v>39</v>
      </c>
      <c r="N346" s="1" t="s">
        <v>56</v>
      </c>
      <c r="O346">
        <v>11292.75</v>
      </c>
      <c r="P346" t="b">
        <v>1</v>
      </c>
      <c r="Q346">
        <v>1</v>
      </c>
      <c r="R346">
        <v>941.0625</v>
      </c>
      <c r="S346">
        <v>39.556666666666665</v>
      </c>
      <c r="T346" s="2">
        <v>44682</v>
      </c>
      <c r="U346" s="1" t="s">
        <v>41</v>
      </c>
      <c r="V346">
        <v>0</v>
      </c>
      <c r="W346" s="1" t="s">
        <v>56</v>
      </c>
      <c r="X346">
        <v>380</v>
      </c>
      <c r="Y346" s="1" t="s">
        <v>43</v>
      </c>
      <c r="Z346" s="1" t="s">
        <v>42</v>
      </c>
      <c r="AA346">
        <v>0.15384615384615385</v>
      </c>
      <c r="AB346" s="1" t="s">
        <v>52</v>
      </c>
      <c r="AC346">
        <v>2</v>
      </c>
      <c r="AD346" s="2">
        <v>44682</v>
      </c>
      <c r="AE346" s="1" t="s">
        <v>74</v>
      </c>
      <c r="AF346" s="1" t="s">
        <v>72</v>
      </c>
      <c r="AG346" s="1" t="s">
        <v>63</v>
      </c>
      <c r="AH346" s="1" t="s">
        <v>59</v>
      </c>
      <c r="AI346">
        <v>11340</v>
      </c>
      <c r="AJ346">
        <v>-47.25</v>
      </c>
    </row>
    <row r="347" spans="1:36" x14ac:dyDescent="0.25">
      <c r="A347">
        <v>10346</v>
      </c>
      <c r="B347">
        <v>48</v>
      </c>
      <c r="C347" s="1" t="s">
        <v>36</v>
      </c>
      <c r="D347" s="1" t="s">
        <v>71</v>
      </c>
      <c r="E347" s="2">
        <v>44726</v>
      </c>
      <c r="F347" s="2">
        <v>44911</v>
      </c>
      <c r="G347" s="1" t="s">
        <v>38</v>
      </c>
      <c r="H347">
        <v>415</v>
      </c>
      <c r="I347">
        <v>33</v>
      </c>
      <c r="J347">
        <v>1</v>
      </c>
      <c r="K347">
        <v>82.06</v>
      </c>
      <c r="L347">
        <v>10</v>
      </c>
      <c r="M347" s="1" t="s">
        <v>39</v>
      </c>
      <c r="N347" s="1" t="s">
        <v>56</v>
      </c>
      <c r="O347">
        <v>13653.5</v>
      </c>
      <c r="P347" t="b">
        <v>1</v>
      </c>
      <c r="Q347">
        <v>2.75</v>
      </c>
      <c r="R347">
        <v>413.74242424242425</v>
      </c>
      <c r="S347">
        <v>41.03</v>
      </c>
      <c r="T347" s="2">
        <v>44713</v>
      </c>
      <c r="U347" s="1" t="s">
        <v>51</v>
      </c>
      <c r="V347">
        <v>0</v>
      </c>
      <c r="W347" s="1" t="s">
        <v>40</v>
      </c>
      <c r="X347">
        <v>185</v>
      </c>
      <c r="Y347" s="1" t="s">
        <v>43</v>
      </c>
      <c r="Z347" s="1" t="s">
        <v>42</v>
      </c>
      <c r="AA347">
        <v>2.9411764705882353E-2</v>
      </c>
      <c r="AB347" s="1" t="s">
        <v>52</v>
      </c>
      <c r="AC347">
        <v>1</v>
      </c>
      <c r="AD347" s="2">
        <v>44713</v>
      </c>
      <c r="AE347" s="1" t="s">
        <v>44</v>
      </c>
      <c r="AF347" s="1" t="s">
        <v>54</v>
      </c>
      <c r="AG347" s="1" t="s">
        <v>63</v>
      </c>
      <c r="AH347" s="1" t="s">
        <v>68</v>
      </c>
      <c r="AI347">
        <v>13695</v>
      </c>
      <c r="AJ347">
        <v>-41.5</v>
      </c>
    </row>
    <row r="348" spans="1:36" x14ac:dyDescent="0.25">
      <c r="A348">
        <v>10347</v>
      </c>
      <c r="B348">
        <v>52</v>
      </c>
      <c r="C348" s="1" t="s">
        <v>36</v>
      </c>
      <c r="D348" s="1" t="s">
        <v>37</v>
      </c>
      <c r="E348" s="2">
        <v>44269</v>
      </c>
      <c r="F348" s="2">
        <v>44997</v>
      </c>
      <c r="G348" s="1" t="s">
        <v>62</v>
      </c>
      <c r="H348">
        <v>1262</v>
      </c>
      <c r="I348">
        <v>20</v>
      </c>
      <c r="J348">
        <v>5</v>
      </c>
      <c r="K348">
        <v>92.38</v>
      </c>
      <c r="L348">
        <v>20</v>
      </c>
      <c r="M348" s="1" t="s">
        <v>50</v>
      </c>
      <c r="N348" s="1" t="s">
        <v>56</v>
      </c>
      <c r="O348">
        <v>24987.599999999999</v>
      </c>
      <c r="P348" t="b">
        <v>1</v>
      </c>
      <c r="Q348">
        <v>1.6666666666666667</v>
      </c>
      <c r="R348">
        <v>1249.3799999999999</v>
      </c>
      <c r="S348">
        <v>15.396666666666667</v>
      </c>
      <c r="T348" s="2">
        <v>44256</v>
      </c>
      <c r="U348" s="1" t="s">
        <v>41</v>
      </c>
      <c r="V348">
        <v>0</v>
      </c>
      <c r="W348" s="1" t="s">
        <v>40</v>
      </c>
      <c r="X348">
        <v>728</v>
      </c>
      <c r="Y348" s="1" t="s">
        <v>43</v>
      </c>
      <c r="Z348" s="1" t="s">
        <v>52</v>
      </c>
      <c r="AA348">
        <v>0.23809523809523808</v>
      </c>
      <c r="AB348" s="1" t="s">
        <v>43</v>
      </c>
      <c r="AC348">
        <v>2</v>
      </c>
      <c r="AD348" s="2">
        <v>44256</v>
      </c>
      <c r="AE348" s="1" t="s">
        <v>53</v>
      </c>
      <c r="AF348" s="1" t="s">
        <v>45</v>
      </c>
      <c r="AG348" s="1" t="s">
        <v>63</v>
      </c>
      <c r="AH348" s="1" t="s">
        <v>47</v>
      </c>
      <c r="AI348">
        <v>25240</v>
      </c>
      <c r="AJ348">
        <v>-252.40000000000146</v>
      </c>
    </row>
    <row r="349" spans="1:36" x14ac:dyDescent="0.25">
      <c r="A349">
        <v>10348</v>
      </c>
      <c r="B349">
        <v>50</v>
      </c>
      <c r="C349" s="1" t="s">
        <v>36</v>
      </c>
      <c r="D349" s="1" t="s">
        <v>73</v>
      </c>
      <c r="E349" s="2">
        <v>44897</v>
      </c>
      <c r="F349" s="2">
        <v>44819</v>
      </c>
      <c r="G349" s="1" t="s">
        <v>38</v>
      </c>
      <c r="H349">
        <v>1492</v>
      </c>
      <c r="I349">
        <v>21</v>
      </c>
      <c r="J349">
        <v>3</v>
      </c>
      <c r="K349">
        <v>18.690000000000001</v>
      </c>
      <c r="L349">
        <v>0</v>
      </c>
      <c r="M349" s="1" t="s">
        <v>39</v>
      </c>
      <c r="N349" s="1" t="s">
        <v>40</v>
      </c>
      <c r="O349">
        <v>31332</v>
      </c>
      <c r="P349" t="b">
        <v>0</v>
      </c>
      <c r="Q349">
        <v>1.75</v>
      </c>
      <c r="R349">
        <v>1492</v>
      </c>
      <c r="S349">
        <v>4.6725000000000003</v>
      </c>
      <c r="T349" s="2">
        <v>44896</v>
      </c>
      <c r="U349" s="1" t="s">
        <v>51</v>
      </c>
      <c r="V349">
        <v>1</v>
      </c>
      <c r="W349" s="1" t="s">
        <v>40</v>
      </c>
      <c r="Y349" s="1" t="s">
        <v>42</v>
      </c>
      <c r="Z349" s="1" t="s">
        <v>42</v>
      </c>
      <c r="AA349">
        <v>0.13636363636363635</v>
      </c>
      <c r="AB349" s="1" t="s">
        <v>43</v>
      </c>
      <c r="AC349">
        <v>1</v>
      </c>
      <c r="AD349" s="2">
        <v>44896</v>
      </c>
      <c r="AE349" s="1" t="s">
        <v>53</v>
      </c>
      <c r="AF349" s="1" t="s">
        <v>72</v>
      </c>
      <c r="AG349" s="1" t="s">
        <v>46</v>
      </c>
      <c r="AH349" s="1" t="s">
        <v>47</v>
      </c>
      <c r="AI349">
        <v>31332</v>
      </c>
      <c r="AJ349">
        <v>0</v>
      </c>
    </row>
    <row r="350" spans="1:36" x14ac:dyDescent="0.25">
      <c r="A350">
        <v>10349</v>
      </c>
      <c r="B350">
        <v>38</v>
      </c>
      <c r="C350" s="1" t="s">
        <v>60</v>
      </c>
      <c r="D350" s="1" t="s">
        <v>48</v>
      </c>
      <c r="E350" s="2">
        <v>44213</v>
      </c>
      <c r="F350" s="2">
        <v>44421</v>
      </c>
      <c r="G350" s="1" t="s">
        <v>49</v>
      </c>
      <c r="H350">
        <v>1146</v>
      </c>
      <c r="I350">
        <v>22</v>
      </c>
      <c r="J350">
        <v>1</v>
      </c>
      <c r="K350">
        <v>59.41</v>
      </c>
      <c r="L350">
        <v>15</v>
      </c>
      <c r="M350" s="1" t="s">
        <v>67</v>
      </c>
      <c r="N350" s="1" t="s">
        <v>56</v>
      </c>
      <c r="O350">
        <v>25040.1</v>
      </c>
      <c r="P350" t="b">
        <v>1</v>
      </c>
      <c r="Q350">
        <v>1.8333333333333333</v>
      </c>
      <c r="R350">
        <v>1138.1863636363635</v>
      </c>
      <c r="S350">
        <v>29.704999999999998</v>
      </c>
      <c r="T350" s="2">
        <v>44197</v>
      </c>
      <c r="U350" s="1" t="s">
        <v>51</v>
      </c>
      <c r="V350">
        <v>0</v>
      </c>
      <c r="W350" s="1" t="s">
        <v>40</v>
      </c>
      <c r="X350">
        <v>208</v>
      </c>
      <c r="Y350" s="1" t="s">
        <v>52</v>
      </c>
      <c r="Z350" s="1" t="s">
        <v>42</v>
      </c>
      <c r="AA350">
        <v>4.3478260869565216E-2</v>
      </c>
      <c r="AB350" s="1" t="s">
        <v>43</v>
      </c>
      <c r="AC350">
        <v>3</v>
      </c>
      <c r="AD350" s="2">
        <v>44197</v>
      </c>
      <c r="AE350" s="1" t="s">
        <v>53</v>
      </c>
      <c r="AF350" s="1" t="s">
        <v>54</v>
      </c>
      <c r="AG350" s="1" t="s">
        <v>63</v>
      </c>
      <c r="AH350" s="1" t="s">
        <v>47</v>
      </c>
      <c r="AI350">
        <v>25212</v>
      </c>
      <c r="AJ350">
        <v>-171.90000000000146</v>
      </c>
    </row>
    <row r="351" spans="1:36" x14ac:dyDescent="0.25">
      <c r="A351">
        <v>10350</v>
      </c>
      <c r="B351">
        <v>49</v>
      </c>
      <c r="C351" s="1" t="s">
        <v>36</v>
      </c>
      <c r="D351" s="1" t="s">
        <v>48</v>
      </c>
      <c r="E351" s="2">
        <v>44727</v>
      </c>
      <c r="F351" s="2">
        <v>44900</v>
      </c>
      <c r="G351" s="1" t="s">
        <v>38</v>
      </c>
      <c r="H351">
        <v>615</v>
      </c>
      <c r="I351">
        <v>26</v>
      </c>
      <c r="J351">
        <v>2</v>
      </c>
      <c r="K351">
        <v>37.92</v>
      </c>
      <c r="L351">
        <v>10</v>
      </c>
      <c r="M351" s="1" t="s">
        <v>39</v>
      </c>
      <c r="N351" s="1" t="s">
        <v>56</v>
      </c>
      <c r="O351">
        <v>15928.5</v>
      </c>
      <c r="P351" t="b">
        <v>1</v>
      </c>
      <c r="Q351">
        <v>2.1666666666666665</v>
      </c>
      <c r="R351">
        <v>612.63461538461536</v>
      </c>
      <c r="S351">
        <v>12.64</v>
      </c>
      <c r="T351" s="2">
        <v>44713</v>
      </c>
      <c r="U351" s="1" t="s">
        <v>51</v>
      </c>
      <c r="V351">
        <v>0</v>
      </c>
      <c r="W351" s="1" t="s">
        <v>40</v>
      </c>
      <c r="X351">
        <v>173</v>
      </c>
      <c r="Y351" s="1" t="s">
        <v>52</v>
      </c>
      <c r="Z351" s="1" t="s">
        <v>42</v>
      </c>
      <c r="AA351">
        <v>7.407407407407407E-2</v>
      </c>
      <c r="AB351" s="1" t="s">
        <v>52</v>
      </c>
      <c r="AC351">
        <v>1</v>
      </c>
      <c r="AD351" s="2">
        <v>44713</v>
      </c>
      <c r="AE351" s="1" t="s">
        <v>44</v>
      </c>
      <c r="AF351" s="1" t="s">
        <v>72</v>
      </c>
      <c r="AG351" s="1" t="s">
        <v>55</v>
      </c>
      <c r="AH351" s="1" t="s">
        <v>64</v>
      </c>
      <c r="AI351">
        <v>15990</v>
      </c>
      <c r="AJ351">
        <v>-61.5</v>
      </c>
    </row>
    <row r="352" spans="1:36" x14ac:dyDescent="0.25">
      <c r="A352">
        <v>10351</v>
      </c>
      <c r="B352">
        <v>40</v>
      </c>
      <c r="C352" s="1" t="s">
        <v>60</v>
      </c>
      <c r="D352" s="1" t="s">
        <v>48</v>
      </c>
      <c r="E352" s="2">
        <v>44927</v>
      </c>
      <c r="F352" s="2">
        <v>44826</v>
      </c>
      <c r="G352" s="1" t="s">
        <v>38</v>
      </c>
      <c r="H352">
        <v>1109</v>
      </c>
      <c r="I352">
        <v>7</v>
      </c>
      <c r="J352">
        <v>3</v>
      </c>
      <c r="K352">
        <v>62.59</v>
      </c>
      <c r="L352">
        <v>5</v>
      </c>
      <c r="M352" s="1" t="s">
        <v>67</v>
      </c>
      <c r="N352" s="1" t="s">
        <v>56</v>
      </c>
      <c r="O352">
        <v>7707.55</v>
      </c>
      <c r="P352" t="b">
        <v>0</v>
      </c>
      <c r="Q352">
        <v>0.58333333333333337</v>
      </c>
      <c r="R352">
        <v>1101.0785714285714</v>
      </c>
      <c r="S352">
        <v>15.647500000000001</v>
      </c>
      <c r="T352" s="2">
        <v>44927</v>
      </c>
      <c r="U352" s="1" t="s">
        <v>51</v>
      </c>
      <c r="V352">
        <v>0</v>
      </c>
      <c r="W352" s="1" t="s">
        <v>56</v>
      </c>
      <c r="Y352" s="1" t="s">
        <v>43</v>
      </c>
      <c r="Z352" s="1" t="s">
        <v>42</v>
      </c>
      <c r="AA352">
        <v>0.375</v>
      </c>
      <c r="AB352" s="1" t="s">
        <v>42</v>
      </c>
      <c r="AC352">
        <v>1</v>
      </c>
      <c r="AD352" s="2">
        <v>44927</v>
      </c>
      <c r="AE352" s="1" t="s">
        <v>74</v>
      </c>
      <c r="AF352" s="1" t="s">
        <v>72</v>
      </c>
      <c r="AG352" s="1" t="s">
        <v>63</v>
      </c>
      <c r="AH352" s="1" t="s">
        <v>47</v>
      </c>
      <c r="AI352">
        <v>7763</v>
      </c>
      <c r="AJ352">
        <v>-55.449999999999818</v>
      </c>
    </row>
    <row r="353" spans="1:36" x14ac:dyDescent="0.25">
      <c r="A353">
        <v>10352</v>
      </c>
      <c r="B353">
        <v>50</v>
      </c>
      <c r="C353" s="1" t="s">
        <v>60</v>
      </c>
      <c r="D353" s="1" t="s">
        <v>48</v>
      </c>
      <c r="E353" s="2">
        <v>44522</v>
      </c>
      <c r="F353" s="2">
        <v>44936</v>
      </c>
      <c r="G353" s="1" t="s">
        <v>62</v>
      </c>
      <c r="H353">
        <v>671</v>
      </c>
      <c r="I353">
        <v>7</v>
      </c>
      <c r="J353">
        <v>3</v>
      </c>
      <c r="K353">
        <v>25.85</v>
      </c>
      <c r="L353">
        <v>5</v>
      </c>
      <c r="M353" s="1" t="s">
        <v>50</v>
      </c>
      <c r="N353" s="1" t="s">
        <v>56</v>
      </c>
      <c r="O353">
        <v>4663.45</v>
      </c>
      <c r="P353" t="b">
        <v>1</v>
      </c>
      <c r="Q353">
        <v>0.58333333333333337</v>
      </c>
      <c r="R353">
        <v>666.2071428571428</v>
      </c>
      <c r="S353">
        <v>6.4625000000000004</v>
      </c>
      <c r="T353" s="2">
        <v>44501</v>
      </c>
      <c r="U353" s="1" t="s">
        <v>51</v>
      </c>
      <c r="V353">
        <v>0</v>
      </c>
      <c r="W353" s="1" t="s">
        <v>56</v>
      </c>
      <c r="X353">
        <v>414</v>
      </c>
      <c r="Y353" s="1" t="s">
        <v>52</v>
      </c>
      <c r="Z353" s="1" t="s">
        <v>42</v>
      </c>
      <c r="AA353">
        <v>0.375</v>
      </c>
      <c r="AB353" s="1" t="s">
        <v>42</v>
      </c>
      <c r="AC353">
        <v>2</v>
      </c>
      <c r="AD353" s="2">
        <v>44501</v>
      </c>
      <c r="AE353" s="1" t="s">
        <v>74</v>
      </c>
      <c r="AF353" s="1" t="s">
        <v>72</v>
      </c>
      <c r="AG353" s="1" t="s">
        <v>70</v>
      </c>
      <c r="AH353" s="1" t="s">
        <v>64</v>
      </c>
      <c r="AI353">
        <v>4697</v>
      </c>
      <c r="AJ353">
        <v>-33.550000000000182</v>
      </c>
    </row>
    <row r="354" spans="1:36" x14ac:dyDescent="0.25">
      <c r="A354">
        <v>10353</v>
      </c>
      <c r="B354">
        <v>41</v>
      </c>
      <c r="C354" s="1" t="s">
        <v>36</v>
      </c>
      <c r="D354" s="1" t="s">
        <v>69</v>
      </c>
      <c r="E354" s="2">
        <v>44828</v>
      </c>
      <c r="F354" s="2">
        <v>44734</v>
      </c>
      <c r="G354" s="1" t="s">
        <v>38</v>
      </c>
      <c r="H354">
        <v>1059</v>
      </c>
      <c r="I354">
        <v>8</v>
      </c>
      <c r="J354">
        <v>5</v>
      </c>
      <c r="K354">
        <v>57.75</v>
      </c>
      <c r="L354">
        <v>20</v>
      </c>
      <c r="M354" s="1" t="s">
        <v>50</v>
      </c>
      <c r="N354" s="1" t="s">
        <v>56</v>
      </c>
      <c r="O354">
        <v>8260.2000000000007</v>
      </c>
      <c r="P354" t="b">
        <v>0</v>
      </c>
      <c r="Q354">
        <v>0.66666666666666663</v>
      </c>
      <c r="R354">
        <v>1032.5250000000001</v>
      </c>
      <c r="S354">
        <v>9.625</v>
      </c>
      <c r="T354" s="2">
        <v>44805</v>
      </c>
      <c r="U354" s="1" t="s">
        <v>51</v>
      </c>
      <c r="V354">
        <v>0</v>
      </c>
      <c r="W354" s="1" t="s">
        <v>56</v>
      </c>
      <c r="Y354" s="1" t="s">
        <v>52</v>
      </c>
      <c r="Z354" s="1" t="s">
        <v>52</v>
      </c>
      <c r="AA354">
        <v>0.55555555555555558</v>
      </c>
      <c r="AB354" s="1" t="s">
        <v>42</v>
      </c>
      <c r="AC354">
        <v>1</v>
      </c>
      <c r="AD354" s="2">
        <v>44805</v>
      </c>
      <c r="AE354" s="1" t="s">
        <v>74</v>
      </c>
      <c r="AF354" s="1" t="s">
        <v>45</v>
      </c>
      <c r="AG354" s="1" t="s">
        <v>63</v>
      </c>
      <c r="AH354" s="1" t="s">
        <v>47</v>
      </c>
      <c r="AI354">
        <v>8472</v>
      </c>
      <c r="AJ354">
        <v>-211.79999999999927</v>
      </c>
    </row>
    <row r="355" spans="1:36" x14ac:dyDescent="0.25">
      <c r="A355">
        <v>10354</v>
      </c>
      <c r="B355">
        <v>35</v>
      </c>
      <c r="C355" s="1" t="s">
        <v>60</v>
      </c>
      <c r="D355" s="1" t="s">
        <v>48</v>
      </c>
      <c r="E355" s="2">
        <v>44809</v>
      </c>
      <c r="F355" s="2">
        <v>45046</v>
      </c>
      <c r="G355" s="1" t="s">
        <v>49</v>
      </c>
      <c r="H355">
        <v>1176</v>
      </c>
      <c r="I355">
        <v>26</v>
      </c>
      <c r="J355">
        <v>1</v>
      </c>
      <c r="K355">
        <v>72.63</v>
      </c>
      <c r="L355">
        <v>10</v>
      </c>
      <c r="M355" s="1" t="s">
        <v>67</v>
      </c>
      <c r="N355" s="1" t="s">
        <v>40</v>
      </c>
      <c r="O355">
        <v>30458.400000000001</v>
      </c>
      <c r="P355" t="b">
        <v>1</v>
      </c>
      <c r="Q355">
        <v>2.1666666666666665</v>
      </c>
      <c r="R355">
        <v>1171.4769230769232</v>
      </c>
      <c r="S355">
        <v>36.314999999999998</v>
      </c>
      <c r="T355" s="2">
        <v>44805</v>
      </c>
      <c r="U355" s="1" t="s">
        <v>57</v>
      </c>
      <c r="V355">
        <v>1</v>
      </c>
      <c r="W355" s="1" t="s">
        <v>40</v>
      </c>
      <c r="X355">
        <v>237</v>
      </c>
      <c r="Y355" s="1" t="s">
        <v>43</v>
      </c>
      <c r="Z355" s="1" t="s">
        <v>42</v>
      </c>
      <c r="AA355">
        <v>3.7037037037037035E-2</v>
      </c>
      <c r="AB355" s="1" t="s">
        <v>43</v>
      </c>
      <c r="AC355">
        <v>3</v>
      </c>
      <c r="AD355" s="2">
        <v>44805</v>
      </c>
      <c r="AE355" s="1" t="s">
        <v>44</v>
      </c>
      <c r="AF355" s="1" t="s">
        <v>54</v>
      </c>
      <c r="AG355" s="1" t="s">
        <v>63</v>
      </c>
      <c r="AH355" s="1" t="s">
        <v>47</v>
      </c>
      <c r="AI355">
        <v>30576</v>
      </c>
      <c r="AJ355">
        <v>-117.59999999999854</v>
      </c>
    </row>
    <row r="356" spans="1:36" x14ac:dyDescent="0.25">
      <c r="A356">
        <v>10355</v>
      </c>
      <c r="B356">
        <v>42</v>
      </c>
      <c r="C356" s="1" t="s">
        <v>60</v>
      </c>
      <c r="D356" s="1" t="s">
        <v>37</v>
      </c>
      <c r="E356" s="2">
        <v>44742</v>
      </c>
      <c r="F356" s="2">
        <v>45229</v>
      </c>
      <c r="G356" s="1" t="s">
        <v>62</v>
      </c>
      <c r="H356">
        <v>1276</v>
      </c>
      <c r="I356">
        <v>24</v>
      </c>
      <c r="J356">
        <v>0</v>
      </c>
      <c r="K356">
        <v>64.11</v>
      </c>
      <c r="L356">
        <v>0</v>
      </c>
      <c r="M356" s="1" t="s">
        <v>39</v>
      </c>
      <c r="N356" s="1" t="s">
        <v>56</v>
      </c>
      <c r="O356">
        <v>30624</v>
      </c>
      <c r="P356" t="b">
        <v>1</v>
      </c>
      <c r="Q356">
        <v>2</v>
      </c>
      <c r="R356">
        <v>1276</v>
      </c>
      <c r="S356">
        <v>64.11</v>
      </c>
      <c r="T356" s="2">
        <v>44713</v>
      </c>
      <c r="U356" s="1" t="s">
        <v>51</v>
      </c>
      <c r="V356">
        <v>0</v>
      </c>
      <c r="W356" s="1" t="s">
        <v>40</v>
      </c>
      <c r="X356">
        <v>487</v>
      </c>
      <c r="Y356" s="1" t="s">
        <v>43</v>
      </c>
      <c r="Z356" s="1" t="s">
        <v>42</v>
      </c>
      <c r="AA356">
        <v>0</v>
      </c>
      <c r="AB356" s="1" t="s">
        <v>43</v>
      </c>
      <c r="AC356">
        <v>2</v>
      </c>
      <c r="AD356" s="2">
        <v>44713</v>
      </c>
      <c r="AE356" s="1" t="s">
        <v>53</v>
      </c>
      <c r="AF356" s="1" t="s">
        <v>54</v>
      </c>
      <c r="AG356" s="1" t="s">
        <v>63</v>
      </c>
      <c r="AH356" s="1" t="s">
        <v>47</v>
      </c>
      <c r="AI356">
        <v>30624</v>
      </c>
      <c r="AJ356">
        <v>0</v>
      </c>
    </row>
    <row r="357" spans="1:36" x14ac:dyDescent="0.25">
      <c r="A357">
        <v>10356</v>
      </c>
      <c r="B357">
        <v>59</v>
      </c>
      <c r="C357" s="1" t="s">
        <v>36</v>
      </c>
      <c r="D357" s="1" t="s">
        <v>69</v>
      </c>
      <c r="E357" s="2">
        <v>44792</v>
      </c>
      <c r="F357" s="2">
        <v>44911</v>
      </c>
      <c r="G357" s="1" t="s">
        <v>62</v>
      </c>
      <c r="H357">
        <v>455</v>
      </c>
      <c r="I357">
        <v>24</v>
      </c>
      <c r="J357">
        <v>0</v>
      </c>
      <c r="K357">
        <v>100.48</v>
      </c>
      <c r="L357">
        <v>20</v>
      </c>
      <c r="M357" s="1" t="s">
        <v>39</v>
      </c>
      <c r="N357" s="1" t="s">
        <v>56</v>
      </c>
      <c r="O357">
        <v>10829</v>
      </c>
      <c r="P357" t="b">
        <v>1</v>
      </c>
      <c r="Q357">
        <v>2</v>
      </c>
      <c r="R357">
        <v>451.20833333333331</v>
      </c>
      <c r="S357">
        <v>100.48</v>
      </c>
      <c r="T357" s="2">
        <v>44774</v>
      </c>
      <c r="U357" s="1" t="s">
        <v>41</v>
      </c>
      <c r="V357">
        <v>0</v>
      </c>
      <c r="W357" s="1" t="s">
        <v>56</v>
      </c>
      <c r="X357">
        <v>119</v>
      </c>
      <c r="Y357" s="1" t="s">
        <v>43</v>
      </c>
      <c r="Z357" s="1" t="s">
        <v>52</v>
      </c>
      <c r="AA357">
        <v>0</v>
      </c>
      <c r="AB357" s="1" t="s">
        <v>52</v>
      </c>
      <c r="AC357">
        <v>2</v>
      </c>
      <c r="AD357" s="2">
        <v>44774</v>
      </c>
      <c r="AE357" s="1" t="s">
        <v>53</v>
      </c>
      <c r="AF357" s="1" t="s">
        <v>54</v>
      </c>
      <c r="AG357" s="1" t="s">
        <v>63</v>
      </c>
      <c r="AH357" s="1" t="s">
        <v>68</v>
      </c>
      <c r="AI357">
        <v>10920</v>
      </c>
      <c r="AJ357">
        <v>-91</v>
      </c>
    </row>
    <row r="358" spans="1:36" x14ac:dyDescent="0.25">
      <c r="A358">
        <v>10357</v>
      </c>
      <c r="B358">
        <v>48</v>
      </c>
      <c r="C358" s="1" t="s">
        <v>60</v>
      </c>
      <c r="D358" s="1" t="s">
        <v>48</v>
      </c>
      <c r="E358" s="2">
        <v>44904</v>
      </c>
      <c r="F358" s="2">
        <v>44780</v>
      </c>
      <c r="G358" s="1" t="s">
        <v>38</v>
      </c>
      <c r="H358">
        <v>913</v>
      </c>
      <c r="I358">
        <v>12</v>
      </c>
      <c r="J358">
        <v>4</v>
      </c>
      <c r="K358">
        <v>31.62</v>
      </c>
      <c r="L358">
        <v>5</v>
      </c>
      <c r="M358" s="1" t="s">
        <v>65</v>
      </c>
      <c r="N358" s="1" t="s">
        <v>56</v>
      </c>
      <c r="O358">
        <v>10910.35</v>
      </c>
      <c r="P358" t="b">
        <v>0</v>
      </c>
      <c r="Q358">
        <v>1</v>
      </c>
      <c r="R358">
        <v>909.19583333333333</v>
      </c>
      <c r="S358">
        <v>6.3239999999999998</v>
      </c>
      <c r="T358" s="2">
        <v>44896</v>
      </c>
      <c r="U358" s="1" t="s">
        <v>51</v>
      </c>
      <c r="V358">
        <v>0</v>
      </c>
      <c r="W358" s="1" t="s">
        <v>56</v>
      </c>
      <c r="Y358" s="1" t="s">
        <v>52</v>
      </c>
      <c r="Z358" s="1" t="s">
        <v>42</v>
      </c>
      <c r="AA358">
        <v>0.30769230769230771</v>
      </c>
      <c r="AB358" s="1" t="s">
        <v>52</v>
      </c>
      <c r="AC358">
        <v>1</v>
      </c>
      <c r="AD358" s="2">
        <v>44896</v>
      </c>
      <c r="AE358" s="1" t="s">
        <v>74</v>
      </c>
      <c r="AF358" s="1" t="s">
        <v>45</v>
      </c>
      <c r="AG358" s="1" t="s">
        <v>55</v>
      </c>
      <c r="AH358" s="1" t="s">
        <v>59</v>
      </c>
      <c r="AI358">
        <v>10956</v>
      </c>
      <c r="AJ358">
        <v>-45.649999999999636</v>
      </c>
    </row>
    <row r="359" spans="1:36" x14ac:dyDescent="0.25">
      <c r="A359">
        <v>10358</v>
      </c>
      <c r="B359">
        <v>20</v>
      </c>
      <c r="C359" s="1" t="s">
        <v>36</v>
      </c>
      <c r="D359" s="1" t="s">
        <v>71</v>
      </c>
      <c r="E359" s="2">
        <v>45038</v>
      </c>
      <c r="F359" s="2">
        <v>44759</v>
      </c>
      <c r="G359" s="1" t="s">
        <v>49</v>
      </c>
      <c r="H359">
        <v>1336</v>
      </c>
      <c r="I359">
        <v>8</v>
      </c>
      <c r="J359">
        <v>0</v>
      </c>
      <c r="K359">
        <v>48.4</v>
      </c>
      <c r="L359">
        <v>10</v>
      </c>
      <c r="M359" s="1" t="s">
        <v>50</v>
      </c>
      <c r="N359" s="1" t="s">
        <v>56</v>
      </c>
      <c r="O359">
        <v>10554.4</v>
      </c>
      <c r="P359" t="b">
        <v>0</v>
      </c>
      <c r="Q359">
        <v>0.66666666666666663</v>
      </c>
      <c r="R359">
        <v>1319.3</v>
      </c>
      <c r="S359">
        <v>48.4</v>
      </c>
      <c r="T359" s="2">
        <v>45017</v>
      </c>
      <c r="U359" s="1" t="s">
        <v>66</v>
      </c>
      <c r="V359">
        <v>0</v>
      </c>
      <c r="W359" s="1" t="s">
        <v>56</v>
      </c>
      <c r="Y359" s="1" t="s">
        <v>52</v>
      </c>
      <c r="Z359" s="1" t="s">
        <v>42</v>
      </c>
      <c r="AA359">
        <v>0</v>
      </c>
      <c r="AB359" s="1" t="s">
        <v>52</v>
      </c>
      <c r="AC359">
        <v>3</v>
      </c>
      <c r="AD359" s="2">
        <v>45017</v>
      </c>
      <c r="AE359" s="1" t="s">
        <v>74</v>
      </c>
      <c r="AF359" s="1" t="s">
        <v>54</v>
      </c>
      <c r="AG359" s="1" t="s">
        <v>63</v>
      </c>
      <c r="AH359" s="1" t="s">
        <v>47</v>
      </c>
      <c r="AI359">
        <v>10688</v>
      </c>
      <c r="AJ359">
        <v>-133.60000000000036</v>
      </c>
    </row>
    <row r="360" spans="1:36" x14ac:dyDescent="0.25">
      <c r="A360">
        <v>10359</v>
      </c>
      <c r="B360">
        <v>57</v>
      </c>
      <c r="C360" s="1" t="s">
        <v>60</v>
      </c>
      <c r="D360" s="1" t="s">
        <v>61</v>
      </c>
      <c r="E360" s="2">
        <v>44398</v>
      </c>
      <c r="F360" s="2">
        <v>44814</v>
      </c>
      <c r="G360" s="1" t="s">
        <v>62</v>
      </c>
      <c r="H360">
        <v>807</v>
      </c>
      <c r="I360">
        <v>9</v>
      </c>
      <c r="J360">
        <v>1</v>
      </c>
      <c r="K360">
        <v>96.09</v>
      </c>
      <c r="L360">
        <v>15</v>
      </c>
      <c r="M360" s="1" t="s">
        <v>50</v>
      </c>
      <c r="N360" s="1" t="s">
        <v>40</v>
      </c>
      <c r="O360">
        <v>7141.95</v>
      </c>
      <c r="P360" t="b">
        <v>1</v>
      </c>
      <c r="Q360">
        <v>0.75</v>
      </c>
      <c r="R360">
        <v>793.55</v>
      </c>
      <c r="S360">
        <v>48.045000000000002</v>
      </c>
      <c r="T360" s="2">
        <v>44378</v>
      </c>
      <c r="U360" s="1" t="s">
        <v>41</v>
      </c>
      <c r="V360">
        <v>1</v>
      </c>
      <c r="W360" s="1" t="s">
        <v>56</v>
      </c>
      <c r="X360">
        <v>416</v>
      </c>
      <c r="Y360" s="1" t="s">
        <v>43</v>
      </c>
      <c r="Z360" s="1" t="s">
        <v>42</v>
      </c>
      <c r="AA360">
        <v>0.1</v>
      </c>
      <c r="AB360" s="1" t="s">
        <v>42</v>
      </c>
      <c r="AC360">
        <v>2</v>
      </c>
      <c r="AD360" s="2">
        <v>44378</v>
      </c>
      <c r="AE360" s="1" t="s">
        <v>74</v>
      </c>
      <c r="AF360" s="1" t="s">
        <v>54</v>
      </c>
      <c r="AG360" s="1" t="s">
        <v>63</v>
      </c>
      <c r="AH360" s="1" t="s">
        <v>59</v>
      </c>
      <c r="AI360">
        <v>7263</v>
      </c>
      <c r="AJ360">
        <v>-121.05000000000018</v>
      </c>
    </row>
    <row r="361" spans="1:36" x14ac:dyDescent="0.25">
      <c r="A361">
        <v>10360</v>
      </c>
      <c r="B361">
        <v>63</v>
      </c>
      <c r="C361" s="1" t="s">
        <v>36</v>
      </c>
      <c r="D361" s="1" t="s">
        <v>61</v>
      </c>
      <c r="E361" s="2">
        <v>44540</v>
      </c>
      <c r="F361" s="2">
        <v>44946</v>
      </c>
      <c r="G361" s="1" t="s">
        <v>38</v>
      </c>
      <c r="H361">
        <v>764</v>
      </c>
      <c r="I361">
        <v>3</v>
      </c>
      <c r="J361">
        <v>1</v>
      </c>
      <c r="K361">
        <v>65.73</v>
      </c>
      <c r="L361">
        <v>0</v>
      </c>
      <c r="M361" s="1" t="s">
        <v>67</v>
      </c>
      <c r="N361" s="1" t="s">
        <v>56</v>
      </c>
      <c r="O361">
        <v>2292</v>
      </c>
      <c r="P361" t="b">
        <v>1</v>
      </c>
      <c r="Q361">
        <v>0.25</v>
      </c>
      <c r="R361">
        <v>764</v>
      </c>
      <c r="S361">
        <v>32.865000000000002</v>
      </c>
      <c r="T361" s="2">
        <v>44531</v>
      </c>
      <c r="U361" s="1" t="s">
        <v>41</v>
      </c>
      <c r="V361">
        <v>0</v>
      </c>
      <c r="W361" s="1" t="s">
        <v>56</v>
      </c>
      <c r="X361">
        <v>406</v>
      </c>
      <c r="Y361" s="1" t="s">
        <v>43</v>
      </c>
      <c r="Z361" s="1" t="s">
        <v>42</v>
      </c>
      <c r="AA361">
        <v>0.25</v>
      </c>
      <c r="AB361" s="1" t="s">
        <v>42</v>
      </c>
      <c r="AC361">
        <v>1</v>
      </c>
      <c r="AD361" s="2">
        <v>44531</v>
      </c>
      <c r="AE361" s="1" t="s">
        <v>58</v>
      </c>
      <c r="AF361" s="1" t="s">
        <v>54</v>
      </c>
      <c r="AG361" s="1" t="s">
        <v>63</v>
      </c>
      <c r="AH361" s="1" t="s">
        <v>59</v>
      </c>
      <c r="AI361">
        <v>2292</v>
      </c>
      <c r="AJ361">
        <v>0</v>
      </c>
    </row>
    <row r="362" spans="1:36" x14ac:dyDescent="0.25">
      <c r="A362">
        <v>10361</v>
      </c>
      <c r="B362">
        <v>41</v>
      </c>
      <c r="C362" s="1" t="s">
        <v>60</v>
      </c>
      <c r="D362" s="1" t="s">
        <v>61</v>
      </c>
      <c r="E362" s="2">
        <v>45049</v>
      </c>
      <c r="F362" s="2">
        <v>44968</v>
      </c>
      <c r="G362" s="1" t="s">
        <v>38</v>
      </c>
      <c r="H362">
        <v>1082</v>
      </c>
      <c r="I362">
        <v>21</v>
      </c>
      <c r="J362">
        <v>2</v>
      </c>
      <c r="K362">
        <v>51.24</v>
      </c>
      <c r="L362">
        <v>5</v>
      </c>
      <c r="M362" s="1" t="s">
        <v>65</v>
      </c>
      <c r="N362" s="1" t="s">
        <v>56</v>
      </c>
      <c r="O362">
        <v>22667.9</v>
      </c>
      <c r="P362" t="b">
        <v>0</v>
      </c>
      <c r="Q362">
        <v>1.75</v>
      </c>
      <c r="R362">
        <v>1079.4238095238095</v>
      </c>
      <c r="S362">
        <v>17.080000000000002</v>
      </c>
      <c r="T362" s="2">
        <v>45047</v>
      </c>
      <c r="U362" s="1" t="s">
        <v>51</v>
      </c>
      <c r="V362">
        <v>0</v>
      </c>
      <c r="W362" s="1" t="s">
        <v>40</v>
      </c>
      <c r="Y362" s="1" t="s">
        <v>52</v>
      </c>
      <c r="Z362" s="1" t="s">
        <v>42</v>
      </c>
      <c r="AA362">
        <v>9.0909090909090912E-2</v>
      </c>
      <c r="AB362" s="1" t="s">
        <v>43</v>
      </c>
      <c r="AC362">
        <v>1</v>
      </c>
      <c r="AD362" s="2">
        <v>45047</v>
      </c>
      <c r="AE362" s="1" t="s">
        <v>53</v>
      </c>
      <c r="AF362" s="1" t="s">
        <v>72</v>
      </c>
      <c r="AG362" s="1" t="s">
        <v>63</v>
      </c>
      <c r="AH362" s="1" t="s">
        <v>47</v>
      </c>
      <c r="AI362">
        <v>22722</v>
      </c>
      <c r="AJ362">
        <v>-54.099999999998545</v>
      </c>
    </row>
    <row r="363" spans="1:36" x14ac:dyDescent="0.25">
      <c r="A363">
        <v>10362</v>
      </c>
      <c r="B363">
        <v>49</v>
      </c>
      <c r="C363" s="1" t="s">
        <v>60</v>
      </c>
      <c r="D363" s="1" t="s">
        <v>69</v>
      </c>
      <c r="E363" s="2">
        <v>44719</v>
      </c>
      <c r="F363" s="2">
        <v>45084</v>
      </c>
      <c r="G363" s="1" t="s">
        <v>38</v>
      </c>
      <c r="H363">
        <v>1103</v>
      </c>
      <c r="I363">
        <v>31</v>
      </c>
      <c r="J363">
        <v>1</v>
      </c>
      <c r="K363">
        <v>8.39</v>
      </c>
      <c r="L363">
        <v>10</v>
      </c>
      <c r="M363" s="1" t="s">
        <v>39</v>
      </c>
      <c r="N363" s="1" t="s">
        <v>56</v>
      </c>
      <c r="O363">
        <v>34082.699999999997</v>
      </c>
      <c r="P363" t="b">
        <v>1</v>
      </c>
      <c r="Q363">
        <v>2.5833333333333335</v>
      </c>
      <c r="R363">
        <v>1099.4419354838708</v>
      </c>
      <c r="S363">
        <v>4.1950000000000003</v>
      </c>
      <c r="T363" s="2">
        <v>44713</v>
      </c>
      <c r="U363" s="1" t="s">
        <v>51</v>
      </c>
      <c r="V363">
        <v>0</v>
      </c>
      <c r="W363" s="1" t="s">
        <v>40</v>
      </c>
      <c r="X363">
        <v>365</v>
      </c>
      <c r="Y363" s="1" t="s">
        <v>42</v>
      </c>
      <c r="Z363" s="1" t="s">
        <v>42</v>
      </c>
      <c r="AA363">
        <v>3.125E-2</v>
      </c>
      <c r="AB363" s="1" t="s">
        <v>43</v>
      </c>
      <c r="AC363">
        <v>1</v>
      </c>
      <c r="AD363" s="2">
        <v>44713</v>
      </c>
      <c r="AE363" s="1" t="s">
        <v>44</v>
      </c>
      <c r="AF363" s="1" t="s">
        <v>54</v>
      </c>
      <c r="AG363" s="1" t="s">
        <v>77</v>
      </c>
      <c r="AH363" s="1" t="s">
        <v>47</v>
      </c>
      <c r="AI363">
        <v>34193</v>
      </c>
      <c r="AJ363">
        <v>-110.30000000000291</v>
      </c>
    </row>
    <row r="364" spans="1:36" x14ac:dyDescent="0.25">
      <c r="A364">
        <v>10363</v>
      </c>
      <c r="B364">
        <v>64</v>
      </c>
      <c r="C364" s="1" t="s">
        <v>75</v>
      </c>
      <c r="D364" s="1" t="s">
        <v>48</v>
      </c>
      <c r="E364" s="2">
        <v>45055</v>
      </c>
      <c r="F364" s="2">
        <v>44595</v>
      </c>
      <c r="G364" s="1" t="s">
        <v>49</v>
      </c>
      <c r="H364">
        <v>519</v>
      </c>
      <c r="I364">
        <v>24</v>
      </c>
      <c r="J364">
        <v>3</v>
      </c>
      <c r="K364">
        <v>91.64</v>
      </c>
      <c r="L364">
        <v>15</v>
      </c>
      <c r="M364" s="1" t="s">
        <v>67</v>
      </c>
      <c r="N364" s="1" t="s">
        <v>56</v>
      </c>
      <c r="O364">
        <v>12378.15</v>
      </c>
      <c r="P364" t="b">
        <v>0</v>
      </c>
      <c r="Q364">
        <v>2</v>
      </c>
      <c r="R364">
        <v>515.75625000000002</v>
      </c>
      <c r="S364">
        <v>22.91</v>
      </c>
      <c r="T364" s="2">
        <v>45047</v>
      </c>
      <c r="U364" s="1" t="s">
        <v>41</v>
      </c>
      <c r="V364">
        <v>0</v>
      </c>
      <c r="W364" s="1" t="s">
        <v>56</v>
      </c>
      <c r="Y364" s="1" t="s">
        <v>43</v>
      </c>
      <c r="Z364" s="1" t="s">
        <v>42</v>
      </c>
      <c r="AA364">
        <v>0.12</v>
      </c>
      <c r="AB364" s="1" t="s">
        <v>52</v>
      </c>
      <c r="AC364">
        <v>3</v>
      </c>
      <c r="AD364" s="2">
        <v>45047</v>
      </c>
      <c r="AE364" s="1" t="s">
        <v>53</v>
      </c>
      <c r="AF364" s="1" t="s">
        <v>72</v>
      </c>
      <c r="AG364" s="1" t="s">
        <v>63</v>
      </c>
      <c r="AH364" s="1" t="s">
        <v>64</v>
      </c>
      <c r="AI364">
        <v>12456</v>
      </c>
      <c r="AJ364">
        <v>-77.850000000000364</v>
      </c>
    </row>
    <row r="365" spans="1:36" x14ac:dyDescent="0.25">
      <c r="A365">
        <v>10364</v>
      </c>
      <c r="B365">
        <v>39</v>
      </c>
      <c r="C365" s="1" t="s">
        <v>36</v>
      </c>
      <c r="D365" s="1" t="s">
        <v>73</v>
      </c>
      <c r="E365" s="2">
        <v>44596</v>
      </c>
      <c r="F365" s="2">
        <v>44928</v>
      </c>
      <c r="G365" s="1" t="s">
        <v>38</v>
      </c>
      <c r="H365">
        <v>314</v>
      </c>
      <c r="I365">
        <v>4</v>
      </c>
      <c r="J365">
        <v>4</v>
      </c>
      <c r="K365">
        <v>116.8</v>
      </c>
      <c r="L365">
        <v>5</v>
      </c>
      <c r="M365" s="1" t="s">
        <v>39</v>
      </c>
      <c r="N365" s="1" t="s">
        <v>56</v>
      </c>
      <c r="O365">
        <v>1240.3</v>
      </c>
      <c r="P365" t="b">
        <v>1</v>
      </c>
      <c r="Q365">
        <v>0.33333333333333331</v>
      </c>
      <c r="R365">
        <v>310.07499999999999</v>
      </c>
      <c r="S365">
        <v>23.36</v>
      </c>
      <c r="T365" s="2">
        <v>44593</v>
      </c>
      <c r="U365" s="1" t="s">
        <v>51</v>
      </c>
      <c r="V365">
        <v>0</v>
      </c>
      <c r="W365" s="1" t="s">
        <v>56</v>
      </c>
      <c r="X365">
        <v>332</v>
      </c>
      <c r="Y365" s="1" t="s">
        <v>43</v>
      </c>
      <c r="Z365" s="1" t="s">
        <v>42</v>
      </c>
      <c r="AA365">
        <v>0.8</v>
      </c>
      <c r="AB365" s="1" t="s">
        <v>42</v>
      </c>
      <c r="AC365">
        <v>1</v>
      </c>
      <c r="AD365" s="2">
        <v>44593</v>
      </c>
      <c r="AE365" s="1" t="s">
        <v>58</v>
      </c>
      <c r="AF365" s="1" t="s">
        <v>45</v>
      </c>
      <c r="AG365" s="1" t="s">
        <v>63</v>
      </c>
      <c r="AH365" s="1" t="s">
        <v>68</v>
      </c>
      <c r="AI365">
        <v>1256</v>
      </c>
      <c r="AJ365">
        <v>-15.700000000000045</v>
      </c>
    </row>
    <row r="366" spans="1:36" x14ac:dyDescent="0.25">
      <c r="A366">
        <v>10365</v>
      </c>
      <c r="B366">
        <v>40</v>
      </c>
      <c r="C366" s="1" t="s">
        <v>36</v>
      </c>
      <c r="D366" s="1" t="s">
        <v>73</v>
      </c>
      <c r="E366" s="2">
        <v>44414</v>
      </c>
      <c r="F366" s="2">
        <v>44467</v>
      </c>
      <c r="G366" s="1" t="s">
        <v>62</v>
      </c>
      <c r="H366">
        <v>416</v>
      </c>
      <c r="I366">
        <v>20</v>
      </c>
      <c r="J366">
        <v>2</v>
      </c>
      <c r="K366">
        <v>76.33</v>
      </c>
      <c r="L366">
        <v>15</v>
      </c>
      <c r="M366" s="1" t="s">
        <v>39</v>
      </c>
      <c r="N366" s="1" t="s">
        <v>56</v>
      </c>
      <c r="O366">
        <v>8257.6</v>
      </c>
      <c r="P366" t="b">
        <v>1</v>
      </c>
      <c r="Q366">
        <v>1.6666666666666667</v>
      </c>
      <c r="R366">
        <v>412.88</v>
      </c>
      <c r="S366">
        <v>25.443333333333332</v>
      </c>
      <c r="T366" s="2">
        <v>44409</v>
      </c>
      <c r="U366" s="1" t="s">
        <v>51</v>
      </c>
      <c r="V366">
        <v>0</v>
      </c>
      <c r="W366" s="1" t="s">
        <v>56</v>
      </c>
      <c r="X366">
        <v>53</v>
      </c>
      <c r="Y366" s="1" t="s">
        <v>43</v>
      </c>
      <c r="Z366" s="1" t="s">
        <v>42</v>
      </c>
      <c r="AA366">
        <v>9.5238095238095233E-2</v>
      </c>
      <c r="AB366" s="1" t="s">
        <v>42</v>
      </c>
      <c r="AC366">
        <v>2</v>
      </c>
      <c r="AD366" s="2">
        <v>44409</v>
      </c>
      <c r="AE366" s="1" t="s">
        <v>53</v>
      </c>
      <c r="AF366" s="1" t="s">
        <v>72</v>
      </c>
      <c r="AG366" s="1" t="s">
        <v>63</v>
      </c>
      <c r="AH366" s="1" t="s">
        <v>68</v>
      </c>
      <c r="AI366">
        <v>8320</v>
      </c>
      <c r="AJ366">
        <v>-62.399999999999636</v>
      </c>
    </row>
    <row r="367" spans="1:36" x14ac:dyDescent="0.25">
      <c r="A367">
        <v>10366</v>
      </c>
      <c r="B367">
        <v>19</v>
      </c>
      <c r="C367" s="1" t="s">
        <v>60</v>
      </c>
      <c r="D367" s="1" t="s">
        <v>73</v>
      </c>
      <c r="E367" s="2">
        <v>44641</v>
      </c>
      <c r="F367" s="2">
        <v>44414</v>
      </c>
      <c r="G367" s="1" t="s">
        <v>38</v>
      </c>
      <c r="H367">
        <v>630</v>
      </c>
      <c r="I367">
        <v>16</v>
      </c>
      <c r="J367">
        <v>3</v>
      </c>
      <c r="K367">
        <v>103.5</v>
      </c>
      <c r="L367">
        <v>5</v>
      </c>
      <c r="M367" s="1" t="s">
        <v>39</v>
      </c>
      <c r="N367" s="1" t="s">
        <v>56</v>
      </c>
      <c r="O367">
        <v>10048.5</v>
      </c>
      <c r="P367" t="b">
        <v>0</v>
      </c>
      <c r="Q367">
        <v>1.3333333333333333</v>
      </c>
      <c r="R367">
        <v>628.03125</v>
      </c>
      <c r="S367">
        <v>25.875</v>
      </c>
      <c r="T367" s="2">
        <v>44621</v>
      </c>
      <c r="U367" s="1" t="s">
        <v>66</v>
      </c>
      <c r="V367">
        <v>0</v>
      </c>
      <c r="W367" s="1" t="s">
        <v>56</v>
      </c>
      <c r="Y367" s="1" t="s">
        <v>43</v>
      </c>
      <c r="Z367" s="1" t="s">
        <v>42</v>
      </c>
      <c r="AA367">
        <v>0.17647058823529413</v>
      </c>
      <c r="AB367" s="1" t="s">
        <v>52</v>
      </c>
      <c r="AC367">
        <v>1</v>
      </c>
      <c r="AD367" s="2">
        <v>44621</v>
      </c>
      <c r="AE367" s="1" t="s">
        <v>53</v>
      </c>
      <c r="AF367" s="1" t="s">
        <v>72</v>
      </c>
      <c r="AG367" s="1" t="s">
        <v>63</v>
      </c>
      <c r="AH367" s="1" t="s">
        <v>64</v>
      </c>
      <c r="AI367">
        <v>10080</v>
      </c>
      <c r="AJ367">
        <v>-31.5</v>
      </c>
    </row>
    <row r="368" spans="1:36" x14ac:dyDescent="0.25">
      <c r="A368">
        <v>10367</v>
      </c>
      <c r="B368">
        <v>44</v>
      </c>
      <c r="C368" s="1" t="s">
        <v>36</v>
      </c>
      <c r="D368" s="1" t="s">
        <v>69</v>
      </c>
      <c r="E368" s="2">
        <v>44961</v>
      </c>
      <c r="F368" s="2">
        <v>44920</v>
      </c>
      <c r="G368" s="1" t="s">
        <v>38</v>
      </c>
      <c r="H368">
        <v>355</v>
      </c>
      <c r="I368">
        <v>10</v>
      </c>
      <c r="J368">
        <v>2</v>
      </c>
      <c r="K368">
        <v>64.44</v>
      </c>
      <c r="L368">
        <v>20</v>
      </c>
      <c r="M368" s="1" t="s">
        <v>65</v>
      </c>
      <c r="N368" s="1" t="s">
        <v>56</v>
      </c>
      <c r="O368">
        <v>3479</v>
      </c>
      <c r="P368" t="b">
        <v>0</v>
      </c>
      <c r="Q368">
        <v>0.83333333333333337</v>
      </c>
      <c r="R368">
        <v>347.9</v>
      </c>
      <c r="S368">
        <v>21.48</v>
      </c>
      <c r="T368" s="2">
        <v>44958</v>
      </c>
      <c r="U368" s="1" t="s">
        <v>51</v>
      </c>
      <c r="V368">
        <v>0</v>
      </c>
      <c r="W368" s="1" t="s">
        <v>56</v>
      </c>
      <c r="Y368" s="1" t="s">
        <v>43</v>
      </c>
      <c r="Z368" s="1" t="s">
        <v>52</v>
      </c>
      <c r="AA368">
        <v>0.18181818181818182</v>
      </c>
      <c r="AB368" s="1" t="s">
        <v>42</v>
      </c>
      <c r="AC368">
        <v>1</v>
      </c>
      <c r="AD368" s="2">
        <v>44958</v>
      </c>
      <c r="AE368" s="1" t="s">
        <v>74</v>
      </c>
      <c r="AF368" s="1" t="s">
        <v>72</v>
      </c>
      <c r="AG368" s="1" t="s">
        <v>63</v>
      </c>
      <c r="AH368" s="1" t="s">
        <v>68</v>
      </c>
      <c r="AI368">
        <v>3550</v>
      </c>
      <c r="AJ368">
        <v>-71</v>
      </c>
    </row>
    <row r="369" spans="1:36" x14ac:dyDescent="0.25">
      <c r="A369">
        <v>10368</v>
      </c>
      <c r="B369">
        <v>59</v>
      </c>
      <c r="C369" s="1" t="s">
        <v>36</v>
      </c>
      <c r="D369" s="1" t="s">
        <v>37</v>
      </c>
      <c r="E369" s="2">
        <v>44418</v>
      </c>
      <c r="F369" s="2">
        <v>44674</v>
      </c>
      <c r="G369" s="1" t="s">
        <v>62</v>
      </c>
      <c r="H369">
        <v>1455</v>
      </c>
      <c r="I369">
        <v>26</v>
      </c>
      <c r="J369">
        <v>2</v>
      </c>
      <c r="K369">
        <v>31.64</v>
      </c>
      <c r="L369">
        <v>20</v>
      </c>
      <c r="M369" s="1" t="s">
        <v>50</v>
      </c>
      <c r="N369" s="1" t="s">
        <v>56</v>
      </c>
      <c r="O369">
        <v>37539</v>
      </c>
      <c r="P369" t="b">
        <v>1</v>
      </c>
      <c r="Q369">
        <v>2.1666666666666665</v>
      </c>
      <c r="R369">
        <v>1443.8076923076924</v>
      </c>
      <c r="S369">
        <v>10.546666666666667</v>
      </c>
      <c r="T369" s="2">
        <v>44409</v>
      </c>
      <c r="U369" s="1" t="s">
        <v>41</v>
      </c>
      <c r="V369">
        <v>0</v>
      </c>
      <c r="W369" s="1" t="s">
        <v>40</v>
      </c>
      <c r="X369">
        <v>256</v>
      </c>
      <c r="Y369" s="1" t="s">
        <v>52</v>
      </c>
      <c r="Z369" s="1" t="s">
        <v>52</v>
      </c>
      <c r="AA369">
        <v>7.407407407407407E-2</v>
      </c>
      <c r="AB369" s="1" t="s">
        <v>43</v>
      </c>
      <c r="AC369">
        <v>2</v>
      </c>
      <c r="AD369" s="2">
        <v>44409</v>
      </c>
      <c r="AE369" s="1" t="s">
        <v>44</v>
      </c>
      <c r="AF369" s="1" t="s">
        <v>72</v>
      </c>
      <c r="AG369" s="1" t="s">
        <v>55</v>
      </c>
      <c r="AH369" s="1" t="s">
        <v>47</v>
      </c>
      <c r="AI369">
        <v>37830</v>
      </c>
      <c r="AJ369">
        <v>-291</v>
      </c>
    </row>
    <row r="370" spans="1:36" x14ac:dyDescent="0.25">
      <c r="A370">
        <v>10369</v>
      </c>
      <c r="B370">
        <v>19</v>
      </c>
      <c r="C370" s="1" t="s">
        <v>36</v>
      </c>
      <c r="D370" s="1" t="s">
        <v>71</v>
      </c>
      <c r="E370" s="2">
        <v>44579</v>
      </c>
      <c r="F370" s="2">
        <v>45050</v>
      </c>
      <c r="G370" s="1" t="s">
        <v>49</v>
      </c>
      <c r="H370">
        <v>607</v>
      </c>
      <c r="I370">
        <v>29</v>
      </c>
      <c r="J370">
        <v>2</v>
      </c>
      <c r="K370">
        <v>6.66</v>
      </c>
      <c r="L370">
        <v>20</v>
      </c>
      <c r="M370" s="1" t="s">
        <v>50</v>
      </c>
      <c r="N370" s="1" t="s">
        <v>56</v>
      </c>
      <c r="O370">
        <v>17481.599999999999</v>
      </c>
      <c r="P370" t="b">
        <v>1</v>
      </c>
      <c r="Q370">
        <v>2.4166666666666665</v>
      </c>
      <c r="R370">
        <v>602.81379310344823</v>
      </c>
      <c r="S370">
        <v>2.2200000000000002</v>
      </c>
      <c r="T370" s="2">
        <v>44562</v>
      </c>
      <c r="U370" s="1" t="s">
        <v>66</v>
      </c>
      <c r="V370">
        <v>0</v>
      </c>
      <c r="W370" s="1" t="s">
        <v>40</v>
      </c>
      <c r="X370">
        <v>471</v>
      </c>
      <c r="Y370" s="1" t="s">
        <v>42</v>
      </c>
      <c r="Z370" s="1" t="s">
        <v>52</v>
      </c>
      <c r="AA370">
        <v>6.6666666666666666E-2</v>
      </c>
      <c r="AB370" s="1" t="s">
        <v>52</v>
      </c>
      <c r="AC370">
        <v>3</v>
      </c>
      <c r="AD370" s="2">
        <v>44562</v>
      </c>
      <c r="AE370" s="1" t="s">
        <v>44</v>
      </c>
      <c r="AF370" s="1" t="s">
        <v>72</v>
      </c>
      <c r="AG370" s="1" t="s">
        <v>77</v>
      </c>
      <c r="AH370" s="1" t="s">
        <v>64</v>
      </c>
      <c r="AI370">
        <v>17603</v>
      </c>
      <c r="AJ370">
        <v>-121.40000000000146</v>
      </c>
    </row>
    <row r="371" spans="1:36" x14ac:dyDescent="0.25">
      <c r="A371">
        <v>10370</v>
      </c>
      <c r="B371">
        <v>43</v>
      </c>
      <c r="C371" s="1" t="s">
        <v>36</v>
      </c>
      <c r="D371" s="1" t="s">
        <v>71</v>
      </c>
      <c r="E371" s="2">
        <v>45077</v>
      </c>
      <c r="F371" s="2">
        <v>44817</v>
      </c>
      <c r="G371" s="1" t="s">
        <v>62</v>
      </c>
      <c r="H371">
        <v>521</v>
      </c>
      <c r="I371">
        <v>5</v>
      </c>
      <c r="J371">
        <v>2</v>
      </c>
      <c r="K371">
        <v>62.59</v>
      </c>
      <c r="L371">
        <v>10</v>
      </c>
      <c r="M371" s="1" t="s">
        <v>39</v>
      </c>
      <c r="N371" s="1" t="s">
        <v>40</v>
      </c>
      <c r="O371">
        <v>2552.9</v>
      </c>
      <c r="P371" t="b">
        <v>0</v>
      </c>
      <c r="Q371">
        <v>0.41666666666666669</v>
      </c>
      <c r="R371">
        <v>510.58000000000004</v>
      </c>
      <c r="S371">
        <v>20.863333333333333</v>
      </c>
      <c r="T371" s="2">
        <v>45047</v>
      </c>
      <c r="U371" s="1" t="s">
        <v>51</v>
      </c>
      <c r="V371">
        <v>1</v>
      </c>
      <c r="W371" s="1" t="s">
        <v>56</v>
      </c>
      <c r="Y371" s="1" t="s">
        <v>43</v>
      </c>
      <c r="Z371" s="1" t="s">
        <v>42</v>
      </c>
      <c r="AA371">
        <v>0.33333333333333331</v>
      </c>
      <c r="AB371" s="1" t="s">
        <v>42</v>
      </c>
      <c r="AC371">
        <v>2</v>
      </c>
      <c r="AD371" s="2">
        <v>45047</v>
      </c>
      <c r="AE371" s="1" t="s">
        <v>58</v>
      </c>
      <c r="AF371" s="1" t="s">
        <v>72</v>
      </c>
      <c r="AG371" s="1" t="s">
        <v>63</v>
      </c>
      <c r="AH371" s="1" t="s">
        <v>64</v>
      </c>
      <c r="AI371">
        <v>2605</v>
      </c>
      <c r="AJ371">
        <v>-52.099999999999909</v>
      </c>
    </row>
    <row r="372" spans="1:36" x14ac:dyDescent="0.25">
      <c r="A372">
        <v>10371</v>
      </c>
      <c r="B372">
        <v>34</v>
      </c>
      <c r="C372" s="1" t="s">
        <v>60</v>
      </c>
      <c r="D372" s="1" t="s">
        <v>61</v>
      </c>
      <c r="E372" s="2">
        <v>44788</v>
      </c>
      <c r="F372" s="2">
        <v>44840</v>
      </c>
      <c r="G372" s="1" t="s">
        <v>49</v>
      </c>
      <c r="H372">
        <v>1496</v>
      </c>
      <c r="I372">
        <v>11</v>
      </c>
      <c r="J372">
        <v>4</v>
      </c>
      <c r="K372">
        <v>61.71</v>
      </c>
      <c r="L372">
        <v>20</v>
      </c>
      <c r="M372" s="1" t="s">
        <v>65</v>
      </c>
      <c r="N372" s="1" t="s">
        <v>56</v>
      </c>
      <c r="O372">
        <v>16156.8</v>
      </c>
      <c r="P372" t="b">
        <v>1</v>
      </c>
      <c r="Q372">
        <v>0.91666666666666663</v>
      </c>
      <c r="R372">
        <v>1468.8</v>
      </c>
      <c r="S372">
        <v>12.342000000000001</v>
      </c>
      <c r="T372" s="2">
        <v>44774</v>
      </c>
      <c r="U372" s="1" t="s">
        <v>57</v>
      </c>
      <c r="V372">
        <v>0</v>
      </c>
      <c r="W372" s="1" t="s">
        <v>40</v>
      </c>
      <c r="X372">
        <v>52</v>
      </c>
      <c r="Y372" s="1" t="s">
        <v>43</v>
      </c>
      <c r="Z372" s="1" t="s">
        <v>52</v>
      </c>
      <c r="AA372">
        <v>0.33333333333333331</v>
      </c>
      <c r="AB372" s="1" t="s">
        <v>52</v>
      </c>
      <c r="AC372">
        <v>3</v>
      </c>
      <c r="AD372" s="2">
        <v>44774</v>
      </c>
      <c r="AE372" s="1" t="s">
        <v>74</v>
      </c>
      <c r="AF372" s="1" t="s">
        <v>45</v>
      </c>
      <c r="AG372" s="1" t="s">
        <v>63</v>
      </c>
      <c r="AH372" s="1" t="s">
        <v>47</v>
      </c>
      <c r="AI372">
        <v>16456</v>
      </c>
      <c r="AJ372">
        <v>-299.20000000000073</v>
      </c>
    </row>
    <row r="373" spans="1:36" x14ac:dyDescent="0.25">
      <c r="A373">
        <v>10372</v>
      </c>
      <c r="B373">
        <v>57</v>
      </c>
      <c r="C373" s="1" t="s">
        <v>60</v>
      </c>
      <c r="D373" s="1" t="s">
        <v>61</v>
      </c>
      <c r="E373" s="2">
        <v>44203</v>
      </c>
      <c r="F373" s="2">
        <v>45048</v>
      </c>
      <c r="G373" s="1" t="s">
        <v>62</v>
      </c>
      <c r="H373">
        <v>1096</v>
      </c>
      <c r="I373">
        <v>29</v>
      </c>
      <c r="J373">
        <v>1</v>
      </c>
      <c r="K373">
        <v>62.59</v>
      </c>
      <c r="L373">
        <v>10</v>
      </c>
      <c r="M373" s="1" t="s">
        <v>39</v>
      </c>
      <c r="N373" s="1" t="s">
        <v>56</v>
      </c>
      <c r="O373">
        <v>31674.400000000001</v>
      </c>
      <c r="P373" t="b">
        <v>1</v>
      </c>
      <c r="Q373">
        <v>2.4166666666666665</v>
      </c>
      <c r="R373">
        <v>1092.2206896551725</v>
      </c>
      <c r="S373">
        <v>31.295000000000002</v>
      </c>
      <c r="T373" s="2">
        <v>44197</v>
      </c>
      <c r="U373" s="1" t="s">
        <v>41</v>
      </c>
      <c r="V373">
        <v>0</v>
      </c>
      <c r="W373" s="1" t="s">
        <v>40</v>
      </c>
      <c r="X373">
        <v>845</v>
      </c>
      <c r="Y373" s="1" t="s">
        <v>43</v>
      </c>
      <c r="Z373" s="1" t="s">
        <v>42</v>
      </c>
      <c r="AA373">
        <v>3.3333333333333333E-2</v>
      </c>
      <c r="AB373" s="1" t="s">
        <v>43</v>
      </c>
      <c r="AC373">
        <v>2</v>
      </c>
      <c r="AD373" s="2">
        <v>44197</v>
      </c>
      <c r="AE373" s="1" t="s">
        <v>44</v>
      </c>
      <c r="AF373" s="1" t="s">
        <v>54</v>
      </c>
      <c r="AG373" s="1" t="s">
        <v>63</v>
      </c>
      <c r="AH373" s="1" t="s">
        <v>47</v>
      </c>
      <c r="AI373">
        <v>31784</v>
      </c>
      <c r="AJ373">
        <v>-109.59999999999854</v>
      </c>
    </row>
    <row r="374" spans="1:36" x14ac:dyDescent="0.25">
      <c r="A374">
        <v>10373</v>
      </c>
      <c r="B374">
        <v>50</v>
      </c>
      <c r="C374" s="1" t="s">
        <v>36</v>
      </c>
      <c r="D374" s="1" t="s">
        <v>73</v>
      </c>
      <c r="E374" s="2">
        <v>44468</v>
      </c>
      <c r="F374" s="2">
        <v>45010</v>
      </c>
      <c r="G374" s="1" t="s">
        <v>38</v>
      </c>
      <c r="H374">
        <v>1480</v>
      </c>
      <c r="I374">
        <v>15</v>
      </c>
      <c r="J374">
        <v>1</v>
      </c>
      <c r="K374">
        <v>84.89</v>
      </c>
      <c r="L374">
        <v>10</v>
      </c>
      <c r="M374" s="1" t="s">
        <v>39</v>
      </c>
      <c r="N374" s="1" t="s">
        <v>40</v>
      </c>
      <c r="O374">
        <v>22200</v>
      </c>
      <c r="P374" t="b">
        <v>1</v>
      </c>
      <c r="Q374">
        <v>1.25</v>
      </c>
      <c r="R374">
        <v>1480</v>
      </c>
      <c r="S374">
        <v>42.445</v>
      </c>
      <c r="T374" s="2">
        <v>44440</v>
      </c>
      <c r="U374" s="1" t="s">
        <v>51</v>
      </c>
      <c r="V374">
        <v>1</v>
      </c>
      <c r="W374" s="1" t="s">
        <v>40</v>
      </c>
      <c r="X374">
        <v>542</v>
      </c>
      <c r="Y374" s="1" t="s">
        <v>43</v>
      </c>
      <c r="Z374" s="1" t="s">
        <v>42</v>
      </c>
      <c r="AA374">
        <v>6.25E-2</v>
      </c>
      <c r="AB374" s="1" t="s">
        <v>43</v>
      </c>
      <c r="AC374">
        <v>1</v>
      </c>
      <c r="AD374" s="2">
        <v>44440</v>
      </c>
      <c r="AE374" s="1" t="s">
        <v>53</v>
      </c>
      <c r="AF374" s="1" t="s">
        <v>54</v>
      </c>
      <c r="AG374" s="1" t="s">
        <v>63</v>
      </c>
      <c r="AH374" s="1" t="s">
        <v>47</v>
      </c>
      <c r="AI374">
        <v>22200</v>
      </c>
      <c r="AJ374">
        <v>0</v>
      </c>
    </row>
    <row r="375" spans="1:36" x14ac:dyDescent="0.25">
      <c r="A375">
        <v>10374</v>
      </c>
      <c r="B375">
        <v>26</v>
      </c>
      <c r="C375" s="1" t="s">
        <v>60</v>
      </c>
      <c r="D375" s="1" t="s">
        <v>73</v>
      </c>
      <c r="E375" s="2">
        <v>44935</v>
      </c>
      <c r="F375" s="2">
        <v>44633</v>
      </c>
      <c r="G375" s="1" t="s">
        <v>38</v>
      </c>
      <c r="H375">
        <v>450</v>
      </c>
      <c r="I375">
        <v>6</v>
      </c>
      <c r="J375">
        <v>1</v>
      </c>
      <c r="K375">
        <v>118.61</v>
      </c>
      <c r="L375">
        <v>20</v>
      </c>
      <c r="M375" s="1" t="s">
        <v>67</v>
      </c>
      <c r="N375" s="1" t="s">
        <v>56</v>
      </c>
      <c r="O375">
        <v>2610</v>
      </c>
      <c r="P375" t="b">
        <v>0</v>
      </c>
      <c r="Q375">
        <v>0.5</v>
      </c>
      <c r="R375">
        <v>435</v>
      </c>
      <c r="S375">
        <v>59.305</v>
      </c>
      <c r="T375" s="2">
        <v>44927</v>
      </c>
      <c r="U375" s="1" t="s">
        <v>57</v>
      </c>
      <c r="V375">
        <v>0</v>
      </c>
      <c r="W375" s="1" t="s">
        <v>56</v>
      </c>
      <c r="Y375" s="1" t="s">
        <v>43</v>
      </c>
      <c r="Z375" s="1" t="s">
        <v>52</v>
      </c>
      <c r="AA375">
        <v>0.14285714285714285</v>
      </c>
      <c r="AB375" s="1" t="s">
        <v>42</v>
      </c>
      <c r="AC375">
        <v>1</v>
      </c>
      <c r="AD375" s="2">
        <v>44927</v>
      </c>
      <c r="AE375" s="1" t="s">
        <v>58</v>
      </c>
      <c r="AF375" s="1" t="s">
        <v>54</v>
      </c>
      <c r="AG375" s="1" t="s">
        <v>63</v>
      </c>
      <c r="AH375" s="1" t="s">
        <v>68</v>
      </c>
      <c r="AI375">
        <v>2700</v>
      </c>
      <c r="AJ375">
        <v>-90</v>
      </c>
    </row>
    <row r="376" spans="1:36" x14ac:dyDescent="0.25">
      <c r="A376">
        <v>10375</v>
      </c>
      <c r="B376">
        <v>60</v>
      </c>
      <c r="C376" s="1" t="s">
        <v>60</v>
      </c>
      <c r="D376" s="1" t="s">
        <v>61</v>
      </c>
      <c r="E376" s="2">
        <v>44212</v>
      </c>
      <c r="F376" s="2">
        <v>44955</v>
      </c>
      <c r="G376" s="1" t="s">
        <v>62</v>
      </c>
      <c r="H376">
        <v>411</v>
      </c>
      <c r="I376">
        <v>15</v>
      </c>
      <c r="J376">
        <v>5</v>
      </c>
      <c r="K376">
        <v>62.59</v>
      </c>
      <c r="L376">
        <v>10</v>
      </c>
      <c r="M376" s="1" t="s">
        <v>65</v>
      </c>
      <c r="N376" s="1" t="s">
        <v>56</v>
      </c>
      <c r="O376">
        <v>6123.9</v>
      </c>
      <c r="P376" t="b">
        <v>1</v>
      </c>
      <c r="Q376">
        <v>1.25</v>
      </c>
      <c r="R376">
        <v>408.26</v>
      </c>
      <c r="S376">
        <v>10.431666666666667</v>
      </c>
      <c r="T376" s="2">
        <v>44197</v>
      </c>
      <c r="U376" s="1" t="s">
        <v>41</v>
      </c>
      <c r="V376">
        <v>0</v>
      </c>
      <c r="W376" s="1" t="s">
        <v>56</v>
      </c>
      <c r="X376">
        <v>743</v>
      </c>
      <c r="Y376" s="1" t="s">
        <v>43</v>
      </c>
      <c r="Z376" s="1" t="s">
        <v>42</v>
      </c>
      <c r="AA376">
        <v>0.3125</v>
      </c>
      <c r="AB376" s="1" t="s">
        <v>42</v>
      </c>
      <c r="AC376">
        <v>2</v>
      </c>
      <c r="AD376" s="2">
        <v>44197</v>
      </c>
      <c r="AE376" s="1" t="s">
        <v>53</v>
      </c>
      <c r="AF376" s="1" t="s">
        <v>45</v>
      </c>
      <c r="AG376" s="1" t="s">
        <v>63</v>
      </c>
      <c r="AH376" s="1" t="s">
        <v>68</v>
      </c>
      <c r="AI376">
        <v>6165</v>
      </c>
      <c r="AJ376">
        <v>-41.100000000000364</v>
      </c>
    </row>
    <row r="377" spans="1:36" x14ac:dyDescent="0.25">
      <c r="A377">
        <v>10376</v>
      </c>
      <c r="B377">
        <v>56</v>
      </c>
      <c r="C377" s="1" t="s">
        <v>36</v>
      </c>
      <c r="D377" s="1" t="s">
        <v>48</v>
      </c>
      <c r="E377" s="2">
        <v>44620</v>
      </c>
      <c r="F377" s="2">
        <v>44659</v>
      </c>
      <c r="G377" s="1" t="s">
        <v>49</v>
      </c>
      <c r="H377">
        <v>982</v>
      </c>
      <c r="I377">
        <v>20</v>
      </c>
      <c r="J377">
        <v>4</v>
      </c>
      <c r="K377">
        <v>54.13</v>
      </c>
      <c r="L377">
        <v>5</v>
      </c>
      <c r="M377" s="1" t="s">
        <v>65</v>
      </c>
      <c r="N377" s="1" t="s">
        <v>40</v>
      </c>
      <c r="O377">
        <v>19590.900000000001</v>
      </c>
      <c r="P377" t="b">
        <v>1</v>
      </c>
      <c r="Q377">
        <v>1.6666666666666667</v>
      </c>
      <c r="R377">
        <v>979.54500000000007</v>
      </c>
      <c r="S377">
        <v>10.826000000000001</v>
      </c>
      <c r="T377" s="2">
        <v>44593</v>
      </c>
      <c r="U377" s="1" t="s">
        <v>41</v>
      </c>
      <c r="V377">
        <v>1</v>
      </c>
      <c r="W377" s="1" t="s">
        <v>40</v>
      </c>
      <c r="X377">
        <v>39</v>
      </c>
      <c r="Y377" s="1" t="s">
        <v>52</v>
      </c>
      <c r="Z377" s="1" t="s">
        <v>42</v>
      </c>
      <c r="AA377">
        <v>0.19047619047619047</v>
      </c>
      <c r="AB377" s="1" t="s">
        <v>43</v>
      </c>
      <c r="AC377">
        <v>3</v>
      </c>
      <c r="AD377" s="2">
        <v>44593</v>
      </c>
      <c r="AE377" s="1" t="s">
        <v>53</v>
      </c>
      <c r="AF377" s="1" t="s">
        <v>45</v>
      </c>
      <c r="AG377" s="1" t="s">
        <v>63</v>
      </c>
      <c r="AH377" s="1" t="s">
        <v>59</v>
      </c>
      <c r="AI377">
        <v>19640</v>
      </c>
      <c r="AJ377">
        <v>-49.099999999998545</v>
      </c>
    </row>
    <row r="378" spans="1:36" x14ac:dyDescent="0.25">
      <c r="A378">
        <v>10377</v>
      </c>
      <c r="B378">
        <v>46</v>
      </c>
      <c r="C378" s="1" t="s">
        <v>36</v>
      </c>
      <c r="D378" s="1" t="s">
        <v>37</v>
      </c>
      <c r="E378" s="2">
        <v>44720</v>
      </c>
      <c r="F378" s="2">
        <v>44656</v>
      </c>
      <c r="G378" s="1" t="s">
        <v>49</v>
      </c>
      <c r="H378">
        <v>1461</v>
      </c>
      <c r="I378">
        <v>34</v>
      </c>
      <c r="J378">
        <v>1</v>
      </c>
      <c r="K378">
        <v>37.979999999999997</v>
      </c>
      <c r="L378">
        <v>10</v>
      </c>
      <c r="M378" s="1" t="s">
        <v>50</v>
      </c>
      <c r="N378" s="1" t="s">
        <v>56</v>
      </c>
      <c r="O378">
        <v>49527.9</v>
      </c>
      <c r="P378" t="b">
        <v>0</v>
      </c>
      <c r="Q378">
        <v>2.8333333333333335</v>
      </c>
      <c r="R378">
        <v>1456.7029411764706</v>
      </c>
      <c r="S378">
        <v>18.989999999999998</v>
      </c>
      <c r="T378" s="2">
        <v>44713</v>
      </c>
      <c r="U378" s="1" t="s">
        <v>51</v>
      </c>
      <c r="V378">
        <v>0</v>
      </c>
      <c r="W378" s="1" t="s">
        <v>40</v>
      </c>
      <c r="Y378" s="1" t="s">
        <v>52</v>
      </c>
      <c r="Z378" s="1" t="s">
        <v>42</v>
      </c>
      <c r="AA378">
        <v>2.8571428571428571E-2</v>
      </c>
      <c r="AB378" s="1" t="s">
        <v>43</v>
      </c>
      <c r="AC378">
        <v>3</v>
      </c>
      <c r="AD378" s="2">
        <v>44713</v>
      </c>
      <c r="AE378" s="1" t="s">
        <v>44</v>
      </c>
      <c r="AF378" s="1" t="s">
        <v>54</v>
      </c>
      <c r="AG378" s="1" t="s">
        <v>55</v>
      </c>
      <c r="AH378" s="1" t="s">
        <v>47</v>
      </c>
      <c r="AI378">
        <v>49674</v>
      </c>
      <c r="AJ378">
        <v>-146.09999999999854</v>
      </c>
    </row>
    <row r="379" spans="1:36" x14ac:dyDescent="0.25">
      <c r="A379">
        <v>10378</v>
      </c>
      <c r="B379">
        <v>59</v>
      </c>
      <c r="C379" s="1" t="s">
        <v>36</v>
      </c>
      <c r="D379" s="1" t="s">
        <v>37</v>
      </c>
      <c r="E379" s="2">
        <v>44999</v>
      </c>
      <c r="F379" s="2">
        <v>45122</v>
      </c>
      <c r="G379" s="1" t="s">
        <v>38</v>
      </c>
      <c r="H379">
        <v>631</v>
      </c>
      <c r="I379">
        <v>2</v>
      </c>
      <c r="J379">
        <v>2</v>
      </c>
      <c r="K379">
        <v>59.84</v>
      </c>
      <c r="L379">
        <v>10</v>
      </c>
      <c r="M379" s="1" t="s">
        <v>50</v>
      </c>
      <c r="N379" s="1" t="s">
        <v>40</v>
      </c>
      <c r="O379">
        <v>1198.9000000000001</v>
      </c>
      <c r="P379" t="b">
        <v>1</v>
      </c>
      <c r="Q379">
        <v>0.16666666666666666</v>
      </c>
      <c r="R379">
        <v>599.45000000000005</v>
      </c>
      <c r="S379">
        <v>19.946666666666669</v>
      </c>
      <c r="T379" s="2">
        <v>44986</v>
      </c>
      <c r="U379" s="1" t="s">
        <v>41</v>
      </c>
      <c r="V379">
        <v>1</v>
      </c>
      <c r="W379" s="1" t="s">
        <v>56</v>
      </c>
      <c r="X379">
        <v>123</v>
      </c>
      <c r="Y379" s="1" t="s">
        <v>52</v>
      </c>
      <c r="Z379" s="1" t="s">
        <v>42</v>
      </c>
      <c r="AA379">
        <v>0.66666666666666663</v>
      </c>
      <c r="AB379" s="1" t="s">
        <v>42</v>
      </c>
      <c r="AC379">
        <v>1</v>
      </c>
      <c r="AD379" s="2">
        <v>44986</v>
      </c>
      <c r="AE379" s="1" t="s">
        <v>58</v>
      </c>
      <c r="AF379" s="1" t="s">
        <v>72</v>
      </c>
      <c r="AG379" s="1" t="s">
        <v>63</v>
      </c>
      <c r="AH379" s="1" t="s">
        <v>64</v>
      </c>
      <c r="AI379">
        <v>1262</v>
      </c>
      <c r="AJ379">
        <v>-63.099999999999909</v>
      </c>
    </row>
    <row r="380" spans="1:36" x14ac:dyDescent="0.25">
      <c r="A380">
        <v>10379</v>
      </c>
      <c r="B380">
        <v>41</v>
      </c>
      <c r="C380" s="1" t="s">
        <v>36</v>
      </c>
      <c r="D380" s="1" t="s">
        <v>37</v>
      </c>
      <c r="E380" s="2">
        <v>44949</v>
      </c>
      <c r="F380" s="2">
        <v>44444</v>
      </c>
      <c r="G380" s="1" t="s">
        <v>38</v>
      </c>
      <c r="H380">
        <v>1192</v>
      </c>
      <c r="I380">
        <v>16</v>
      </c>
      <c r="J380">
        <v>4</v>
      </c>
      <c r="K380">
        <v>105.38</v>
      </c>
      <c r="L380">
        <v>10</v>
      </c>
      <c r="M380" s="1" t="s">
        <v>39</v>
      </c>
      <c r="N380" s="1" t="s">
        <v>56</v>
      </c>
      <c r="O380">
        <v>19012.400000000001</v>
      </c>
      <c r="P380" t="b">
        <v>0</v>
      </c>
      <c r="Q380">
        <v>1.3333333333333333</v>
      </c>
      <c r="R380">
        <v>1188.2750000000001</v>
      </c>
      <c r="S380">
        <v>21.076000000000001</v>
      </c>
      <c r="T380" s="2">
        <v>44927</v>
      </c>
      <c r="U380" s="1" t="s">
        <v>51</v>
      </c>
      <c r="V380">
        <v>0</v>
      </c>
      <c r="W380" s="1" t="s">
        <v>40</v>
      </c>
      <c r="Y380" s="1" t="s">
        <v>43</v>
      </c>
      <c r="Z380" s="1" t="s">
        <v>42</v>
      </c>
      <c r="AA380">
        <v>0.23529411764705882</v>
      </c>
      <c r="AB380" s="1" t="s">
        <v>52</v>
      </c>
      <c r="AC380">
        <v>1</v>
      </c>
      <c r="AD380" s="2">
        <v>44927</v>
      </c>
      <c r="AE380" s="1" t="s">
        <v>53</v>
      </c>
      <c r="AF380" s="1" t="s">
        <v>45</v>
      </c>
      <c r="AG380" s="1" t="s">
        <v>63</v>
      </c>
      <c r="AH380" s="1" t="s">
        <v>47</v>
      </c>
      <c r="AI380">
        <v>19072</v>
      </c>
      <c r="AJ380">
        <v>-59.599999999998545</v>
      </c>
    </row>
    <row r="381" spans="1:36" x14ac:dyDescent="0.25">
      <c r="A381">
        <v>10380</v>
      </c>
      <c r="B381">
        <v>52</v>
      </c>
      <c r="C381" s="1" t="s">
        <v>36</v>
      </c>
      <c r="D381" s="1" t="s">
        <v>37</v>
      </c>
      <c r="E381" s="2">
        <v>44217</v>
      </c>
      <c r="F381" s="2">
        <v>44460</v>
      </c>
      <c r="G381" s="1" t="s">
        <v>38</v>
      </c>
      <c r="H381">
        <v>460</v>
      </c>
      <c r="I381">
        <v>19</v>
      </c>
      <c r="J381">
        <v>0</v>
      </c>
      <c r="K381">
        <v>9.8800000000000008</v>
      </c>
      <c r="L381">
        <v>10</v>
      </c>
      <c r="M381" s="1" t="s">
        <v>67</v>
      </c>
      <c r="N381" s="1" t="s">
        <v>56</v>
      </c>
      <c r="O381">
        <v>8694</v>
      </c>
      <c r="P381" t="b">
        <v>1</v>
      </c>
      <c r="Q381">
        <v>1.5833333333333333</v>
      </c>
      <c r="R381">
        <v>457.57894736842104</v>
      </c>
      <c r="S381">
        <v>9.8800000000000008</v>
      </c>
      <c r="T381" s="2">
        <v>44197</v>
      </c>
      <c r="U381" s="1" t="s">
        <v>41</v>
      </c>
      <c r="V381">
        <v>0</v>
      </c>
      <c r="W381" s="1" t="s">
        <v>56</v>
      </c>
      <c r="X381">
        <v>243</v>
      </c>
      <c r="Y381" s="1" t="s">
        <v>42</v>
      </c>
      <c r="Z381" s="1" t="s">
        <v>42</v>
      </c>
      <c r="AA381">
        <v>0</v>
      </c>
      <c r="AB381" s="1" t="s">
        <v>42</v>
      </c>
      <c r="AC381">
        <v>1</v>
      </c>
      <c r="AD381" s="2">
        <v>44197</v>
      </c>
      <c r="AE381" s="1" t="s">
        <v>53</v>
      </c>
      <c r="AF381" s="1" t="s">
        <v>54</v>
      </c>
      <c r="AG381" s="1" t="s">
        <v>77</v>
      </c>
      <c r="AH381" s="1" t="s">
        <v>68</v>
      </c>
      <c r="AI381">
        <v>8740</v>
      </c>
      <c r="AJ381">
        <v>-46</v>
      </c>
    </row>
    <row r="382" spans="1:36" x14ac:dyDescent="0.25">
      <c r="A382">
        <v>10381</v>
      </c>
      <c r="B382">
        <v>42</v>
      </c>
      <c r="C382" s="1" t="s">
        <v>60</v>
      </c>
      <c r="D382" s="1" t="s">
        <v>61</v>
      </c>
      <c r="E382" s="2">
        <v>44886</v>
      </c>
      <c r="F382" s="2">
        <v>44984</v>
      </c>
      <c r="G382" s="1" t="s">
        <v>49</v>
      </c>
      <c r="H382">
        <v>577</v>
      </c>
      <c r="I382">
        <v>34</v>
      </c>
      <c r="J382">
        <v>3</v>
      </c>
      <c r="K382">
        <v>117.46</v>
      </c>
      <c r="L382">
        <v>5</v>
      </c>
      <c r="M382" s="1" t="s">
        <v>67</v>
      </c>
      <c r="N382" s="1" t="s">
        <v>56</v>
      </c>
      <c r="O382">
        <v>19589.150000000001</v>
      </c>
      <c r="P382" t="b">
        <v>1</v>
      </c>
      <c r="Q382">
        <v>2.8333333333333335</v>
      </c>
      <c r="R382">
        <v>576.15147058823538</v>
      </c>
      <c r="S382">
        <v>29.364999999999998</v>
      </c>
      <c r="T382" s="2">
        <v>44866</v>
      </c>
      <c r="U382" s="1" t="s">
        <v>51</v>
      </c>
      <c r="V382">
        <v>0</v>
      </c>
      <c r="W382" s="1" t="s">
        <v>40</v>
      </c>
      <c r="X382">
        <v>98</v>
      </c>
      <c r="Y382" s="1" t="s">
        <v>43</v>
      </c>
      <c r="Z382" s="1" t="s">
        <v>42</v>
      </c>
      <c r="AA382">
        <v>8.5714285714285715E-2</v>
      </c>
      <c r="AB382" s="1" t="s">
        <v>43</v>
      </c>
      <c r="AC382">
        <v>3</v>
      </c>
      <c r="AD382" s="2">
        <v>44866</v>
      </c>
      <c r="AE382" s="1" t="s">
        <v>44</v>
      </c>
      <c r="AF382" s="1" t="s">
        <v>72</v>
      </c>
      <c r="AG382" s="1" t="s">
        <v>63</v>
      </c>
      <c r="AH382" s="1" t="s">
        <v>64</v>
      </c>
      <c r="AI382">
        <v>19618</v>
      </c>
      <c r="AJ382">
        <v>-28.849999999998545</v>
      </c>
    </row>
    <row r="383" spans="1:36" x14ac:dyDescent="0.25">
      <c r="A383">
        <v>10382</v>
      </c>
      <c r="B383">
        <v>41</v>
      </c>
      <c r="C383" s="1" t="s">
        <v>60</v>
      </c>
      <c r="D383" s="1" t="s">
        <v>71</v>
      </c>
      <c r="E383" s="2">
        <v>44424</v>
      </c>
      <c r="F383" s="2">
        <v>44803</v>
      </c>
      <c r="G383" s="1" t="s">
        <v>49</v>
      </c>
      <c r="H383">
        <v>1196</v>
      </c>
      <c r="I383">
        <v>14</v>
      </c>
      <c r="J383">
        <v>3</v>
      </c>
      <c r="K383">
        <v>119.23</v>
      </c>
      <c r="L383">
        <v>15</v>
      </c>
      <c r="M383" s="1" t="s">
        <v>67</v>
      </c>
      <c r="N383" s="1" t="s">
        <v>56</v>
      </c>
      <c r="O383">
        <v>16564.599999999999</v>
      </c>
      <c r="P383" t="b">
        <v>1</v>
      </c>
      <c r="Q383">
        <v>1.1666666666666667</v>
      </c>
      <c r="R383">
        <v>1183.1857142857141</v>
      </c>
      <c r="S383">
        <v>29.807500000000001</v>
      </c>
      <c r="T383" s="2">
        <v>44409</v>
      </c>
      <c r="U383" s="1" t="s">
        <v>51</v>
      </c>
      <c r="V383">
        <v>0</v>
      </c>
      <c r="W383" s="1" t="s">
        <v>40</v>
      </c>
      <c r="X383">
        <v>379</v>
      </c>
      <c r="Y383" s="1" t="s">
        <v>43</v>
      </c>
      <c r="Z383" s="1" t="s">
        <v>42</v>
      </c>
      <c r="AA383">
        <v>0.2</v>
      </c>
      <c r="AB383" s="1" t="s">
        <v>52</v>
      </c>
      <c r="AC383">
        <v>3</v>
      </c>
      <c r="AD383" s="2">
        <v>44409</v>
      </c>
      <c r="AE383" s="1" t="s">
        <v>53</v>
      </c>
      <c r="AF383" s="1" t="s">
        <v>72</v>
      </c>
      <c r="AG383" s="1" t="s">
        <v>63</v>
      </c>
      <c r="AH383" s="1" t="s">
        <v>47</v>
      </c>
      <c r="AI383">
        <v>16744</v>
      </c>
      <c r="AJ383">
        <v>-179.40000000000146</v>
      </c>
    </row>
    <row r="384" spans="1:36" x14ac:dyDescent="0.25">
      <c r="A384">
        <v>10383</v>
      </c>
      <c r="B384">
        <v>30</v>
      </c>
      <c r="C384" s="1" t="s">
        <v>60</v>
      </c>
      <c r="D384" s="1" t="s">
        <v>61</v>
      </c>
      <c r="E384" s="2">
        <v>44981</v>
      </c>
      <c r="F384" s="2">
        <v>44810</v>
      </c>
      <c r="G384" s="1" t="s">
        <v>62</v>
      </c>
      <c r="H384">
        <v>796</v>
      </c>
      <c r="I384">
        <v>24</v>
      </c>
      <c r="J384">
        <v>3</v>
      </c>
      <c r="K384">
        <v>73.75</v>
      </c>
      <c r="L384">
        <v>10</v>
      </c>
      <c r="M384" s="1" t="s">
        <v>39</v>
      </c>
      <c r="N384" s="1" t="s">
        <v>40</v>
      </c>
      <c r="O384">
        <v>18944.8</v>
      </c>
      <c r="P384" t="b">
        <v>0</v>
      </c>
      <c r="Q384">
        <v>2</v>
      </c>
      <c r="R384">
        <v>789.36666666666667</v>
      </c>
      <c r="S384">
        <v>18.4375</v>
      </c>
      <c r="T384" s="2">
        <v>44958</v>
      </c>
      <c r="U384" s="1" t="s">
        <v>57</v>
      </c>
      <c r="V384">
        <v>1</v>
      </c>
      <c r="W384" s="1" t="s">
        <v>40</v>
      </c>
      <c r="Y384" s="1" t="s">
        <v>43</v>
      </c>
      <c r="Z384" s="1" t="s">
        <v>42</v>
      </c>
      <c r="AA384">
        <v>0.12</v>
      </c>
      <c r="AB384" s="1" t="s">
        <v>52</v>
      </c>
      <c r="AC384">
        <v>2</v>
      </c>
      <c r="AD384" s="2">
        <v>44958</v>
      </c>
      <c r="AE384" s="1" t="s">
        <v>53</v>
      </c>
      <c r="AF384" s="1" t="s">
        <v>72</v>
      </c>
      <c r="AG384" s="1" t="s">
        <v>63</v>
      </c>
      <c r="AH384" s="1" t="s">
        <v>59</v>
      </c>
      <c r="AI384">
        <v>19104</v>
      </c>
      <c r="AJ384">
        <v>-159.20000000000073</v>
      </c>
    </row>
    <row r="385" spans="1:36" x14ac:dyDescent="0.25">
      <c r="A385">
        <v>10384</v>
      </c>
      <c r="B385">
        <v>24</v>
      </c>
      <c r="C385" s="1" t="s">
        <v>60</v>
      </c>
      <c r="D385" s="1" t="s">
        <v>37</v>
      </c>
      <c r="E385" s="2">
        <v>44484</v>
      </c>
      <c r="F385" s="2">
        <v>44479</v>
      </c>
      <c r="G385" s="1" t="s">
        <v>38</v>
      </c>
      <c r="H385">
        <v>954</v>
      </c>
      <c r="I385">
        <v>28</v>
      </c>
      <c r="J385">
        <v>4</v>
      </c>
      <c r="K385">
        <v>43.13</v>
      </c>
      <c r="L385">
        <v>0</v>
      </c>
      <c r="M385" s="1" t="s">
        <v>50</v>
      </c>
      <c r="N385" s="1" t="s">
        <v>56</v>
      </c>
      <c r="O385">
        <v>26712</v>
      </c>
      <c r="P385" t="b">
        <v>0</v>
      </c>
      <c r="Q385">
        <v>2.3333333333333335</v>
      </c>
      <c r="R385">
        <v>954</v>
      </c>
      <c r="S385">
        <v>8.6260000000000012</v>
      </c>
      <c r="T385" s="2">
        <v>44470</v>
      </c>
      <c r="U385" s="1" t="s">
        <v>66</v>
      </c>
      <c r="V385">
        <v>0</v>
      </c>
      <c r="W385" s="1" t="s">
        <v>40</v>
      </c>
      <c r="Y385" s="1" t="s">
        <v>52</v>
      </c>
      <c r="Z385" s="1" t="s">
        <v>42</v>
      </c>
      <c r="AA385">
        <v>0.13793103448275862</v>
      </c>
      <c r="AB385" s="1" t="s">
        <v>43</v>
      </c>
      <c r="AC385">
        <v>1</v>
      </c>
      <c r="AD385" s="2">
        <v>44470</v>
      </c>
      <c r="AE385" s="1" t="s">
        <v>44</v>
      </c>
      <c r="AF385" s="1" t="s">
        <v>45</v>
      </c>
      <c r="AG385" s="1" t="s">
        <v>55</v>
      </c>
      <c r="AH385" s="1" t="s">
        <v>59</v>
      </c>
      <c r="AI385">
        <v>26712</v>
      </c>
      <c r="AJ385">
        <v>0</v>
      </c>
    </row>
    <row r="386" spans="1:36" x14ac:dyDescent="0.25">
      <c r="A386">
        <v>10385</v>
      </c>
      <c r="B386">
        <v>53</v>
      </c>
      <c r="C386" s="1" t="s">
        <v>36</v>
      </c>
      <c r="D386" s="1" t="s">
        <v>61</v>
      </c>
      <c r="E386" s="2">
        <v>45005</v>
      </c>
      <c r="F386" s="2">
        <v>44468</v>
      </c>
      <c r="G386" s="1" t="s">
        <v>62</v>
      </c>
      <c r="H386">
        <v>1359</v>
      </c>
      <c r="I386">
        <v>32</v>
      </c>
      <c r="J386">
        <v>2</v>
      </c>
      <c r="K386">
        <v>30.65</v>
      </c>
      <c r="L386">
        <v>10</v>
      </c>
      <c r="M386" s="1" t="s">
        <v>65</v>
      </c>
      <c r="N386" s="1" t="s">
        <v>40</v>
      </c>
      <c r="O386">
        <v>43352.1</v>
      </c>
      <c r="P386" t="b">
        <v>0</v>
      </c>
      <c r="Q386">
        <v>2.6666666666666665</v>
      </c>
      <c r="R386">
        <v>1354.753125</v>
      </c>
      <c r="S386">
        <v>10.216666666666667</v>
      </c>
      <c r="T386" s="2">
        <v>44986</v>
      </c>
      <c r="U386" s="1" t="s">
        <v>41</v>
      </c>
      <c r="V386">
        <v>1</v>
      </c>
      <c r="W386" s="1" t="s">
        <v>40</v>
      </c>
      <c r="Y386" s="1" t="s">
        <v>52</v>
      </c>
      <c r="Z386" s="1" t="s">
        <v>42</v>
      </c>
      <c r="AA386">
        <v>6.0606060606060608E-2</v>
      </c>
      <c r="AB386" s="1" t="s">
        <v>43</v>
      </c>
      <c r="AC386">
        <v>2</v>
      </c>
      <c r="AD386" s="2">
        <v>44986</v>
      </c>
      <c r="AE386" s="1" t="s">
        <v>44</v>
      </c>
      <c r="AF386" s="1" t="s">
        <v>72</v>
      </c>
      <c r="AG386" s="1" t="s">
        <v>55</v>
      </c>
      <c r="AH386" s="1" t="s">
        <v>47</v>
      </c>
      <c r="AI386">
        <v>43488</v>
      </c>
      <c r="AJ386">
        <v>-135.90000000000146</v>
      </c>
    </row>
    <row r="387" spans="1:36" x14ac:dyDescent="0.25">
      <c r="A387">
        <v>10386</v>
      </c>
      <c r="B387">
        <v>62</v>
      </c>
      <c r="C387" s="1" t="s">
        <v>60</v>
      </c>
      <c r="D387" s="1" t="s">
        <v>37</v>
      </c>
      <c r="E387" s="2">
        <v>44330</v>
      </c>
      <c r="F387" s="2">
        <v>44544</v>
      </c>
      <c r="G387" s="1" t="s">
        <v>62</v>
      </c>
      <c r="H387">
        <v>602</v>
      </c>
      <c r="I387">
        <v>10</v>
      </c>
      <c r="J387">
        <v>2</v>
      </c>
      <c r="K387">
        <v>36.799999999999997</v>
      </c>
      <c r="L387">
        <v>5</v>
      </c>
      <c r="M387" s="1" t="s">
        <v>39</v>
      </c>
      <c r="N387" s="1" t="s">
        <v>56</v>
      </c>
      <c r="O387">
        <v>5989.9</v>
      </c>
      <c r="P387" t="b">
        <v>1</v>
      </c>
      <c r="Q387">
        <v>0.83333333333333337</v>
      </c>
      <c r="R387">
        <v>598.99</v>
      </c>
      <c r="S387">
        <v>12.266666666666666</v>
      </c>
      <c r="T387" s="2">
        <v>44317</v>
      </c>
      <c r="U387" s="1" t="s">
        <v>41</v>
      </c>
      <c r="V387">
        <v>0</v>
      </c>
      <c r="W387" s="1" t="s">
        <v>56</v>
      </c>
      <c r="X387">
        <v>214</v>
      </c>
      <c r="Y387" s="1" t="s">
        <v>52</v>
      </c>
      <c r="Z387" s="1" t="s">
        <v>42</v>
      </c>
      <c r="AA387">
        <v>0.18181818181818182</v>
      </c>
      <c r="AB387" s="1" t="s">
        <v>42</v>
      </c>
      <c r="AC387">
        <v>2</v>
      </c>
      <c r="AD387" s="2">
        <v>44317</v>
      </c>
      <c r="AE387" s="1" t="s">
        <v>74</v>
      </c>
      <c r="AF387" s="1" t="s">
        <v>72</v>
      </c>
      <c r="AG387" s="1" t="s">
        <v>55</v>
      </c>
      <c r="AH387" s="1" t="s">
        <v>64</v>
      </c>
      <c r="AI387">
        <v>6020</v>
      </c>
      <c r="AJ387">
        <v>-30.100000000000364</v>
      </c>
    </row>
    <row r="388" spans="1:36" x14ac:dyDescent="0.25">
      <c r="A388">
        <v>10387</v>
      </c>
      <c r="B388">
        <v>37</v>
      </c>
      <c r="C388" s="1" t="s">
        <v>60</v>
      </c>
      <c r="D388" s="1" t="s">
        <v>69</v>
      </c>
      <c r="E388" s="2">
        <v>44479</v>
      </c>
      <c r="F388" s="2">
        <v>45153</v>
      </c>
      <c r="G388" s="1" t="s">
        <v>38</v>
      </c>
      <c r="H388">
        <v>737</v>
      </c>
      <c r="I388">
        <v>9</v>
      </c>
      <c r="J388">
        <v>1</v>
      </c>
      <c r="K388">
        <v>10.76</v>
      </c>
      <c r="L388">
        <v>20</v>
      </c>
      <c r="M388" s="1" t="s">
        <v>67</v>
      </c>
      <c r="N388" s="1" t="s">
        <v>56</v>
      </c>
      <c r="O388">
        <v>6485.6</v>
      </c>
      <c r="P388" t="b">
        <v>1</v>
      </c>
      <c r="Q388">
        <v>0.75</v>
      </c>
      <c r="R388">
        <v>720.62222222222226</v>
      </c>
      <c r="S388">
        <v>5.38</v>
      </c>
      <c r="T388" s="2">
        <v>44470</v>
      </c>
      <c r="U388" s="1" t="s">
        <v>51</v>
      </c>
      <c r="V388">
        <v>0</v>
      </c>
      <c r="W388" s="1" t="s">
        <v>56</v>
      </c>
      <c r="X388">
        <v>674</v>
      </c>
      <c r="Y388" s="1" t="s">
        <v>42</v>
      </c>
      <c r="Z388" s="1" t="s">
        <v>52</v>
      </c>
      <c r="AA388">
        <v>0.1</v>
      </c>
      <c r="AB388" s="1" t="s">
        <v>42</v>
      </c>
      <c r="AC388">
        <v>1</v>
      </c>
      <c r="AD388" s="2">
        <v>44470</v>
      </c>
      <c r="AE388" s="1" t="s">
        <v>74</v>
      </c>
      <c r="AF388" s="1" t="s">
        <v>54</v>
      </c>
      <c r="AG388" s="1" t="s">
        <v>46</v>
      </c>
      <c r="AH388" s="1" t="s">
        <v>59</v>
      </c>
      <c r="AI388">
        <v>6633</v>
      </c>
      <c r="AJ388">
        <v>-147.39999999999964</v>
      </c>
    </row>
    <row r="389" spans="1:36" x14ac:dyDescent="0.25">
      <c r="A389">
        <v>10388</v>
      </c>
      <c r="B389">
        <v>18</v>
      </c>
      <c r="C389" s="1" t="s">
        <v>60</v>
      </c>
      <c r="D389" s="1" t="s">
        <v>73</v>
      </c>
      <c r="E389" s="2">
        <v>44600</v>
      </c>
      <c r="F389" s="2">
        <v>44829</v>
      </c>
      <c r="G389" s="1" t="s">
        <v>62</v>
      </c>
      <c r="H389">
        <v>1025</v>
      </c>
      <c r="I389">
        <v>24</v>
      </c>
      <c r="J389">
        <v>3</v>
      </c>
      <c r="K389">
        <v>59.64</v>
      </c>
      <c r="L389">
        <v>10</v>
      </c>
      <c r="M389" s="1" t="s">
        <v>67</v>
      </c>
      <c r="N389" s="1" t="s">
        <v>56</v>
      </c>
      <c r="O389">
        <v>24497.5</v>
      </c>
      <c r="P389" t="b">
        <v>1</v>
      </c>
      <c r="Q389">
        <v>2</v>
      </c>
      <c r="R389">
        <v>1020.7291666666666</v>
      </c>
      <c r="S389">
        <v>14.91</v>
      </c>
      <c r="T389" s="2">
        <v>44593</v>
      </c>
      <c r="U389" s="1" t="s">
        <v>66</v>
      </c>
      <c r="V389">
        <v>0</v>
      </c>
      <c r="W389" s="1" t="s">
        <v>40</v>
      </c>
      <c r="X389">
        <v>229</v>
      </c>
      <c r="Y389" s="1" t="s">
        <v>52</v>
      </c>
      <c r="Z389" s="1" t="s">
        <v>42</v>
      </c>
      <c r="AA389">
        <v>0.12</v>
      </c>
      <c r="AB389" s="1" t="s">
        <v>43</v>
      </c>
      <c r="AC389">
        <v>2</v>
      </c>
      <c r="AD389" s="2">
        <v>44593</v>
      </c>
      <c r="AE389" s="1" t="s">
        <v>53</v>
      </c>
      <c r="AF389" s="1" t="s">
        <v>72</v>
      </c>
      <c r="AG389" s="1" t="s">
        <v>63</v>
      </c>
      <c r="AH389" s="1" t="s">
        <v>47</v>
      </c>
      <c r="AI389">
        <v>24600</v>
      </c>
      <c r="AJ389">
        <v>-102.5</v>
      </c>
    </row>
    <row r="390" spans="1:36" x14ac:dyDescent="0.25">
      <c r="A390">
        <v>10389</v>
      </c>
      <c r="B390">
        <v>25</v>
      </c>
      <c r="C390" s="1" t="s">
        <v>60</v>
      </c>
      <c r="D390" s="1" t="s">
        <v>71</v>
      </c>
      <c r="E390" s="2">
        <v>44861</v>
      </c>
      <c r="F390" s="2">
        <v>44981</v>
      </c>
      <c r="G390" s="1" t="s">
        <v>38</v>
      </c>
      <c r="H390">
        <v>1355</v>
      </c>
      <c r="I390">
        <v>29</v>
      </c>
      <c r="J390">
        <v>3</v>
      </c>
      <c r="K390">
        <v>11.59</v>
      </c>
      <c r="L390">
        <v>20</v>
      </c>
      <c r="M390" s="1" t="s">
        <v>39</v>
      </c>
      <c r="N390" s="1" t="s">
        <v>40</v>
      </c>
      <c r="O390">
        <v>39024</v>
      </c>
      <c r="P390" t="b">
        <v>1</v>
      </c>
      <c r="Q390">
        <v>2.4166666666666665</v>
      </c>
      <c r="R390">
        <v>1345.655172413793</v>
      </c>
      <c r="S390">
        <v>2.8975</v>
      </c>
      <c r="T390" s="2">
        <v>44835</v>
      </c>
      <c r="U390" s="1" t="s">
        <v>66</v>
      </c>
      <c r="V390">
        <v>1</v>
      </c>
      <c r="W390" s="1" t="s">
        <v>40</v>
      </c>
      <c r="X390">
        <v>120</v>
      </c>
      <c r="Y390" s="1" t="s">
        <v>42</v>
      </c>
      <c r="Z390" s="1" t="s">
        <v>52</v>
      </c>
      <c r="AA390">
        <v>0.1</v>
      </c>
      <c r="AB390" s="1" t="s">
        <v>43</v>
      </c>
      <c r="AC390">
        <v>1</v>
      </c>
      <c r="AD390" s="2">
        <v>44835</v>
      </c>
      <c r="AE390" s="1" t="s">
        <v>44</v>
      </c>
      <c r="AF390" s="1" t="s">
        <v>72</v>
      </c>
      <c r="AG390" s="1" t="s">
        <v>46</v>
      </c>
      <c r="AH390" s="1" t="s">
        <v>47</v>
      </c>
      <c r="AI390">
        <v>39295</v>
      </c>
      <c r="AJ390">
        <v>-271</v>
      </c>
    </row>
    <row r="391" spans="1:36" x14ac:dyDescent="0.25">
      <c r="A391">
        <v>10390</v>
      </c>
      <c r="B391">
        <v>63</v>
      </c>
      <c r="C391" s="1" t="s">
        <v>60</v>
      </c>
      <c r="D391" s="1" t="s">
        <v>69</v>
      </c>
      <c r="E391" s="2">
        <v>44262</v>
      </c>
      <c r="F391" s="2">
        <v>45141</v>
      </c>
      <c r="G391" s="1" t="s">
        <v>38</v>
      </c>
      <c r="H391">
        <v>485</v>
      </c>
      <c r="I391">
        <v>29</v>
      </c>
      <c r="J391">
        <v>2</v>
      </c>
      <c r="K391">
        <v>87.62</v>
      </c>
      <c r="L391">
        <v>15</v>
      </c>
      <c r="M391" s="1" t="s">
        <v>67</v>
      </c>
      <c r="N391" s="1" t="s">
        <v>40</v>
      </c>
      <c r="O391">
        <v>13992.25</v>
      </c>
      <c r="P391" t="b">
        <v>1</v>
      </c>
      <c r="Q391">
        <v>2.4166666666666665</v>
      </c>
      <c r="R391">
        <v>482.49137931034483</v>
      </c>
      <c r="S391">
        <v>29.206666666666667</v>
      </c>
      <c r="T391" s="2">
        <v>44256</v>
      </c>
      <c r="U391" s="1" t="s">
        <v>41</v>
      </c>
      <c r="V391">
        <v>1</v>
      </c>
      <c r="W391" s="1" t="s">
        <v>40</v>
      </c>
      <c r="X391">
        <v>879</v>
      </c>
      <c r="Y391" s="1" t="s">
        <v>43</v>
      </c>
      <c r="Z391" s="1" t="s">
        <v>42</v>
      </c>
      <c r="AA391">
        <v>6.6666666666666666E-2</v>
      </c>
      <c r="AB391" s="1" t="s">
        <v>52</v>
      </c>
      <c r="AC391">
        <v>1</v>
      </c>
      <c r="AD391" s="2">
        <v>44256</v>
      </c>
      <c r="AE391" s="1" t="s">
        <v>44</v>
      </c>
      <c r="AF391" s="1" t="s">
        <v>72</v>
      </c>
      <c r="AG391" s="1" t="s">
        <v>63</v>
      </c>
      <c r="AH391" s="1" t="s">
        <v>68</v>
      </c>
      <c r="AI391">
        <v>14065</v>
      </c>
      <c r="AJ391">
        <v>-72.75</v>
      </c>
    </row>
    <row r="392" spans="1:36" x14ac:dyDescent="0.25">
      <c r="A392">
        <v>10391</v>
      </c>
      <c r="B392">
        <v>33</v>
      </c>
      <c r="C392" s="1" t="s">
        <v>60</v>
      </c>
      <c r="D392" s="1" t="s">
        <v>48</v>
      </c>
      <c r="E392" s="2">
        <v>44845</v>
      </c>
      <c r="F392" s="2">
        <v>45244</v>
      </c>
      <c r="G392" s="1" t="s">
        <v>49</v>
      </c>
      <c r="H392">
        <v>1497</v>
      </c>
      <c r="I392">
        <v>23</v>
      </c>
      <c r="J392">
        <v>2</v>
      </c>
      <c r="K392">
        <v>47.77</v>
      </c>
      <c r="L392">
        <v>10</v>
      </c>
      <c r="M392" s="1" t="s">
        <v>65</v>
      </c>
      <c r="N392" s="1" t="s">
        <v>56</v>
      </c>
      <c r="O392">
        <v>34281.300000000003</v>
      </c>
      <c r="P392" t="b">
        <v>1</v>
      </c>
      <c r="Q392">
        <v>1.9166666666666667</v>
      </c>
      <c r="R392">
        <v>1490.4913043478261</v>
      </c>
      <c r="S392">
        <v>15.923333333333334</v>
      </c>
      <c r="T392" s="2">
        <v>44835</v>
      </c>
      <c r="U392" s="1" t="s">
        <v>57</v>
      </c>
      <c r="V392">
        <v>0</v>
      </c>
      <c r="W392" s="1" t="s">
        <v>40</v>
      </c>
      <c r="X392">
        <v>399</v>
      </c>
      <c r="Y392" s="1" t="s">
        <v>52</v>
      </c>
      <c r="Z392" s="1" t="s">
        <v>42</v>
      </c>
      <c r="AA392">
        <v>8.3333333333333329E-2</v>
      </c>
      <c r="AB392" s="1" t="s">
        <v>43</v>
      </c>
      <c r="AC392">
        <v>3</v>
      </c>
      <c r="AD392" s="2">
        <v>44835</v>
      </c>
      <c r="AE392" s="1" t="s">
        <v>53</v>
      </c>
      <c r="AF392" s="1" t="s">
        <v>72</v>
      </c>
      <c r="AG392" s="1" t="s">
        <v>63</v>
      </c>
      <c r="AH392" s="1" t="s">
        <v>47</v>
      </c>
      <c r="AI392">
        <v>34431</v>
      </c>
      <c r="AJ392">
        <v>-149.69999999999709</v>
      </c>
    </row>
    <row r="393" spans="1:36" x14ac:dyDescent="0.25">
      <c r="A393">
        <v>10392</v>
      </c>
      <c r="B393">
        <v>31</v>
      </c>
      <c r="C393" s="1" t="s">
        <v>60</v>
      </c>
      <c r="D393" s="1" t="s">
        <v>61</v>
      </c>
      <c r="E393" s="2">
        <v>44800</v>
      </c>
      <c r="F393" s="2">
        <v>45119</v>
      </c>
      <c r="G393" s="1" t="s">
        <v>62</v>
      </c>
      <c r="H393">
        <v>972</v>
      </c>
      <c r="I393">
        <v>27</v>
      </c>
      <c r="J393">
        <v>2</v>
      </c>
      <c r="K393">
        <v>27.93</v>
      </c>
      <c r="L393">
        <v>5</v>
      </c>
      <c r="M393" s="1" t="s">
        <v>39</v>
      </c>
      <c r="N393" s="1" t="s">
        <v>40</v>
      </c>
      <c r="O393">
        <v>26195.4</v>
      </c>
      <c r="P393" t="b">
        <v>1</v>
      </c>
      <c r="Q393">
        <v>2.25</v>
      </c>
      <c r="R393">
        <v>970.2</v>
      </c>
      <c r="S393">
        <v>9.31</v>
      </c>
      <c r="T393" s="2">
        <v>44774</v>
      </c>
      <c r="U393" s="1" t="s">
        <v>57</v>
      </c>
      <c r="V393">
        <v>1</v>
      </c>
      <c r="W393" s="1" t="s">
        <v>40</v>
      </c>
      <c r="X393">
        <v>319</v>
      </c>
      <c r="Y393" s="1" t="s">
        <v>52</v>
      </c>
      <c r="Z393" s="1" t="s">
        <v>42</v>
      </c>
      <c r="AA393">
        <v>7.1428571428571425E-2</v>
      </c>
      <c r="AB393" s="1" t="s">
        <v>43</v>
      </c>
      <c r="AC393">
        <v>2</v>
      </c>
      <c r="AD393" s="2">
        <v>44774</v>
      </c>
      <c r="AE393" s="1" t="s">
        <v>44</v>
      </c>
      <c r="AF393" s="1" t="s">
        <v>72</v>
      </c>
      <c r="AG393" s="1" t="s">
        <v>70</v>
      </c>
      <c r="AH393" s="1" t="s">
        <v>59</v>
      </c>
      <c r="AI393">
        <v>26244</v>
      </c>
      <c r="AJ393">
        <v>-48.599999999998545</v>
      </c>
    </row>
    <row r="394" spans="1:36" x14ac:dyDescent="0.25">
      <c r="A394">
        <v>10393</v>
      </c>
      <c r="B394">
        <v>29</v>
      </c>
      <c r="C394" s="1" t="s">
        <v>60</v>
      </c>
      <c r="D394" s="1" t="s">
        <v>48</v>
      </c>
      <c r="E394" s="2">
        <v>44633</v>
      </c>
      <c r="F394" s="2">
        <v>44386</v>
      </c>
      <c r="G394" s="1" t="s">
        <v>38</v>
      </c>
      <c r="H394">
        <v>1300</v>
      </c>
      <c r="I394">
        <v>31</v>
      </c>
      <c r="J394">
        <v>5</v>
      </c>
      <c r="K394">
        <v>67.66</v>
      </c>
      <c r="L394">
        <v>15</v>
      </c>
      <c r="M394" s="1" t="s">
        <v>65</v>
      </c>
      <c r="N394" s="1" t="s">
        <v>56</v>
      </c>
      <c r="O394">
        <v>40105</v>
      </c>
      <c r="P394" t="b">
        <v>0</v>
      </c>
      <c r="Q394">
        <v>2.5833333333333335</v>
      </c>
      <c r="R394">
        <v>1293.7096774193549</v>
      </c>
      <c r="S394">
        <v>11.276666666666666</v>
      </c>
      <c r="T394" s="2">
        <v>44621</v>
      </c>
      <c r="U394" s="1" t="s">
        <v>57</v>
      </c>
      <c r="V394">
        <v>0</v>
      </c>
      <c r="W394" s="1" t="s">
        <v>40</v>
      </c>
      <c r="Y394" s="1" t="s">
        <v>43</v>
      </c>
      <c r="Z394" s="1" t="s">
        <v>42</v>
      </c>
      <c r="AA394">
        <v>0.15625</v>
      </c>
      <c r="AB394" s="1" t="s">
        <v>43</v>
      </c>
      <c r="AC394">
        <v>1</v>
      </c>
      <c r="AD394" s="2">
        <v>44621</v>
      </c>
      <c r="AE394" s="1" t="s">
        <v>44</v>
      </c>
      <c r="AF394" s="1" t="s">
        <v>45</v>
      </c>
      <c r="AG394" s="1" t="s">
        <v>63</v>
      </c>
      <c r="AH394" s="1" t="s">
        <v>47</v>
      </c>
      <c r="AI394">
        <v>40300</v>
      </c>
      <c r="AJ394">
        <v>-195</v>
      </c>
    </row>
    <row r="395" spans="1:36" x14ac:dyDescent="0.25">
      <c r="A395">
        <v>10394</v>
      </c>
      <c r="B395">
        <v>40</v>
      </c>
      <c r="C395" s="1" t="s">
        <v>60</v>
      </c>
      <c r="D395" s="1" t="s">
        <v>61</v>
      </c>
      <c r="E395" s="2">
        <v>45025</v>
      </c>
      <c r="F395" s="2">
        <v>44913</v>
      </c>
      <c r="G395" s="1" t="s">
        <v>62</v>
      </c>
      <c r="H395">
        <v>578</v>
      </c>
      <c r="I395">
        <v>7</v>
      </c>
      <c r="J395">
        <v>3</v>
      </c>
      <c r="K395">
        <v>116.98</v>
      </c>
      <c r="L395">
        <v>10</v>
      </c>
      <c r="M395" s="1" t="s">
        <v>50</v>
      </c>
      <c r="N395" s="1" t="s">
        <v>40</v>
      </c>
      <c r="O395">
        <v>3988.2</v>
      </c>
      <c r="P395" t="b">
        <v>0</v>
      </c>
      <c r="Q395">
        <v>0.58333333333333337</v>
      </c>
      <c r="R395">
        <v>569.74285714285713</v>
      </c>
      <c r="S395">
        <v>29.245000000000001</v>
      </c>
      <c r="T395" s="2">
        <v>45017</v>
      </c>
      <c r="U395" s="1" t="s">
        <v>51</v>
      </c>
      <c r="V395">
        <v>1</v>
      </c>
      <c r="W395" s="1" t="s">
        <v>56</v>
      </c>
      <c r="Y395" s="1" t="s">
        <v>43</v>
      </c>
      <c r="Z395" s="1" t="s">
        <v>42</v>
      </c>
      <c r="AA395">
        <v>0.375</v>
      </c>
      <c r="AB395" s="1" t="s">
        <v>42</v>
      </c>
      <c r="AC395">
        <v>2</v>
      </c>
      <c r="AD395" s="2">
        <v>45017</v>
      </c>
      <c r="AE395" s="1" t="s">
        <v>74</v>
      </c>
      <c r="AF395" s="1" t="s">
        <v>72</v>
      </c>
      <c r="AG395" s="1" t="s">
        <v>63</v>
      </c>
      <c r="AH395" s="1" t="s">
        <v>64</v>
      </c>
      <c r="AI395">
        <v>4046</v>
      </c>
      <c r="AJ395">
        <v>-57.800000000000182</v>
      </c>
    </row>
    <row r="396" spans="1:36" x14ac:dyDescent="0.25">
      <c r="A396">
        <v>10395</v>
      </c>
      <c r="B396">
        <v>32</v>
      </c>
      <c r="C396" s="1" t="s">
        <v>36</v>
      </c>
      <c r="D396" s="1" t="s">
        <v>73</v>
      </c>
      <c r="E396" s="2">
        <v>44455</v>
      </c>
      <c r="F396" s="2">
        <v>44859</v>
      </c>
      <c r="G396" s="1" t="s">
        <v>38</v>
      </c>
      <c r="H396">
        <v>982</v>
      </c>
      <c r="I396">
        <v>4</v>
      </c>
      <c r="J396">
        <v>2</v>
      </c>
      <c r="K396">
        <v>84.94</v>
      </c>
      <c r="L396">
        <v>20</v>
      </c>
      <c r="M396" s="1" t="s">
        <v>67</v>
      </c>
      <c r="N396" s="1" t="s">
        <v>56</v>
      </c>
      <c r="O396">
        <v>3731.6</v>
      </c>
      <c r="P396" t="b">
        <v>1</v>
      </c>
      <c r="Q396">
        <v>0.33333333333333331</v>
      </c>
      <c r="R396">
        <v>932.9</v>
      </c>
      <c r="S396">
        <v>28.313333333333333</v>
      </c>
      <c r="T396" s="2">
        <v>44440</v>
      </c>
      <c r="U396" s="1" t="s">
        <v>57</v>
      </c>
      <c r="V396">
        <v>0</v>
      </c>
      <c r="W396" s="1" t="s">
        <v>56</v>
      </c>
      <c r="X396">
        <v>404</v>
      </c>
      <c r="Y396" s="1" t="s">
        <v>43</v>
      </c>
      <c r="Z396" s="1" t="s">
        <v>52</v>
      </c>
      <c r="AA396">
        <v>0.4</v>
      </c>
      <c r="AB396" s="1" t="s">
        <v>42</v>
      </c>
      <c r="AC396">
        <v>1</v>
      </c>
      <c r="AD396" s="2">
        <v>44440</v>
      </c>
      <c r="AE396" s="1" t="s">
        <v>58</v>
      </c>
      <c r="AF396" s="1" t="s">
        <v>72</v>
      </c>
      <c r="AG396" s="1" t="s">
        <v>63</v>
      </c>
      <c r="AH396" s="1" t="s">
        <v>59</v>
      </c>
      <c r="AI396">
        <v>3928</v>
      </c>
      <c r="AJ396">
        <v>-196.40000000000009</v>
      </c>
    </row>
    <row r="397" spans="1:36" x14ac:dyDescent="0.25">
      <c r="A397">
        <v>10396</v>
      </c>
      <c r="B397">
        <v>45</v>
      </c>
      <c r="C397" s="1" t="s">
        <v>60</v>
      </c>
      <c r="D397" s="1" t="s">
        <v>69</v>
      </c>
      <c r="E397" s="2">
        <v>44299</v>
      </c>
      <c r="F397" s="2">
        <v>44821</v>
      </c>
      <c r="G397" s="1" t="s">
        <v>62</v>
      </c>
      <c r="H397">
        <v>1325</v>
      </c>
      <c r="I397">
        <v>14</v>
      </c>
      <c r="J397">
        <v>3</v>
      </c>
      <c r="K397">
        <v>61.55</v>
      </c>
      <c r="L397">
        <v>15</v>
      </c>
      <c r="M397" s="1" t="s">
        <v>67</v>
      </c>
      <c r="N397" s="1" t="s">
        <v>56</v>
      </c>
      <c r="O397">
        <v>18351.25</v>
      </c>
      <c r="P397" t="b">
        <v>1</v>
      </c>
      <c r="Q397">
        <v>1.1666666666666667</v>
      </c>
      <c r="R397">
        <v>1310.8035714285713</v>
      </c>
      <c r="S397">
        <v>15.387499999999999</v>
      </c>
      <c r="T397" s="2">
        <v>44287</v>
      </c>
      <c r="U397" s="1" t="s">
        <v>51</v>
      </c>
      <c r="V397">
        <v>0</v>
      </c>
      <c r="W397" s="1" t="s">
        <v>40</v>
      </c>
      <c r="X397">
        <v>522</v>
      </c>
      <c r="Y397" s="1" t="s">
        <v>43</v>
      </c>
      <c r="Z397" s="1" t="s">
        <v>42</v>
      </c>
      <c r="AA397">
        <v>0.2</v>
      </c>
      <c r="AB397" s="1" t="s">
        <v>52</v>
      </c>
      <c r="AC397">
        <v>2</v>
      </c>
      <c r="AD397" s="2">
        <v>44287</v>
      </c>
      <c r="AE397" s="1" t="s">
        <v>53</v>
      </c>
      <c r="AF397" s="1" t="s">
        <v>72</v>
      </c>
      <c r="AG397" s="1" t="s">
        <v>63</v>
      </c>
      <c r="AH397" s="1" t="s">
        <v>47</v>
      </c>
      <c r="AI397">
        <v>18550</v>
      </c>
      <c r="AJ397">
        <v>-198.75</v>
      </c>
    </row>
    <row r="398" spans="1:36" x14ac:dyDescent="0.25">
      <c r="A398">
        <v>10397</v>
      </c>
      <c r="B398">
        <v>51</v>
      </c>
      <c r="C398" s="1" t="s">
        <v>60</v>
      </c>
      <c r="D398" s="1" t="s">
        <v>73</v>
      </c>
      <c r="E398" s="2">
        <v>44763</v>
      </c>
      <c r="F398" s="2">
        <v>44508</v>
      </c>
      <c r="G398" s="1" t="s">
        <v>62</v>
      </c>
      <c r="H398">
        <v>1489</v>
      </c>
      <c r="I398">
        <v>10</v>
      </c>
      <c r="J398">
        <v>4</v>
      </c>
      <c r="K398">
        <v>94.35</v>
      </c>
      <c r="L398">
        <v>5</v>
      </c>
      <c r="M398" s="1" t="s">
        <v>50</v>
      </c>
      <c r="N398" s="1" t="s">
        <v>56</v>
      </c>
      <c r="O398">
        <v>14815.55</v>
      </c>
      <c r="P398" t="b">
        <v>0</v>
      </c>
      <c r="Q398">
        <v>0.83333333333333337</v>
      </c>
      <c r="R398">
        <v>1481.5549999999998</v>
      </c>
      <c r="S398">
        <v>18.869999999999997</v>
      </c>
      <c r="T398" s="2">
        <v>44743</v>
      </c>
      <c r="U398" s="1" t="s">
        <v>41</v>
      </c>
      <c r="V398">
        <v>0</v>
      </c>
      <c r="W398" s="1" t="s">
        <v>40</v>
      </c>
      <c r="Y398" s="1" t="s">
        <v>43</v>
      </c>
      <c r="Z398" s="1" t="s">
        <v>42</v>
      </c>
      <c r="AA398">
        <v>0.36363636363636365</v>
      </c>
      <c r="AB398" s="1" t="s">
        <v>52</v>
      </c>
      <c r="AC398">
        <v>2</v>
      </c>
      <c r="AD398" s="2">
        <v>44743</v>
      </c>
      <c r="AE398" s="1" t="s">
        <v>74</v>
      </c>
      <c r="AF398" s="1" t="s">
        <v>45</v>
      </c>
      <c r="AG398" s="1" t="s">
        <v>63</v>
      </c>
      <c r="AH398" s="1" t="s">
        <v>47</v>
      </c>
      <c r="AI398">
        <v>14890</v>
      </c>
      <c r="AJ398">
        <v>-74.450000000000728</v>
      </c>
    </row>
    <row r="399" spans="1:36" x14ac:dyDescent="0.25">
      <c r="A399">
        <v>10398</v>
      </c>
      <c r="B399">
        <v>19</v>
      </c>
      <c r="C399" s="1" t="s">
        <v>36</v>
      </c>
      <c r="D399" s="1" t="s">
        <v>37</v>
      </c>
      <c r="E399" s="2">
        <v>44965</v>
      </c>
      <c r="F399" s="2">
        <v>44636</v>
      </c>
      <c r="G399" s="1" t="s">
        <v>62</v>
      </c>
      <c r="H399">
        <v>1310</v>
      </c>
      <c r="I399">
        <v>34</v>
      </c>
      <c r="J399">
        <v>3</v>
      </c>
      <c r="K399">
        <v>89.81</v>
      </c>
      <c r="L399">
        <v>10</v>
      </c>
      <c r="M399" s="1" t="s">
        <v>50</v>
      </c>
      <c r="N399" s="1" t="s">
        <v>56</v>
      </c>
      <c r="O399">
        <v>44409</v>
      </c>
      <c r="P399" t="b">
        <v>0</v>
      </c>
      <c r="Q399">
        <v>2.8333333333333335</v>
      </c>
      <c r="R399">
        <v>1306.1470588235295</v>
      </c>
      <c r="S399">
        <v>22.452500000000001</v>
      </c>
      <c r="T399" s="2">
        <v>44958</v>
      </c>
      <c r="U399" s="1" t="s">
        <v>66</v>
      </c>
      <c r="V399">
        <v>0</v>
      </c>
      <c r="W399" s="1" t="s">
        <v>40</v>
      </c>
      <c r="Y399" s="1" t="s">
        <v>43</v>
      </c>
      <c r="Z399" s="1" t="s">
        <v>42</v>
      </c>
      <c r="AA399">
        <v>8.5714285714285715E-2</v>
      </c>
      <c r="AB399" s="1" t="s">
        <v>43</v>
      </c>
      <c r="AC399">
        <v>2</v>
      </c>
      <c r="AD399" s="2">
        <v>44958</v>
      </c>
      <c r="AE399" s="1" t="s">
        <v>44</v>
      </c>
      <c r="AF399" s="1" t="s">
        <v>72</v>
      </c>
      <c r="AG399" s="1" t="s">
        <v>63</v>
      </c>
      <c r="AH399" s="1" t="s">
        <v>47</v>
      </c>
      <c r="AI399">
        <v>44540</v>
      </c>
      <c r="AJ399">
        <v>-131</v>
      </c>
    </row>
    <row r="400" spans="1:36" x14ac:dyDescent="0.25">
      <c r="A400">
        <v>10399</v>
      </c>
      <c r="B400">
        <v>49</v>
      </c>
      <c r="C400" s="1" t="s">
        <v>60</v>
      </c>
      <c r="D400" s="1" t="s">
        <v>73</v>
      </c>
      <c r="E400" s="2">
        <v>44297</v>
      </c>
      <c r="F400" s="2">
        <v>44547</v>
      </c>
      <c r="G400" s="1" t="s">
        <v>62</v>
      </c>
      <c r="H400">
        <v>1224</v>
      </c>
      <c r="I400">
        <v>26</v>
      </c>
      <c r="J400">
        <v>1</v>
      </c>
      <c r="K400">
        <v>107.55</v>
      </c>
      <c r="L400">
        <v>20</v>
      </c>
      <c r="M400" s="1" t="s">
        <v>50</v>
      </c>
      <c r="N400" s="1" t="s">
        <v>56</v>
      </c>
      <c r="O400">
        <v>31579.200000000001</v>
      </c>
      <c r="P400" t="b">
        <v>1</v>
      </c>
      <c r="Q400">
        <v>2.1666666666666665</v>
      </c>
      <c r="R400">
        <v>1214.5846153846155</v>
      </c>
      <c r="S400">
        <v>53.774999999999999</v>
      </c>
      <c r="T400" s="2">
        <v>44287</v>
      </c>
      <c r="U400" s="1" t="s">
        <v>51</v>
      </c>
      <c r="V400">
        <v>0</v>
      </c>
      <c r="W400" s="1" t="s">
        <v>40</v>
      </c>
      <c r="X400">
        <v>250</v>
      </c>
      <c r="Y400" s="1" t="s">
        <v>43</v>
      </c>
      <c r="Z400" s="1" t="s">
        <v>52</v>
      </c>
      <c r="AA400">
        <v>3.7037037037037035E-2</v>
      </c>
      <c r="AB400" s="1" t="s">
        <v>43</v>
      </c>
      <c r="AC400">
        <v>2</v>
      </c>
      <c r="AD400" s="2">
        <v>44287</v>
      </c>
      <c r="AE400" s="1" t="s">
        <v>44</v>
      </c>
      <c r="AF400" s="1" t="s">
        <v>54</v>
      </c>
      <c r="AG400" s="1" t="s">
        <v>63</v>
      </c>
      <c r="AH400" s="1" t="s">
        <v>47</v>
      </c>
      <c r="AI400">
        <v>31824</v>
      </c>
      <c r="AJ400">
        <v>-244.79999999999927</v>
      </c>
    </row>
    <row r="401" spans="1:36" x14ac:dyDescent="0.25">
      <c r="A401">
        <v>10400</v>
      </c>
      <c r="B401">
        <v>40</v>
      </c>
      <c r="C401" s="1" t="s">
        <v>36</v>
      </c>
      <c r="D401" s="1" t="s">
        <v>73</v>
      </c>
      <c r="E401" s="2">
        <v>44394</v>
      </c>
      <c r="F401" s="2">
        <v>45135</v>
      </c>
      <c r="G401" s="1" t="s">
        <v>38</v>
      </c>
      <c r="H401">
        <v>1433</v>
      </c>
      <c r="I401">
        <v>23</v>
      </c>
      <c r="J401">
        <v>0</v>
      </c>
      <c r="K401">
        <v>28.54</v>
      </c>
      <c r="L401">
        <v>20</v>
      </c>
      <c r="M401" s="1" t="s">
        <v>67</v>
      </c>
      <c r="N401" s="1" t="s">
        <v>40</v>
      </c>
      <c r="O401">
        <v>32672.400000000001</v>
      </c>
      <c r="P401" t="b">
        <v>1</v>
      </c>
      <c r="Q401">
        <v>1.9166666666666667</v>
      </c>
      <c r="R401">
        <v>1420.5391304347827</v>
      </c>
      <c r="S401">
        <v>28.54</v>
      </c>
      <c r="T401" s="2">
        <v>44378</v>
      </c>
      <c r="U401" s="1" t="s">
        <v>51</v>
      </c>
      <c r="V401">
        <v>1</v>
      </c>
      <c r="W401" s="1" t="s">
        <v>40</v>
      </c>
      <c r="X401">
        <v>741</v>
      </c>
      <c r="Y401" s="1" t="s">
        <v>52</v>
      </c>
      <c r="Z401" s="1" t="s">
        <v>52</v>
      </c>
      <c r="AA401">
        <v>0</v>
      </c>
      <c r="AB401" s="1" t="s">
        <v>43</v>
      </c>
      <c r="AC401">
        <v>1</v>
      </c>
      <c r="AD401" s="2">
        <v>44378</v>
      </c>
      <c r="AE401" s="1" t="s">
        <v>53</v>
      </c>
      <c r="AF401" s="1" t="s">
        <v>54</v>
      </c>
      <c r="AG401" s="1" t="s">
        <v>70</v>
      </c>
      <c r="AH401" s="1" t="s">
        <v>47</v>
      </c>
      <c r="AI401">
        <v>32959</v>
      </c>
      <c r="AJ401">
        <v>-286.59999999999854</v>
      </c>
    </row>
    <row r="402" spans="1:36" x14ac:dyDescent="0.25">
      <c r="A402">
        <v>10401</v>
      </c>
      <c r="B402">
        <v>39</v>
      </c>
      <c r="C402" s="1" t="s">
        <v>36</v>
      </c>
      <c r="D402" s="1" t="s">
        <v>37</v>
      </c>
      <c r="E402" s="2">
        <v>45009</v>
      </c>
      <c r="F402" s="2">
        <v>44875</v>
      </c>
      <c r="G402" s="1" t="s">
        <v>38</v>
      </c>
      <c r="H402">
        <v>679</v>
      </c>
      <c r="I402">
        <v>9</v>
      </c>
      <c r="J402">
        <v>7</v>
      </c>
      <c r="K402">
        <v>103.77</v>
      </c>
      <c r="L402">
        <v>15</v>
      </c>
      <c r="M402" s="1" t="s">
        <v>50</v>
      </c>
      <c r="N402" s="1" t="s">
        <v>56</v>
      </c>
      <c r="O402">
        <v>6009.15</v>
      </c>
      <c r="P402" t="b">
        <v>0</v>
      </c>
      <c r="Q402">
        <v>0.75</v>
      </c>
      <c r="R402">
        <v>667.68333333333328</v>
      </c>
      <c r="S402">
        <v>12.97125</v>
      </c>
      <c r="T402" s="2">
        <v>44986</v>
      </c>
      <c r="U402" s="1" t="s">
        <v>51</v>
      </c>
      <c r="V402">
        <v>0</v>
      </c>
      <c r="W402" s="1" t="s">
        <v>56</v>
      </c>
      <c r="Y402" s="1" t="s">
        <v>43</v>
      </c>
      <c r="Z402" s="1" t="s">
        <v>42</v>
      </c>
      <c r="AA402">
        <v>0.7</v>
      </c>
      <c r="AB402" s="1" t="s">
        <v>42</v>
      </c>
      <c r="AC402">
        <v>1</v>
      </c>
      <c r="AD402" s="2">
        <v>44986</v>
      </c>
      <c r="AE402" s="1" t="s">
        <v>74</v>
      </c>
      <c r="AF402" s="1" t="s">
        <v>78</v>
      </c>
      <c r="AG402" s="1" t="s">
        <v>63</v>
      </c>
      <c r="AH402" s="1" t="s">
        <v>64</v>
      </c>
      <c r="AI402">
        <v>6111</v>
      </c>
      <c r="AJ402">
        <v>-101.85000000000036</v>
      </c>
    </row>
    <row r="403" spans="1:36" x14ac:dyDescent="0.25">
      <c r="A403">
        <v>10402</v>
      </c>
      <c r="B403">
        <v>42</v>
      </c>
      <c r="C403" s="1" t="s">
        <v>60</v>
      </c>
      <c r="D403" s="1" t="s">
        <v>61</v>
      </c>
      <c r="E403" s="2">
        <v>44422</v>
      </c>
      <c r="F403" s="2">
        <v>45032</v>
      </c>
      <c r="G403" s="1" t="s">
        <v>62</v>
      </c>
      <c r="H403">
        <v>1134</v>
      </c>
      <c r="I403">
        <v>8</v>
      </c>
      <c r="J403">
        <v>2</v>
      </c>
      <c r="K403">
        <v>39.619999999999997</v>
      </c>
      <c r="L403">
        <v>10</v>
      </c>
      <c r="M403" s="1" t="s">
        <v>39</v>
      </c>
      <c r="N403" s="1" t="s">
        <v>40</v>
      </c>
      <c r="O403">
        <v>8958.6</v>
      </c>
      <c r="P403" t="b">
        <v>1</v>
      </c>
      <c r="Q403">
        <v>0.66666666666666663</v>
      </c>
      <c r="R403">
        <v>1119.825</v>
      </c>
      <c r="S403">
        <v>13.206666666666665</v>
      </c>
      <c r="T403" s="2">
        <v>44409</v>
      </c>
      <c r="U403" s="1" t="s">
        <v>51</v>
      </c>
      <c r="V403">
        <v>1</v>
      </c>
      <c r="W403" s="1" t="s">
        <v>56</v>
      </c>
      <c r="X403">
        <v>610</v>
      </c>
      <c r="Y403" s="1" t="s">
        <v>52</v>
      </c>
      <c r="Z403" s="1" t="s">
        <v>42</v>
      </c>
      <c r="AA403">
        <v>0.22222222222222221</v>
      </c>
      <c r="AB403" s="1" t="s">
        <v>52</v>
      </c>
      <c r="AC403">
        <v>2</v>
      </c>
      <c r="AD403" s="2">
        <v>44409</v>
      </c>
      <c r="AE403" s="1" t="s">
        <v>74</v>
      </c>
      <c r="AF403" s="1" t="s">
        <v>72</v>
      </c>
      <c r="AG403" s="1" t="s">
        <v>55</v>
      </c>
      <c r="AH403" s="1" t="s">
        <v>47</v>
      </c>
      <c r="AI403">
        <v>9072</v>
      </c>
      <c r="AJ403">
        <v>-113.39999999999964</v>
      </c>
    </row>
    <row r="404" spans="1:36" x14ac:dyDescent="0.25">
      <c r="A404">
        <v>10403</v>
      </c>
      <c r="B404">
        <v>39</v>
      </c>
      <c r="C404" s="1" t="s">
        <v>36</v>
      </c>
      <c r="D404" s="1" t="s">
        <v>37</v>
      </c>
      <c r="E404" s="2">
        <v>44659</v>
      </c>
      <c r="F404" s="2">
        <v>44850</v>
      </c>
      <c r="G404" s="1" t="s">
        <v>38</v>
      </c>
      <c r="H404">
        <v>1298</v>
      </c>
      <c r="I404">
        <v>14</v>
      </c>
      <c r="J404">
        <v>4</v>
      </c>
      <c r="K404">
        <v>113.21</v>
      </c>
      <c r="L404">
        <v>20</v>
      </c>
      <c r="M404" s="1" t="s">
        <v>50</v>
      </c>
      <c r="N404" s="1" t="s">
        <v>56</v>
      </c>
      <c r="O404">
        <v>17912.400000000001</v>
      </c>
      <c r="P404" t="b">
        <v>1</v>
      </c>
      <c r="Q404">
        <v>1.1666666666666667</v>
      </c>
      <c r="R404">
        <v>1279.457142857143</v>
      </c>
      <c r="S404">
        <v>22.641999999999999</v>
      </c>
      <c r="T404" s="2">
        <v>44652</v>
      </c>
      <c r="U404" s="1" t="s">
        <v>51</v>
      </c>
      <c r="V404">
        <v>0</v>
      </c>
      <c r="W404" s="1" t="s">
        <v>40</v>
      </c>
      <c r="X404">
        <v>191</v>
      </c>
      <c r="Y404" s="1" t="s">
        <v>43</v>
      </c>
      <c r="Z404" s="1" t="s">
        <v>52</v>
      </c>
      <c r="AA404">
        <v>0.26666666666666666</v>
      </c>
      <c r="AB404" s="1" t="s">
        <v>52</v>
      </c>
      <c r="AC404">
        <v>1</v>
      </c>
      <c r="AD404" s="2">
        <v>44652</v>
      </c>
      <c r="AE404" s="1" t="s">
        <v>53</v>
      </c>
      <c r="AF404" s="1" t="s">
        <v>45</v>
      </c>
      <c r="AG404" s="1" t="s">
        <v>63</v>
      </c>
      <c r="AH404" s="1" t="s">
        <v>47</v>
      </c>
      <c r="AI404">
        <v>18172</v>
      </c>
      <c r="AJ404">
        <v>-259.59999999999854</v>
      </c>
    </row>
    <row r="405" spans="1:36" x14ac:dyDescent="0.25">
      <c r="A405">
        <v>10404</v>
      </c>
      <c r="B405">
        <v>39</v>
      </c>
      <c r="C405" s="1" t="s">
        <v>60</v>
      </c>
      <c r="D405" s="1" t="s">
        <v>69</v>
      </c>
      <c r="E405" s="2">
        <v>44433</v>
      </c>
      <c r="F405" s="2">
        <v>44595</v>
      </c>
      <c r="G405" s="1" t="s">
        <v>62</v>
      </c>
      <c r="H405">
        <v>584</v>
      </c>
      <c r="I405">
        <v>7</v>
      </c>
      <c r="J405">
        <v>0</v>
      </c>
      <c r="K405">
        <v>37.32</v>
      </c>
      <c r="L405">
        <v>15</v>
      </c>
      <c r="M405" s="1" t="s">
        <v>39</v>
      </c>
      <c r="N405" s="1" t="s">
        <v>56</v>
      </c>
      <c r="O405">
        <v>4000.4</v>
      </c>
      <c r="P405" t="b">
        <v>1</v>
      </c>
      <c r="Q405">
        <v>0.58333333333333337</v>
      </c>
      <c r="R405">
        <v>571.48571428571427</v>
      </c>
      <c r="S405">
        <v>37.32</v>
      </c>
      <c r="T405" s="2">
        <v>44409</v>
      </c>
      <c r="U405" s="1" t="s">
        <v>51</v>
      </c>
      <c r="V405">
        <v>0</v>
      </c>
      <c r="W405" s="1" t="s">
        <v>56</v>
      </c>
      <c r="X405">
        <v>162</v>
      </c>
      <c r="Y405" s="1" t="s">
        <v>52</v>
      </c>
      <c r="Z405" s="1" t="s">
        <v>42</v>
      </c>
      <c r="AA405">
        <v>0</v>
      </c>
      <c r="AB405" s="1" t="s">
        <v>42</v>
      </c>
      <c r="AC405">
        <v>2</v>
      </c>
      <c r="AD405" s="2">
        <v>44409</v>
      </c>
      <c r="AE405" s="1" t="s">
        <v>74</v>
      </c>
      <c r="AF405" s="1" t="s">
        <v>54</v>
      </c>
      <c r="AG405" s="1" t="s">
        <v>55</v>
      </c>
      <c r="AH405" s="1" t="s">
        <v>64</v>
      </c>
      <c r="AI405">
        <v>4088</v>
      </c>
      <c r="AJ405">
        <v>-87.599999999999909</v>
      </c>
    </row>
    <row r="406" spans="1:36" x14ac:dyDescent="0.25">
      <c r="A406">
        <v>10405</v>
      </c>
      <c r="B406">
        <v>59</v>
      </c>
      <c r="C406" s="1" t="s">
        <v>36</v>
      </c>
      <c r="D406" s="1" t="s">
        <v>73</v>
      </c>
      <c r="E406" s="2">
        <v>44222</v>
      </c>
      <c r="F406" s="2">
        <v>44730</v>
      </c>
      <c r="G406" s="1" t="s">
        <v>38</v>
      </c>
      <c r="H406">
        <v>720</v>
      </c>
      <c r="I406">
        <v>7</v>
      </c>
      <c r="J406">
        <v>1</v>
      </c>
      <c r="K406">
        <v>111.59</v>
      </c>
      <c r="L406">
        <v>0</v>
      </c>
      <c r="M406" s="1" t="s">
        <v>39</v>
      </c>
      <c r="N406" s="1" t="s">
        <v>56</v>
      </c>
      <c r="O406">
        <v>5040</v>
      </c>
      <c r="P406" t="b">
        <v>1</v>
      </c>
      <c r="Q406">
        <v>0.58333333333333337</v>
      </c>
      <c r="R406">
        <v>720</v>
      </c>
      <c r="S406">
        <v>55.795000000000002</v>
      </c>
      <c r="T406" s="2">
        <v>44197</v>
      </c>
      <c r="U406" s="1" t="s">
        <v>41</v>
      </c>
      <c r="V406">
        <v>0</v>
      </c>
      <c r="W406" s="1" t="s">
        <v>56</v>
      </c>
      <c r="X406">
        <v>508</v>
      </c>
      <c r="Y406" s="1" t="s">
        <v>43</v>
      </c>
      <c r="Z406" s="1" t="s">
        <v>42</v>
      </c>
      <c r="AA406">
        <v>0.125</v>
      </c>
      <c r="AB406" s="1" t="s">
        <v>42</v>
      </c>
      <c r="AC406">
        <v>1</v>
      </c>
      <c r="AD406" s="2">
        <v>44197</v>
      </c>
      <c r="AE406" s="1" t="s">
        <v>74</v>
      </c>
      <c r="AF406" s="1" t="s">
        <v>54</v>
      </c>
      <c r="AG406" s="1" t="s">
        <v>63</v>
      </c>
      <c r="AH406" s="1" t="s">
        <v>59</v>
      </c>
      <c r="AI406">
        <v>5040</v>
      </c>
      <c r="AJ406">
        <v>0</v>
      </c>
    </row>
    <row r="407" spans="1:36" x14ac:dyDescent="0.25">
      <c r="A407">
        <v>10406</v>
      </c>
      <c r="B407">
        <v>23</v>
      </c>
      <c r="C407" s="1" t="s">
        <v>60</v>
      </c>
      <c r="D407" s="1" t="s">
        <v>37</v>
      </c>
      <c r="E407" s="2">
        <v>44317</v>
      </c>
      <c r="F407" s="2">
        <v>44565</v>
      </c>
      <c r="G407" s="1" t="s">
        <v>38</v>
      </c>
      <c r="H407">
        <v>412</v>
      </c>
      <c r="I407">
        <v>9</v>
      </c>
      <c r="J407">
        <v>2</v>
      </c>
      <c r="K407">
        <v>115.84</v>
      </c>
      <c r="L407">
        <v>20</v>
      </c>
      <c r="M407" s="1" t="s">
        <v>65</v>
      </c>
      <c r="N407" s="1" t="s">
        <v>56</v>
      </c>
      <c r="O407">
        <v>3625.6</v>
      </c>
      <c r="P407" t="b">
        <v>1</v>
      </c>
      <c r="Q407">
        <v>0.75</v>
      </c>
      <c r="R407">
        <v>402.84444444444443</v>
      </c>
      <c r="S407">
        <v>38.613333333333337</v>
      </c>
      <c r="T407" s="2">
        <v>44317</v>
      </c>
      <c r="U407" s="1" t="s">
        <v>66</v>
      </c>
      <c r="V407">
        <v>0</v>
      </c>
      <c r="W407" s="1" t="s">
        <v>56</v>
      </c>
      <c r="X407">
        <v>248</v>
      </c>
      <c r="Y407" s="1" t="s">
        <v>43</v>
      </c>
      <c r="Z407" s="1" t="s">
        <v>52</v>
      </c>
      <c r="AA407">
        <v>0.2</v>
      </c>
      <c r="AB407" s="1" t="s">
        <v>42</v>
      </c>
      <c r="AC407">
        <v>1</v>
      </c>
      <c r="AD407" s="2">
        <v>44317</v>
      </c>
      <c r="AE407" s="1" t="s">
        <v>74</v>
      </c>
      <c r="AF407" s="1" t="s">
        <v>72</v>
      </c>
      <c r="AG407" s="1" t="s">
        <v>63</v>
      </c>
      <c r="AH407" s="1" t="s">
        <v>68</v>
      </c>
      <c r="AI407">
        <v>3708</v>
      </c>
      <c r="AJ407">
        <v>-82.400000000000091</v>
      </c>
    </row>
    <row r="408" spans="1:36" x14ac:dyDescent="0.25">
      <c r="A408">
        <v>10407</v>
      </c>
      <c r="B408">
        <v>32</v>
      </c>
      <c r="C408" s="1" t="s">
        <v>36</v>
      </c>
      <c r="D408" s="1" t="s">
        <v>73</v>
      </c>
      <c r="E408" s="2">
        <v>44702</v>
      </c>
      <c r="F408" s="2">
        <v>44434</v>
      </c>
      <c r="G408" s="1" t="s">
        <v>38</v>
      </c>
      <c r="H408">
        <v>1317</v>
      </c>
      <c r="I408">
        <v>3</v>
      </c>
      <c r="J408">
        <v>1</v>
      </c>
      <c r="K408">
        <v>21.73</v>
      </c>
      <c r="L408">
        <v>15</v>
      </c>
      <c r="M408" s="1" t="s">
        <v>39</v>
      </c>
      <c r="N408" s="1" t="s">
        <v>40</v>
      </c>
      <c r="O408">
        <v>3753.45</v>
      </c>
      <c r="P408" t="b">
        <v>0</v>
      </c>
      <c r="Q408">
        <v>0.25</v>
      </c>
      <c r="R408">
        <v>1251.1499999999999</v>
      </c>
      <c r="S408">
        <v>10.865</v>
      </c>
      <c r="T408" s="2">
        <v>44682</v>
      </c>
      <c r="U408" s="1" t="s">
        <v>57</v>
      </c>
      <c r="V408">
        <v>1</v>
      </c>
      <c r="W408" s="1" t="s">
        <v>56</v>
      </c>
      <c r="Y408" s="1" t="s">
        <v>52</v>
      </c>
      <c r="Z408" s="1" t="s">
        <v>42</v>
      </c>
      <c r="AA408">
        <v>0.25</v>
      </c>
      <c r="AB408" s="1" t="s">
        <v>42</v>
      </c>
      <c r="AC408">
        <v>1</v>
      </c>
      <c r="AD408" s="2">
        <v>44682</v>
      </c>
      <c r="AE408" s="1" t="s">
        <v>58</v>
      </c>
      <c r="AF408" s="1" t="s">
        <v>54</v>
      </c>
      <c r="AG408" s="1" t="s">
        <v>70</v>
      </c>
      <c r="AH408" s="1" t="s">
        <v>47</v>
      </c>
      <c r="AI408">
        <v>3951</v>
      </c>
      <c r="AJ408">
        <v>-197.55000000000018</v>
      </c>
    </row>
    <row r="409" spans="1:36" x14ac:dyDescent="0.25">
      <c r="A409">
        <v>10408</v>
      </c>
      <c r="B409">
        <v>60</v>
      </c>
      <c r="C409" s="1" t="s">
        <v>60</v>
      </c>
      <c r="D409" s="1" t="s">
        <v>69</v>
      </c>
      <c r="E409" s="2">
        <v>44378</v>
      </c>
      <c r="F409" s="2">
        <v>44429</v>
      </c>
      <c r="G409" s="1" t="s">
        <v>49</v>
      </c>
      <c r="H409">
        <v>527</v>
      </c>
      <c r="I409">
        <v>14</v>
      </c>
      <c r="J409">
        <v>0</v>
      </c>
      <c r="K409">
        <v>117.07</v>
      </c>
      <c r="L409">
        <v>0</v>
      </c>
      <c r="M409" s="1" t="s">
        <v>39</v>
      </c>
      <c r="N409" s="1" t="s">
        <v>56</v>
      </c>
      <c r="O409">
        <v>7378</v>
      </c>
      <c r="P409" t="b">
        <v>1</v>
      </c>
      <c r="Q409">
        <v>1.1666666666666667</v>
      </c>
      <c r="R409">
        <v>527</v>
      </c>
      <c r="S409">
        <v>117.07</v>
      </c>
      <c r="T409" s="2">
        <v>44378</v>
      </c>
      <c r="U409" s="1" t="s">
        <v>41</v>
      </c>
      <c r="V409">
        <v>0</v>
      </c>
      <c r="W409" s="1" t="s">
        <v>56</v>
      </c>
      <c r="X409">
        <v>51</v>
      </c>
      <c r="Y409" s="1" t="s">
        <v>43</v>
      </c>
      <c r="Z409" s="1" t="s">
        <v>42</v>
      </c>
      <c r="AA409">
        <v>0</v>
      </c>
      <c r="AB409" s="1" t="s">
        <v>42</v>
      </c>
      <c r="AC409">
        <v>3</v>
      </c>
      <c r="AD409" s="2">
        <v>44378</v>
      </c>
      <c r="AE409" s="1" t="s">
        <v>53</v>
      </c>
      <c r="AF409" s="1" t="s">
        <v>54</v>
      </c>
      <c r="AG409" s="1" t="s">
        <v>63</v>
      </c>
      <c r="AH409" s="1" t="s">
        <v>64</v>
      </c>
      <c r="AI409">
        <v>7378</v>
      </c>
      <c r="AJ409">
        <v>0</v>
      </c>
    </row>
    <row r="410" spans="1:36" x14ac:dyDescent="0.25">
      <c r="A410">
        <v>10409</v>
      </c>
      <c r="B410">
        <v>54</v>
      </c>
      <c r="C410" s="1" t="s">
        <v>36</v>
      </c>
      <c r="D410" s="1" t="s">
        <v>48</v>
      </c>
      <c r="E410" s="2">
        <v>44907</v>
      </c>
      <c r="F410" s="2">
        <v>44409</v>
      </c>
      <c r="G410" s="1" t="s">
        <v>38</v>
      </c>
      <c r="H410">
        <v>827</v>
      </c>
      <c r="I410">
        <v>17</v>
      </c>
      <c r="J410">
        <v>1</v>
      </c>
      <c r="K410">
        <v>14.86</v>
      </c>
      <c r="L410">
        <v>15</v>
      </c>
      <c r="M410" s="1" t="s">
        <v>50</v>
      </c>
      <c r="N410" s="1" t="s">
        <v>56</v>
      </c>
      <c r="O410">
        <v>13934.95</v>
      </c>
      <c r="P410" t="b">
        <v>0</v>
      </c>
      <c r="Q410">
        <v>1.4166666666666667</v>
      </c>
      <c r="R410">
        <v>819.70294117647063</v>
      </c>
      <c r="S410">
        <v>7.43</v>
      </c>
      <c r="T410" s="2">
        <v>44896</v>
      </c>
      <c r="U410" s="1" t="s">
        <v>41</v>
      </c>
      <c r="V410">
        <v>0</v>
      </c>
      <c r="W410" s="1" t="s">
        <v>40</v>
      </c>
      <c r="Y410" s="1" t="s">
        <v>42</v>
      </c>
      <c r="Z410" s="1" t="s">
        <v>42</v>
      </c>
      <c r="AA410">
        <v>5.5555555555555552E-2</v>
      </c>
      <c r="AB410" s="1" t="s">
        <v>52</v>
      </c>
      <c r="AC410">
        <v>1</v>
      </c>
      <c r="AD410" s="2">
        <v>44896</v>
      </c>
      <c r="AE410" s="1" t="s">
        <v>53</v>
      </c>
      <c r="AF410" s="1" t="s">
        <v>54</v>
      </c>
      <c r="AG410" s="1" t="s">
        <v>46</v>
      </c>
      <c r="AH410" s="1" t="s">
        <v>59</v>
      </c>
      <c r="AI410">
        <v>14059</v>
      </c>
      <c r="AJ410">
        <v>-124.04999999999927</v>
      </c>
    </row>
    <row r="411" spans="1:36" x14ac:dyDescent="0.25">
      <c r="A411">
        <v>10410</v>
      </c>
      <c r="B411">
        <v>50</v>
      </c>
      <c r="C411" s="1" t="s">
        <v>36</v>
      </c>
      <c r="D411" s="1" t="s">
        <v>69</v>
      </c>
      <c r="E411" s="2">
        <v>45010</v>
      </c>
      <c r="F411" s="2">
        <v>45146</v>
      </c>
      <c r="G411" s="1" t="s">
        <v>62</v>
      </c>
      <c r="H411">
        <v>795</v>
      </c>
      <c r="I411">
        <v>22</v>
      </c>
      <c r="J411">
        <v>1</v>
      </c>
      <c r="K411">
        <v>30.14</v>
      </c>
      <c r="L411">
        <v>20</v>
      </c>
      <c r="M411" s="1" t="s">
        <v>67</v>
      </c>
      <c r="N411" s="1" t="s">
        <v>40</v>
      </c>
      <c r="O411">
        <v>17331</v>
      </c>
      <c r="P411" t="b">
        <v>1</v>
      </c>
      <c r="Q411">
        <v>1.8333333333333333</v>
      </c>
      <c r="R411">
        <v>787.77272727272725</v>
      </c>
      <c r="S411">
        <v>15.07</v>
      </c>
      <c r="T411" s="2">
        <v>44986</v>
      </c>
      <c r="U411" s="1" t="s">
        <v>51</v>
      </c>
      <c r="V411">
        <v>1</v>
      </c>
      <c r="W411" s="1" t="s">
        <v>40</v>
      </c>
      <c r="X411">
        <v>136</v>
      </c>
      <c r="Y411" s="1" t="s">
        <v>52</v>
      </c>
      <c r="Z411" s="1" t="s">
        <v>52</v>
      </c>
      <c r="AA411">
        <v>4.3478260869565216E-2</v>
      </c>
      <c r="AB411" s="1" t="s">
        <v>52</v>
      </c>
      <c r="AC411">
        <v>2</v>
      </c>
      <c r="AD411" s="2">
        <v>44986</v>
      </c>
      <c r="AE411" s="1" t="s">
        <v>53</v>
      </c>
      <c r="AF411" s="1" t="s">
        <v>54</v>
      </c>
      <c r="AG411" s="1" t="s">
        <v>55</v>
      </c>
      <c r="AH411" s="1" t="s">
        <v>59</v>
      </c>
      <c r="AI411">
        <v>17490</v>
      </c>
      <c r="AJ411">
        <v>-159</v>
      </c>
    </row>
    <row r="412" spans="1:36" x14ac:dyDescent="0.25">
      <c r="A412">
        <v>10411</v>
      </c>
      <c r="B412">
        <v>25</v>
      </c>
      <c r="C412" s="1" t="s">
        <v>60</v>
      </c>
      <c r="D412" s="1" t="s">
        <v>71</v>
      </c>
      <c r="E412" s="2">
        <v>44963</v>
      </c>
      <c r="F412" s="2">
        <v>44847</v>
      </c>
      <c r="G412" s="1" t="s">
        <v>38</v>
      </c>
      <c r="H412">
        <v>330</v>
      </c>
      <c r="I412">
        <v>26</v>
      </c>
      <c r="J412">
        <v>0</v>
      </c>
      <c r="K412">
        <v>62.59</v>
      </c>
      <c r="L412">
        <v>0</v>
      </c>
      <c r="M412" s="1" t="s">
        <v>50</v>
      </c>
      <c r="N412" s="1" t="s">
        <v>56</v>
      </c>
      <c r="O412">
        <v>8580</v>
      </c>
      <c r="P412" t="b">
        <v>0</v>
      </c>
      <c r="Q412">
        <v>2.1666666666666665</v>
      </c>
      <c r="R412">
        <v>330</v>
      </c>
      <c r="S412">
        <v>62.59</v>
      </c>
      <c r="T412" s="2">
        <v>44958</v>
      </c>
      <c r="U412" s="1" t="s">
        <v>66</v>
      </c>
      <c r="V412">
        <v>0</v>
      </c>
      <c r="W412" s="1" t="s">
        <v>56</v>
      </c>
      <c r="Y412" s="1" t="s">
        <v>43</v>
      </c>
      <c r="Z412" s="1" t="s">
        <v>42</v>
      </c>
      <c r="AA412">
        <v>0</v>
      </c>
      <c r="AB412" s="1" t="s">
        <v>42</v>
      </c>
      <c r="AC412">
        <v>1</v>
      </c>
      <c r="AD412" s="2">
        <v>44958</v>
      </c>
      <c r="AE412" s="1" t="s">
        <v>44</v>
      </c>
      <c r="AF412" s="1" t="s">
        <v>54</v>
      </c>
      <c r="AG412" s="1" t="s">
        <v>63</v>
      </c>
      <c r="AH412" s="1" t="s">
        <v>68</v>
      </c>
      <c r="AI412">
        <v>8580</v>
      </c>
      <c r="AJ412">
        <v>0</v>
      </c>
    </row>
    <row r="413" spans="1:36" x14ac:dyDescent="0.25">
      <c r="A413">
        <v>10412</v>
      </c>
      <c r="B413">
        <v>61</v>
      </c>
      <c r="C413" s="1" t="s">
        <v>60</v>
      </c>
      <c r="D413" s="1" t="s">
        <v>71</v>
      </c>
      <c r="E413" s="2">
        <v>44830</v>
      </c>
      <c r="F413" s="2">
        <v>44389</v>
      </c>
      <c r="G413" s="1" t="s">
        <v>38</v>
      </c>
      <c r="H413">
        <v>461</v>
      </c>
      <c r="I413">
        <v>28</v>
      </c>
      <c r="J413">
        <v>2</v>
      </c>
      <c r="K413">
        <v>119.26</v>
      </c>
      <c r="L413">
        <v>15</v>
      </c>
      <c r="M413" s="1" t="s">
        <v>65</v>
      </c>
      <c r="N413" s="1" t="s">
        <v>56</v>
      </c>
      <c r="O413">
        <v>12838.85</v>
      </c>
      <c r="P413" t="b">
        <v>0</v>
      </c>
      <c r="Q413">
        <v>2.3333333333333335</v>
      </c>
      <c r="R413">
        <v>458.53035714285716</v>
      </c>
      <c r="S413">
        <v>39.753333333333337</v>
      </c>
      <c r="T413" s="2">
        <v>44805</v>
      </c>
      <c r="U413" s="1" t="s">
        <v>41</v>
      </c>
      <c r="V413">
        <v>0</v>
      </c>
      <c r="W413" s="1" t="s">
        <v>56</v>
      </c>
      <c r="Y413" s="1" t="s">
        <v>43</v>
      </c>
      <c r="Z413" s="1" t="s">
        <v>42</v>
      </c>
      <c r="AA413">
        <v>6.8965517241379309E-2</v>
      </c>
      <c r="AB413" s="1" t="s">
        <v>52</v>
      </c>
      <c r="AC413">
        <v>1</v>
      </c>
      <c r="AD413" s="2">
        <v>44805</v>
      </c>
      <c r="AE413" s="1" t="s">
        <v>44</v>
      </c>
      <c r="AF413" s="1" t="s">
        <v>72</v>
      </c>
      <c r="AG413" s="1" t="s">
        <v>63</v>
      </c>
      <c r="AH413" s="1" t="s">
        <v>68</v>
      </c>
      <c r="AI413">
        <v>12908</v>
      </c>
      <c r="AJ413">
        <v>-69.149999999999636</v>
      </c>
    </row>
    <row r="414" spans="1:36" x14ac:dyDescent="0.25">
      <c r="A414">
        <v>10413</v>
      </c>
      <c r="B414">
        <v>61</v>
      </c>
      <c r="C414" s="1" t="s">
        <v>36</v>
      </c>
      <c r="D414" s="1" t="s">
        <v>71</v>
      </c>
      <c r="E414" s="2">
        <v>44739</v>
      </c>
      <c r="F414" s="2">
        <v>44359</v>
      </c>
      <c r="G414" s="1" t="s">
        <v>62</v>
      </c>
      <c r="H414">
        <v>1004</v>
      </c>
      <c r="I414">
        <v>14</v>
      </c>
      <c r="J414">
        <v>3</v>
      </c>
      <c r="K414">
        <v>61.18</v>
      </c>
      <c r="L414">
        <v>10</v>
      </c>
      <c r="M414" s="1" t="s">
        <v>65</v>
      </c>
      <c r="N414" s="1" t="s">
        <v>56</v>
      </c>
      <c r="O414">
        <v>13955.6</v>
      </c>
      <c r="P414" t="b">
        <v>0</v>
      </c>
      <c r="Q414">
        <v>1.1666666666666667</v>
      </c>
      <c r="R414">
        <v>996.82857142857142</v>
      </c>
      <c r="S414">
        <v>15.295</v>
      </c>
      <c r="T414" s="2">
        <v>44713</v>
      </c>
      <c r="U414" s="1" t="s">
        <v>41</v>
      </c>
      <c r="V414">
        <v>0</v>
      </c>
      <c r="W414" s="1" t="s">
        <v>40</v>
      </c>
      <c r="Y414" s="1" t="s">
        <v>43</v>
      </c>
      <c r="Z414" s="1" t="s">
        <v>42</v>
      </c>
      <c r="AA414">
        <v>0.2</v>
      </c>
      <c r="AB414" s="1" t="s">
        <v>52</v>
      </c>
      <c r="AC414">
        <v>2</v>
      </c>
      <c r="AD414" s="2">
        <v>44713</v>
      </c>
      <c r="AE414" s="1" t="s">
        <v>53</v>
      </c>
      <c r="AF414" s="1" t="s">
        <v>72</v>
      </c>
      <c r="AG414" s="1" t="s">
        <v>63</v>
      </c>
      <c r="AH414" s="1" t="s">
        <v>47</v>
      </c>
      <c r="AI414">
        <v>14056</v>
      </c>
      <c r="AJ414">
        <v>-100.39999999999964</v>
      </c>
    </row>
    <row r="415" spans="1:36" x14ac:dyDescent="0.25">
      <c r="A415">
        <v>10414</v>
      </c>
      <c r="B415">
        <v>22</v>
      </c>
      <c r="C415" s="1" t="s">
        <v>36</v>
      </c>
      <c r="D415" s="1" t="s">
        <v>73</v>
      </c>
      <c r="E415" s="2">
        <v>44511</v>
      </c>
      <c r="F415" s="2">
        <v>45180</v>
      </c>
      <c r="G415" s="1" t="s">
        <v>62</v>
      </c>
      <c r="H415">
        <v>1021</v>
      </c>
      <c r="I415">
        <v>9</v>
      </c>
      <c r="J415">
        <v>2</v>
      </c>
      <c r="K415">
        <v>68.3</v>
      </c>
      <c r="L415">
        <v>0</v>
      </c>
      <c r="M415" s="1" t="s">
        <v>67</v>
      </c>
      <c r="N415" s="1" t="s">
        <v>40</v>
      </c>
      <c r="O415">
        <v>9189</v>
      </c>
      <c r="P415" t="b">
        <v>1</v>
      </c>
      <c r="Q415">
        <v>0.75</v>
      </c>
      <c r="R415">
        <v>1021</v>
      </c>
      <c r="S415">
        <v>22.766666666666666</v>
      </c>
      <c r="T415" s="2">
        <v>44501</v>
      </c>
      <c r="U415" s="1" t="s">
        <v>66</v>
      </c>
      <c r="V415">
        <v>1</v>
      </c>
      <c r="W415" s="1" t="s">
        <v>56</v>
      </c>
      <c r="X415">
        <v>669</v>
      </c>
      <c r="Y415" s="1" t="s">
        <v>43</v>
      </c>
      <c r="Z415" s="1" t="s">
        <v>42</v>
      </c>
      <c r="AA415">
        <v>0.2</v>
      </c>
      <c r="AB415" s="1" t="s">
        <v>52</v>
      </c>
      <c r="AC415">
        <v>2</v>
      </c>
      <c r="AD415" s="2">
        <v>44501</v>
      </c>
      <c r="AE415" s="1" t="s">
        <v>74</v>
      </c>
      <c r="AF415" s="1" t="s">
        <v>72</v>
      </c>
      <c r="AG415" s="1" t="s">
        <v>63</v>
      </c>
      <c r="AH415" s="1" t="s">
        <v>47</v>
      </c>
      <c r="AI415">
        <v>9189</v>
      </c>
      <c r="AJ415">
        <v>0</v>
      </c>
    </row>
    <row r="416" spans="1:36" x14ac:dyDescent="0.25">
      <c r="A416">
        <v>10415</v>
      </c>
      <c r="B416">
        <v>56</v>
      </c>
      <c r="C416" s="1" t="s">
        <v>60</v>
      </c>
      <c r="D416" s="1" t="s">
        <v>61</v>
      </c>
      <c r="E416" s="2">
        <v>44993</v>
      </c>
      <c r="F416" s="2">
        <v>45093</v>
      </c>
      <c r="G416" s="1" t="s">
        <v>62</v>
      </c>
      <c r="H416">
        <v>745</v>
      </c>
      <c r="I416">
        <v>26</v>
      </c>
      <c r="J416">
        <v>8</v>
      </c>
      <c r="K416">
        <v>84.86</v>
      </c>
      <c r="L416">
        <v>15</v>
      </c>
      <c r="M416" s="1" t="s">
        <v>39</v>
      </c>
      <c r="N416" s="1" t="s">
        <v>56</v>
      </c>
      <c r="O416">
        <v>19258.25</v>
      </c>
      <c r="P416" t="b">
        <v>1</v>
      </c>
      <c r="Q416">
        <v>2.1666666666666665</v>
      </c>
      <c r="R416">
        <v>740.70192307692309</v>
      </c>
      <c r="S416">
        <v>9.4288888888888884</v>
      </c>
      <c r="T416" s="2">
        <v>44986</v>
      </c>
      <c r="U416" s="1" t="s">
        <v>41</v>
      </c>
      <c r="V416">
        <v>0</v>
      </c>
      <c r="W416" s="1" t="s">
        <v>40</v>
      </c>
      <c r="X416">
        <v>100</v>
      </c>
      <c r="Y416" s="1" t="s">
        <v>43</v>
      </c>
      <c r="Z416" s="1" t="s">
        <v>42</v>
      </c>
      <c r="AA416">
        <v>0.29629629629629628</v>
      </c>
      <c r="AB416" s="1" t="s">
        <v>52</v>
      </c>
      <c r="AC416">
        <v>2</v>
      </c>
      <c r="AD416" s="2">
        <v>44986</v>
      </c>
      <c r="AE416" s="1" t="s">
        <v>44</v>
      </c>
      <c r="AF416" s="1" t="s">
        <v>78</v>
      </c>
      <c r="AG416" s="1" t="s">
        <v>63</v>
      </c>
      <c r="AH416" s="1" t="s">
        <v>59</v>
      </c>
      <c r="AI416">
        <v>19370</v>
      </c>
      <c r="AJ416">
        <v>-111.75</v>
      </c>
    </row>
    <row r="417" spans="1:36" x14ac:dyDescent="0.25">
      <c r="A417">
        <v>10416</v>
      </c>
      <c r="B417">
        <v>21</v>
      </c>
      <c r="C417" s="1" t="s">
        <v>36</v>
      </c>
      <c r="D417" s="1" t="s">
        <v>61</v>
      </c>
      <c r="E417" s="2">
        <v>44814</v>
      </c>
      <c r="F417" s="2">
        <v>45188</v>
      </c>
      <c r="G417" s="1" t="s">
        <v>49</v>
      </c>
      <c r="H417">
        <v>1043</v>
      </c>
      <c r="I417">
        <v>2</v>
      </c>
      <c r="J417">
        <v>1</v>
      </c>
      <c r="K417">
        <v>116.35</v>
      </c>
      <c r="L417">
        <v>10</v>
      </c>
      <c r="M417" s="1" t="s">
        <v>65</v>
      </c>
      <c r="N417" s="1" t="s">
        <v>56</v>
      </c>
      <c r="O417">
        <v>1981.7</v>
      </c>
      <c r="P417" t="b">
        <v>1</v>
      </c>
      <c r="Q417">
        <v>0.16666666666666666</v>
      </c>
      <c r="R417">
        <v>990.85</v>
      </c>
      <c r="S417">
        <v>58.174999999999997</v>
      </c>
      <c r="T417" s="2">
        <v>44805</v>
      </c>
      <c r="U417" s="1" t="s">
        <v>66</v>
      </c>
      <c r="V417">
        <v>0</v>
      </c>
      <c r="W417" s="1" t="s">
        <v>56</v>
      </c>
      <c r="X417">
        <v>374</v>
      </c>
      <c r="Y417" s="1" t="s">
        <v>43</v>
      </c>
      <c r="Z417" s="1" t="s">
        <v>42</v>
      </c>
      <c r="AA417">
        <v>0.33333333333333331</v>
      </c>
      <c r="AB417" s="1" t="s">
        <v>42</v>
      </c>
      <c r="AC417">
        <v>3</v>
      </c>
      <c r="AD417" s="2">
        <v>44805</v>
      </c>
      <c r="AE417" s="1" t="s">
        <v>58</v>
      </c>
      <c r="AF417" s="1" t="s">
        <v>54</v>
      </c>
      <c r="AG417" s="1" t="s">
        <v>63</v>
      </c>
      <c r="AH417" s="1" t="s">
        <v>47</v>
      </c>
      <c r="AI417">
        <v>2086</v>
      </c>
      <c r="AJ417">
        <v>-104.29999999999995</v>
      </c>
    </row>
    <row r="418" spans="1:36" x14ac:dyDescent="0.25">
      <c r="A418">
        <v>10417</v>
      </c>
      <c r="B418">
        <v>23</v>
      </c>
      <c r="C418" s="1" t="s">
        <v>75</v>
      </c>
      <c r="D418" s="1" t="s">
        <v>61</v>
      </c>
      <c r="E418" s="2">
        <v>44932</v>
      </c>
      <c r="F418" s="2">
        <v>44990</v>
      </c>
      <c r="G418" s="1" t="s">
        <v>38</v>
      </c>
      <c r="H418">
        <v>726</v>
      </c>
      <c r="I418">
        <v>11</v>
      </c>
      <c r="J418">
        <v>1</v>
      </c>
      <c r="K418">
        <v>95.09</v>
      </c>
      <c r="L418">
        <v>0</v>
      </c>
      <c r="M418" s="1" t="s">
        <v>67</v>
      </c>
      <c r="N418" s="1" t="s">
        <v>56</v>
      </c>
      <c r="O418">
        <v>7986</v>
      </c>
      <c r="P418" t="b">
        <v>1</v>
      </c>
      <c r="Q418">
        <v>0.91666666666666663</v>
      </c>
      <c r="R418">
        <v>726</v>
      </c>
      <c r="S418">
        <v>47.545000000000002</v>
      </c>
      <c r="T418" s="2">
        <v>44927</v>
      </c>
      <c r="U418" s="1" t="s">
        <v>66</v>
      </c>
      <c r="V418">
        <v>0</v>
      </c>
      <c r="W418" s="1" t="s">
        <v>56</v>
      </c>
      <c r="X418">
        <v>58</v>
      </c>
      <c r="Y418" s="1" t="s">
        <v>43</v>
      </c>
      <c r="Z418" s="1" t="s">
        <v>42</v>
      </c>
      <c r="AA418">
        <v>8.3333333333333329E-2</v>
      </c>
      <c r="AB418" s="1" t="s">
        <v>42</v>
      </c>
      <c r="AC418">
        <v>1</v>
      </c>
      <c r="AD418" s="2">
        <v>44927</v>
      </c>
      <c r="AE418" s="1" t="s">
        <v>74</v>
      </c>
      <c r="AF418" s="1" t="s">
        <v>54</v>
      </c>
      <c r="AG418" s="1" t="s">
        <v>63</v>
      </c>
      <c r="AH418" s="1" t="s">
        <v>59</v>
      </c>
      <c r="AI418">
        <v>7986</v>
      </c>
      <c r="AJ418">
        <v>0</v>
      </c>
    </row>
    <row r="419" spans="1:36" x14ac:dyDescent="0.25">
      <c r="A419">
        <v>10418</v>
      </c>
      <c r="B419">
        <v>62</v>
      </c>
      <c r="C419" s="1" t="s">
        <v>36</v>
      </c>
      <c r="D419" s="1" t="s">
        <v>73</v>
      </c>
      <c r="E419" s="2">
        <v>44469</v>
      </c>
      <c r="F419" s="2">
        <v>44462</v>
      </c>
      <c r="G419" s="1" t="s">
        <v>38</v>
      </c>
      <c r="H419">
        <v>803</v>
      </c>
      <c r="I419">
        <v>17</v>
      </c>
      <c r="J419">
        <v>5</v>
      </c>
      <c r="K419">
        <v>30.78</v>
      </c>
      <c r="L419">
        <v>15</v>
      </c>
      <c r="M419" s="1" t="s">
        <v>50</v>
      </c>
      <c r="N419" s="1" t="s">
        <v>40</v>
      </c>
      <c r="O419">
        <v>13530.55</v>
      </c>
      <c r="P419" t="b">
        <v>0</v>
      </c>
      <c r="Q419">
        <v>1.4166666666666667</v>
      </c>
      <c r="R419">
        <v>795.91470588235291</v>
      </c>
      <c r="S419">
        <v>5.13</v>
      </c>
      <c r="T419" s="2">
        <v>44440</v>
      </c>
      <c r="U419" s="1" t="s">
        <v>41</v>
      </c>
      <c r="V419">
        <v>1</v>
      </c>
      <c r="W419" s="1" t="s">
        <v>40</v>
      </c>
      <c r="Y419" s="1" t="s">
        <v>52</v>
      </c>
      <c r="Z419" s="1" t="s">
        <v>42</v>
      </c>
      <c r="AA419">
        <v>0.27777777777777779</v>
      </c>
      <c r="AB419" s="1" t="s">
        <v>52</v>
      </c>
      <c r="AC419">
        <v>1</v>
      </c>
      <c r="AD419" s="2">
        <v>44440</v>
      </c>
      <c r="AE419" s="1" t="s">
        <v>53</v>
      </c>
      <c r="AF419" s="1" t="s">
        <v>45</v>
      </c>
      <c r="AG419" s="1" t="s">
        <v>55</v>
      </c>
      <c r="AH419" s="1" t="s">
        <v>59</v>
      </c>
      <c r="AI419">
        <v>13651</v>
      </c>
      <c r="AJ419">
        <v>-120.45000000000073</v>
      </c>
    </row>
    <row r="420" spans="1:36" x14ac:dyDescent="0.25">
      <c r="A420">
        <v>10419</v>
      </c>
      <c r="B420">
        <v>49</v>
      </c>
      <c r="C420" s="1" t="s">
        <v>60</v>
      </c>
      <c r="D420" s="1" t="s">
        <v>69</v>
      </c>
      <c r="E420" s="2">
        <v>44428</v>
      </c>
      <c r="F420" s="2">
        <v>44565</v>
      </c>
      <c r="G420" s="1" t="s">
        <v>49</v>
      </c>
      <c r="H420">
        <v>1020</v>
      </c>
      <c r="I420">
        <v>34</v>
      </c>
      <c r="J420">
        <v>2</v>
      </c>
      <c r="K420">
        <v>39.840000000000003</v>
      </c>
      <c r="L420">
        <v>20</v>
      </c>
      <c r="M420" s="1" t="s">
        <v>50</v>
      </c>
      <c r="N420" s="1" t="s">
        <v>56</v>
      </c>
      <c r="O420">
        <v>34476</v>
      </c>
      <c r="P420" t="b">
        <v>1</v>
      </c>
      <c r="Q420">
        <v>2.8333333333333335</v>
      </c>
      <c r="R420">
        <v>1014</v>
      </c>
      <c r="S420">
        <v>13.280000000000001</v>
      </c>
      <c r="T420" s="2">
        <v>44409</v>
      </c>
      <c r="U420" s="1" t="s">
        <v>51</v>
      </c>
      <c r="V420">
        <v>0</v>
      </c>
      <c r="W420" s="1" t="s">
        <v>40</v>
      </c>
      <c r="X420">
        <v>137</v>
      </c>
      <c r="Y420" s="1" t="s">
        <v>52</v>
      </c>
      <c r="Z420" s="1" t="s">
        <v>52</v>
      </c>
      <c r="AA420">
        <v>5.7142857142857141E-2</v>
      </c>
      <c r="AB420" s="1" t="s">
        <v>43</v>
      </c>
      <c r="AC420">
        <v>3</v>
      </c>
      <c r="AD420" s="2">
        <v>44409</v>
      </c>
      <c r="AE420" s="1" t="s">
        <v>44</v>
      </c>
      <c r="AF420" s="1" t="s">
        <v>72</v>
      </c>
      <c r="AG420" s="1" t="s">
        <v>55</v>
      </c>
      <c r="AH420" s="1" t="s">
        <v>47</v>
      </c>
      <c r="AI420">
        <v>34680</v>
      </c>
      <c r="AJ420">
        <v>-204</v>
      </c>
    </row>
    <row r="421" spans="1:36" x14ac:dyDescent="0.25">
      <c r="A421">
        <v>10420</v>
      </c>
      <c r="B421">
        <v>47</v>
      </c>
      <c r="C421" s="1" t="s">
        <v>36</v>
      </c>
      <c r="D421" s="1" t="s">
        <v>61</v>
      </c>
      <c r="E421" s="2">
        <v>44616</v>
      </c>
      <c r="F421" s="2">
        <v>44996</v>
      </c>
      <c r="G421" s="1" t="s">
        <v>38</v>
      </c>
      <c r="H421">
        <v>983</v>
      </c>
      <c r="I421">
        <v>19</v>
      </c>
      <c r="J421">
        <v>1</v>
      </c>
      <c r="K421">
        <v>16.23</v>
      </c>
      <c r="L421">
        <v>0</v>
      </c>
      <c r="M421" s="1" t="s">
        <v>50</v>
      </c>
      <c r="N421" s="1" t="s">
        <v>56</v>
      </c>
      <c r="O421">
        <v>18677</v>
      </c>
      <c r="P421" t="b">
        <v>1</v>
      </c>
      <c r="Q421">
        <v>1.5833333333333333</v>
      </c>
      <c r="R421">
        <v>983</v>
      </c>
      <c r="S421">
        <v>8.1150000000000002</v>
      </c>
      <c r="T421" s="2">
        <v>44593</v>
      </c>
      <c r="U421" s="1" t="s">
        <v>51</v>
      </c>
      <c r="V421">
        <v>0</v>
      </c>
      <c r="W421" s="1" t="s">
        <v>40</v>
      </c>
      <c r="X421">
        <v>380</v>
      </c>
      <c r="Y421" s="1" t="s">
        <v>42</v>
      </c>
      <c r="Z421" s="1" t="s">
        <v>42</v>
      </c>
      <c r="AA421">
        <v>0.05</v>
      </c>
      <c r="AB421" s="1" t="s">
        <v>52</v>
      </c>
      <c r="AC421">
        <v>1</v>
      </c>
      <c r="AD421" s="2">
        <v>44593</v>
      </c>
      <c r="AE421" s="1" t="s">
        <v>53</v>
      </c>
      <c r="AF421" s="1" t="s">
        <v>54</v>
      </c>
      <c r="AG421" s="1" t="s">
        <v>46</v>
      </c>
      <c r="AH421" s="1" t="s">
        <v>59</v>
      </c>
      <c r="AI421">
        <v>18677</v>
      </c>
      <c r="AJ421">
        <v>0</v>
      </c>
    </row>
    <row r="422" spans="1:36" x14ac:dyDescent="0.25">
      <c r="A422">
        <v>10421</v>
      </c>
      <c r="B422">
        <v>64</v>
      </c>
      <c r="C422" s="1" t="s">
        <v>60</v>
      </c>
      <c r="D422" s="1" t="s">
        <v>48</v>
      </c>
      <c r="E422" s="2">
        <v>44964</v>
      </c>
      <c r="F422" s="2">
        <v>44453</v>
      </c>
      <c r="G422" s="1" t="s">
        <v>62</v>
      </c>
      <c r="H422">
        <v>881</v>
      </c>
      <c r="I422">
        <v>18</v>
      </c>
      <c r="J422">
        <v>2</v>
      </c>
      <c r="K422">
        <v>79.11</v>
      </c>
      <c r="L422">
        <v>0</v>
      </c>
      <c r="M422" s="1" t="s">
        <v>39</v>
      </c>
      <c r="N422" s="1" t="s">
        <v>56</v>
      </c>
      <c r="O422">
        <v>15858</v>
      </c>
      <c r="P422" t="b">
        <v>0</v>
      </c>
      <c r="Q422">
        <v>1.5</v>
      </c>
      <c r="R422">
        <v>881</v>
      </c>
      <c r="S422">
        <v>26.37</v>
      </c>
      <c r="T422" s="2">
        <v>44958</v>
      </c>
      <c r="U422" s="1" t="s">
        <v>41</v>
      </c>
      <c r="V422">
        <v>0</v>
      </c>
      <c r="W422" s="1" t="s">
        <v>40</v>
      </c>
      <c r="Y422" s="1" t="s">
        <v>43</v>
      </c>
      <c r="Z422" s="1" t="s">
        <v>42</v>
      </c>
      <c r="AA422">
        <v>0.10526315789473684</v>
      </c>
      <c r="AB422" s="1" t="s">
        <v>52</v>
      </c>
      <c r="AC422">
        <v>2</v>
      </c>
      <c r="AD422" s="2">
        <v>44958</v>
      </c>
      <c r="AE422" s="1" t="s">
        <v>53</v>
      </c>
      <c r="AF422" s="1" t="s">
        <v>72</v>
      </c>
      <c r="AG422" s="1" t="s">
        <v>63</v>
      </c>
      <c r="AH422" s="1" t="s">
        <v>59</v>
      </c>
      <c r="AI422">
        <v>15858</v>
      </c>
      <c r="AJ422">
        <v>0</v>
      </c>
    </row>
    <row r="423" spans="1:36" x14ac:dyDescent="0.25">
      <c r="A423">
        <v>10422</v>
      </c>
      <c r="B423">
        <v>52</v>
      </c>
      <c r="C423" s="1" t="s">
        <v>75</v>
      </c>
      <c r="D423" s="1" t="s">
        <v>71</v>
      </c>
      <c r="E423" s="2">
        <v>44638</v>
      </c>
      <c r="F423" s="2">
        <v>45038</v>
      </c>
      <c r="G423" s="1" t="s">
        <v>62</v>
      </c>
      <c r="H423">
        <v>1357</v>
      </c>
      <c r="I423">
        <v>13</v>
      </c>
      <c r="J423">
        <v>2</v>
      </c>
      <c r="K423">
        <v>25.79</v>
      </c>
      <c r="L423">
        <v>10</v>
      </c>
      <c r="M423" s="1" t="s">
        <v>39</v>
      </c>
      <c r="N423" s="1" t="s">
        <v>56</v>
      </c>
      <c r="O423">
        <v>17505.3</v>
      </c>
      <c r="P423" t="b">
        <v>1</v>
      </c>
      <c r="Q423">
        <v>1.0833333333333333</v>
      </c>
      <c r="R423">
        <v>1346.5615384615385</v>
      </c>
      <c r="S423">
        <v>8.5966666666666658</v>
      </c>
      <c r="T423" s="2">
        <v>44621</v>
      </c>
      <c r="U423" s="1" t="s">
        <v>41</v>
      </c>
      <c r="V423">
        <v>0</v>
      </c>
      <c r="W423" s="1" t="s">
        <v>40</v>
      </c>
      <c r="X423">
        <v>400</v>
      </c>
      <c r="Y423" s="1" t="s">
        <v>52</v>
      </c>
      <c r="Z423" s="1" t="s">
        <v>42</v>
      </c>
      <c r="AA423">
        <v>0.14285714285714285</v>
      </c>
      <c r="AB423" s="1" t="s">
        <v>52</v>
      </c>
      <c r="AC423">
        <v>2</v>
      </c>
      <c r="AD423" s="2">
        <v>44621</v>
      </c>
      <c r="AE423" s="1" t="s">
        <v>53</v>
      </c>
      <c r="AF423" s="1" t="s">
        <v>72</v>
      </c>
      <c r="AG423" s="1" t="s">
        <v>70</v>
      </c>
      <c r="AH423" s="1" t="s">
        <v>47</v>
      </c>
      <c r="AI423">
        <v>17641</v>
      </c>
      <c r="AJ423">
        <v>-135.70000000000073</v>
      </c>
    </row>
    <row r="424" spans="1:36" x14ac:dyDescent="0.25">
      <c r="A424">
        <v>10423</v>
      </c>
      <c r="B424">
        <v>57</v>
      </c>
      <c r="C424" s="1" t="s">
        <v>36</v>
      </c>
      <c r="D424" s="1" t="s">
        <v>69</v>
      </c>
      <c r="E424" s="2">
        <v>44692</v>
      </c>
      <c r="F424" s="2">
        <v>44875</v>
      </c>
      <c r="G424" s="1" t="s">
        <v>38</v>
      </c>
      <c r="H424">
        <v>1035</v>
      </c>
      <c r="I424">
        <v>5</v>
      </c>
      <c r="J424">
        <v>3</v>
      </c>
      <c r="K424">
        <v>34.6</v>
      </c>
      <c r="L424">
        <v>15</v>
      </c>
      <c r="M424" s="1" t="s">
        <v>67</v>
      </c>
      <c r="N424" s="1" t="s">
        <v>56</v>
      </c>
      <c r="O424">
        <v>5019.75</v>
      </c>
      <c r="P424" t="b">
        <v>1</v>
      </c>
      <c r="Q424">
        <v>0.41666666666666669</v>
      </c>
      <c r="R424">
        <v>1003.95</v>
      </c>
      <c r="S424">
        <v>8.65</v>
      </c>
      <c r="T424" s="2">
        <v>44682</v>
      </c>
      <c r="U424" s="1" t="s">
        <v>41</v>
      </c>
      <c r="V424">
        <v>0</v>
      </c>
      <c r="W424" s="1" t="s">
        <v>56</v>
      </c>
      <c r="X424">
        <v>183</v>
      </c>
      <c r="Y424" s="1" t="s">
        <v>52</v>
      </c>
      <c r="Z424" s="1" t="s">
        <v>42</v>
      </c>
      <c r="AA424">
        <v>0.5</v>
      </c>
      <c r="AB424" s="1" t="s">
        <v>42</v>
      </c>
      <c r="AC424">
        <v>1</v>
      </c>
      <c r="AD424" s="2">
        <v>44682</v>
      </c>
      <c r="AE424" s="1" t="s">
        <v>58</v>
      </c>
      <c r="AF424" s="1" t="s">
        <v>72</v>
      </c>
      <c r="AG424" s="1" t="s">
        <v>55</v>
      </c>
      <c r="AH424" s="1" t="s">
        <v>47</v>
      </c>
      <c r="AI424">
        <v>5175</v>
      </c>
      <c r="AJ424">
        <v>-155.25</v>
      </c>
    </row>
    <row r="425" spans="1:36" x14ac:dyDescent="0.25">
      <c r="A425">
        <v>10424</v>
      </c>
      <c r="B425">
        <v>33</v>
      </c>
      <c r="C425" s="1" t="s">
        <v>60</v>
      </c>
      <c r="D425" s="1" t="s">
        <v>71</v>
      </c>
      <c r="E425" s="2">
        <v>44220</v>
      </c>
      <c r="F425" s="2">
        <v>44819</v>
      </c>
      <c r="G425" s="1" t="s">
        <v>62</v>
      </c>
      <c r="H425">
        <v>990</v>
      </c>
      <c r="I425">
        <v>23</v>
      </c>
      <c r="J425">
        <v>3</v>
      </c>
      <c r="K425">
        <v>107.13</v>
      </c>
      <c r="L425">
        <v>20</v>
      </c>
      <c r="M425" s="1" t="s">
        <v>65</v>
      </c>
      <c r="N425" s="1" t="s">
        <v>56</v>
      </c>
      <c r="O425">
        <v>22572</v>
      </c>
      <c r="P425" t="b">
        <v>1</v>
      </c>
      <c r="Q425">
        <v>1.9166666666666667</v>
      </c>
      <c r="R425">
        <v>981.39130434782612</v>
      </c>
      <c r="S425">
        <v>26.782499999999999</v>
      </c>
      <c r="T425" s="2">
        <v>44197</v>
      </c>
      <c r="U425" s="1" t="s">
        <v>57</v>
      </c>
      <c r="V425">
        <v>0</v>
      </c>
      <c r="W425" s="1" t="s">
        <v>40</v>
      </c>
      <c r="X425">
        <v>599</v>
      </c>
      <c r="Y425" s="1" t="s">
        <v>43</v>
      </c>
      <c r="Z425" s="1" t="s">
        <v>52</v>
      </c>
      <c r="AA425">
        <v>0.125</v>
      </c>
      <c r="AB425" s="1" t="s">
        <v>43</v>
      </c>
      <c r="AC425">
        <v>2</v>
      </c>
      <c r="AD425" s="2">
        <v>44197</v>
      </c>
      <c r="AE425" s="1" t="s">
        <v>53</v>
      </c>
      <c r="AF425" s="1" t="s">
        <v>72</v>
      </c>
      <c r="AG425" s="1" t="s">
        <v>63</v>
      </c>
      <c r="AH425" s="1" t="s">
        <v>59</v>
      </c>
      <c r="AI425">
        <v>22770</v>
      </c>
      <c r="AJ425">
        <v>-198</v>
      </c>
    </row>
    <row r="426" spans="1:36" x14ac:dyDescent="0.25">
      <c r="A426">
        <v>10425</v>
      </c>
      <c r="B426">
        <v>30</v>
      </c>
      <c r="C426" s="1" t="s">
        <v>36</v>
      </c>
      <c r="D426" s="1" t="s">
        <v>76</v>
      </c>
      <c r="E426" s="2">
        <v>44305</v>
      </c>
      <c r="F426" s="2">
        <v>45101</v>
      </c>
      <c r="G426" s="1" t="s">
        <v>38</v>
      </c>
      <c r="H426">
        <v>1057</v>
      </c>
      <c r="I426">
        <v>24</v>
      </c>
      <c r="J426">
        <v>1</v>
      </c>
      <c r="K426">
        <v>42.58</v>
      </c>
      <c r="L426">
        <v>10</v>
      </c>
      <c r="M426" s="1" t="s">
        <v>50</v>
      </c>
      <c r="N426" s="1" t="s">
        <v>56</v>
      </c>
      <c r="O426">
        <v>25262.3</v>
      </c>
      <c r="P426" t="b">
        <v>1</v>
      </c>
      <c r="Q426">
        <v>2</v>
      </c>
      <c r="R426">
        <v>1052.5958333333333</v>
      </c>
      <c r="S426">
        <v>21.29</v>
      </c>
      <c r="T426" s="2">
        <v>44287</v>
      </c>
      <c r="U426" s="1" t="s">
        <v>57</v>
      </c>
      <c r="V426">
        <v>0</v>
      </c>
      <c r="W426" s="1" t="s">
        <v>40</v>
      </c>
      <c r="X426">
        <v>796</v>
      </c>
      <c r="Y426" s="1" t="s">
        <v>52</v>
      </c>
      <c r="Z426" s="1" t="s">
        <v>42</v>
      </c>
      <c r="AA426">
        <v>0.04</v>
      </c>
      <c r="AB426" s="1" t="s">
        <v>43</v>
      </c>
      <c r="AC426">
        <v>1</v>
      </c>
      <c r="AD426" s="2">
        <v>44287</v>
      </c>
      <c r="AE426" s="1" t="s">
        <v>53</v>
      </c>
      <c r="AF426" s="1" t="s">
        <v>54</v>
      </c>
      <c r="AG426" s="1" t="s">
        <v>55</v>
      </c>
      <c r="AH426" s="1" t="s">
        <v>47</v>
      </c>
      <c r="AI426">
        <v>25368</v>
      </c>
      <c r="AJ426">
        <v>-105.70000000000073</v>
      </c>
    </row>
    <row r="427" spans="1:36" x14ac:dyDescent="0.25">
      <c r="A427">
        <v>10426</v>
      </c>
      <c r="B427">
        <v>59</v>
      </c>
      <c r="C427" s="1" t="s">
        <v>60</v>
      </c>
      <c r="D427" s="1" t="s">
        <v>69</v>
      </c>
      <c r="E427" s="2">
        <v>44899</v>
      </c>
      <c r="F427" s="2">
        <v>45193</v>
      </c>
      <c r="G427" s="1" t="s">
        <v>38</v>
      </c>
      <c r="H427">
        <v>1053</v>
      </c>
      <c r="I427">
        <v>29</v>
      </c>
      <c r="J427">
        <v>1</v>
      </c>
      <c r="K427">
        <v>70.16</v>
      </c>
      <c r="L427">
        <v>0</v>
      </c>
      <c r="M427" s="1" t="s">
        <v>39</v>
      </c>
      <c r="N427" s="1" t="s">
        <v>56</v>
      </c>
      <c r="O427">
        <v>30537</v>
      </c>
      <c r="P427" t="b">
        <v>1</v>
      </c>
      <c r="Q427">
        <v>2.4166666666666665</v>
      </c>
      <c r="R427">
        <v>1053</v>
      </c>
      <c r="S427">
        <v>35.08</v>
      </c>
      <c r="T427" s="2">
        <v>44896</v>
      </c>
      <c r="U427" s="1" t="s">
        <v>41</v>
      </c>
      <c r="V427">
        <v>0</v>
      </c>
      <c r="W427" s="1" t="s">
        <v>40</v>
      </c>
      <c r="X427">
        <v>294</v>
      </c>
      <c r="Y427" s="1" t="s">
        <v>43</v>
      </c>
      <c r="Z427" s="1" t="s">
        <v>42</v>
      </c>
      <c r="AA427">
        <v>3.3333333333333333E-2</v>
      </c>
      <c r="AB427" s="1" t="s">
        <v>43</v>
      </c>
      <c r="AC427">
        <v>1</v>
      </c>
      <c r="AD427" s="2">
        <v>44896</v>
      </c>
      <c r="AE427" s="1" t="s">
        <v>44</v>
      </c>
      <c r="AF427" s="1" t="s">
        <v>54</v>
      </c>
      <c r="AG427" s="1" t="s">
        <v>63</v>
      </c>
      <c r="AH427" s="1" t="s">
        <v>47</v>
      </c>
      <c r="AI427">
        <v>30537</v>
      </c>
      <c r="AJ427">
        <v>0</v>
      </c>
    </row>
    <row r="428" spans="1:36" x14ac:dyDescent="0.25">
      <c r="A428">
        <v>10427</v>
      </c>
      <c r="B428">
        <v>47</v>
      </c>
      <c r="C428" s="1" t="s">
        <v>75</v>
      </c>
      <c r="D428" s="1" t="s">
        <v>37</v>
      </c>
      <c r="E428" s="2">
        <v>44698</v>
      </c>
      <c r="F428" s="2">
        <v>45240</v>
      </c>
      <c r="G428" s="1" t="s">
        <v>38</v>
      </c>
      <c r="H428">
        <v>323</v>
      </c>
      <c r="I428">
        <v>8</v>
      </c>
      <c r="J428">
        <v>4</v>
      </c>
      <c r="K428">
        <v>50.72</v>
      </c>
      <c r="L428">
        <v>10</v>
      </c>
      <c r="M428" s="1" t="s">
        <v>39</v>
      </c>
      <c r="N428" s="1" t="s">
        <v>56</v>
      </c>
      <c r="O428">
        <v>2551.6999999999998</v>
      </c>
      <c r="P428" t="b">
        <v>1</v>
      </c>
      <c r="Q428">
        <v>0.66666666666666663</v>
      </c>
      <c r="R428">
        <v>318.96249999999998</v>
      </c>
      <c r="S428">
        <v>10.144</v>
      </c>
      <c r="T428" s="2">
        <v>44682</v>
      </c>
      <c r="U428" s="1" t="s">
        <v>51</v>
      </c>
      <c r="V428">
        <v>0</v>
      </c>
      <c r="W428" s="1" t="s">
        <v>56</v>
      </c>
      <c r="X428">
        <v>542</v>
      </c>
      <c r="Y428" s="1" t="s">
        <v>52</v>
      </c>
      <c r="Z428" s="1" t="s">
        <v>42</v>
      </c>
      <c r="AA428">
        <v>0.44444444444444442</v>
      </c>
      <c r="AB428" s="1" t="s">
        <v>42</v>
      </c>
      <c r="AC428">
        <v>1</v>
      </c>
      <c r="AD428" s="2">
        <v>44682</v>
      </c>
      <c r="AE428" s="1" t="s">
        <v>74</v>
      </c>
      <c r="AF428" s="1" t="s">
        <v>45</v>
      </c>
      <c r="AG428" s="1" t="s">
        <v>63</v>
      </c>
      <c r="AH428" s="1" t="s">
        <v>68</v>
      </c>
      <c r="AI428">
        <v>2584</v>
      </c>
      <c r="AJ428">
        <v>-32.300000000000182</v>
      </c>
    </row>
    <row r="429" spans="1:36" x14ac:dyDescent="0.25">
      <c r="A429">
        <v>10428</v>
      </c>
      <c r="B429">
        <v>36</v>
      </c>
      <c r="C429" s="1" t="s">
        <v>75</v>
      </c>
      <c r="D429" s="1" t="s">
        <v>48</v>
      </c>
      <c r="E429" s="2">
        <v>45055</v>
      </c>
      <c r="F429" s="2">
        <v>44734</v>
      </c>
      <c r="G429" s="1" t="s">
        <v>49</v>
      </c>
      <c r="H429">
        <v>354</v>
      </c>
      <c r="I429">
        <v>26</v>
      </c>
      <c r="J429">
        <v>3</v>
      </c>
      <c r="K429">
        <v>13.51</v>
      </c>
      <c r="L429">
        <v>10</v>
      </c>
      <c r="M429" s="1" t="s">
        <v>65</v>
      </c>
      <c r="N429" s="1" t="s">
        <v>56</v>
      </c>
      <c r="O429">
        <v>9168.6</v>
      </c>
      <c r="P429" t="b">
        <v>0</v>
      </c>
      <c r="Q429">
        <v>2.1666666666666665</v>
      </c>
      <c r="R429">
        <v>352.63846153846157</v>
      </c>
      <c r="S429">
        <v>3.3774999999999999</v>
      </c>
      <c r="T429" s="2">
        <v>45047</v>
      </c>
      <c r="U429" s="1" t="s">
        <v>51</v>
      </c>
      <c r="V429">
        <v>0</v>
      </c>
      <c r="W429" s="1" t="s">
        <v>56</v>
      </c>
      <c r="Y429" s="1" t="s">
        <v>42</v>
      </c>
      <c r="Z429" s="1" t="s">
        <v>42</v>
      </c>
      <c r="AA429">
        <v>0.1111111111111111</v>
      </c>
      <c r="AB429" s="1" t="s">
        <v>52</v>
      </c>
      <c r="AC429">
        <v>3</v>
      </c>
      <c r="AD429" s="2">
        <v>45047</v>
      </c>
      <c r="AE429" s="1" t="s">
        <v>44</v>
      </c>
      <c r="AF429" s="1" t="s">
        <v>72</v>
      </c>
      <c r="AG429" s="1" t="s">
        <v>46</v>
      </c>
      <c r="AH429" s="1" t="s">
        <v>68</v>
      </c>
      <c r="AI429">
        <v>9204</v>
      </c>
      <c r="AJ429">
        <v>-35.399999999999636</v>
      </c>
    </row>
    <row r="430" spans="1:36" x14ac:dyDescent="0.25">
      <c r="A430">
        <v>10429</v>
      </c>
      <c r="B430">
        <v>34</v>
      </c>
      <c r="C430" s="1" t="s">
        <v>36</v>
      </c>
      <c r="D430" s="1" t="s">
        <v>61</v>
      </c>
      <c r="E430" s="2">
        <v>44221</v>
      </c>
      <c r="F430" s="2">
        <v>44573</v>
      </c>
      <c r="G430" s="1" t="s">
        <v>38</v>
      </c>
      <c r="H430">
        <v>1349</v>
      </c>
      <c r="I430">
        <v>15</v>
      </c>
      <c r="J430">
        <v>2</v>
      </c>
      <c r="K430">
        <v>46.73</v>
      </c>
      <c r="L430">
        <v>10</v>
      </c>
      <c r="M430" s="1" t="s">
        <v>50</v>
      </c>
      <c r="N430" s="1" t="s">
        <v>56</v>
      </c>
      <c r="O430">
        <v>20100.099999999999</v>
      </c>
      <c r="P430" t="b">
        <v>1</v>
      </c>
      <c r="Q430">
        <v>1.25</v>
      </c>
      <c r="R430">
        <v>1340.0066666666667</v>
      </c>
      <c r="S430">
        <v>15.576666666666666</v>
      </c>
      <c r="T430" s="2">
        <v>44197</v>
      </c>
      <c r="U430" s="1" t="s">
        <v>57</v>
      </c>
      <c r="V430">
        <v>0</v>
      </c>
      <c r="W430" s="1" t="s">
        <v>40</v>
      </c>
      <c r="X430">
        <v>352</v>
      </c>
      <c r="Y430" s="1" t="s">
        <v>52</v>
      </c>
      <c r="Z430" s="1" t="s">
        <v>42</v>
      </c>
      <c r="AA430">
        <v>0.125</v>
      </c>
      <c r="AB430" s="1" t="s">
        <v>43</v>
      </c>
      <c r="AC430">
        <v>1</v>
      </c>
      <c r="AD430" s="2">
        <v>44197</v>
      </c>
      <c r="AE430" s="1" t="s">
        <v>53</v>
      </c>
      <c r="AF430" s="1" t="s">
        <v>72</v>
      </c>
      <c r="AG430" s="1" t="s">
        <v>63</v>
      </c>
      <c r="AH430" s="1" t="s">
        <v>47</v>
      </c>
      <c r="AI430">
        <v>20235</v>
      </c>
      <c r="AJ430">
        <v>-134.90000000000146</v>
      </c>
    </row>
    <row r="431" spans="1:36" x14ac:dyDescent="0.25">
      <c r="A431">
        <v>10430</v>
      </c>
      <c r="B431">
        <v>36</v>
      </c>
      <c r="C431" s="1" t="s">
        <v>60</v>
      </c>
      <c r="D431" s="1" t="s">
        <v>61</v>
      </c>
      <c r="E431" s="2">
        <v>44383</v>
      </c>
      <c r="F431" s="2">
        <v>44828</v>
      </c>
      <c r="G431" s="1" t="s">
        <v>62</v>
      </c>
      <c r="H431">
        <v>1103</v>
      </c>
      <c r="I431">
        <v>1</v>
      </c>
      <c r="J431">
        <v>3</v>
      </c>
      <c r="K431">
        <v>51.93</v>
      </c>
      <c r="L431">
        <v>0</v>
      </c>
      <c r="M431" s="1" t="s">
        <v>50</v>
      </c>
      <c r="N431" s="1" t="s">
        <v>56</v>
      </c>
      <c r="O431">
        <v>1103</v>
      </c>
      <c r="P431" t="b">
        <v>1</v>
      </c>
      <c r="Q431">
        <v>8.3333333333333329E-2</v>
      </c>
      <c r="R431">
        <v>1103</v>
      </c>
      <c r="S431">
        <v>12.9825</v>
      </c>
      <c r="T431" s="2">
        <v>44378</v>
      </c>
      <c r="U431" s="1" t="s">
        <v>51</v>
      </c>
      <c r="V431">
        <v>0</v>
      </c>
      <c r="W431" s="1" t="s">
        <v>56</v>
      </c>
      <c r="X431">
        <v>445</v>
      </c>
      <c r="Y431" s="1" t="s">
        <v>52</v>
      </c>
      <c r="Z431" s="1" t="s">
        <v>42</v>
      </c>
      <c r="AA431">
        <v>1.5</v>
      </c>
      <c r="AB431" s="1" t="s">
        <v>42</v>
      </c>
      <c r="AC431">
        <v>2</v>
      </c>
      <c r="AD431" s="2">
        <v>44378</v>
      </c>
      <c r="AE431" s="1" t="s">
        <v>58</v>
      </c>
      <c r="AF431" s="1" t="s">
        <v>72</v>
      </c>
      <c r="AG431" s="1" t="s">
        <v>63</v>
      </c>
      <c r="AH431" s="1" t="s">
        <v>47</v>
      </c>
      <c r="AI431">
        <v>1103</v>
      </c>
      <c r="AJ431">
        <v>0</v>
      </c>
    </row>
    <row r="432" spans="1:36" x14ac:dyDescent="0.25">
      <c r="A432">
        <v>10431</v>
      </c>
      <c r="B432">
        <v>45</v>
      </c>
      <c r="C432" s="1" t="s">
        <v>36</v>
      </c>
      <c r="D432" s="1" t="s">
        <v>48</v>
      </c>
      <c r="E432" s="2">
        <v>44484</v>
      </c>
      <c r="F432" s="2">
        <v>45101</v>
      </c>
      <c r="G432" s="1" t="s">
        <v>49</v>
      </c>
      <c r="H432">
        <v>626</v>
      </c>
      <c r="I432">
        <v>28</v>
      </c>
      <c r="J432">
        <v>3</v>
      </c>
      <c r="K432">
        <v>108.01</v>
      </c>
      <c r="L432">
        <v>5</v>
      </c>
      <c r="M432" s="1" t="s">
        <v>65</v>
      </c>
      <c r="N432" s="1" t="s">
        <v>40</v>
      </c>
      <c r="O432">
        <v>17496.7</v>
      </c>
      <c r="P432" t="b">
        <v>1</v>
      </c>
      <c r="Q432">
        <v>2.3333333333333335</v>
      </c>
      <c r="R432">
        <v>624.88214285714287</v>
      </c>
      <c r="S432">
        <v>27.002500000000001</v>
      </c>
      <c r="T432" s="2">
        <v>44470</v>
      </c>
      <c r="U432" s="1" t="s">
        <v>51</v>
      </c>
      <c r="V432">
        <v>1</v>
      </c>
      <c r="W432" s="1" t="s">
        <v>40</v>
      </c>
      <c r="X432">
        <v>617</v>
      </c>
      <c r="Y432" s="1" t="s">
        <v>43</v>
      </c>
      <c r="Z432" s="1" t="s">
        <v>42</v>
      </c>
      <c r="AA432">
        <v>0.10344827586206896</v>
      </c>
      <c r="AB432" s="1" t="s">
        <v>52</v>
      </c>
      <c r="AC432">
        <v>3</v>
      </c>
      <c r="AD432" s="2">
        <v>44470</v>
      </c>
      <c r="AE432" s="1" t="s">
        <v>44</v>
      </c>
      <c r="AF432" s="1" t="s">
        <v>72</v>
      </c>
      <c r="AG432" s="1" t="s">
        <v>63</v>
      </c>
      <c r="AH432" s="1" t="s">
        <v>64</v>
      </c>
      <c r="AI432">
        <v>17528</v>
      </c>
      <c r="AJ432">
        <v>-31.299999999999272</v>
      </c>
    </row>
    <row r="433" spans="1:36" x14ac:dyDescent="0.25">
      <c r="A433">
        <v>10432</v>
      </c>
      <c r="B433">
        <v>43</v>
      </c>
      <c r="C433" s="1" t="s">
        <v>60</v>
      </c>
      <c r="D433" s="1" t="s">
        <v>48</v>
      </c>
      <c r="E433" s="2">
        <v>44824</v>
      </c>
      <c r="F433" s="2">
        <v>44755</v>
      </c>
      <c r="G433" s="1" t="s">
        <v>62</v>
      </c>
      <c r="H433">
        <v>1269</v>
      </c>
      <c r="I433">
        <v>14</v>
      </c>
      <c r="J433">
        <v>1</v>
      </c>
      <c r="K433">
        <v>42.31</v>
      </c>
      <c r="L433">
        <v>10</v>
      </c>
      <c r="M433" s="1" t="s">
        <v>67</v>
      </c>
      <c r="N433" s="1" t="s">
        <v>40</v>
      </c>
      <c r="O433">
        <v>17639.099999999999</v>
      </c>
      <c r="P433" t="b">
        <v>0</v>
      </c>
      <c r="Q433">
        <v>1.1666666666666667</v>
      </c>
      <c r="R433">
        <v>1259.9357142857141</v>
      </c>
      <c r="S433">
        <v>21.155000000000001</v>
      </c>
      <c r="T433" s="2">
        <v>44805</v>
      </c>
      <c r="U433" s="1" t="s">
        <v>51</v>
      </c>
      <c r="V433">
        <v>1</v>
      </c>
      <c r="W433" s="1" t="s">
        <v>40</v>
      </c>
      <c r="Y433" s="1" t="s">
        <v>52</v>
      </c>
      <c r="Z433" s="1" t="s">
        <v>42</v>
      </c>
      <c r="AA433">
        <v>6.6666666666666666E-2</v>
      </c>
      <c r="AB433" s="1" t="s">
        <v>52</v>
      </c>
      <c r="AC433">
        <v>2</v>
      </c>
      <c r="AD433" s="2">
        <v>44805</v>
      </c>
      <c r="AE433" s="1" t="s">
        <v>53</v>
      </c>
      <c r="AF433" s="1" t="s">
        <v>54</v>
      </c>
      <c r="AG433" s="1" t="s">
        <v>55</v>
      </c>
      <c r="AH433" s="1" t="s">
        <v>47</v>
      </c>
      <c r="AI433">
        <v>17766</v>
      </c>
      <c r="AJ433">
        <v>-126.90000000000146</v>
      </c>
    </row>
    <row r="434" spans="1:36" x14ac:dyDescent="0.25">
      <c r="A434">
        <v>10433</v>
      </c>
      <c r="B434">
        <v>54</v>
      </c>
      <c r="C434" s="1" t="s">
        <v>60</v>
      </c>
      <c r="D434" s="1" t="s">
        <v>37</v>
      </c>
      <c r="E434" s="2">
        <v>44534</v>
      </c>
      <c r="F434" s="2">
        <v>44804</v>
      </c>
      <c r="G434" s="1" t="s">
        <v>62</v>
      </c>
      <c r="H434">
        <v>485</v>
      </c>
      <c r="I434">
        <v>34</v>
      </c>
      <c r="J434">
        <v>3</v>
      </c>
      <c r="K434">
        <v>48.61</v>
      </c>
      <c r="L434">
        <v>5</v>
      </c>
      <c r="M434" s="1" t="s">
        <v>67</v>
      </c>
      <c r="N434" s="1" t="s">
        <v>56</v>
      </c>
      <c r="O434">
        <v>16465.75</v>
      </c>
      <c r="P434" t="b">
        <v>1</v>
      </c>
      <c r="Q434">
        <v>2.8333333333333335</v>
      </c>
      <c r="R434">
        <v>484.28676470588238</v>
      </c>
      <c r="S434">
        <v>12.1525</v>
      </c>
      <c r="T434" s="2">
        <v>44531</v>
      </c>
      <c r="U434" s="1" t="s">
        <v>41</v>
      </c>
      <c r="V434">
        <v>0</v>
      </c>
      <c r="W434" s="1" t="s">
        <v>40</v>
      </c>
      <c r="X434">
        <v>270</v>
      </c>
      <c r="Y434" s="1" t="s">
        <v>52</v>
      </c>
      <c r="Z434" s="1" t="s">
        <v>42</v>
      </c>
      <c r="AA434">
        <v>8.5714285714285715E-2</v>
      </c>
      <c r="AB434" s="1" t="s">
        <v>52</v>
      </c>
      <c r="AC434">
        <v>2</v>
      </c>
      <c r="AD434" s="2">
        <v>44531</v>
      </c>
      <c r="AE434" s="1" t="s">
        <v>44</v>
      </c>
      <c r="AF434" s="1" t="s">
        <v>72</v>
      </c>
      <c r="AG434" s="1" t="s">
        <v>63</v>
      </c>
      <c r="AH434" s="1" t="s">
        <v>68</v>
      </c>
      <c r="AI434">
        <v>16490</v>
      </c>
      <c r="AJ434">
        <v>-24.25</v>
      </c>
    </row>
    <row r="435" spans="1:36" x14ac:dyDescent="0.25">
      <c r="A435">
        <v>10434</v>
      </c>
      <c r="B435">
        <v>43</v>
      </c>
      <c r="C435" s="1" t="s">
        <v>36</v>
      </c>
      <c r="D435" s="1" t="s">
        <v>61</v>
      </c>
      <c r="E435" s="2">
        <v>45074</v>
      </c>
      <c r="F435" s="2">
        <v>45000</v>
      </c>
      <c r="G435" s="1" t="s">
        <v>62</v>
      </c>
      <c r="H435">
        <v>794</v>
      </c>
      <c r="I435">
        <v>31</v>
      </c>
      <c r="J435">
        <v>0</v>
      </c>
      <c r="K435">
        <v>95.03</v>
      </c>
      <c r="L435">
        <v>20</v>
      </c>
      <c r="M435" s="1" t="s">
        <v>65</v>
      </c>
      <c r="N435" s="1" t="s">
        <v>56</v>
      </c>
      <c r="O435">
        <v>24455.200000000001</v>
      </c>
      <c r="P435" t="b">
        <v>0</v>
      </c>
      <c r="Q435">
        <v>2.5833333333333335</v>
      </c>
      <c r="R435">
        <v>788.87741935483871</v>
      </c>
      <c r="S435">
        <v>95.03</v>
      </c>
      <c r="T435" s="2">
        <v>45047</v>
      </c>
      <c r="U435" s="1" t="s">
        <v>51</v>
      </c>
      <c r="V435">
        <v>0</v>
      </c>
      <c r="W435" s="1" t="s">
        <v>40</v>
      </c>
      <c r="Y435" s="1" t="s">
        <v>43</v>
      </c>
      <c r="Z435" s="1" t="s">
        <v>52</v>
      </c>
      <c r="AA435">
        <v>0</v>
      </c>
      <c r="AB435" s="1" t="s">
        <v>43</v>
      </c>
      <c r="AC435">
        <v>2</v>
      </c>
      <c r="AD435" s="2">
        <v>45047</v>
      </c>
      <c r="AE435" s="1" t="s">
        <v>44</v>
      </c>
      <c r="AF435" s="1" t="s">
        <v>54</v>
      </c>
      <c r="AG435" s="1" t="s">
        <v>63</v>
      </c>
      <c r="AH435" s="1" t="s">
        <v>59</v>
      </c>
      <c r="AI435">
        <v>24614</v>
      </c>
      <c r="AJ435">
        <v>-158.79999999999927</v>
      </c>
    </row>
    <row r="436" spans="1:36" x14ac:dyDescent="0.25">
      <c r="A436">
        <v>10435</v>
      </c>
      <c r="B436">
        <v>40</v>
      </c>
      <c r="C436" s="1" t="s">
        <v>60</v>
      </c>
      <c r="D436" s="1" t="s">
        <v>73</v>
      </c>
      <c r="E436" s="2">
        <v>44233</v>
      </c>
      <c r="F436" s="2">
        <v>45245</v>
      </c>
      <c r="G436" s="1" t="s">
        <v>38</v>
      </c>
      <c r="H436">
        <v>1335</v>
      </c>
      <c r="I436">
        <v>6</v>
      </c>
      <c r="J436">
        <v>1</v>
      </c>
      <c r="K436">
        <v>92.28</v>
      </c>
      <c r="L436">
        <v>20</v>
      </c>
      <c r="M436" s="1" t="s">
        <v>65</v>
      </c>
      <c r="N436" s="1" t="s">
        <v>40</v>
      </c>
      <c r="O436">
        <v>7743</v>
      </c>
      <c r="P436" t="b">
        <v>1</v>
      </c>
      <c r="Q436">
        <v>0.5</v>
      </c>
      <c r="R436">
        <v>1290.5</v>
      </c>
      <c r="S436">
        <v>46.14</v>
      </c>
      <c r="T436" s="2">
        <v>44228</v>
      </c>
      <c r="U436" s="1" t="s">
        <v>51</v>
      </c>
      <c r="V436">
        <v>1</v>
      </c>
      <c r="W436" s="1" t="s">
        <v>56</v>
      </c>
      <c r="X436">
        <v>1012</v>
      </c>
      <c r="Y436" s="1" t="s">
        <v>43</v>
      </c>
      <c r="Z436" s="1" t="s">
        <v>52</v>
      </c>
      <c r="AA436">
        <v>0.14285714285714285</v>
      </c>
      <c r="AB436" s="1" t="s">
        <v>42</v>
      </c>
      <c r="AC436">
        <v>1</v>
      </c>
      <c r="AD436" s="2">
        <v>44228</v>
      </c>
      <c r="AE436" s="1" t="s">
        <v>58</v>
      </c>
      <c r="AF436" s="1" t="s">
        <v>54</v>
      </c>
      <c r="AG436" s="1" t="s">
        <v>63</v>
      </c>
      <c r="AH436" s="1" t="s">
        <v>47</v>
      </c>
      <c r="AI436">
        <v>8010</v>
      </c>
      <c r="AJ436">
        <v>-267</v>
      </c>
    </row>
    <row r="437" spans="1:36" x14ac:dyDescent="0.25">
      <c r="A437">
        <v>10436</v>
      </c>
      <c r="B437">
        <v>26</v>
      </c>
      <c r="C437" s="1" t="s">
        <v>60</v>
      </c>
      <c r="D437" s="1" t="s">
        <v>61</v>
      </c>
      <c r="E437" s="2">
        <v>44990</v>
      </c>
      <c r="F437" s="2">
        <v>45058</v>
      </c>
      <c r="G437" s="1" t="s">
        <v>62</v>
      </c>
      <c r="H437">
        <v>733</v>
      </c>
      <c r="I437">
        <v>5</v>
      </c>
      <c r="J437">
        <v>3</v>
      </c>
      <c r="K437">
        <v>96.8</v>
      </c>
      <c r="L437">
        <v>20</v>
      </c>
      <c r="M437" s="1" t="s">
        <v>67</v>
      </c>
      <c r="N437" s="1" t="s">
        <v>56</v>
      </c>
      <c r="O437">
        <v>3518.4</v>
      </c>
      <c r="P437" t="b">
        <v>1</v>
      </c>
      <c r="Q437">
        <v>0.41666666666666669</v>
      </c>
      <c r="R437">
        <v>703.68000000000006</v>
      </c>
      <c r="S437">
        <v>24.2</v>
      </c>
      <c r="T437" s="2">
        <v>44986</v>
      </c>
      <c r="U437" s="1" t="s">
        <v>57</v>
      </c>
      <c r="V437">
        <v>0</v>
      </c>
      <c r="W437" s="1" t="s">
        <v>56</v>
      </c>
      <c r="X437">
        <v>68</v>
      </c>
      <c r="Y437" s="1" t="s">
        <v>43</v>
      </c>
      <c r="Z437" s="1" t="s">
        <v>52</v>
      </c>
      <c r="AA437">
        <v>0.5</v>
      </c>
      <c r="AB437" s="1" t="s">
        <v>42</v>
      </c>
      <c r="AC437">
        <v>2</v>
      </c>
      <c r="AD437" s="2">
        <v>44986</v>
      </c>
      <c r="AE437" s="1" t="s">
        <v>58</v>
      </c>
      <c r="AF437" s="1" t="s">
        <v>72</v>
      </c>
      <c r="AG437" s="1" t="s">
        <v>63</v>
      </c>
      <c r="AH437" s="1" t="s">
        <v>59</v>
      </c>
      <c r="AI437">
        <v>3665</v>
      </c>
      <c r="AJ437">
        <v>-146.59999999999991</v>
      </c>
    </row>
    <row r="438" spans="1:36" x14ac:dyDescent="0.25">
      <c r="A438">
        <v>10437</v>
      </c>
      <c r="B438">
        <v>29</v>
      </c>
      <c r="C438" s="1" t="s">
        <v>75</v>
      </c>
      <c r="D438" s="1" t="s">
        <v>71</v>
      </c>
      <c r="E438" s="2">
        <v>44333</v>
      </c>
      <c r="F438" s="2">
        <v>44971</v>
      </c>
      <c r="G438" s="1" t="s">
        <v>62</v>
      </c>
      <c r="H438">
        <v>507</v>
      </c>
      <c r="I438">
        <v>31</v>
      </c>
      <c r="J438">
        <v>0</v>
      </c>
      <c r="K438">
        <v>114.68</v>
      </c>
      <c r="L438">
        <v>15</v>
      </c>
      <c r="M438" s="1" t="s">
        <v>65</v>
      </c>
      <c r="N438" s="1" t="s">
        <v>40</v>
      </c>
      <c r="O438">
        <v>15640.95</v>
      </c>
      <c r="P438" t="b">
        <v>1</v>
      </c>
      <c r="Q438">
        <v>2.5833333333333335</v>
      </c>
      <c r="R438">
        <v>504.5467741935484</v>
      </c>
      <c r="S438">
        <v>114.68</v>
      </c>
      <c r="T438" s="2">
        <v>44317</v>
      </c>
      <c r="U438" s="1" t="s">
        <v>57</v>
      </c>
      <c r="V438">
        <v>1</v>
      </c>
      <c r="W438" s="1" t="s">
        <v>40</v>
      </c>
      <c r="X438">
        <v>638</v>
      </c>
      <c r="Y438" s="1" t="s">
        <v>43</v>
      </c>
      <c r="Z438" s="1" t="s">
        <v>42</v>
      </c>
      <c r="AA438">
        <v>0</v>
      </c>
      <c r="AB438" s="1" t="s">
        <v>52</v>
      </c>
      <c r="AC438">
        <v>2</v>
      </c>
      <c r="AD438" s="2">
        <v>44317</v>
      </c>
      <c r="AE438" s="1" t="s">
        <v>44</v>
      </c>
      <c r="AF438" s="1" t="s">
        <v>54</v>
      </c>
      <c r="AG438" s="1" t="s">
        <v>63</v>
      </c>
      <c r="AH438" s="1" t="s">
        <v>64</v>
      </c>
      <c r="AI438">
        <v>15717</v>
      </c>
      <c r="AJ438">
        <v>-76.049999999999272</v>
      </c>
    </row>
    <row r="439" spans="1:36" x14ac:dyDescent="0.25">
      <c r="A439">
        <v>10438</v>
      </c>
      <c r="B439">
        <v>18</v>
      </c>
      <c r="C439" s="1" t="s">
        <v>60</v>
      </c>
      <c r="D439" s="1" t="s">
        <v>69</v>
      </c>
      <c r="E439" s="2">
        <v>44704</v>
      </c>
      <c r="F439" s="2">
        <v>44986</v>
      </c>
      <c r="G439" s="1" t="s">
        <v>49</v>
      </c>
      <c r="H439">
        <v>432</v>
      </c>
      <c r="I439">
        <v>15</v>
      </c>
      <c r="J439">
        <v>2</v>
      </c>
      <c r="K439">
        <v>96.49</v>
      </c>
      <c r="L439">
        <v>0</v>
      </c>
      <c r="M439" s="1" t="s">
        <v>50</v>
      </c>
      <c r="N439" s="1" t="s">
        <v>56</v>
      </c>
      <c r="O439">
        <v>6480</v>
      </c>
      <c r="P439" t="b">
        <v>1</v>
      </c>
      <c r="Q439">
        <v>1.25</v>
      </c>
      <c r="R439">
        <v>432</v>
      </c>
      <c r="S439">
        <v>32.163333333333334</v>
      </c>
      <c r="T439" s="2">
        <v>44682</v>
      </c>
      <c r="U439" s="1" t="s">
        <v>66</v>
      </c>
      <c r="V439">
        <v>0</v>
      </c>
      <c r="W439" s="1" t="s">
        <v>56</v>
      </c>
      <c r="X439">
        <v>282</v>
      </c>
      <c r="Y439" s="1" t="s">
        <v>43</v>
      </c>
      <c r="Z439" s="1" t="s">
        <v>42</v>
      </c>
      <c r="AA439">
        <v>0.125</v>
      </c>
      <c r="AB439" s="1" t="s">
        <v>42</v>
      </c>
      <c r="AC439">
        <v>3</v>
      </c>
      <c r="AD439" s="2">
        <v>44682</v>
      </c>
      <c r="AE439" s="1" t="s">
        <v>53</v>
      </c>
      <c r="AF439" s="1" t="s">
        <v>72</v>
      </c>
      <c r="AG439" s="1" t="s">
        <v>63</v>
      </c>
      <c r="AH439" s="1" t="s">
        <v>68</v>
      </c>
      <c r="AI439">
        <v>6480</v>
      </c>
      <c r="AJ439">
        <v>0</v>
      </c>
    </row>
    <row r="440" spans="1:36" x14ac:dyDescent="0.25">
      <c r="A440">
        <v>10439</v>
      </c>
      <c r="B440">
        <v>18</v>
      </c>
      <c r="C440" s="1" t="s">
        <v>60</v>
      </c>
      <c r="D440" s="1" t="s">
        <v>69</v>
      </c>
      <c r="E440" s="2">
        <v>44423</v>
      </c>
      <c r="F440" s="2">
        <v>44368</v>
      </c>
      <c r="G440" s="1" t="s">
        <v>49</v>
      </c>
      <c r="H440">
        <v>668</v>
      </c>
      <c r="I440">
        <v>15</v>
      </c>
      <c r="J440">
        <v>3</v>
      </c>
      <c r="K440">
        <v>62.59</v>
      </c>
      <c r="L440">
        <v>5</v>
      </c>
      <c r="M440" s="1" t="s">
        <v>67</v>
      </c>
      <c r="N440" s="1" t="s">
        <v>40</v>
      </c>
      <c r="O440">
        <v>9986.6</v>
      </c>
      <c r="P440" t="b">
        <v>0</v>
      </c>
      <c r="Q440">
        <v>1.25</v>
      </c>
      <c r="R440">
        <v>665.77333333333331</v>
      </c>
      <c r="S440">
        <v>15.647500000000001</v>
      </c>
      <c r="T440" s="2">
        <v>44409</v>
      </c>
      <c r="U440" s="1" t="s">
        <v>66</v>
      </c>
      <c r="V440">
        <v>1</v>
      </c>
      <c r="W440" s="1" t="s">
        <v>56</v>
      </c>
      <c r="Y440" s="1" t="s">
        <v>43</v>
      </c>
      <c r="Z440" s="1" t="s">
        <v>42</v>
      </c>
      <c r="AA440">
        <v>0.1875</v>
      </c>
      <c r="AB440" s="1" t="s">
        <v>52</v>
      </c>
      <c r="AC440">
        <v>3</v>
      </c>
      <c r="AD440" s="2">
        <v>44409</v>
      </c>
      <c r="AE440" s="1" t="s">
        <v>53</v>
      </c>
      <c r="AF440" s="1" t="s">
        <v>72</v>
      </c>
      <c r="AG440" s="1" t="s">
        <v>63</v>
      </c>
      <c r="AH440" s="1" t="s">
        <v>64</v>
      </c>
      <c r="AI440">
        <v>10020</v>
      </c>
      <c r="AJ440">
        <v>-33.399999999999636</v>
      </c>
    </row>
    <row r="441" spans="1:36" x14ac:dyDescent="0.25">
      <c r="A441">
        <v>10440</v>
      </c>
      <c r="B441">
        <v>64</v>
      </c>
      <c r="C441" s="1" t="s">
        <v>36</v>
      </c>
      <c r="D441" s="1" t="s">
        <v>71</v>
      </c>
      <c r="E441" s="2">
        <v>44516</v>
      </c>
      <c r="F441" s="2">
        <v>45006</v>
      </c>
      <c r="G441" s="1" t="s">
        <v>49</v>
      </c>
      <c r="H441">
        <v>1426</v>
      </c>
      <c r="I441">
        <v>5</v>
      </c>
      <c r="J441">
        <v>4</v>
      </c>
      <c r="K441">
        <v>99.47</v>
      </c>
      <c r="L441">
        <v>15</v>
      </c>
      <c r="M441" s="1" t="s">
        <v>67</v>
      </c>
      <c r="N441" s="1" t="s">
        <v>56</v>
      </c>
      <c r="O441">
        <v>6916.1</v>
      </c>
      <c r="P441" t="b">
        <v>1</v>
      </c>
      <c r="Q441">
        <v>0.41666666666666669</v>
      </c>
      <c r="R441">
        <v>1383.22</v>
      </c>
      <c r="S441">
        <v>19.893999999999998</v>
      </c>
      <c r="T441" s="2">
        <v>44501</v>
      </c>
      <c r="U441" s="1" t="s">
        <v>41</v>
      </c>
      <c r="V441">
        <v>0</v>
      </c>
      <c r="W441" s="1" t="s">
        <v>56</v>
      </c>
      <c r="X441">
        <v>490</v>
      </c>
      <c r="Y441" s="1" t="s">
        <v>43</v>
      </c>
      <c r="Z441" s="1" t="s">
        <v>42</v>
      </c>
      <c r="AA441">
        <v>0.66666666666666663</v>
      </c>
      <c r="AB441" s="1" t="s">
        <v>42</v>
      </c>
      <c r="AC441">
        <v>3</v>
      </c>
      <c r="AD441" s="2">
        <v>44501</v>
      </c>
      <c r="AE441" s="1" t="s">
        <v>58</v>
      </c>
      <c r="AF441" s="1" t="s">
        <v>45</v>
      </c>
      <c r="AG441" s="1" t="s">
        <v>63</v>
      </c>
      <c r="AH441" s="1" t="s">
        <v>47</v>
      </c>
      <c r="AI441">
        <v>7130</v>
      </c>
      <c r="AJ441">
        <v>-213.89999999999964</v>
      </c>
    </row>
    <row r="442" spans="1:36" x14ac:dyDescent="0.25">
      <c r="A442">
        <v>10441</v>
      </c>
      <c r="B442">
        <v>51</v>
      </c>
      <c r="C442" s="1" t="s">
        <v>60</v>
      </c>
      <c r="D442" s="1" t="s">
        <v>76</v>
      </c>
      <c r="E442" s="2">
        <v>45036</v>
      </c>
      <c r="F442" s="2">
        <v>44948</v>
      </c>
      <c r="G442" s="1" t="s">
        <v>49</v>
      </c>
      <c r="H442">
        <v>722</v>
      </c>
      <c r="I442">
        <v>28</v>
      </c>
      <c r="J442">
        <v>1</v>
      </c>
      <c r="K442">
        <v>63.5</v>
      </c>
      <c r="L442">
        <v>5</v>
      </c>
      <c r="M442" s="1" t="s">
        <v>67</v>
      </c>
      <c r="N442" s="1" t="s">
        <v>40</v>
      </c>
      <c r="O442">
        <v>20179.900000000001</v>
      </c>
      <c r="P442" t="b">
        <v>0</v>
      </c>
      <c r="Q442">
        <v>2.3333333333333335</v>
      </c>
      <c r="R442">
        <v>720.71071428571429</v>
      </c>
      <c r="S442">
        <v>31.75</v>
      </c>
      <c r="T442" s="2">
        <v>45017</v>
      </c>
      <c r="U442" s="1" t="s">
        <v>41</v>
      </c>
      <c r="V442">
        <v>1</v>
      </c>
      <c r="W442" s="1" t="s">
        <v>40</v>
      </c>
      <c r="Y442" s="1" t="s">
        <v>43</v>
      </c>
      <c r="Z442" s="1" t="s">
        <v>42</v>
      </c>
      <c r="AA442">
        <v>3.4482758620689655E-2</v>
      </c>
      <c r="AB442" s="1" t="s">
        <v>43</v>
      </c>
      <c r="AC442">
        <v>3</v>
      </c>
      <c r="AD442" s="2">
        <v>45017</v>
      </c>
      <c r="AE442" s="1" t="s">
        <v>44</v>
      </c>
      <c r="AF442" s="1" t="s">
        <v>54</v>
      </c>
      <c r="AG442" s="1" t="s">
        <v>63</v>
      </c>
      <c r="AH442" s="1" t="s">
        <v>59</v>
      </c>
      <c r="AI442">
        <v>20216</v>
      </c>
      <c r="AJ442">
        <v>-36.099999999998545</v>
      </c>
    </row>
    <row r="443" spans="1:36" x14ac:dyDescent="0.25">
      <c r="A443">
        <v>10442</v>
      </c>
      <c r="B443">
        <v>49</v>
      </c>
      <c r="C443" s="1" t="s">
        <v>36</v>
      </c>
      <c r="D443" s="1" t="s">
        <v>48</v>
      </c>
      <c r="E443" s="2">
        <v>44378</v>
      </c>
      <c r="F443" s="2">
        <v>45162</v>
      </c>
      <c r="G443" s="1" t="s">
        <v>62</v>
      </c>
      <c r="H443">
        <v>1332</v>
      </c>
      <c r="I443">
        <v>33</v>
      </c>
      <c r="J443">
        <v>3</v>
      </c>
      <c r="K443">
        <v>36.94</v>
      </c>
      <c r="L443">
        <v>0</v>
      </c>
      <c r="M443" s="1" t="s">
        <v>50</v>
      </c>
      <c r="N443" s="1" t="s">
        <v>56</v>
      </c>
      <c r="O443">
        <v>43956</v>
      </c>
      <c r="P443" t="b">
        <v>1</v>
      </c>
      <c r="Q443">
        <v>2.75</v>
      </c>
      <c r="R443">
        <v>1332</v>
      </c>
      <c r="S443">
        <v>9.2349999999999994</v>
      </c>
      <c r="T443" s="2">
        <v>44378</v>
      </c>
      <c r="U443" s="1" t="s">
        <v>51</v>
      </c>
      <c r="V443">
        <v>0</v>
      </c>
      <c r="W443" s="1" t="s">
        <v>40</v>
      </c>
      <c r="X443">
        <v>784</v>
      </c>
      <c r="Y443" s="1" t="s">
        <v>52</v>
      </c>
      <c r="Z443" s="1" t="s">
        <v>42</v>
      </c>
      <c r="AA443">
        <v>8.8235294117647065E-2</v>
      </c>
      <c r="AB443" s="1" t="s">
        <v>43</v>
      </c>
      <c r="AC443">
        <v>2</v>
      </c>
      <c r="AD443" s="2">
        <v>44378</v>
      </c>
      <c r="AE443" s="1" t="s">
        <v>44</v>
      </c>
      <c r="AF443" s="1" t="s">
        <v>72</v>
      </c>
      <c r="AG443" s="1" t="s">
        <v>55</v>
      </c>
      <c r="AH443" s="1" t="s">
        <v>47</v>
      </c>
      <c r="AI443">
        <v>43956</v>
      </c>
      <c r="AJ443">
        <v>0</v>
      </c>
    </row>
    <row r="444" spans="1:36" x14ac:dyDescent="0.25">
      <c r="A444">
        <v>10443</v>
      </c>
      <c r="B444">
        <v>42</v>
      </c>
      <c r="C444" s="1" t="s">
        <v>75</v>
      </c>
      <c r="D444" s="1" t="s">
        <v>69</v>
      </c>
      <c r="E444" s="2">
        <v>45070</v>
      </c>
      <c r="F444" s="2">
        <v>44550</v>
      </c>
      <c r="G444" s="1" t="s">
        <v>62</v>
      </c>
      <c r="H444">
        <v>543</v>
      </c>
      <c r="I444">
        <v>11</v>
      </c>
      <c r="J444">
        <v>0</v>
      </c>
      <c r="K444">
        <v>39.840000000000003</v>
      </c>
      <c r="L444">
        <v>10</v>
      </c>
      <c r="M444" s="1" t="s">
        <v>65</v>
      </c>
      <c r="N444" s="1" t="s">
        <v>56</v>
      </c>
      <c r="O444">
        <v>5918.7</v>
      </c>
      <c r="P444" t="b">
        <v>0</v>
      </c>
      <c r="Q444">
        <v>0.91666666666666663</v>
      </c>
      <c r="R444">
        <v>538.06363636363631</v>
      </c>
      <c r="S444">
        <v>39.840000000000003</v>
      </c>
      <c r="T444" s="2">
        <v>45047</v>
      </c>
      <c r="U444" s="1" t="s">
        <v>51</v>
      </c>
      <c r="V444">
        <v>0</v>
      </c>
      <c r="W444" s="1" t="s">
        <v>56</v>
      </c>
      <c r="Y444" s="1" t="s">
        <v>52</v>
      </c>
      <c r="Z444" s="1" t="s">
        <v>42</v>
      </c>
      <c r="AA444">
        <v>0</v>
      </c>
      <c r="AB444" s="1" t="s">
        <v>42</v>
      </c>
      <c r="AC444">
        <v>2</v>
      </c>
      <c r="AD444" s="2">
        <v>45047</v>
      </c>
      <c r="AE444" s="1" t="s">
        <v>74</v>
      </c>
      <c r="AF444" s="1" t="s">
        <v>54</v>
      </c>
      <c r="AG444" s="1" t="s">
        <v>55</v>
      </c>
      <c r="AH444" s="1" t="s">
        <v>64</v>
      </c>
      <c r="AI444">
        <v>5973</v>
      </c>
      <c r="AJ444">
        <v>-54.300000000000182</v>
      </c>
    </row>
    <row r="445" spans="1:36" x14ac:dyDescent="0.25">
      <c r="A445">
        <v>10444</v>
      </c>
      <c r="B445">
        <v>57</v>
      </c>
      <c r="C445" s="1" t="s">
        <v>36</v>
      </c>
      <c r="D445" s="1" t="s">
        <v>76</v>
      </c>
      <c r="E445" s="2">
        <v>44282</v>
      </c>
      <c r="F445" s="2">
        <v>44764</v>
      </c>
      <c r="G445" s="1" t="s">
        <v>49</v>
      </c>
      <c r="H445">
        <v>1081</v>
      </c>
      <c r="I445">
        <v>6</v>
      </c>
      <c r="J445">
        <v>1</v>
      </c>
      <c r="K445">
        <v>30.74</v>
      </c>
      <c r="L445">
        <v>15</v>
      </c>
      <c r="M445" s="1" t="s">
        <v>39</v>
      </c>
      <c r="N445" s="1" t="s">
        <v>56</v>
      </c>
      <c r="O445">
        <v>6323.85</v>
      </c>
      <c r="P445" t="b">
        <v>1</v>
      </c>
      <c r="Q445">
        <v>0.5</v>
      </c>
      <c r="R445">
        <v>1053.9750000000001</v>
      </c>
      <c r="S445">
        <v>15.37</v>
      </c>
      <c r="T445" s="2">
        <v>44256</v>
      </c>
      <c r="U445" s="1" t="s">
        <v>41</v>
      </c>
      <c r="V445">
        <v>0</v>
      </c>
      <c r="W445" s="1" t="s">
        <v>56</v>
      </c>
      <c r="X445">
        <v>482</v>
      </c>
      <c r="Y445" s="1" t="s">
        <v>52</v>
      </c>
      <c r="Z445" s="1" t="s">
        <v>42</v>
      </c>
      <c r="AA445">
        <v>0.14285714285714285</v>
      </c>
      <c r="AB445" s="1" t="s">
        <v>42</v>
      </c>
      <c r="AC445">
        <v>3</v>
      </c>
      <c r="AD445" s="2">
        <v>44256</v>
      </c>
      <c r="AE445" s="1" t="s">
        <v>58</v>
      </c>
      <c r="AF445" s="1" t="s">
        <v>54</v>
      </c>
      <c r="AG445" s="1" t="s">
        <v>55</v>
      </c>
      <c r="AH445" s="1" t="s">
        <v>47</v>
      </c>
      <c r="AI445">
        <v>6486</v>
      </c>
      <c r="AJ445">
        <v>-162.14999999999964</v>
      </c>
    </row>
    <row r="446" spans="1:36" x14ac:dyDescent="0.25">
      <c r="A446">
        <v>10445</v>
      </c>
      <c r="B446">
        <v>62</v>
      </c>
      <c r="C446" s="1" t="s">
        <v>36</v>
      </c>
      <c r="D446" s="1" t="s">
        <v>71</v>
      </c>
      <c r="E446" s="2">
        <v>44663</v>
      </c>
      <c r="F446" s="2">
        <v>44763</v>
      </c>
      <c r="G446" s="1" t="s">
        <v>38</v>
      </c>
      <c r="H446">
        <v>923</v>
      </c>
      <c r="I446">
        <v>23</v>
      </c>
      <c r="J446">
        <v>1</v>
      </c>
      <c r="K446">
        <v>21.67</v>
      </c>
      <c r="L446">
        <v>0</v>
      </c>
      <c r="M446" s="1" t="s">
        <v>39</v>
      </c>
      <c r="N446" s="1" t="s">
        <v>56</v>
      </c>
      <c r="O446">
        <v>21229</v>
      </c>
      <c r="P446" t="b">
        <v>1</v>
      </c>
      <c r="Q446">
        <v>1.9166666666666667</v>
      </c>
      <c r="R446">
        <v>923</v>
      </c>
      <c r="S446">
        <v>10.835000000000001</v>
      </c>
      <c r="T446" s="2">
        <v>44652</v>
      </c>
      <c r="U446" s="1" t="s">
        <v>41</v>
      </c>
      <c r="V446">
        <v>0</v>
      </c>
      <c r="W446" s="1" t="s">
        <v>40</v>
      </c>
      <c r="X446">
        <v>100</v>
      </c>
      <c r="Y446" s="1" t="s">
        <v>52</v>
      </c>
      <c r="Z446" s="1" t="s">
        <v>42</v>
      </c>
      <c r="AA446">
        <v>4.1666666666666664E-2</v>
      </c>
      <c r="AB446" s="1" t="s">
        <v>43</v>
      </c>
      <c r="AC446">
        <v>1</v>
      </c>
      <c r="AD446" s="2">
        <v>44652</v>
      </c>
      <c r="AE446" s="1" t="s">
        <v>53</v>
      </c>
      <c r="AF446" s="1" t="s">
        <v>54</v>
      </c>
      <c r="AG446" s="1" t="s">
        <v>70</v>
      </c>
      <c r="AH446" s="1" t="s">
        <v>59</v>
      </c>
      <c r="AI446">
        <v>21229</v>
      </c>
      <c r="AJ446">
        <v>0</v>
      </c>
    </row>
    <row r="447" spans="1:36" x14ac:dyDescent="0.25">
      <c r="A447">
        <v>10446</v>
      </c>
      <c r="B447">
        <v>41</v>
      </c>
      <c r="C447" s="1" t="s">
        <v>60</v>
      </c>
      <c r="D447" s="1" t="s">
        <v>37</v>
      </c>
      <c r="E447" s="2">
        <v>44249</v>
      </c>
      <c r="F447" s="2">
        <v>44795</v>
      </c>
      <c r="G447" s="1" t="s">
        <v>49</v>
      </c>
      <c r="H447">
        <v>866</v>
      </c>
      <c r="I447">
        <v>2</v>
      </c>
      <c r="J447">
        <v>3</v>
      </c>
      <c r="K447">
        <v>26.22</v>
      </c>
      <c r="L447">
        <v>15</v>
      </c>
      <c r="M447" s="1" t="s">
        <v>50</v>
      </c>
      <c r="N447" s="1" t="s">
        <v>56</v>
      </c>
      <c r="O447">
        <v>1602.1</v>
      </c>
      <c r="P447" t="b">
        <v>1</v>
      </c>
      <c r="Q447">
        <v>0.16666666666666666</v>
      </c>
      <c r="R447">
        <v>801.05</v>
      </c>
      <c r="S447">
        <v>6.5549999999999997</v>
      </c>
      <c r="T447" s="2">
        <v>44228</v>
      </c>
      <c r="U447" s="1" t="s">
        <v>51</v>
      </c>
      <c r="V447">
        <v>0</v>
      </c>
      <c r="W447" s="1" t="s">
        <v>56</v>
      </c>
      <c r="X447">
        <v>546</v>
      </c>
      <c r="Y447" s="1" t="s">
        <v>52</v>
      </c>
      <c r="Z447" s="1" t="s">
        <v>42</v>
      </c>
      <c r="AA447">
        <v>1</v>
      </c>
      <c r="AB447" s="1" t="s">
        <v>42</v>
      </c>
      <c r="AC447">
        <v>3</v>
      </c>
      <c r="AD447" s="2">
        <v>44228</v>
      </c>
      <c r="AE447" s="1" t="s">
        <v>58</v>
      </c>
      <c r="AF447" s="1" t="s">
        <v>72</v>
      </c>
      <c r="AG447" s="1" t="s">
        <v>70</v>
      </c>
      <c r="AH447" s="1" t="s">
        <v>59</v>
      </c>
      <c r="AI447">
        <v>1732</v>
      </c>
      <c r="AJ447">
        <v>-129.90000000000009</v>
      </c>
    </row>
    <row r="448" spans="1:36" x14ac:dyDescent="0.25">
      <c r="A448">
        <v>10447</v>
      </c>
      <c r="B448">
        <v>33</v>
      </c>
      <c r="C448" s="1" t="s">
        <v>60</v>
      </c>
      <c r="D448" s="1" t="s">
        <v>69</v>
      </c>
      <c r="E448" s="2">
        <v>45056</v>
      </c>
      <c r="F448" s="2">
        <v>44859</v>
      </c>
      <c r="G448" s="1" t="s">
        <v>38</v>
      </c>
      <c r="H448">
        <v>826</v>
      </c>
      <c r="I448">
        <v>15</v>
      </c>
      <c r="J448">
        <v>2</v>
      </c>
      <c r="K448">
        <v>12.27</v>
      </c>
      <c r="L448">
        <v>20</v>
      </c>
      <c r="M448" s="1" t="s">
        <v>50</v>
      </c>
      <c r="N448" s="1" t="s">
        <v>40</v>
      </c>
      <c r="O448">
        <v>12224.8</v>
      </c>
      <c r="P448" t="b">
        <v>0</v>
      </c>
      <c r="Q448">
        <v>1.25</v>
      </c>
      <c r="R448">
        <v>814.98666666666657</v>
      </c>
      <c r="S448">
        <v>4.09</v>
      </c>
      <c r="T448" s="2">
        <v>45047</v>
      </c>
      <c r="U448" s="1" t="s">
        <v>57</v>
      </c>
      <c r="V448">
        <v>1</v>
      </c>
      <c r="W448" s="1" t="s">
        <v>56</v>
      </c>
      <c r="Y448" s="1" t="s">
        <v>42</v>
      </c>
      <c r="Z448" s="1" t="s">
        <v>52</v>
      </c>
      <c r="AA448">
        <v>0.125</v>
      </c>
      <c r="AB448" s="1" t="s">
        <v>52</v>
      </c>
      <c r="AC448">
        <v>1</v>
      </c>
      <c r="AD448" s="2">
        <v>45047</v>
      </c>
      <c r="AE448" s="1" t="s">
        <v>53</v>
      </c>
      <c r="AF448" s="1" t="s">
        <v>72</v>
      </c>
      <c r="AG448" s="1" t="s">
        <v>46</v>
      </c>
      <c r="AH448" s="1" t="s">
        <v>59</v>
      </c>
      <c r="AI448">
        <v>12390</v>
      </c>
      <c r="AJ448">
        <v>-165.20000000000073</v>
      </c>
    </row>
    <row r="449" spans="1:36" x14ac:dyDescent="0.25">
      <c r="A449">
        <v>10448</v>
      </c>
      <c r="B449">
        <v>56</v>
      </c>
      <c r="C449" s="1" t="s">
        <v>36</v>
      </c>
      <c r="D449" s="1" t="s">
        <v>73</v>
      </c>
      <c r="E449" s="2">
        <v>45063</v>
      </c>
      <c r="F449" s="2">
        <v>44432</v>
      </c>
      <c r="G449" s="1" t="s">
        <v>62</v>
      </c>
      <c r="H449">
        <v>336</v>
      </c>
      <c r="I449">
        <v>23</v>
      </c>
      <c r="J449">
        <v>0</v>
      </c>
      <c r="K449">
        <v>107.17</v>
      </c>
      <c r="L449">
        <v>15</v>
      </c>
      <c r="M449" s="1" t="s">
        <v>65</v>
      </c>
      <c r="N449" s="1" t="s">
        <v>56</v>
      </c>
      <c r="O449">
        <v>7677.6</v>
      </c>
      <c r="P449" t="b">
        <v>0</v>
      </c>
      <c r="Q449">
        <v>1.9166666666666667</v>
      </c>
      <c r="R449">
        <v>333.80869565217392</v>
      </c>
      <c r="S449">
        <v>107.17</v>
      </c>
      <c r="T449" s="2">
        <v>45047</v>
      </c>
      <c r="U449" s="1" t="s">
        <v>41</v>
      </c>
      <c r="V449">
        <v>0</v>
      </c>
      <c r="W449" s="1" t="s">
        <v>56</v>
      </c>
      <c r="Y449" s="1" t="s">
        <v>43</v>
      </c>
      <c r="Z449" s="1" t="s">
        <v>42</v>
      </c>
      <c r="AA449">
        <v>0</v>
      </c>
      <c r="AB449" s="1" t="s">
        <v>42</v>
      </c>
      <c r="AC449">
        <v>2</v>
      </c>
      <c r="AD449" s="2">
        <v>45047</v>
      </c>
      <c r="AE449" s="1" t="s">
        <v>53</v>
      </c>
      <c r="AF449" s="1" t="s">
        <v>54</v>
      </c>
      <c r="AG449" s="1" t="s">
        <v>63</v>
      </c>
      <c r="AH449" s="1" t="s">
        <v>68</v>
      </c>
      <c r="AI449">
        <v>7728</v>
      </c>
      <c r="AJ449">
        <v>-50.399999999999636</v>
      </c>
    </row>
    <row r="450" spans="1:36" x14ac:dyDescent="0.25">
      <c r="A450">
        <v>10449</v>
      </c>
      <c r="B450">
        <v>22</v>
      </c>
      <c r="C450" s="1" t="s">
        <v>36</v>
      </c>
      <c r="D450" s="1" t="s">
        <v>69</v>
      </c>
      <c r="E450" s="2">
        <v>44431</v>
      </c>
      <c r="F450" s="2">
        <v>44514</v>
      </c>
      <c r="G450" s="1" t="s">
        <v>62</v>
      </c>
      <c r="H450">
        <v>477</v>
      </c>
      <c r="I450">
        <v>22</v>
      </c>
      <c r="J450">
        <v>2</v>
      </c>
      <c r="K450">
        <v>112.07</v>
      </c>
      <c r="L450">
        <v>10</v>
      </c>
      <c r="M450" s="1" t="s">
        <v>39</v>
      </c>
      <c r="N450" s="1" t="s">
        <v>56</v>
      </c>
      <c r="O450">
        <v>10446.299999999999</v>
      </c>
      <c r="P450" t="b">
        <v>1</v>
      </c>
      <c r="Q450">
        <v>1.8333333333333333</v>
      </c>
      <c r="R450">
        <v>474.83181818181816</v>
      </c>
      <c r="S450">
        <v>37.356666666666662</v>
      </c>
      <c r="T450" s="2">
        <v>44409</v>
      </c>
      <c r="U450" s="1" t="s">
        <v>66</v>
      </c>
      <c r="V450">
        <v>0</v>
      </c>
      <c r="W450" s="1" t="s">
        <v>56</v>
      </c>
      <c r="X450">
        <v>83</v>
      </c>
      <c r="Y450" s="1" t="s">
        <v>43</v>
      </c>
      <c r="Z450" s="1" t="s">
        <v>42</v>
      </c>
      <c r="AA450">
        <v>8.6956521739130432E-2</v>
      </c>
      <c r="AB450" s="1" t="s">
        <v>52</v>
      </c>
      <c r="AC450">
        <v>2</v>
      </c>
      <c r="AD450" s="2">
        <v>44409</v>
      </c>
      <c r="AE450" s="1" t="s">
        <v>53</v>
      </c>
      <c r="AF450" s="1" t="s">
        <v>72</v>
      </c>
      <c r="AG450" s="1" t="s">
        <v>63</v>
      </c>
      <c r="AH450" s="1" t="s">
        <v>68</v>
      </c>
      <c r="AI450">
        <v>10494</v>
      </c>
      <c r="AJ450">
        <v>-47.700000000000728</v>
      </c>
    </row>
    <row r="451" spans="1:36" x14ac:dyDescent="0.25">
      <c r="A451">
        <v>10450</v>
      </c>
      <c r="B451">
        <v>39</v>
      </c>
      <c r="C451" s="1" t="s">
        <v>36</v>
      </c>
      <c r="D451" s="1" t="s">
        <v>37</v>
      </c>
      <c r="E451" s="2">
        <v>44975</v>
      </c>
      <c r="F451" s="2">
        <v>44731</v>
      </c>
      <c r="G451" s="1" t="s">
        <v>49</v>
      </c>
      <c r="H451">
        <v>938</v>
      </c>
      <c r="I451">
        <v>9</v>
      </c>
      <c r="J451">
        <v>2</v>
      </c>
      <c r="K451">
        <v>72.48</v>
      </c>
      <c r="L451">
        <v>10</v>
      </c>
      <c r="M451" s="1" t="s">
        <v>67</v>
      </c>
      <c r="N451" s="1" t="s">
        <v>56</v>
      </c>
      <c r="O451">
        <v>8348.2000000000007</v>
      </c>
      <c r="P451" t="b">
        <v>0</v>
      </c>
      <c r="Q451">
        <v>0.75</v>
      </c>
      <c r="R451">
        <v>927.5777777777779</v>
      </c>
      <c r="S451">
        <v>24.16</v>
      </c>
      <c r="T451" s="2">
        <v>44958</v>
      </c>
      <c r="U451" s="1" t="s">
        <v>51</v>
      </c>
      <c r="V451">
        <v>0</v>
      </c>
      <c r="W451" s="1" t="s">
        <v>56</v>
      </c>
      <c r="Y451" s="1" t="s">
        <v>43</v>
      </c>
      <c r="Z451" s="1" t="s">
        <v>42</v>
      </c>
      <c r="AA451">
        <v>0.2</v>
      </c>
      <c r="AB451" s="1" t="s">
        <v>42</v>
      </c>
      <c r="AC451">
        <v>3</v>
      </c>
      <c r="AD451" s="2">
        <v>44958</v>
      </c>
      <c r="AE451" s="1" t="s">
        <v>74</v>
      </c>
      <c r="AF451" s="1" t="s">
        <v>72</v>
      </c>
      <c r="AG451" s="1" t="s">
        <v>63</v>
      </c>
      <c r="AH451" s="1" t="s">
        <v>59</v>
      </c>
      <c r="AI451">
        <v>8442</v>
      </c>
      <c r="AJ451">
        <v>-93.799999999999272</v>
      </c>
    </row>
    <row r="452" spans="1:36" x14ac:dyDescent="0.25">
      <c r="A452">
        <v>10451</v>
      </c>
      <c r="B452">
        <v>46</v>
      </c>
      <c r="C452" s="1" t="s">
        <v>60</v>
      </c>
      <c r="D452" s="1" t="s">
        <v>71</v>
      </c>
      <c r="E452" s="2">
        <v>44995</v>
      </c>
      <c r="F452" s="2">
        <v>44815</v>
      </c>
      <c r="G452" s="1" t="s">
        <v>38</v>
      </c>
      <c r="H452">
        <v>1151</v>
      </c>
      <c r="I452">
        <v>30</v>
      </c>
      <c r="J452">
        <v>4</v>
      </c>
      <c r="K452">
        <v>101.66</v>
      </c>
      <c r="L452">
        <v>5</v>
      </c>
      <c r="M452" s="1" t="s">
        <v>50</v>
      </c>
      <c r="N452" s="1" t="s">
        <v>56</v>
      </c>
      <c r="O452">
        <v>34472.449999999997</v>
      </c>
      <c r="P452" t="b">
        <v>0</v>
      </c>
      <c r="Q452">
        <v>2.5</v>
      </c>
      <c r="R452">
        <v>1149.0816666666665</v>
      </c>
      <c r="S452">
        <v>20.332000000000001</v>
      </c>
      <c r="T452" s="2">
        <v>44986</v>
      </c>
      <c r="U452" s="1" t="s">
        <v>51</v>
      </c>
      <c r="V452">
        <v>0</v>
      </c>
      <c r="W452" s="1" t="s">
        <v>40</v>
      </c>
      <c r="Y452" s="1" t="s">
        <v>43</v>
      </c>
      <c r="Z452" s="1" t="s">
        <v>42</v>
      </c>
      <c r="AA452">
        <v>0.12903225806451613</v>
      </c>
      <c r="AB452" s="1" t="s">
        <v>43</v>
      </c>
      <c r="AC452">
        <v>1</v>
      </c>
      <c r="AD452" s="2">
        <v>44986</v>
      </c>
      <c r="AE452" s="1" t="s">
        <v>44</v>
      </c>
      <c r="AF452" s="1" t="s">
        <v>45</v>
      </c>
      <c r="AG452" s="1" t="s">
        <v>63</v>
      </c>
      <c r="AH452" s="1" t="s">
        <v>47</v>
      </c>
      <c r="AI452">
        <v>34530</v>
      </c>
      <c r="AJ452">
        <v>-57.55000000000291</v>
      </c>
    </row>
    <row r="453" spans="1:36" x14ac:dyDescent="0.25">
      <c r="A453">
        <v>10452</v>
      </c>
      <c r="B453">
        <v>20</v>
      </c>
      <c r="C453" s="1" t="s">
        <v>60</v>
      </c>
      <c r="D453" s="1" t="s">
        <v>37</v>
      </c>
      <c r="E453" s="2">
        <v>44629</v>
      </c>
      <c r="F453" s="2">
        <v>44419</v>
      </c>
      <c r="G453" s="1" t="s">
        <v>62</v>
      </c>
      <c r="H453">
        <v>371</v>
      </c>
      <c r="I453">
        <v>16</v>
      </c>
      <c r="J453">
        <v>3</v>
      </c>
      <c r="K453">
        <v>26.11</v>
      </c>
      <c r="L453">
        <v>15</v>
      </c>
      <c r="M453" s="1" t="s">
        <v>39</v>
      </c>
      <c r="N453" s="1" t="s">
        <v>56</v>
      </c>
      <c r="O453">
        <v>5880.35</v>
      </c>
      <c r="P453" t="b">
        <v>0</v>
      </c>
      <c r="Q453">
        <v>1.3333333333333333</v>
      </c>
      <c r="R453">
        <v>367.52187500000002</v>
      </c>
      <c r="S453">
        <v>6.5274999999999999</v>
      </c>
      <c r="T453" s="2">
        <v>44621</v>
      </c>
      <c r="U453" s="1" t="s">
        <v>66</v>
      </c>
      <c r="V453">
        <v>0</v>
      </c>
      <c r="W453" s="1" t="s">
        <v>56</v>
      </c>
      <c r="Y453" s="1" t="s">
        <v>52</v>
      </c>
      <c r="Z453" s="1" t="s">
        <v>42</v>
      </c>
      <c r="AA453">
        <v>0.17647058823529413</v>
      </c>
      <c r="AB453" s="1" t="s">
        <v>42</v>
      </c>
      <c r="AC453">
        <v>2</v>
      </c>
      <c r="AD453" s="2">
        <v>44621</v>
      </c>
      <c r="AE453" s="1" t="s">
        <v>53</v>
      </c>
      <c r="AF453" s="1" t="s">
        <v>72</v>
      </c>
      <c r="AG453" s="1" t="s">
        <v>70</v>
      </c>
      <c r="AH453" s="1" t="s">
        <v>68</v>
      </c>
      <c r="AI453">
        <v>5936</v>
      </c>
      <c r="AJ453">
        <v>-55.649999999999636</v>
      </c>
    </row>
    <row r="454" spans="1:36" x14ac:dyDescent="0.25">
      <c r="A454">
        <v>10453</v>
      </c>
      <c r="B454">
        <v>29</v>
      </c>
      <c r="C454" s="1" t="s">
        <v>60</v>
      </c>
      <c r="D454" s="1" t="s">
        <v>71</v>
      </c>
      <c r="E454" s="2">
        <v>44692</v>
      </c>
      <c r="F454" s="2">
        <v>45157</v>
      </c>
      <c r="G454" s="1" t="s">
        <v>62</v>
      </c>
      <c r="H454">
        <v>651</v>
      </c>
      <c r="I454">
        <v>30</v>
      </c>
      <c r="J454">
        <v>5</v>
      </c>
      <c r="K454">
        <v>108.69</v>
      </c>
      <c r="L454">
        <v>20</v>
      </c>
      <c r="M454" s="1" t="s">
        <v>67</v>
      </c>
      <c r="N454" s="1" t="s">
        <v>56</v>
      </c>
      <c r="O454">
        <v>19399.8</v>
      </c>
      <c r="P454" t="b">
        <v>1</v>
      </c>
      <c r="Q454">
        <v>2.5</v>
      </c>
      <c r="R454">
        <v>646.66</v>
      </c>
      <c r="S454">
        <v>18.114999999999998</v>
      </c>
      <c r="T454" s="2">
        <v>44682</v>
      </c>
      <c r="U454" s="1" t="s">
        <v>57</v>
      </c>
      <c r="V454">
        <v>0</v>
      </c>
      <c r="W454" s="1" t="s">
        <v>40</v>
      </c>
      <c r="X454">
        <v>465</v>
      </c>
      <c r="Y454" s="1" t="s">
        <v>43</v>
      </c>
      <c r="Z454" s="1" t="s">
        <v>52</v>
      </c>
      <c r="AA454">
        <v>0.16129032258064516</v>
      </c>
      <c r="AB454" s="1" t="s">
        <v>52</v>
      </c>
      <c r="AC454">
        <v>2</v>
      </c>
      <c r="AD454" s="2">
        <v>44682</v>
      </c>
      <c r="AE454" s="1" t="s">
        <v>44</v>
      </c>
      <c r="AF454" s="1" t="s">
        <v>45</v>
      </c>
      <c r="AG454" s="1" t="s">
        <v>63</v>
      </c>
      <c r="AH454" s="1" t="s">
        <v>64</v>
      </c>
      <c r="AI454">
        <v>19530</v>
      </c>
      <c r="AJ454">
        <v>-130.20000000000073</v>
      </c>
    </row>
    <row r="455" spans="1:36" x14ac:dyDescent="0.25">
      <c r="A455">
        <v>10454</v>
      </c>
      <c r="B455">
        <v>43</v>
      </c>
      <c r="C455" s="1" t="s">
        <v>36</v>
      </c>
      <c r="D455" s="1" t="s">
        <v>48</v>
      </c>
      <c r="E455" s="2">
        <v>44296</v>
      </c>
      <c r="F455" s="2">
        <v>44868</v>
      </c>
      <c r="G455" s="1" t="s">
        <v>38</v>
      </c>
      <c r="H455">
        <v>922</v>
      </c>
      <c r="I455">
        <v>9</v>
      </c>
      <c r="J455">
        <v>2</v>
      </c>
      <c r="K455">
        <v>63.23</v>
      </c>
      <c r="L455">
        <v>10</v>
      </c>
      <c r="M455" s="1" t="s">
        <v>67</v>
      </c>
      <c r="N455" s="1" t="s">
        <v>56</v>
      </c>
      <c r="O455">
        <v>8205.7999999999993</v>
      </c>
      <c r="P455" t="b">
        <v>1</v>
      </c>
      <c r="Q455">
        <v>0.75</v>
      </c>
      <c r="R455">
        <v>911.75555555555547</v>
      </c>
      <c r="S455">
        <v>21.076666666666664</v>
      </c>
      <c r="T455" s="2">
        <v>44287</v>
      </c>
      <c r="U455" s="1" t="s">
        <v>51</v>
      </c>
      <c r="V455">
        <v>0</v>
      </c>
      <c r="W455" s="1" t="s">
        <v>56</v>
      </c>
      <c r="X455">
        <v>572</v>
      </c>
      <c r="Y455" s="1" t="s">
        <v>43</v>
      </c>
      <c r="Z455" s="1" t="s">
        <v>42</v>
      </c>
      <c r="AA455">
        <v>0.2</v>
      </c>
      <c r="AB455" s="1" t="s">
        <v>42</v>
      </c>
      <c r="AC455">
        <v>1</v>
      </c>
      <c r="AD455" s="2">
        <v>44287</v>
      </c>
      <c r="AE455" s="1" t="s">
        <v>74</v>
      </c>
      <c r="AF455" s="1" t="s">
        <v>72</v>
      </c>
      <c r="AG455" s="1" t="s">
        <v>63</v>
      </c>
      <c r="AH455" s="1" t="s">
        <v>59</v>
      </c>
      <c r="AI455">
        <v>8298</v>
      </c>
      <c r="AJ455">
        <v>-92.200000000000728</v>
      </c>
    </row>
    <row r="456" spans="1:36" x14ac:dyDescent="0.25">
      <c r="A456">
        <v>10455</v>
      </c>
      <c r="B456">
        <v>33</v>
      </c>
      <c r="C456" s="1" t="s">
        <v>60</v>
      </c>
      <c r="D456" s="1" t="s">
        <v>71</v>
      </c>
      <c r="E456" s="2">
        <v>44795</v>
      </c>
      <c r="F456" s="2">
        <v>45140</v>
      </c>
      <c r="G456" s="1" t="s">
        <v>62</v>
      </c>
      <c r="H456">
        <v>1472</v>
      </c>
      <c r="I456">
        <v>1</v>
      </c>
      <c r="J456">
        <v>4</v>
      </c>
      <c r="K456">
        <v>12.72</v>
      </c>
      <c r="L456">
        <v>5</v>
      </c>
      <c r="M456" s="1" t="s">
        <v>65</v>
      </c>
      <c r="N456" s="1" t="s">
        <v>40</v>
      </c>
      <c r="O456">
        <v>1398.4</v>
      </c>
      <c r="P456" t="b">
        <v>1</v>
      </c>
      <c r="Q456">
        <v>8.3333333333333329E-2</v>
      </c>
      <c r="R456">
        <v>1398.4</v>
      </c>
      <c r="S456">
        <v>2.544</v>
      </c>
      <c r="T456" s="2">
        <v>44774</v>
      </c>
      <c r="U456" s="1" t="s">
        <v>57</v>
      </c>
      <c r="V456">
        <v>1</v>
      </c>
      <c r="W456" s="1" t="s">
        <v>56</v>
      </c>
      <c r="X456">
        <v>345</v>
      </c>
      <c r="Y456" s="1" t="s">
        <v>42</v>
      </c>
      <c r="Z456" s="1" t="s">
        <v>42</v>
      </c>
      <c r="AA456">
        <v>2</v>
      </c>
      <c r="AB456" s="1" t="s">
        <v>42</v>
      </c>
      <c r="AC456">
        <v>2</v>
      </c>
      <c r="AD456" s="2">
        <v>44774</v>
      </c>
      <c r="AE456" s="1" t="s">
        <v>58</v>
      </c>
      <c r="AF456" s="1" t="s">
        <v>45</v>
      </c>
      <c r="AG456" s="1" t="s">
        <v>46</v>
      </c>
      <c r="AH456" s="1" t="s">
        <v>47</v>
      </c>
      <c r="AI456">
        <v>1472</v>
      </c>
      <c r="AJ456">
        <v>-73.599999999999909</v>
      </c>
    </row>
    <row r="457" spans="1:36" x14ac:dyDescent="0.25">
      <c r="A457">
        <v>10456</v>
      </c>
      <c r="B457">
        <v>54</v>
      </c>
      <c r="C457" s="1" t="s">
        <v>36</v>
      </c>
      <c r="D457" s="1" t="s">
        <v>48</v>
      </c>
      <c r="E457" s="2">
        <v>44599</v>
      </c>
      <c r="F457" s="2">
        <v>44820</v>
      </c>
      <c r="G457" s="1" t="s">
        <v>62</v>
      </c>
      <c r="H457">
        <v>404</v>
      </c>
      <c r="I457">
        <v>8</v>
      </c>
      <c r="J457">
        <v>3</v>
      </c>
      <c r="K457">
        <v>21.25</v>
      </c>
      <c r="L457">
        <v>20</v>
      </c>
      <c r="M457" s="1" t="s">
        <v>50</v>
      </c>
      <c r="N457" s="1" t="s">
        <v>56</v>
      </c>
      <c r="O457">
        <v>3151.2</v>
      </c>
      <c r="P457" t="b">
        <v>1</v>
      </c>
      <c r="Q457">
        <v>0.66666666666666663</v>
      </c>
      <c r="R457">
        <v>393.9</v>
      </c>
      <c r="S457">
        <v>5.3125</v>
      </c>
      <c r="T457" s="2">
        <v>44593</v>
      </c>
      <c r="U457" s="1" t="s">
        <v>41</v>
      </c>
      <c r="V457">
        <v>0</v>
      </c>
      <c r="W457" s="1" t="s">
        <v>56</v>
      </c>
      <c r="X457">
        <v>221</v>
      </c>
      <c r="Y457" s="1" t="s">
        <v>52</v>
      </c>
      <c r="Z457" s="1" t="s">
        <v>52</v>
      </c>
      <c r="AA457">
        <v>0.33333333333333331</v>
      </c>
      <c r="AB457" s="1" t="s">
        <v>42</v>
      </c>
      <c r="AC457">
        <v>2</v>
      </c>
      <c r="AD457" s="2">
        <v>44593</v>
      </c>
      <c r="AE457" s="1" t="s">
        <v>74</v>
      </c>
      <c r="AF457" s="1" t="s">
        <v>72</v>
      </c>
      <c r="AG457" s="1" t="s">
        <v>70</v>
      </c>
      <c r="AH457" s="1" t="s">
        <v>68</v>
      </c>
      <c r="AI457">
        <v>3232</v>
      </c>
      <c r="AJ457">
        <v>-80.800000000000182</v>
      </c>
    </row>
    <row r="458" spans="1:36" x14ac:dyDescent="0.25">
      <c r="A458">
        <v>10457</v>
      </c>
      <c r="B458">
        <v>39</v>
      </c>
      <c r="C458" s="1" t="s">
        <v>36</v>
      </c>
      <c r="D458" s="1" t="s">
        <v>48</v>
      </c>
      <c r="E458" s="2">
        <v>44592</v>
      </c>
      <c r="F458" s="2">
        <v>44605</v>
      </c>
      <c r="G458" s="1" t="s">
        <v>62</v>
      </c>
      <c r="H458">
        <v>520</v>
      </c>
      <c r="I458">
        <v>18</v>
      </c>
      <c r="J458">
        <v>5</v>
      </c>
      <c r="K458">
        <v>40.53</v>
      </c>
      <c r="L458">
        <v>20</v>
      </c>
      <c r="M458" s="1" t="s">
        <v>67</v>
      </c>
      <c r="N458" s="1" t="s">
        <v>40</v>
      </c>
      <c r="O458">
        <v>9256</v>
      </c>
      <c r="P458" t="b">
        <v>1</v>
      </c>
      <c r="Q458">
        <v>1.5</v>
      </c>
      <c r="R458">
        <v>514.22222222222217</v>
      </c>
      <c r="S458">
        <v>6.7549999999999999</v>
      </c>
      <c r="T458" s="2">
        <v>44562</v>
      </c>
      <c r="U458" s="1" t="s">
        <v>51</v>
      </c>
      <c r="V458">
        <v>1</v>
      </c>
      <c r="W458" s="1" t="s">
        <v>56</v>
      </c>
      <c r="X458">
        <v>13</v>
      </c>
      <c r="Y458" s="1" t="s">
        <v>52</v>
      </c>
      <c r="Z458" s="1" t="s">
        <v>52</v>
      </c>
      <c r="AA458">
        <v>0.26315789473684209</v>
      </c>
      <c r="AB458" s="1" t="s">
        <v>52</v>
      </c>
      <c r="AC458">
        <v>2</v>
      </c>
      <c r="AD458" s="2">
        <v>44562</v>
      </c>
      <c r="AE458" s="1" t="s">
        <v>53</v>
      </c>
      <c r="AF458" s="1" t="s">
        <v>45</v>
      </c>
      <c r="AG458" s="1" t="s">
        <v>55</v>
      </c>
      <c r="AH458" s="1" t="s">
        <v>64</v>
      </c>
      <c r="AI458">
        <v>9360</v>
      </c>
      <c r="AJ458">
        <v>-104</v>
      </c>
    </row>
    <row r="459" spans="1:36" x14ac:dyDescent="0.25">
      <c r="A459">
        <v>10458</v>
      </c>
      <c r="B459">
        <v>46</v>
      </c>
      <c r="C459" s="1" t="s">
        <v>60</v>
      </c>
      <c r="D459" s="1" t="s">
        <v>71</v>
      </c>
      <c r="E459" s="2">
        <v>44723</v>
      </c>
      <c r="F459" s="2">
        <v>44622</v>
      </c>
      <c r="G459" s="1" t="s">
        <v>38</v>
      </c>
      <c r="H459">
        <v>1162</v>
      </c>
      <c r="I459">
        <v>27</v>
      </c>
      <c r="J459">
        <v>0</v>
      </c>
      <c r="K459">
        <v>10.01</v>
      </c>
      <c r="L459">
        <v>20</v>
      </c>
      <c r="M459" s="1" t="s">
        <v>50</v>
      </c>
      <c r="N459" s="1" t="s">
        <v>40</v>
      </c>
      <c r="O459">
        <v>31141.599999999999</v>
      </c>
      <c r="P459" t="b">
        <v>0</v>
      </c>
      <c r="Q459">
        <v>2.25</v>
      </c>
      <c r="R459">
        <v>1153.3925925925926</v>
      </c>
      <c r="S459">
        <v>10.01</v>
      </c>
      <c r="T459" s="2">
        <v>44713</v>
      </c>
      <c r="U459" s="1" t="s">
        <v>51</v>
      </c>
      <c r="V459">
        <v>1</v>
      </c>
      <c r="W459" s="1" t="s">
        <v>40</v>
      </c>
      <c r="Y459" s="1" t="s">
        <v>42</v>
      </c>
      <c r="Z459" s="1" t="s">
        <v>52</v>
      </c>
      <c r="AA459">
        <v>0</v>
      </c>
      <c r="AB459" s="1" t="s">
        <v>43</v>
      </c>
      <c r="AC459">
        <v>1</v>
      </c>
      <c r="AD459" s="2">
        <v>44713</v>
      </c>
      <c r="AE459" s="1" t="s">
        <v>44</v>
      </c>
      <c r="AF459" s="1" t="s">
        <v>54</v>
      </c>
      <c r="AG459" s="1" t="s">
        <v>46</v>
      </c>
      <c r="AH459" s="1" t="s">
        <v>47</v>
      </c>
      <c r="AI459">
        <v>31374</v>
      </c>
      <c r="AJ459">
        <v>-232.40000000000146</v>
      </c>
    </row>
    <row r="460" spans="1:36" x14ac:dyDescent="0.25">
      <c r="A460">
        <v>10459</v>
      </c>
      <c r="B460">
        <v>31</v>
      </c>
      <c r="C460" s="1" t="s">
        <v>36</v>
      </c>
      <c r="D460" s="1" t="s">
        <v>73</v>
      </c>
      <c r="E460" s="2">
        <v>44611</v>
      </c>
      <c r="F460" s="2">
        <v>45097</v>
      </c>
      <c r="G460" s="1" t="s">
        <v>62</v>
      </c>
      <c r="H460">
        <v>817</v>
      </c>
      <c r="I460">
        <v>18</v>
      </c>
      <c r="J460">
        <v>1</v>
      </c>
      <c r="K460">
        <v>40.57</v>
      </c>
      <c r="L460">
        <v>0</v>
      </c>
      <c r="M460" s="1" t="s">
        <v>39</v>
      </c>
      <c r="N460" s="1" t="s">
        <v>40</v>
      </c>
      <c r="O460">
        <v>14706</v>
      </c>
      <c r="P460" t="b">
        <v>1</v>
      </c>
      <c r="Q460">
        <v>1.5</v>
      </c>
      <c r="R460">
        <v>817</v>
      </c>
      <c r="S460">
        <v>20.285</v>
      </c>
      <c r="T460" s="2">
        <v>44593</v>
      </c>
      <c r="U460" s="1" t="s">
        <v>57</v>
      </c>
      <c r="V460">
        <v>1</v>
      </c>
      <c r="W460" s="1" t="s">
        <v>40</v>
      </c>
      <c r="X460">
        <v>486</v>
      </c>
      <c r="Y460" s="1" t="s">
        <v>52</v>
      </c>
      <c r="Z460" s="1" t="s">
        <v>42</v>
      </c>
      <c r="AA460">
        <v>5.2631578947368418E-2</v>
      </c>
      <c r="AB460" s="1" t="s">
        <v>52</v>
      </c>
      <c r="AC460">
        <v>2</v>
      </c>
      <c r="AD460" s="2">
        <v>44593</v>
      </c>
      <c r="AE460" s="1" t="s">
        <v>53</v>
      </c>
      <c r="AF460" s="1" t="s">
        <v>54</v>
      </c>
      <c r="AG460" s="1" t="s">
        <v>55</v>
      </c>
      <c r="AH460" s="1" t="s">
        <v>59</v>
      </c>
      <c r="AI460">
        <v>14706</v>
      </c>
      <c r="AJ460">
        <v>0</v>
      </c>
    </row>
    <row r="461" spans="1:36" x14ac:dyDescent="0.25">
      <c r="A461">
        <v>10460</v>
      </c>
      <c r="B461">
        <v>45</v>
      </c>
      <c r="C461" s="1" t="s">
        <v>60</v>
      </c>
      <c r="D461" s="1" t="s">
        <v>61</v>
      </c>
      <c r="E461" s="2">
        <v>44809</v>
      </c>
      <c r="F461" s="2">
        <v>44367</v>
      </c>
      <c r="G461" s="1" t="s">
        <v>62</v>
      </c>
      <c r="H461">
        <v>598</v>
      </c>
      <c r="I461">
        <v>32</v>
      </c>
      <c r="J461">
        <v>2</v>
      </c>
      <c r="K461">
        <v>11.89</v>
      </c>
      <c r="L461">
        <v>10</v>
      </c>
      <c r="M461" s="1" t="s">
        <v>39</v>
      </c>
      <c r="N461" s="1" t="s">
        <v>56</v>
      </c>
      <c r="O461">
        <v>19076.2</v>
      </c>
      <c r="P461" t="b">
        <v>0</v>
      </c>
      <c r="Q461">
        <v>2.6666666666666665</v>
      </c>
      <c r="R461">
        <v>596.13125000000002</v>
      </c>
      <c r="S461">
        <v>3.9633333333333334</v>
      </c>
      <c r="T461" s="2">
        <v>44805</v>
      </c>
      <c r="U461" s="1" t="s">
        <v>51</v>
      </c>
      <c r="V461">
        <v>0</v>
      </c>
      <c r="W461" s="1" t="s">
        <v>40</v>
      </c>
      <c r="Y461" s="1" t="s">
        <v>42</v>
      </c>
      <c r="Z461" s="1" t="s">
        <v>42</v>
      </c>
      <c r="AA461">
        <v>6.0606060606060608E-2</v>
      </c>
      <c r="AB461" s="1" t="s">
        <v>52</v>
      </c>
      <c r="AC461">
        <v>2</v>
      </c>
      <c r="AD461" s="2">
        <v>44805</v>
      </c>
      <c r="AE461" s="1" t="s">
        <v>44</v>
      </c>
      <c r="AF461" s="1" t="s">
        <v>72</v>
      </c>
      <c r="AG461" s="1" t="s">
        <v>46</v>
      </c>
      <c r="AH461" s="1" t="s">
        <v>64</v>
      </c>
      <c r="AI461">
        <v>19136</v>
      </c>
      <c r="AJ461">
        <v>-59.799999999999272</v>
      </c>
    </row>
    <row r="462" spans="1:36" x14ac:dyDescent="0.25">
      <c r="A462">
        <v>10461</v>
      </c>
      <c r="B462">
        <v>22</v>
      </c>
      <c r="C462" s="1" t="s">
        <v>36</v>
      </c>
      <c r="D462" s="1" t="s">
        <v>71</v>
      </c>
      <c r="E462" s="2">
        <v>44873</v>
      </c>
      <c r="F462" s="2">
        <v>44837</v>
      </c>
      <c r="G462" s="1" t="s">
        <v>38</v>
      </c>
      <c r="H462">
        <v>1160</v>
      </c>
      <c r="I462">
        <v>32</v>
      </c>
      <c r="J462">
        <v>2</v>
      </c>
      <c r="K462">
        <v>32.14</v>
      </c>
      <c r="L462">
        <v>10</v>
      </c>
      <c r="M462" s="1" t="s">
        <v>50</v>
      </c>
      <c r="N462" s="1" t="s">
        <v>56</v>
      </c>
      <c r="O462">
        <v>37120</v>
      </c>
      <c r="P462" t="b">
        <v>0</v>
      </c>
      <c r="Q462">
        <v>2.6666666666666665</v>
      </c>
      <c r="R462">
        <v>1160</v>
      </c>
      <c r="S462">
        <v>10.713333333333333</v>
      </c>
      <c r="T462" s="2">
        <v>44866</v>
      </c>
      <c r="U462" s="1" t="s">
        <v>66</v>
      </c>
      <c r="V462">
        <v>0</v>
      </c>
      <c r="W462" s="1" t="s">
        <v>40</v>
      </c>
      <c r="Y462" s="1" t="s">
        <v>52</v>
      </c>
      <c r="Z462" s="1" t="s">
        <v>42</v>
      </c>
      <c r="AA462">
        <v>6.0606060606060608E-2</v>
      </c>
      <c r="AB462" s="1" t="s">
        <v>43</v>
      </c>
      <c r="AC462">
        <v>1</v>
      </c>
      <c r="AD462" s="2">
        <v>44866</v>
      </c>
      <c r="AE462" s="1" t="s">
        <v>44</v>
      </c>
      <c r="AF462" s="1" t="s">
        <v>72</v>
      </c>
      <c r="AG462" s="1" t="s">
        <v>55</v>
      </c>
      <c r="AH462" s="1" t="s">
        <v>47</v>
      </c>
      <c r="AI462">
        <v>37120</v>
      </c>
      <c r="AJ462">
        <v>0</v>
      </c>
    </row>
    <row r="463" spans="1:36" x14ac:dyDescent="0.25">
      <c r="A463">
        <v>10462</v>
      </c>
      <c r="B463">
        <v>64</v>
      </c>
      <c r="C463" s="1" t="s">
        <v>36</v>
      </c>
      <c r="D463" s="1" t="s">
        <v>69</v>
      </c>
      <c r="E463" s="2">
        <v>44659</v>
      </c>
      <c r="F463" s="2">
        <v>45092</v>
      </c>
      <c r="G463" s="1" t="s">
        <v>38</v>
      </c>
      <c r="H463">
        <v>341</v>
      </c>
      <c r="I463">
        <v>21</v>
      </c>
      <c r="J463">
        <v>1</v>
      </c>
      <c r="K463">
        <v>35.549999999999997</v>
      </c>
      <c r="L463">
        <v>0</v>
      </c>
      <c r="M463" s="1" t="s">
        <v>67</v>
      </c>
      <c r="N463" s="1" t="s">
        <v>56</v>
      </c>
      <c r="O463">
        <v>7161</v>
      </c>
      <c r="P463" t="b">
        <v>1</v>
      </c>
      <c r="Q463">
        <v>1.75</v>
      </c>
      <c r="R463">
        <v>341</v>
      </c>
      <c r="S463">
        <v>17.774999999999999</v>
      </c>
      <c r="T463" s="2">
        <v>44652</v>
      </c>
      <c r="U463" s="1" t="s">
        <v>41</v>
      </c>
      <c r="V463">
        <v>0</v>
      </c>
      <c r="W463" s="1" t="s">
        <v>56</v>
      </c>
      <c r="X463">
        <v>433</v>
      </c>
      <c r="Y463" s="1" t="s">
        <v>52</v>
      </c>
      <c r="Z463" s="1" t="s">
        <v>42</v>
      </c>
      <c r="AA463">
        <v>4.5454545454545456E-2</v>
      </c>
      <c r="AB463" s="1" t="s">
        <v>42</v>
      </c>
      <c r="AC463">
        <v>1</v>
      </c>
      <c r="AD463" s="2">
        <v>44652</v>
      </c>
      <c r="AE463" s="1" t="s">
        <v>53</v>
      </c>
      <c r="AF463" s="1" t="s">
        <v>54</v>
      </c>
      <c r="AG463" s="1" t="s">
        <v>55</v>
      </c>
      <c r="AH463" s="1" t="s">
        <v>68</v>
      </c>
      <c r="AI463">
        <v>7161</v>
      </c>
      <c r="AJ463">
        <v>0</v>
      </c>
    </row>
    <row r="464" spans="1:36" x14ac:dyDescent="0.25">
      <c r="A464">
        <v>10463</v>
      </c>
      <c r="B464">
        <v>47</v>
      </c>
      <c r="C464" s="1" t="s">
        <v>36</v>
      </c>
      <c r="D464" s="1" t="s">
        <v>73</v>
      </c>
      <c r="E464" s="2">
        <v>44737</v>
      </c>
      <c r="F464" s="2">
        <v>44837</v>
      </c>
      <c r="G464" s="1" t="s">
        <v>49</v>
      </c>
      <c r="H464">
        <v>1070</v>
      </c>
      <c r="I464">
        <v>32</v>
      </c>
      <c r="J464">
        <v>3</v>
      </c>
      <c r="K464">
        <v>119.35</v>
      </c>
      <c r="L464">
        <v>10</v>
      </c>
      <c r="M464" s="1" t="s">
        <v>67</v>
      </c>
      <c r="N464" s="1" t="s">
        <v>56</v>
      </c>
      <c r="O464">
        <v>34133</v>
      </c>
      <c r="P464" t="b">
        <v>1</v>
      </c>
      <c r="Q464">
        <v>2.6666666666666665</v>
      </c>
      <c r="R464">
        <v>1066.65625</v>
      </c>
      <c r="S464">
        <v>29.837499999999999</v>
      </c>
      <c r="T464" s="2">
        <v>44713</v>
      </c>
      <c r="U464" s="1" t="s">
        <v>51</v>
      </c>
      <c r="V464">
        <v>0</v>
      </c>
      <c r="W464" s="1" t="s">
        <v>40</v>
      </c>
      <c r="X464">
        <v>100</v>
      </c>
      <c r="Y464" s="1" t="s">
        <v>43</v>
      </c>
      <c r="Z464" s="1" t="s">
        <v>42</v>
      </c>
      <c r="AA464">
        <v>9.0909090909090912E-2</v>
      </c>
      <c r="AB464" s="1" t="s">
        <v>43</v>
      </c>
      <c r="AC464">
        <v>3</v>
      </c>
      <c r="AD464" s="2">
        <v>44713</v>
      </c>
      <c r="AE464" s="1" t="s">
        <v>44</v>
      </c>
      <c r="AF464" s="1" t="s">
        <v>72</v>
      </c>
      <c r="AG464" s="1" t="s">
        <v>63</v>
      </c>
      <c r="AH464" s="1" t="s">
        <v>47</v>
      </c>
      <c r="AI464">
        <v>34240</v>
      </c>
      <c r="AJ464">
        <v>-107</v>
      </c>
    </row>
    <row r="465" spans="1:36" x14ac:dyDescent="0.25">
      <c r="A465">
        <v>10464</v>
      </c>
      <c r="B465">
        <v>63</v>
      </c>
      <c r="C465" s="1" t="s">
        <v>36</v>
      </c>
      <c r="D465" s="1" t="s">
        <v>73</v>
      </c>
      <c r="E465" s="2">
        <v>44822</v>
      </c>
      <c r="F465" s="2">
        <v>45080</v>
      </c>
      <c r="G465" s="1" t="s">
        <v>62</v>
      </c>
      <c r="H465">
        <v>1196</v>
      </c>
      <c r="I465">
        <v>31</v>
      </c>
      <c r="J465">
        <v>6</v>
      </c>
      <c r="K465">
        <v>32.090000000000003</v>
      </c>
      <c r="L465">
        <v>15</v>
      </c>
      <c r="M465" s="1" t="s">
        <v>39</v>
      </c>
      <c r="N465" s="1" t="s">
        <v>56</v>
      </c>
      <c r="O465">
        <v>36896.6</v>
      </c>
      <c r="P465" t="b">
        <v>1</v>
      </c>
      <c r="Q465">
        <v>2.5833333333333335</v>
      </c>
      <c r="R465">
        <v>1190.2129032258065</v>
      </c>
      <c r="S465">
        <v>4.5842857142857145</v>
      </c>
      <c r="T465" s="2">
        <v>44805</v>
      </c>
      <c r="U465" s="1" t="s">
        <v>41</v>
      </c>
      <c r="V465">
        <v>0</v>
      </c>
      <c r="W465" s="1" t="s">
        <v>40</v>
      </c>
      <c r="X465">
        <v>258</v>
      </c>
      <c r="Y465" s="1" t="s">
        <v>52</v>
      </c>
      <c r="Z465" s="1" t="s">
        <v>42</v>
      </c>
      <c r="AA465">
        <v>0.1875</v>
      </c>
      <c r="AB465" s="1" t="s">
        <v>43</v>
      </c>
      <c r="AC465">
        <v>2</v>
      </c>
      <c r="AD465" s="2">
        <v>44805</v>
      </c>
      <c r="AE465" s="1" t="s">
        <v>44</v>
      </c>
      <c r="AF465" s="1" t="s">
        <v>78</v>
      </c>
      <c r="AG465" s="1" t="s">
        <v>55</v>
      </c>
      <c r="AH465" s="1" t="s">
        <v>47</v>
      </c>
      <c r="AI465">
        <v>37076</v>
      </c>
      <c r="AJ465">
        <v>-179.40000000000146</v>
      </c>
    </row>
    <row r="466" spans="1:36" x14ac:dyDescent="0.25">
      <c r="A466">
        <v>10465</v>
      </c>
      <c r="B466">
        <v>22</v>
      </c>
      <c r="C466" s="1" t="s">
        <v>60</v>
      </c>
      <c r="D466" s="1" t="s">
        <v>69</v>
      </c>
      <c r="E466" s="2">
        <v>44815</v>
      </c>
      <c r="F466" s="2">
        <v>44673</v>
      </c>
      <c r="G466" s="1" t="s">
        <v>62</v>
      </c>
      <c r="H466">
        <v>791</v>
      </c>
      <c r="I466">
        <v>16</v>
      </c>
      <c r="J466">
        <v>5</v>
      </c>
      <c r="K466">
        <v>32.51</v>
      </c>
      <c r="L466">
        <v>5</v>
      </c>
      <c r="M466" s="1" t="s">
        <v>67</v>
      </c>
      <c r="N466" s="1" t="s">
        <v>40</v>
      </c>
      <c r="O466">
        <v>12616.45</v>
      </c>
      <c r="P466" t="b">
        <v>0</v>
      </c>
      <c r="Q466">
        <v>1.3333333333333333</v>
      </c>
      <c r="R466">
        <v>788.52812500000005</v>
      </c>
      <c r="S466">
        <v>5.418333333333333</v>
      </c>
      <c r="T466" s="2">
        <v>44805</v>
      </c>
      <c r="U466" s="1" t="s">
        <v>66</v>
      </c>
      <c r="V466">
        <v>1</v>
      </c>
      <c r="W466" s="1" t="s">
        <v>56</v>
      </c>
      <c r="Y466" s="1" t="s">
        <v>52</v>
      </c>
      <c r="Z466" s="1" t="s">
        <v>42</v>
      </c>
      <c r="AA466">
        <v>0.29411764705882354</v>
      </c>
      <c r="AB466" s="1" t="s">
        <v>52</v>
      </c>
      <c r="AC466">
        <v>2</v>
      </c>
      <c r="AD466" s="2">
        <v>44805</v>
      </c>
      <c r="AE466" s="1" t="s">
        <v>53</v>
      </c>
      <c r="AF466" s="1" t="s">
        <v>45</v>
      </c>
      <c r="AG466" s="1" t="s">
        <v>55</v>
      </c>
      <c r="AH466" s="1" t="s">
        <v>59</v>
      </c>
      <c r="AI466">
        <v>12656</v>
      </c>
      <c r="AJ466">
        <v>-39.549999999999272</v>
      </c>
    </row>
    <row r="467" spans="1:36" x14ac:dyDescent="0.25">
      <c r="A467">
        <v>10466</v>
      </c>
      <c r="B467">
        <v>29</v>
      </c>
      <c r="C467" s="1" t="s">
        <v>60</v>
      </c>
      <c r="D467" s="1" t="s">
        <v>61</v>
      </c>
      <c r="E467" s="2">
        <v>44560</v>
      </c>
      <c r="F467" s="2">
        <v>44876</v>
      </c>
      <c r="G467" s="1" t="s">
        <v>38</v>
      </c>
      <c r="H467">
        <v>1370</v>
      </c>
      <c r="I467">
        <v>14</v>
      </c>
      <c r="J467">
        <v>0</v>
      </c>
      <c r="K467">
        <v>83.98</v>
      </c>
      <c r="L467">
        <v>10</v>
      </c>
      <c r="M467" s="1" t="s">
        <v>67</v>
      </c>
      <c r="N467" s="1" t="s">
        <v>56</v>
      </c>
      <c r="O467">
        <v>19043</v>
      </c>
      <c r="P467" t="b">
        <v>1</v>
      </c>
      <c r="Q467">
        <v>1.1666666666666667</v>
      </c>
      <c r="R467">
        <v>1360.2142857142858</v>
      </c>
      <c r="S467">
        <v>83.98</v>
      </c>
      <c r="T467" s="2">
        <v>44531</v>
      </c>
      <c r="U467" s="1" t="s">
        <v>57</v>
      </c>
      <c r="V467">
        <v>0</v>
      </c>
      <c r="W467" s="1" t="s">
        <v>40</v>
      </c>
      <c r="X467">
        <v>316</v>
      </c>
      <c r="Y467" s="1" t="s">
        <v>43</v>
      </c>
      <c r="Z467" s="1" t="s">
        <v>42</v>
      </c>
      <c r="AA467">
        <v>0</v>
      </c>
      <c r="AB467" s="1" t="s">
        <v>52</v>
      </c>
      <c r="AC467">
        <v>1</v>
      </c>
      <c r="AD467" s="2">
        <v>44531</v>
      </c>
      <c r="AE467" s="1" t="s">
        <v>53</v>
      </c>
      <c r="AF467" s="1" t="s">
        <v>54</v>
      </c>
      <c r="AG467" s="1" t="s">
        <v>63</v>
      </c>
      <c r="AH467" s="1" t="s">
        <v>47</v>
      </c>
      <c r="AI467">
        <v>19180</v>
      </c>
      <c r="AJ467">
        <v>-137</v>
      </c>
    </row>
    <row r="468" spans="1:36" x14ac:dyDescent="0.25">
      <c r="A468">
        <v>10467</v>
      </c>
      <c r="B468">
        <v>33</v>
      </c>
      <c r="C468" s="1" t="s">
        <v>36</v>
      </c>
      <c r="D468" s="1" t="s">
        <v>73</v>
      </c>
      <c r="E468" s="2">
        <v>44326</v>
      </c>
      <c r="F468" s="2">
        <v>45239</v>
      </c>
      <c r="G468" s="1" t="s">
        <v>38</v>
      </c>
      <c r="H468">
        <v>384</v>
      </c>
      <c r="I468">
        <v>24</v>
      </c>
      <c r="J468">
        <v>2</v>
      </c>
      <c r="K468">
        <v>62.59</v>
      </c>
      <c r="L468">
        <v>5</v>
      </c>
      <c r="M468" s="1" t="s">
        <v>39</v>
      </c>
      <c r="N468" s="1" t="s">
        <v>56</v>
      </c>
      <c r="O468">
        <v>9196.7999999999993</v>
      </c>
      <c r="P468" t="b">
        <v>1</v>
      </c>
      <c r="Q468">
        <v>2</v>
      </c>
      <c r="R468">
        <v>383.2</v>
      </c>
      <c r="S468">
        <v>20.863333333333333</v>
      </c>
      <c r="T468" s="2">
        <v>44317</v>
      </c>
      <c r="U468" s="1" t="s">
        <v>57</v>
      </c>
      <c r="V468">
        <v>0</v>
      </c>
      <c r="W468" s="1" t="s">
        <v>56</v>
      </c>
      <c r="X468">
        <v>913</v>
      </c>
      <c r="Y468" s="1" t="s">
        <v>43</v>
      </c>
      <c r="Z468" s="1" t="s">
        <v>42</v>
      </c>
      <c r="AA468">
        <v>0.08</v>
      </c>
      <c r="AB468" s="1" t="s">
        <v>52</v>
      </c>
      <c r="AC468">
        <v>1</v>
      </c>
      <c r="AD468" s="2">
        <v>44317</v>
      </c>
      <c r="AE468" s="1" t="s">
        <v>53</v>
      </c>
      <c r="AF468" s="1" t="s">
        <v>72</v>
      </c>
      <c r="AG468" s="1" t="s">
        <v>63</v>
      </c>
      <c r="AH468" s="1" t="s">
        <v>68</v>
      </c>
      <c r="AI468">
        <v>9216</v>
      </c>
      <c r="AJ468">
        <v>-19.200000000000728</v>
      </c>
    </row>
    <row r="469" spans="1:36" x14ac:dyDescent="0.25">
      <c r="A469">
        <v>10468</v>
      </c>
      <c r="B469">
        <v>43</v>
      </c>
      <c r="C469" s="1" t="s">
        <v>60</v>
      </c>
      <c r="D469" s="1" t="s">
        <v>48</v>
      </c>
      <c r="E469" s="2">
        <v>44280</v>
      </c>
      <c r="F469" s="2">
        <v>44436</v>
      </c>
      <c r="G469" s="1" t="s">
        <v>38</v>
      </c>
      <c r="H469">
        <v>1381</v>
      </c>
      <c r="I469">
        <v>25</v>
      </c>
      <c r="J469">
        <v>0</v>
      </c>
      <c r="K469">
        <v>49.51</v>
      </c>
      <c r="L469">
        <v>15</v>
      </c>
      <c r="M469" s="1" t="s">
        <v>65</v>
      </c>
      <c r="N469" s="1" t="s">
        <v>56</v>
      </c>
      <c r="O469">
        <v>34317.85</v>
      </c>
      <c r="P469" t="b">
        <v>1</v>
      </c>
      <c r="Q469">
        <v>2.0833333333333335</v>
      </c>
      <c r="R469">
        <v>1372.7139999999999</v>
      </c>
      <c r="S469">
        <v>49.51</v>
      </c>
      <c r="T469" s="2">
        <v>44256</v>
      </c>
      <c r="U469" s="1" t="s">
        <v>51</v>
      </c>
      <c r="V469">
        <v>0</v>
      </c>
      <c r="W469" s="1" t="s">
        <v>40</v>
      </c>
      <c r="X469">
        <v>156</v>
      </c>
      <c r="Y469" s="1" t="s">
        <v>52</v>
      </c>
      <c r="Z469" s="1" t="s">
        <v>42</v>
      </c>
      <c r="AA469">
        <v>0</v>
      </c>
      <c r="AB469" s="1" t="s">
        <v>43</v>
      </c>
      <c r="AC469">
        <v>1</v>
      </c>
      <c r="AD469" s="2">
        <v>44256</v>
      </c>
      <c r="AE469" s="1" t="s">
        <v>44</v>
      </c>
      <c r="AF469" s="1" t="s">
        <v>54</v>
      </c>
      <c r="AG469" s="1" t="s">
        <v>63</v>
      </c>
      <c r="AH469" s="1" t="s">
        <v>47</v>
      </c>
      <c r="AI469">
        <v>34525</v>
      </c>
      <c r="AJ469">
        <v>-207.15000000000146</v>
      </c>
    </row>
    <row r="470" spans="1:36" x14ac:dyDescent="0.25">
      <c r="A470">
        <v>10469</v>
      </c>
      <c r="B470">
        <v>43</v>
      </c>
      <c r="C470" s="1" t="s">
        <v>60</v>
      </c>
      <c r="D470" s="1" t="s">
        <v>61</v>
      </c>
      <c r="E470" s="2">
        <v>44467</v>
      </c>
      <c r="F470" s="2">
        <v>44833</v>
      </c>
      <c r="G470" s="1" t="s">
        <v>38</v>
      </c>
      <c r="H470">
        <v>1290</v>
      </c>
      <c r="I470">
        <v>35</v>
      </c>
      <c r="J470">
        <v>3</v>
      </c>
      <c r="K470">
        <v>105.7</v>
      </c>
      <c r="L470">
        <v>10</v>
      </c>
      <c r="M470" s="1" t="s">
        <v>39</v>
      </c>
      <c r="N470" s="1" t="s">
        <v>56</v>
      </c>
      <c r="O470">
        <v>45021</v>
      </c>
      <c r="P470" t="b">
        <v>1</v>
      </c>
      <c r="Q470">
        <v>2.9166666666666665</v>
      </c>
      <c r="R470">
        <v>1286.3142857142857</v>
      </c>
      <c r="S470">
        <v>26.425000000000001</v>
      </c>
      <c r="T470" s="2">
        <v>44440</v>
      </c>
      <c r="U470" s="1" t="s">
        <v>51</v>
      </c>
      <c r="V470">
        <v>0</v>
      </c>
      <c r="W470" s="1" t="s">
        <v>40</v>
      </c>
      <c r="X470">
        <v>366</v>
      </c>
      <c r="Y470" s="1" t="s">
        <v>43</v>
      </c>
      <c r="Z470" s="1" t="s">
        <v>42</v>
      </c>
      <c r="AA470">
        <v>8.3333333333333329E-2</v>
      </c>
      <c r="AB470" s="1" t="s">
        <v>43</v>
      </c>
      <c r="AC470">
        <v>1</v>
      </c>
      <c r="AD470" s="2">
        <v>44440</v>
      </c>
      <c r="AE470" s="1" t="s">
        <v>44</v>
      </c>
      <c r="AF470" s="1" t="s">
        <v>72</v>
      </c>
      <c r="AG470" s="1" t="s">
        <v>63</v>
      </c>
      <c r="AH470" s="1" t="s">
        <v>47</v>
      </c>
      <c r="AI470">
        <v>45150</v>
      </c>
      <c r="AJ470">
        <v>-129</v>
      </c>
    </row>
    <row r="471" spans="1:36" x14ac:dyDescent="0.25">
      <c r="A471">
        <v>10470</v>
      </c>
      <c r="B471">
        <v>38</v>
      </c>
      <c r="C471" s="1" t="s">
        <v>60</v>
      </c>
      <c r="D471" s="1" t="s">
        <v>69</v>
      </c>
      <c r="E471" s="2">
        <v>44440</v>
      </c>
      <c r="F471" s="2">
        <v>45055</v>
      </c>
      <c r="G471" s="1" t="s">
        <v>62</v>
      </c>
      <c r="H471">
        <v>1010</v>
      </c>
      <c r="I471">
        <v>17</v>
      </c>
      <c r="J471">
        <v>1</v>
      </c>
      <c r="K471">
        <v>44.12</v>
      </c>
      <c r="L471">
        <v>20</v>
      </c>
      <c r="M471" s="1" t="s">
        <v>50</v>
      </c>
      <c r="N471" s="1" t="s">
        <v>56</v>
      </c>
      <c r="O471">
        <v>16968</v>
      </c>
      <c r="P471" t="b">
        <v>1</v>
      </c>
      <c r="Q471">
        <v>1.4166666666666667</v>
      </c>
      <c r="R471">
        <v>998.11764705882354</v>
      </c>
      <c r="S471">
        <v>22.06</v>
      </c>
      <c r="T471" s="2">
        <v>44440</v>
      </c>
      <c r="U471" s="1" t="s">
        <v>51</v>
      </c>
      <c r="V471">
        <v>0</v>
      </c>
      <c r="W471" s="1" t="s">
        <v>40</v>
      </c>
      <c r="X471">
        <v>615</v>
      </c>
      <c r="Y471" s="1" t="s">
        <v>52</v>
      </c>
      <c r="Z471" s="1" t="s">
        <v>52</v>
      </c>
      <c r="AA471">
        <v>5.5555555555555552E-2</v>
      </c>
      <c r="AB471" s="1" t="s">
        <v>52</v>
      </c>
      <c r="AC471">
        <v>2</v>
      </c>
      <c r="AD471" s="2">
        <v>44440</v>
      </c>
      <c r="AE471" s="1" t="s">
        <v>53</v>
      </c>
      <c r="AF471" s="1" t="s">
        <v>54</v>
      </c>
      <c r="AG471" s="1" t="s">
        <v>55</v>
      </c>
      <c r="AH471" s="1" t="s">
        <v>47</v>
      </c>
      <c r="AI471">
        <v>17170</v>
      </c>
      <c r="AJ471">
        <v>-202</v>
      </c>
    </row>
    <row r="472" spans="1:36" x14ac:dyDescent="0.25">
      <c r="A472">
        <v>10471</v>
      </c>
      <c r="B472">
        <v>56</v>
      </c>
      <c r="C472" s="1" t="s">
        <v>36</v>
      </c>
      <c r="D472" s="1" t="s">
        <v>61</v>
      </c>
      <c r="E472" s="2">
        <v>44584</v>
      </c>
      <c r="F472" s="2">
        <v>44697</v>
      </c>
      <c r="G472" s="1" t="s">
        <v>62</v>
      </c>
      <c r="H472">
        <v>508</v>
      </c>
      <c r="I472">
        <v>4</v>
      </c>
      <c r="J472">
        <v>4</v>
      </c>
      <c r="K472">
        <v>27.66</v>
      </c>
      <c r="L472">
        <v>10</v>
      </c>
      <c r="M472" s="1" t="s">
        <v>65</v>
      </c>
      <c r="N472" s="1" t="s">
        <v>56</v>
      </c>
      <c r="O472">
        <v>1981.2</v>
      </c>
      <c r="P472" t="b">
        <v>1</v>
      </c>
      <c r="Q472">
        <v>0.33333333333333331</v>
      </c>
      <c r="R472">
        <v>495.3</v>
      </c>
      <c r="S472">
        <v>5.532</v>
      </c>
      <c r="T472" s="2">
        <v>44562</v>
      </c>
      <c r="U472" s="1" t="s">
        <v>41</v>
      </c>
      <c r="V472">
        <v>0</v>
      </c>
      <c r="W472" s="1" t="s">
        <v>56</v>
      </c>
      <c r="X472">
        <v>113</v>
      </c>
      <c r="Y472" s="1" t="s">
        <v>52</v>
      </c>
      <c r="Z472" s="1" t="s">
        <v>42</v>
      </c>
      <c r="AA472">
        <v>0.8</v>
      </c>
      <c r="AB472" s="1" t="s">
        <v>42</v>
      </c>
      <c r="AC472">
        <v>2</v>
      </c>
      <c r="AD472" s="2">
        <v>44562</v>
      </c>
      <c r="AE472" s="1" t="s">
        <v>58</v>
      </c>
      <c r="AF472" s="1" t="s">
        <v>45</v>
      </c>
      <c r="AG472" s="1" t="s">
        <v>70</v>
      </c>
      <c r="AH472" s="1" t="s">
        <v>64</v>
      </c>
      <c r="AI472">
        <v>2032</v>
      </c>
      <c r="AJ472">
        <v>-50.799999999999955</v>
      </c>
    </row>
    <row r="473" spans="1:36" x14ac:dyDescent="0.25">
      <c r="A473">
        <v>10472</v>
      </c>
      <c r="B473">
        <v>53</v>
      </c>
      <c r="C473" s="1" t="s">
        <v>60</v>
      </c>
      <c r="D473" s="1" t="s">
        <v>71</v>
      </c>
      <c r="E473" s="2">
        <v>44410</v>
      </c>
      <c r="F473" s="2">
        <v>44431</v>
      </c>
      <c r="G473" s="1" t="s">
        <v>62</v>
      </c>
      <c r="H473">
        <v>338</v>
      </c>
      <c r="I473">
        <v>11</v>
      </c>
      <c r="J473">
        <v>2</v>
      </c>
      <c r="K473">
        <v>42.91</v>
      </c>
      <c r="L473">
        <v>15</v>
      </c>
      <c r="M473" s="1" t="s">
        <v>50</v>
      </c>
      <c r="N473" s="1" t="s">
        <v>40</v>
      </c>
      <c r="O473">
        <v>3667.3</v>
      </c>
      <c r="P473" t="b">
        <v>1</v>
      </c>
      <c r="Q473">
        <v>0.91666666666666663</v>
      </c>
      <c r="R473">
        <v>333.39090909090913</v>
      </c>
      <c r="S473">
        <v>14.303333333333333</v>
      </c>
      <c r="T473" s="2">
        <v>44409</v>
      </c>
      <c r="U473" s="1" t="s">
        <v>41</v>
      </c>
      <c r="V473">
        <v>1</v>
      </c>
      <c r="W473" s="1" t="s">
        <v>56</v>
      </c>
      <c r="X473">
        <v>21</v>
      </c>
      <c r="Y473" s="1" t="s">
        <v>52</v>
      </c>
      <c r="Z473" s="1" t="s">
        <v>42</v>
      </c>
      <c r="AA473">
        <v>0.16666666666666666</v>
      </c>
      <c r="AB473" s="1" t="s">
        <v>42</v>
      </c>
      <c r="AC473">
        <v>2</v>
      </c>
      <c r="AD473" s="2">
        <v>44409</v>
      </c>
      <c r="AE473" s="1" t="s">
        <v>74</v>
      </c>
      <c r="AF473" s="1" t="s">
        <v>72</v>
      </c>
      <c r="AG473" s="1" t="s">
        <v>55</v>
      </c>
      <c r="AH473" s="1" t="s">
        <v>68</v>
      </c>
      <c r="AI473">
        <v>3718</v>
      </c>
      <c r="AJ473">
        <v>-50.699999999999818</v>
      </c>
    </row>
    <row r="474" spans="1:36" x14ac:dyDescent="0.25">
      <c r="A474">
        <v>10473</v>
      </c>
      <c r="B474">
        <v>50</v>
      </c>
      <c r="C474" s="1" t="s">
        <v>36</v>
      </c>
      <c r="D474" s="1" t="s">
        <v>61</v>
      </c>
      <c r="E474" s="2">
        <v>45014</v>
      </c>
      <c r="F474" s="2">
        <v>44734</v>
      </c>
      <c r="G474" s="1" t="s">
        <v>38</v>
      </c>
      <c r="H474">
        <v>1225</v>
      </c>
      <c r="I474">
        <v>15</v>
      </c>
      <c r="J474">
        <v>3</v>
      </c>
      <c r="K474">
        <v>75.08</v>
      </c>
      <c r="L474">
        <v>0</v>
      </c>
      <c r="M474" s="1" t="s">
        <v>65</v>
      </c>
      <c r="N474" s="1" t="s">
        <v>56</v>
      </c>
      <c r="O474">
        <v>18375</v>
      </c>
      <c r="P474" t="b">
        <v>0</v>
      </c>
      <c r="Q474">
        <v>1.25</v>
      </c>
      <c r="R474">
        <v>1225</v>
      </c>
      <c r="S474">
        <v>18.77</v>
      </c>
      <c r="T474" s="2">
        <v>44986</v>
      </c>
      <c r="U474" s="1" t="s">
        <v>51</v>
      </c>
      <c r="V474">
        <v>0</v>
      </c>
      <c r="W474" s="1" t="s">
        <v>40</v>
      </c>
      <c r="Y474" s="1" t="s">
        <v>43</v>
      </c>
      <c r="Z474" s="1" t="s">
        <v>42</v>
      </c>
      <c r="AA474">
        <v>0.1875</v>
      </c>
      <c r="AB474" s="1" t="s">
        <v>52</v>
      </c>
      <c r="AC474">
        <v>1</v>
      </c>
      <c r="AD474" s="2">
        <v>44986</v>
      </c>
      <c r="AE474" s="1" t="s">
        <v>53</v>
      </c>
      <c r="AF474" s="1" t="s">
        <v>72</v>
      </c>
      <c r="AG474" s="1" t="s">
        <v>63</v>
      </c>
      <c r="AH474" s="1" t="s">
        <v>47</v>
      </c>
      <c r="AI474">
        <v>18375</v>
      </c>
      <c r="AJ474">
        <v>0</v>
      </c>
    </row>
    <row r="475" spans="1:36" x14ac:dyDescent="0.25">
      <c r="A475">
        <v>10474</v>
      </c>
      <c r="B475">
        <v>47</v>
      </c>
      <c r="C475" s="1" t="s">
        <v>75</v>
      </c>
      <c r="D475" s="1" t="s">
        <v>48</v>
      </c>
      <c r="E475" s="2">
        <v>44362</v>
      </c>
      <c r="F475" s="2">
        <v>44434</v>
      </c>
      <c r="G475" s="1" t="s">
        <v>62</v>
      </c>
      <c r="H475">
        <v>1061</v>
      </c>
      <c r="I475">
        <v>30</v>
      </c>
      <c r="J475">
        <v>0</v>
      </c>
      <c r="K475">
        <v>47.22</v>
      </c>
      <c r="L475">
        <v>10</v>
      </c>
      <c r="M475" s="1" t="s">
        <v>65</v>
      </c>
      <c r="N475" s="1" t="s">
        <v>40</v>
      </c>
      <c r="O475">
        <v>31723.9</v>
      </c>
      <c r="P475" t="b">
        <v>1</v>
      </c>
      <c r="Q475">
        <v>2.5</v>
      </c>
      <c r="R475">
        <v>1057.4633333333334</v>
      </c>
      <c r="S475">
        <v>47.22</v>
      </c>
      <c r="T475" s="2">
        <v>44348</v>
      </c>
      <c r="U475" s="1" t="s">
        <v>51</v>
      </c>
      <c r="V475">
        <v>1</v>
      </c>
      <c r="W475" s="1" t="s">
        <v>40</v>
      </c>
      <c r="X475">
        <v>72</v>
      </c>
      <c r="Y475" s="1" t="s">
        <v>52</v>
      </c>
      <c r="Z475" s="1" t="s">
        <v>42</v>
      </c>
      <c r="AA475">
        <v>0</v>
      </c>
      <c r="AB475" s="1" t="s">
        <v>43</v>
      </c>
      <c r="AC475">
        <v>2</v>
      </c>
      <c r="AD475" s="2">
        <v>44348</v>
      </c>
      <c r="AE475" s="1" t="s">
        <v>44</v>
      </c>
      <c r="AF475" s="1" t="s">
        <v>54</v>
      </c>
      <c r="AG475" s="1" t="s">
        <v>63</v>
      </c>
      <c r="AH475" s="1" t="s">
        <v>47</v>
      </c>
      <c r="AI475">
        <v>31830</v>
      </c>
      <c r="AJ475">
        <v>-106.09999999999854</v>
      </c>
    </row>
    <row r="476" spans="1:36" x14ac:dyDescent="0.25">
      <c r="A476">
        <v>10475</v>
      </c>
      <c r="B476">
        <v>54</v>
      </c>
      <c r="C476" s="1" t="s">
        <v>60</v>
      </c>
      <c r="D476" s="1" t="s">
        <v>71</v>
      </c>
      <c r="E476" s="2">
        <v>44987</v>
      </c>
      <c r="F476" s="2">
        <v>44654</v>
      </c>
      <c r="G476" s="1" t="s">
        <v>38</v>
      </c>
      <c r="H476">
        <v>1245</v>
      </c>
      <c r="I476">
        <v>24</v>
      </c>
      <c r="J476">
        <v>2</v>
      </c>
      <c r="K476">
        <v>82.38</v>
      </c>
      <c r="L476">
        <v>20</v>
      </c>
      <c r="M476" s="1" t="s">
        <v>39</v>
      </c>
      <c r="N476" s="1" t="s">
        <v>56</v>
      </c>
      <c r="O476">
        <v>29631</v>
      </c>
      <c r="P476" t="b">
        <v>0</v>
      </c>
      <c r="Q476">
        <v>2</v>
      </c>
      <c r="R476">
        <v>1234.625</v>
      </c>
      <c r="S476">
        <v>27.459999999999997</v>
      </c>
      <c r="T476" s="2">
        <v>44986</v>
      </c>
      <c r="U476" s="1" t="s">
        <v>41</v>
      </c>
      <c r="V476">
        <v>0</v>
      </c>
      <c r="W476" s="1" t="s">
        <v>40</v>
      </c>
      <c r="Y476" s="1" t="s">
        <v>43</v>
      </c>
      <c r="Z476" s="1" t="s">
        <v>52</v>
      </c>
      <c r="AA476">
        <v>0.08</v>
      </c>
      <c r="AB476" s="1" t="s">
        <v>43</v>
      </c>
      <c r="AC476">
        <v>1</v>
      </c>
      <c r="AD476" s="2">
        <v>44986</v>
      </c>
      <c r="AE476" s="1" t="s">
        <v>53</v>
      </c>
      <c r="AF476" s="1" t="s">
        <v>72</v>
      </c>
      <c r="AG476" s="1" t="s">
        <v>63</v>
      </c>
      <c r="AH476" s="1" t="s">
        <v>47</v>
      </c>
      <c r="AI476">
        <v>29880</v>
      </c>
      <c r="AJ476">
        <v>-249</v>
      </c>
    </row>
    <row r="477" spans="1:36" x14ac:dyDescent="0.25">
      <c r="A477">
        <v>10476</v>
      </c>
      <c r="B477">
        <v>40</v>
      </c>
      <c r="C477" s="1" t="s">
        <v>60</v>
      </c>
      <c r="D477" s="1" t="s">
        <v>37</v>
      </c>
      <c r="E477" s="2">
        <v>44255</v>
      </c>
      <c r="F477" s="2">
        <v>45197</v>
      </c>
      <c r="G477" s="1" t="s">
        <v>38</v>
      </c>
      <c r="H477">
        <v>351</v>
      </c>
      <c r="I477">
        <v>2</v>
      </c>
      <c r="J477">
        <v>2</v>
      </c>
      <c r="K477">
        <v>32.25</v>
      </c>
      <c r="L477">
        <v>10</v>
      </c>
      <c r="M477" s="1" t="s">
        <v>39</v>
      </c>
      <c r="N477" s="1" t="s">
        <v>56</v>
      </c>
      <c r="O477">
        <v>666.9</v>
      </c>
      <c r="P477" t="b">
        <v>1</v>
      </c>
      <c r="Q477">
        <v>0.16666666666666666</v>
      </c>
      <c r="R477">
        <v>333.45</v>
      </c>
      <c r="S477">
        <v>10.75</v>
      </c>
      <c r="T477" s="2">
        <v>44228</v>
      </c>
      <c r="U477" s="1" t="s">
        <v>51</v>
      </c>
      <c r="V477">
        <v>0</v>
      </c>
      <c r="W477" s="1" t="s">
        <v>56</v>
      </c>
      <c r="X477">
        <v>942</v>
      </c>
      <c r="Y477" s="1" t="s">
        <v>52</v>
      </c>
      <c r="Z477" s="1" t="s">
        <v>42</v>
      </c>
      <c r="AA477">
        <v>0.66666666666666663</v>
      </c>
      <c r="AB477" s="1" t="s">
        <v>42</v>
      </c>
      <c r="AC477">
        <v>1</v>
      </c>
      <c r="AD477" s="2">
        <v>44228</v>
      </c>
      <c r="AE477" s="1" t="s">
        <v>58</v>
      </c>
      <c r="AF477" s="1" t="s">
        <v>72</v>
      </c>
      <c r="AG477" s="1" t="s">
        <v>55</v>
      </c>
      <c r="AH477" s="1" t="s">
        <v>68</v>
      </c>
      <c r="AI477">
        <v>702</v>
      </c>
      <c r="AJ477">
        <v>-35.100000000000023</v>
      </c>
    </row>
    <row r="478" spans="1:36" x14ac:dyDescent="0.25">
      <c r="A478">
        <v>10477</v>
      </c>
      <c r="B478">
        <v>27</v>
      </c>
      <c r="C478" s="1" t="s">
        <v>60</v>
      </c>
      <c r="D478" s="1" t="s">
        <v>69</v>
      </c>
      <c r="E478" s="2">
        <v>44798</v>
      </c>
      <c r="F478" s="2">
        <v>44501</v>
      </c>
      <c r="G478" s="1" t="s">
        <v>49</v>
      </c>
      <c r="H478">
        <v>673</v>
      </c>
      <c r="I478">
        <v>34</v>
      </c>
      <c r="J478">
        <v>1</v>
      </c>
      <c r="K478">
        <v>85.61</v>
      </c>
      <c r="L478">
        <v>0</v>
      </c>
      <c r="M478" s="1" t="s">
        <v>50</v>
      </c>
      <c r="N478" s="1" t="s">
        <v>56</v>
      </c>
      <c r="O478">
        <v>22882</v>
      </c>
      <c r="P478" t="b">
        <v>0</v>
      </c>
      <c r="Q478">
        <v>2.8333333333333335</v>
      </c>
      <c r="R478">
        <v>673</v>
      </c>
      <c r="S478">
        <v>42.805</v>
      </c>
      <c r="T478" s="2">
        <v>44774</v>
      </c>
      <c r="U478" s="1" t="s">
        <v>57</v>
      </c>
      <c r="V478">
        <v>0</v>
      </c>
      <c r="W478" s="1" t="s">
        <v>40</v>
      </c>
      <c r="Y478" s="1" t="s">
        <v>43</v>
      </c>
      <c r="Z478" s="1" t="s">
        <v>42</v>
      </c>
      <c r="AA478">
        <v>2.8571428571428571E-2</v>
      </c>
      <c r="AB478" s="1" t="s">
        <v>43</v>
      </c>
      <c r="AC478">
        <v>3</v>
      </c>
      <c r="AD478" s="2">
        <v>44774</v>
      </c>
      <c r="AE478" s="1" t="s">
        <v>44</v>
      </c>
      <c r="AF478" s="1" t="s">
        <v>54</v>
      </c>
      <c r="AG478" s="1" t="s">
        <v>63</v>
      </c>
      <c r="AH478" s="1" t="s">
        <v>64</v>
      </c>
      <c r="AI478">
        <v>22882</v>
      </c>
      <c r="AJ478">
        <v>0</v>
      </c>
    </row>
    <row r="479" spans="1:36" x14ac:dyDescent="0.25">
      <c r="A479">
        <v>10478</v>
      </c>
      <c r="B479">
        <v>22</v>
      </c>
      <c r="C479" s="1" t="s">
        <v>36</v>
      </c>
      <c r="D479" s="1" t="s">
        <v>69</v>
      </c>
      <c r="E479" s="2">
        <v>45079</v>
      </c>
      <c r="F479" s="2">
        <v>44787</v>
      </c>
      <c r="G479" s="1" t="s">
        <v>62</v>
      </c>
      <c r="H479">
        <v>1230</v>
      </c>
      <c r="I479">
        <v>23</v>
      </c>
      <c r="J479">
        <v>4</v>
      </c>
      <c r="K479">
        <v>44.96</v>
      </c>
      <c r="L479">
        <v>10</v>
      </c>
      <c r="M479" s="1" t="s">
        <v>39</v>
      </c>
      <c r="N479" s="1" t="s">
        <v>56</v>
      </c>
      <c r="O479">
        <v>28167</v>
      </c>
      <c r="P479" t="b">
        <v>0</v>
      </c>
      <c r="Q479">
        <v>1.9166666666666667</v>
      </c>
      <c r="R479">
        <v>1224.6521739130435</v>
      </c>
      <c r="S479">
        <v>8.9920000000000009</v>
      </c>
      <c r="T479" s="2">
        <v>45078</v>
      </c>
      <c r="U479" s="1" t="s">
        <v>66</v>
      </c>
      <c r="V479">
        <v>0</v>
      </c>
      <c r="W479" s="1" t="s">
        <v>40</v>
      </c>
      <c r="Y479" s="1" t="s">
        <v>52</v>
      </c>
      <c r="Z479" s="1" t="s">
        <v>42</v>
      </c>
      <c r="AA479">
        <v>0.16666666666666666</v>
      </c>
      <c r="AB479" s="1" t="s">
        <v>43</v>
      </c>
      <c r="AC479">
        <v>2</v>
      </c>
      <c r="AD479" s="2">
        <v>45078</v>
      </c>
      <c r="AE479" s="1" t="s">
        <v>53</v>
      </c>
      <c r="AF479" s="1" t="s">
        <v>45</v>
      </c>
      <c r="AG479" s="1" t="s">
        <v>55</v>
      </c>
      <c r="AH479" s="1" t="s">
        <v>47</v>
      </c>
      <c r="AI479">
        <v>28290</v>
      </c>
      <c r="AJ479">
        <v>-123</v>
      </c>
    </row>
    <row r="480" spans="1:36" x14ac:dyDescent="0.25">
      <c r="A480">
        <v>10479</v>
      </c>
      <c r="B480">
        <v>53</v>
      </c>
      <c r="C480" s="1" t="s">
        <v>60</v>
      </c>
      <c r="D480" s="1" t="s">
        <v>61</v>
      </c>
      <c r="E480" s="2">
        <v>45039</v>
      </c>
      <c r="F480" s="2">
        <v>45087</v>
      </c>
      <c r="G480" s="1" t="s">
        <v>62</v>
      </c>
      <c r="H480">
        <v>455</v>
      </c>
      <c r="I480">
        <v>31</v>
      </c>
      <c r="J480">
        <v>1</v>
      </c>
      <c r="K480">
        <v>57.42</v>
      </c>
      <c r="L480">
        <v>20</v>
      </c>
      <c r="M480" s="1" t="s">
        <v>65</v>
      </c>
      <c r="N480" s="1" t="s">
        <v>40</v>
      </c>
      <c r="O480">
        <v>14014</v>
      </c>
      <c r="P480" t="b">
        <v>1</v>
      </c>
      <c r="Q480">
        <v>2.5833333333333335</v>
      </c>
      <c r="R480">
        <v>452.06451612903226</v>
      </c>
      <c r="S480">
        <v>28.71</v>
      </c>
      <c r="T480" s="2">
        <v>45017</v>
      </c>
      <c r="U480" s="1" t="s">
        <v>41</v>
      </c>
      <c r="V480">
        <v>1</v>
      </c>
      <c r="W480" s="1" t="s">
        <v>40</v>
      </c>
      <c r="X480">
        <v>48</v>
      </c>
      <c r="Y480" s="1" t="s">
        <v>52</v>
      </c>
      <c r="Z480" s="1" t="s">
        <v>52</v>
      </c>
      <c r="AA480">
        <v>3.125E-2</v>
      </c>
      <c r="AB480" s="1" t="s">
        <v>52</v>
      </c>
      <c r="AC480">
        <v>2</v>
      </c>
      <c r="AD480" s="2">
        <v>45017</v>
      </c>
      <c r="AE480" s="1" t="s">
        <v>44</v>
      </c>
      <c r="AF480" s="1" t="s">
        <v>54</v>
      </c>
      <c r="AG480" s="1" t="s">
        <v>63</v>
      </c>
      <c r="AH480" s="1" t="s">
        <v>68</v>
      </c>
      <c r="AI480">
        <v>14105</v>
      </c>
      <c r="AJ480">
        <v>-91</v>
      </c>
    </row>
    <row r="481" spans="1:36" x14ac:dyDescent="0.25">
      <c r="A481">
        <v>10480</v>
      </c>
      <c r="B481">
        <v>51</v>
      </c>
      <c r="C481" s="1" t="s">
        <v>60</v>
      </c>
      <c r="D481" s="1" t="s">
        <v>73</v>
      </c>
      <c r="E481" s="2">
        <v>44700</v>
      </c>
      <c r="F481" s="2">
        <v>44611</v>
      </c>
      <c r="G481" s="1" t="s">
        <v>38</v>
      </c>
      <c r="H481">
        <v>1413</v>
      </c>
      <c r="I481">
        <v>13</v>
      </c>
      <c r="J481">
        <v>1</v>
      </c>
      <c r="K481">
        <v>69.14</v>
      </c>
      <c r="L481">
        <v>15</v>
      </c>
      <c r="M481" s="1" t="s">
        <v>39</v>
      </c>
      <c r="N481" s="1" t="s">
        <v>56</v>
      </c>
      <c r="O481">
        <v>18157.05</v>
      </c>
      <c r="P481" t="b">
        <v>0</v>
      </c>
      <c r="Q481">
        <v>1.0833333333333333</v>
      </c>
      <c r="R481">
        <v>1396.6961538461537</v>
      </c>
      <c r="S481">
        <v>34.57</v>
      </c>
      <c r="T481" s="2">
        <v>44682</v>
      </c>
      <c r="U481" s="1" t="s">
        <v>41</v>
      </c>
      <c r="V481">
        <v>0</v>
      </c>
      <c r="W481" s="1" t="s">
        <v>40</v>
      </c>
      <c r="Y481" s="1" t="s">
        <v>43</v>
      </c>
      <c r="Z481" s="1" t="s">
        <v>42</v>
      </c>
      <c r="AA481">
        <v>7.1428571428571425E-2</v>
      </c>
      <c r="AB481" s="1" t="s">
        <v>52</v>
      </c>
      <c r="AC481">
        <v>1</v>
      </c>
      <c r="AD481" s="2">
        <v>44682</v>
      </c>
      <c r="AE481" s="1" t="s">
        <v>53</v>
      </c>
      <c r="AF481" s="1" t="s">
        <v>54</v>
      </c>
      <c r="AG481" s="1" t="s">
        <v>63</v>
      </c>
      <c r="AH481" s="1" t="s">
        <v>47</v>
      </c>
      <c r="AI481">
        <v>18369</v>
      </c>
      <c r="AJ481">
        <v>-211.95000000000073</v>
      </c>
    </row>
    <row r="482" spans="1:36" x14ac:dyDescent="0.25">
      <c r="A482">
        <v>10481</v>
      </c>
      <c r="B482">
        <v>48</v>
      </c>
      <c r="C482" s="1" t="s">
        <v>60</v>
      </c>
      <c r="D482" s="1" t="s">
        <v>71</v>
      </c>
      <c r="E482" s="2">
        <v>44902</v>
      </c>
      <c r="F482" s="2">
        <v>45082</v>
      </c>
      <c r="G482" s="1" t="s">
        <v>49</v>
      </c>
      <c r="H482">
        <v>978</v>
      </c>
      <c r="I482">
        <v>33</v>
      </c>
      <c r="J482">
        <v>1</v>
      </c>
      <c r="K482">
        <v>83.92</v>
      </c>
      <c r="L482">
        <v>20</v>
      </c>
      <c r="M482" s="1" t="s">
        <v>50</v>
      </c>
      <c r="N482" s="1" t="s">
        <v>56</v>
      </c>
      <c r="O482">
        <v>32078.400000000001</v>
      </c>
      <c r="P482" t="b">
        <v>1</v>
      </c>
      <c r="Q482">
        <v>2.75</v>
      </c>
      <c r="R482">
        <v>972.07272727272732</v>
      </c>
      <c r="S482">
        <v>41.96</v>
      </c>
      <c r="T482" s="2">
        <v>44896</v>
      </c>
      <c r="U482" s="1" t="s">
        <v>51</v>
      </c>
      <c r="V482">
        <v>0</v>
      </c>
      <c r="W482" s="1" t="s">
        <v>40</v>
      </c>
      <c r="X482">
        <v>180</v>
      </c>
      <c r="Y482" s="1" t="s">
        <v>43</v>
      </c>
      <c r="Z482" s="1" t="s">
        <v>52</v>
      </c>
      <c r="AA482">
        <v>2.9411764705882353E-2</v>
      </c>
      <c r="AB482" s="1" t="s">
        <v>43</v>
      </c>
      <c r="AC482">
        <v>3</v>
      </c>
      <c r="AD482" s="2">
        <v>44896</v>
      </c>
      <c r="AE482" s="1" t="s">
        <v>44</v>
      </c>
      <c r="AF482" s="1" t="s">
        <v>54</v>
      </c>
      <c r="AG482" s="1" t="s">
        <v>63</v>
      </c>
      <c r="AH482" s="1" t="s">
        <v>59</v>
      </c>
      <c r="AI482">
        <v>32274</v>
      </c>
      <c r="AJ482">
        <v>-195.59999999999854</v>
      </c>
    </row>
    <row r="483" spans="1:36" x14ac:dyDescent="0.25">
      <c r="A483">
        <v>10482</v>
      </c>
      <c r="B483">
        <v>27</v>
      </c>
      <c r="C483" s="1" t="s">
        <v>36</v>
      </c>
      <c r="D483" s="1" t="s">
        <v>37</v>
      </c>
      <c r="E483" s="2">
        <v>44319</v>
      </c>
      <c r="F483" s="2">
        <v>44768</v>
      </c>
      <c r="G483" s="1" t="s">
        <v>62</v>
      </c>
      <c r="H483">
        <v>650</v>
      </c>
      <c r="I483">
        <v>7</v>
      </c>
      <c r="J483">
        <v>3</v>
      </c>
      <c r="K483">
        <v>32.450000000000003</v>
      </c>
      <c r="L483">
        <v>15</v>
      </c>
      <c r="M483" s="1" t="s">
        <v>65</v>
      </c>
      <c r="N483" s="1" t="s">
        <v>40</v>
      </c>
      <c r="O483">
        <v>4452.5</v>
      </c>
      <c r="P483" t="b">
        <v>1</v>
      </c>
      <c r="Q483">
        <v>0.58333333333333337</v>
      </c>
      <c r="R483">
        <v>636.07142857142856</v>
      </c>
      <c r="S483">
        <v>8.1125000000000007</v>
      </c>
      <c r="T483" s="2">
        <v>44317</v>
      </c>
      <c r="U483" s="1" t="s">
        <v>57</v>
      </c>
      <c r="V483">
        <v>1</v>
      </c>
      <c r="W483" s="1" t="s">
        <v>56</v>
      </c>
      <c r="X483">
        <v>449</v>
      </c>
      <c r="Y483" s="1" t="s">
        <v>52</v>
      </c>
      <c r="Z483" s="1" t="s">
        <v>42</v>
      </c>
      <c r="AA483">
        <v>0.375</v>
      </c>
      <c r="AB483" s="1" t="s">
        <v>42</v>
      </c>
      <c r="AC483">
        <v>2</v>
      </c>
      <c r="AD483" s="2">
        <v>44317</v>
      </c>
      <c r="AE483" s="1" t="s">
        <v>74</v>
      </c>
      <c r="AF483" s="1" t="s">
        <v>72</v>
      </c>
      <c r="AG483" s="1" t="s">
        <v>55</v>
      </c>
      <c r="AH483" s="1" t="s">
        <v>64</v>
      </c>
      <c r="AI483">
        <v>4550</v>
      </c>
      <c r="AJ483">
        <v>-97.5</v>
      </c>
    </row>
    <row r="484" spans="1:36" x14ac:dyDescent="0.25">
      <c r="A484">
        <v>10483</v>
      </c>
      <c r="B484">
        <v>36</v>
      </c>
      <c r="C484" s="1" t="s">
        <v>60</v>
      </c>
      <c r="D484" s="1" t="s">
        <v>71</v>
      </c>
      <c r="E484" s="2">
        <v>44844</v>
      </c>
      <c r="F484" s="2">
        <v>44840</v>
      </c>
      <c r="G484" s="1" t="s">
        <v>62</v>
      </c>
      <c r="H484">
        <v>368</v>
      </c>
      <c r="I484">
        <v>32</v>
      </c>
      <c r="J484">
        <v>2</v>
      </c>
      <c r="K484">
        <v>62.59</v>
      </c>
      <c r="L484">
        <v>20</v>
      </c>
      <c r="M484" s="1" t="s">
        <v>50</v>
      </c>
      <c r="N484" s="1" t="s">
        <v>56</v>
      </c>
      <c r="O484">
        <v>11702.4</v>
      </c>
      <c r="P484" t="b">
        <v>0</v>
      </c>
      <c r="Q484">
        <v>2.6666666666666665</v>
      </c>
      <c r="R484">
        <v>365.7</v>
      </c>
      <c r="S484">
        <v>20.863333333333333</v>
      </c>
      <c r="T484" s="2">
        <v>44835</v>
      </c>
      <c r="U484" s="1" t="s">
        <v>51</v>
      </c>
      <c r="V484">
        <v>0</v>
      </c>
      <c r="W484" s="1" t="s">
        <v>56</v>
      </c>
      <c r="Y484" s="1" t="s">
        <v>43</v>
      </c>
      <c r="Z484" s="1" t="s">
        <v>52</v>
      </c>
      <c r="AA484">
        <v>6.0606060606060608E-2</v>
      </c>
      <c r="AB484" s="1" t="s">
        <v>52</v>
      </c>
      <c r="AC484">
        <v>2</v>
      </c>
      <c r="AD484" s="2">
        <v>44835</v>
      </c>
      <c r="AE484" s="1" t="s">
        <v>44</v>
      </c>
      <c r="AF484" s="1" t="s">
        <v>72</v>
      </c>
      <c r="AG484" s="1" t="s">
        <v>63</v>
      </c>
      <c r="AH484" s="1" t="s">
        <v>68</v>
      </c>
      <c r="AI484">
        <v>11776</v>
      </c>
      <c r="AJ484">
        <v>-73.600000000000364</v>
      </c>
    </row>
    <row r="485" spans="1:36" x14ac:dyDescent="0.25">
      <c r="A485">
        <v>10484</v>
      </c>
      <c r="B485">
        <v>49</v>
      </c>
      <c r="C485" s="1" t="s">
        <v>36</v>
      </c>
      <c r="D485" s="1" t="s">
        <v>69</v>
      </c>
      <c r="E485" s="2">
        <v>44609</v>
      </c>
      <c r="F485" s="2">
        <v>44980</v>
      </c>
      <c r="G485" s="1" t="s">
        <v>38</v>
      </c>
      <c r="H485">
        <v>1486</v>
      </c>
      <c r="I485">
        <v>7</v>
      </c>
      <c r="J485">
        <v>0</v>
      </c>
      <c r="K485">
        <v>88.01</v>
      </c>
      <c r="L485">
        <v>5</v>
      </c>
      <c r="M485" s="1" t="s">
        <v>67</v>
      </c>
      <c r="N485" s="1" t="s">
        <v>56</v>
      </c>
      <c r="O485">
        <v>10327.700000000001</v>
      </c>
      <c r="P485" t="b">
        <v>1</v>
      </c>
      <c r="Q485">
        <v>0.58333333333333337</v>
      </c>
      <c r="R485">
        <v>1475.3857142857144</v>
      </c>
      <c r="S485">
        <v>88.01</v>
      </c>
      <c r="T485" s="2">
        <v>44593</v>
      </c>
      <c r="U485" s="1" t="s">
        <v>51</v>
      </c>
      <c r="V485">
        <v>0</v>
      </c>
      <c r="W485" s="1" t="s">
        <v>56</v>
      </c>
      <c r="X485">
        <v>371</v>
      </c>
      <c r="Y485" s="1" t="s">
        <v>43</v>
      </c>
      <c r="Z485" s="1" t="s">
        <v>42</v>
      </c>
      <c r="AA485">
        <v>0</v>
      </c>
      <c r="AB485" s="1" t="s">
        <v>52</v>
      </c>
      <c r="AC485">
        <v>1</v>
      </c>
      <c r="AD485" s="2">
        <v>44593</v>
      </c>
      <c r="AE485" s="1" t="s">
        <v>74</v>
      </c>
      <c r="AF485" s="1" t="s">
        <v>54</v>
      </c>
      <c r="AG485" s="1" t="s">
        <v>63</v>
      </c>
      <c r="AH485" s="1" t="s">
        <v>47</v>
      </c>
      <c r="AI485">
        <v>10402</v>
      </c>
      <c r="AJ485">
        <v>-74.299999999999272</v>
      </c>
    </row>
    <row r="486" spans="1:36" x14ac:dyDescent="0.25">
      <c r="A486">
        <v>10485</v>
      </c>
      <c r="B486">
        <v>18</v>
      </c>
      <c r="C486" s="1" t="s">
        <v>36</v>
      </c>
      <c r="D486" s="1" t="s">
        <v>71</v>
      </c>
      <c r="E486" s="2">
        <v>44335</v>
      </c>
      <c r="F486" s="2">
        <v>44758</v>
      </c>
      <c r="G486" s="1" t="s">
        <v>49</v>
      </c>
      <c r="H486">
        <v>1375</v>
      </c>
      <c r="I486">
        <v>13</v>
      </c>
      <c r="J486">
        <v>6</v>
      </c>
      <c r="K486">
        <v>31.92</v>
      </c>
      <c r="L486">
        <v>10</v>
      </c>
      <c r="M486" s="1" t="s">
        <v>39</v>
      </c>
      <c r="N486" s="1" t="s">
        <v>56</v>
      </c>
      <c r="O486">
        <v>17737.5</v>
      </c>
      <c r="P486" t="b">
        <v>1</v>
      </c>
      <c r="Q486">
        <v>1.0833333333333333</v>
      </c>
      <c r="R486">
        <v>1364.4230769230769</v>
      </c>
      <c r="S486">
        <v>4.5600000000000005</v>
      </c>
      <c r="T486" s="2">
        <v>44317</v>
      </c>
      <c r="U486" s="1" t="s">
        <v>66</v>
      </c>
      <c r="V486">
        <v>0</v>
      </c>
      <c r="W486" s="1" t="s">
        <v>40</v>
      </c>
      <c r="X486">
        <v>423</v>
      </c>
      <c r="Y486" s="1" t="s">
        <v>52</v>
      </c>
      <c r="Z486" s="1" t="s">
        <v>42</v>
      </c>
      <c r="AA486">
        <v>0.42857142857142855</v>
      </c>
      <c r="AB486" s="1" t="s">
        <v>52</v>
      </c>
      <c r="AC486">
        <v>3</v>
      </c>
      <c r="AD486" s="2">
        <v>44317</v>
      </c>
      <c r="AE486" s="1" t="s">
        <v>53</v>
      </c>
      <c r="AF486" s="1" t="s">
        <v>78</v>
      </c>
      <c r="AG486" s="1" t="s">
        <v>55</v>
      </c>
      <c r="AH486" s="1" t="s">
        <v>47</v>
      </c>
      <c r="AI486">
        <v>17875</v>
      </c>
      <c r="AJ486">
        <v>-137.5</v>
      </c>
    </row>
    <row r="487" spans="1:36" x14ac:dyDescent="0.25">
      <c r="A487">
        <v>10486</v>
      </c>
      <c r="B487">
        <v>22</v>
      </c>
      <c r="C487" s="1" t="s">
        <v>60</v>
      </c>
      <c r="D487" s="1" t="s">
        <v>37</v>
      </c>
      <c r="E487" s="2">
        <v>44425</v>
      </c>
      <c r="F487" s="2">
        <v>44520</v>
      </c>
      <c r="G487" s="1" t="s">
        <v>49</v>
      </c>
      <c r="H487">
        <v>953</v>
      </c>
      <c r="I487">
        <v>24</v>
      </c>
      <c r="J487">
        <v>2</v>
      </c>
      <c r="K487">
        <v>117.12</v>
      </c>
      <c r="L487">
        <v>10</v>
      </c>
      <c r="M487" s="1" t="s">
        <v>65</v>
      </c>
      <c r="N487" s="1" t="s">
        <v>56</v>
      </c>
      <c r="O487">
        <v>22776.7</v>
      </c>
      <c r="P487" t="b">
        <v>1</v>
      </c>
      <c r="Q487">
        <v>2</v>
      </c>
      <c r="R487">
        <v>949.0291666666667</v>
      </c>
      <c r="S487">
        <v>39.04</v>
      </c>
      <c r="T487" s="2">
        <v>44409</v>
      </c>
      <c r="U487" s="1" t="s">
        <v>66</v>
      </c>
      <c r="V487">
        <v>0</v>
      </c>
      <c r="W487" s="1" t="s">
        <v>40</v>
      </c>
      <c r="X487">
        <v>95</v>
      </c>
      <c r="Y487" s="1" t="s">
        <v>43</v>
      </c>
      <c r="Z487" s="1" t="s">
        <v>42</v>
      </c>
      <c r="AA487">
        <v>0.08</v>
      </c>
      <c r="AB487" s="1" t="s">
        <v>43</v>
      </c>
      <c r="AC487">
        <v>3</v>
      </c>
      <c r="AD487" s="2">
        <v>44409</v>
      </c>
      <c r="AE487" s="1" t="s">
        <v>53</v>
      </c>
      <c r="AF487" s="1" t="s">
        <v>72</v>
      </c>
      <c r="AG487" s="1" t="s">
        <v>63</v>
      </c>
      <c r="AH487" s="1" t="s">
        <v>59</v>
      </c>
      <c r="AI487">
        <v>22872</v>
      </c>
      <c r="AJ487">
        <v>-95.299999999999272</v>
      </c>
    </row>
    <row r="488" spans="1:36" x14ac:dyDescent="0.25">
      <c r="A488">
        <v>10487</v>
      </c>
      <c r="B488">
        <v>62</v>
      </c>
      <c r="C488" s="1" t="s">
        <v>36</v>
      </c>
      <c r="D488" s="1" t="s">
        <v>73</v>
      </c>
      <c r="E488" s="2">
        <v>44470</v>
      </c>
      <c r="F488" s="2">
        <v>44351</v>
      </c>
      <c r="G488" s="1" t="s">
        <v>49</v>
      </c>
      <c r="H488">
        <v>362</v>
      </c>
      <c r="I488">
        <v>28</v>
      </c>
      <c r="J488">
        <v>1</v>
      </c>
      <c r="K488">
        <v>81.45</v>
      </c>
      <c r="L488">
        <v>0</v>
      </c>
      <c r="M488" s="1" t="s">
        <v>50</v>
      </c>
      <c r="N488" s="1" t="s">
        <v>56</v>
      </c>
      <c r="O488">
        <v>10136</v>
      </c>
      <c r="P488" t="b">
        <v>0</v>
      </c>
      <c r="Q488">
        <v>2.3333333333333335</v>
      </c>
      <c r="R488">
        <v>362</v>
      </c>
      <c r="S488">
        <v>40.725000000000001</v>
      </c>
      <c r="T488" s="2">
        <v>44470</v>
      </c>
      <c r="U488" s="1" t="s">
        <v>41</v>
      </c>
      <c r="V488">
        <v>0</v>
      </c>
      <c r="W488" s="1" t="s">
        <v>56</v>
      </c>
      <c r="Y488" s="1" t="s">
        <v>43</v>
      </c>
      <c r="Z488" s="1" t="s">
        <v>42</v>
      </c>
      <c r="AA488">
        <v>3.4482758620689655E-2</v>
      </c>
      <c r="AB488" s="1" t="s">
        <v>52</v>
      </c>
      <c r="AC488">
        <v>3</v>
      </c>
      <c r="AD488" s="2">
        <v>44470</v>
      </c>
      <c r="AE488" s="1" t="s">
        <v>44</v>
      </c>
      <c r="AF488" s="1" t="s">
        <v>54</v>
      </c>
      <c r="AG488" s="1" t="s">
        <v>63</v>
      </c>
      <c r="AH488" s="1" t="s">
        <v>68</v>
      </c>
      <c r="AI488">
        <v>10136</v>
      </c>
      <c r="AJ488">
        <v>0</v>
      </c>
    </row>
    <row r="489" spans="1:36" x14ac:dyDescent="0.25">
      <c r="A489">
        <v>10488</v>
      </c>
      <c r="B489">
        <v>21</v>
      </c>
      <c r="C489" s="1" t="s">
        <v>60</v>
      </c>
      <c r="D489" s="1" t="s">
        <v>61</v>
      </c>
      <c r="E489" s="2">
        <v>44635</v>
      </c>
      <c r="F489" s="2">
        <v>45201</v>
      </c>
      <c r="G489" s="1" t="s">
        <v>38</v>
      </c>
      <c r="H489">
        <v>808</v>
      </c>
      <c r="I489">
        <v>32</v>
      </c>
      <c r="J489">
        <v>1</v>
      </c>
      <c r="K489">
        <v>57.03</v>
      </c>
      <c r="L489">
        <v>5</v>
      </c>
      <c r="M489" s="1" t="s">
        <v>39</v>
      </c>
      <c r="N489" s="1" t="s">
        <v>56</v>
      </c>
      <c r="O489">
        <v>25815.599999999999</v>
      </c>
      <c r="P489" t="b">
        <v>1</v>
      </c>
      <c r="Q489">
        <v>2.6666666666666665</v>
      </c>
      <c r="R489">
        <v>806.73749999999995</v>
      </c>
      <c r="S489">
        <v>28.515000000000001</v>
      </c>
      <c r="T489" s="2">
        <v>44621</v>
      </c>
      <c r="U489" s="1" t="s">
        <v>66</v>
      </c>
      <c r="V489">
        <v>0</v>
      </c>
      <c r="W489" s="1" t="s">
        <v>40</v>
      </c>
      <c r="X489">
        <v>566</v>
      </c>
      <c r="Y489" s="1" t="s">
        <v>52</v>
      </c>
      <c r="Z489" s="1" t="s">
        <v>42</v>
      </c>
      <c r="AA489">
        <v>3.0303030303030304E-2</v>
      </c>
      <c r="AB489" s="1" t="s">
        <v>43</v>
      </c>
      <c r="AC489">
        <v>1</v>
      </c>
      <c r="AD489" s="2">
        <v>44621</v>
      </c>
      <c r="AE489" s="1" t="s">
        <v>44</v>
      </c>
      <c r="AF489" s="1" t="s">
        <v>54</v>
      </c>
      <c r="AG489" s="1" t="s">
        <v>63</v>
      </c>
      <c r="AH489" s="1" t="s">
        <v>59</v>
      </c>
      <c r="AI489">
        <v>25856</v>
      </c>
      <c r="AJ489">
        <v>-40.400000000001455</v>
      </c>
    </row>
    <row r="490" spans="1:36" x14ac:dyDescent="0.25">
      <c r="A490">
        <v>10489</v>
      </c>
      <c r="B490">
        <v>41</v>
      </c>
      <c r="C490" s="1" t="s">
        <v>36</v>
      </c>
      <c r="D490" s="1" t="s">
        <v>48</v>
      </c>
      <c r="E490" s="2">
        <v>44758</v>
      </c>
      <c r="F490" s="2">
        <v>44987</v>
      </c>
      <c r="G490" s="1" t="s">
        <v>38</v>
      </c>
      <c r="H490">
        <v>591</v>
      </c>
      <c r="I490">
        <v>18</v>
      </c>
      <c r="J490">
        <v>4</v>
      </c>
      <c r="K490">
        <v>23.12</v>
      </c>
      <c r="L490">
        <v>0</v>
      </c>
      <c r="M490" s="1" t="s">
        <v>39</v>
      </c>
      <c r="N490" s="1" t="s">
        <v>56</v>
      </c>
      <c r="O490">
        <v>10638</v>
      </c>
      <c r="P490" t="b">
        <v>1</v>
      </c>
      <c r="Q490">
        <v>1.5</v>
      </c>
      <c r="R490">
        <v>591</v>
      </c>
      <c r="S490">
        <v>4.6240000000000006</v>
      </c>
      <c r="T490" s="2">
        <v>44743</v>
      </c>
      <c r="U490" s="1" t="s">
        <v>51</v>
      </c>
      <c r="V490">
        <v>0</v>
      </c>
      <c r="W490" s="1" t="s">
        <v>56</v>
      </c>
      <c r="X490">
        <v>229</v>
      </c>
      <c r="Y490" s="1" t="s">
        <v>52</v>
      </c>
      <c r="Z490" s="1" t="s">
        <v>42</v>
      </c>
      <c r="AA490">
        <v>0.21052631578947367</v>
      </c>
      <c r="AB490" s="1" t="s">
        <v>52</v>
      </c>
      <c r="AC490">
        <v>1</v>
      </c>
      <c r="AD490" s="2">
        <v>44743</v>
      </c>
      <c r="AE490" s="1" t="s">
        <v>53</v>
      </c>
      <c r="AF490" s="1" t="s">
        <v>45</v>
      </c>
      <c r="AG490" s="1" t="s">
        <v>70</v>
      </c>
      <c r="AH490" s="1" t="s">
        <v>64</v>
      </c>
      <c r="AI490">
        <v>10638</v>
      </c>
      <c r="AJ490">
        <v>0</v>
      </c>
    </row>
    <row r="491" spans="1:36" x14ac:dyDescent="0.25">
      <c r="A491">
        <v>10490</v>
      </c>
      <c r="B491">
        <v>41</v>
      </c>
      <c r="C491" s="1" t="s">
        <v>36</v>
      </c>
      <c r="D491" s="1" t="s">
        <v>71</v>
      </c>
      <c r="E491" s="2">
        <v>44314</v>
      </c>
      <c r="F491" s="2">
        <v>44819</v>
      </c>
      <c r="G491" s="1" t="s">
        <v>38</v>
      </c>
      <c r="H491">
        <v>1414</v>
      </c>
      <c r="I491">
        <v>34</v>
      </c>
      <c r="J491">
        <v>4</v>
      </c>
      <c r="K491">
        <v>66.319999999999993</v>
      </c>
      <c r="L491">
        <v>10</v>
      </c>
      <c r="M491" s="1" t="s">
        <v>50</v>
      </c>
      <c r="N491" s="1" t="s">
        <v>56</v>
      </c>
      <c r="O491">
        <v>47934.6</v>
      </c>
      <c r="P491" t="b">
        <v>1</v>
      </c>
      <c r="Q491">
        <v>2.8333333333333335</v>
      </c>
      <c r="R491">
        <v>1409.8411764705882</v>
      </c>
      <c r="S491">
        <v>13.263999999999999</v>
      </c>
      <c r="T491" s="2">
        <v>44287</v>
      </c>
      <c r="U491" s="1" t="s">
        <v>51</v>
      </c>
      <c r="V491">
        <v>0</v>
      </c>
      <c r="W491" s="1" t="s">
        <v>40</v>
      </c>
      <c r="X491">
        <v>505</v>
      </c>
      <c r="Y491" s="1" t="s">
        <v>43</v>
      </c>
      <c r="Z491" s="1" t="s">
        <v>42</v>
      </c>
      <c r="AA491">
        <v>0.11428571428571428</v>
      </c>
      <c r="AB491" s="1" t="s">
        <v>43</v>
      </c>
      <c r="AC491">
        <v>1</v>
      </c>
      <c r="AD491" s="2">
        <v>44287</v>
      </c>
      <c r="AE491" s="1" t="s">
        <v>44</v>
      </c>
      <c r="AF491" s="1" t="s">
        <v>45</v>
      </c>
      <c r="AG491" s="1" t="s">
        <v>63</v>
      </c>
      <c r="AH491" s="1" t="s">
        <v>47</v>
      </c>
      <c r="AI491">
        <v>48076</v>
      </c>
      <c r="AJ491">
        <v>-141.40000000000146</v>
      </c>
    </row>
    <row r="492" spans="1:36" x14ac:dyDescent="0.25">
      <c r="A492">
        <v>10491</v>
      </c>
      <c r="B492">
        <v>33</v>
      </c>
      <c r="C492" s="1" t="s">
        <v>36</v>
      </c>
      <c r="D492" s="1" t="s">
        <v>48</v>
      </c>
      <c r="E492" s="2">
        <v>44910</v>
      </c>
      <c r="F492" s="2">
        <v>44457</v>
      </c>
      <c r="G492" s="1" t="s">
        <v>38</v>
      </c>
      <c r="H492">
        <v>1120</v>
      </c>
      <c r="I492">
        <v>34</v>
      </c>
      <c r="J492">
        <v>2</v>
      </c>
      <c r="K492">
        <v>23.95</v>
      </c>
      <c r="L492">
        <v>0</v>
      </c>
      <c r="M492" s="1" t="s">
        <v>65</v>
      </c>
      <c r="N492" s="1" t="s">
        <v>56</v>
      </c>
      <c r="O492">
        <v>38080</v>
      </c>
      <c r="P492" t="b">
        <v>0</v>
      </c>
      <c r="Q492">
        <v>2.8333333333333335</v>
      </c>
      <c r="R492">
        <v>1120</v>
      </c>
      <c r="S492">
        <v>7.9833333333333334</v>
      </c>
      <c r="T492" s="2">
        <v>44896</v>
      </c>
      <c r="U492" s="1" t="s">
        <v>57</v>
      </c>
      <c r="V492">
        <v>0</v>
      </c>
      <c r="W492" s="1" t="s">
        <v>40</v>
      </c>
      <c r="Y492" s="1" t="s">
        <v>52</v>
      </c>
      <c r="Z492" s="1" t="s">
        <v>42</v>
      </c>
      <c r="AA492">
        <v>5.7142857142857141E-2</v>
      </c>
      <c r="AB492" s="1" t="s">
        <v>43</v>
      </c>
      <c r="AC492">
        <v>1</v>
      </c>
      <c r="AD492" s="2">
        <v>44896</v>
      </c>
      <c r="AE492" s="1" t="s">
        <v>44</v>
      </c>
      <c r="AF492" s="1" t="s">
        <v>72</v>
      </c>
      <c r="AG492" s="1" t="s">
        <v>70</v>
      </c>
      <c r="AH492" s="1" t="s">
        <v>47</v>
      </c>
      <c r="AI492">
        <v>38080</v>
      </c>
      <c r="AJ492">
        <v>0</v>
      </c>
    </row>
    <row r="493" spans="1:36" x14ac:dyDescent="0.25">
      <c r="A493">
        <v>10492</v>
      </c>
      <c r="B493">
        <v>19</v>
      </c>
      <c r="C493" s="1" t="s">
        <v>60</v>
      </c>
      <c r="D493" s="1" t="s">
        <v>69</v>
      </c>
      <c r="E493" s="2">
        <v>44679</v>
      </c>
      <c r="F493" s="2">
        <v>45214</v>
      </c>
      <c r="G493" s="1" t="s">
        <v>49</v>
      </c>
      <c r="H493">
        <v>449</v>
      </c>
      <c r="I493">
        <v>1</v>
      </c>
      <c r="J493">
        <v>5</v>
      </c>
      <c r="K493">
        <v>54.39</v>
      </c>
      <c r="L493">
        <v>15</v>
      </c>
      <c r="M493" s="1" t="s">
        <v>50</v>
      </c>
      <c r="N493" s="1" t="s">
        <v>56</v>
      </c>
      <c r="O493">
        <v>381.65</v>
      </c>
      <c r="P493" t="b">
        <v>1</v>
      </c>
      <c r="Q493">
        <v>8.3333333333333329E-2</v>
      </c>
      <c r="R493">
        <v>381.65</v>
      </c>
      <c r="S493">
        <v>9.0649999999999995</v>
      </c>
      <c r="T493" s="2">
        <v>44652</v>
      </c>
      <c r="U493" s="1" t="s">
        <v>66</v>
      </c>
      <c r="V493">
        <v>0</v>
      </c>
      <c r="W493" s="1" t="s">
        <v>56</v>
      </c>
      <c r="X493">
        <v>535</v>
      </c>
      <c r="Y493" s="1" t="s">
        <v>52</v>
      </c>
      <c r="Z493" s="1" t="s">
        <v>42</v>
      </c>
      <c r="AA493">
        <v>2.5</v>
      </c>
      <c r="AB493" s="1" t="s">
        <v>42</v>
      </c>
      <c r="AC493">
        <v>3</v>
      </c>
      <c r="AD493" s="2">
        <v>44652</v>
      </c>
      <c r="AE493" s="1" t="s">
        <v>58</v>
      </c>
      <c r="AF493" s="1" t="s">
        <v>45</v>
      </c>
      <c r="AG493" s="1" t="s">
        <v>63</v>
      </c>
      <c r="AH493" s="1" t="s">
        <v>68</v>
      </c>
      <c r="AI493">
        <v>449</v>
      </c>
      <c r="AJ493">
        <v>-67.350000000000023</v>
      </c>
    </row>
    <row r="494" spans="1:36" x14ac:dyDescent="0.25">
      <c r="A494">
        <v>10493</v>
      </c>
      <c r="B494">
        <v>45</v>
      </c>
      <c r="C494" s="1" t="s">
        <v>60</v>
      </c>
      <c r="D494" s="1" t="s">
        <v>61</v>
      </c>
      <c r="E494" s="2">
        <v>44591</v>
      </c>
      <c r="F494" s="2">
        <v>44384</v>
      </c>
      <c r="G494" s="1" t="s">
        <v>38</v>
      </c>
      <c r="H494">
        <v>1180</v>
      </c>
      <c r="I494">
        <v>31</v>
      </c>
      <c r="J494">
        <v>1</v>
      </c>
      <c r="K494">
        <v>52</v>
      </c>
      <c r="L494">
        <v>5</v>
      </c>
      <c r="M494" s="1" t="s">
        <v>39</v>
      </c>
      <c r="N494" s="1" t="s">
        <v>56</v>
      </c>
      <c r="O494">
        <v>36521</v>
      </c>
      <c r="P494" t="b">
        <v>0</v>
      </c>
      <c r="Q494">
        <v>2.5833333333333335</v>
      </c>
      <c r="R494">
        <v>1178.0967741935483</v>
      </c>
      <c r="S494">
        <v>26</v>
      </c>
      <c r="T494" s="2">
        <v>44562</v>
      </c>
      <c r="U494" s="1" t="s">
        <v>51</v>
      </c>
      <c r="V494">
        <v>0</v>
      </c>
      <c r="W494" s="1" t="s">
        <v>40</v>
      </c>
      <c r="Y494" s="1" t="s">
        <v>52</v>
      </c>
      <c r="Z494" s="1" t="s">
        <v>42</v>
      </c>
      <c r="AA494">
        <v>3.125E-2</v>
      </c>
      <c r="AB494" s="1" t="s">
        <v>43</v>
      </c>
      <c r="AC494">
        <v>1</v>
      </c>
      <c r="AD494" s="2">
        <v>44562</v>
      </c>
      <c r="AE494" s="1" t="s">
        <v>44</v>
      </c>
      <c r="AF494" s="1" t="s">
        <v>54</v>
      </c>
      <c r="AG494" s="1" t="s">
        <v>63</v>
      </c>
      <c r="AH494" s="1" t="s">
        <v>47</v>
      </c>
      <c r="AI494">
        <v>36580</v>
      </c>
      <c r="AJ494">
        <v>-59</v>
      </c>
    </row>
    <row r="495" spans="1:36" x14ac:dyDescent="0.25">
      <c r="A495">
        <v>10494</v>
      </c>
      <c r="B495">
        <v>41</v>
      </c>
      <c r="C495" s="1" t="s">
        <v>60</v>
      </c>
      <c r="D495" s="1" t="s">
        <v>61</v>
      </c>
      <c r="E495" s="2">
        <v>44899</v>
      </c>
      <c r="F495" s="2">
        <v>44930</v>
      </c>
      <c r="G495" s="1" t="s">
        <v>38</v>
      </c>
      <c r="H495">
        <v>1439</v>
      </c>
      <c r="I495">
        <v>1</v>
      </c>
      <c r="J495">
        <v>0</v>
      </c>
      <c r="K495">
        <v>87.79</v>
      </c>
      <c r="L495">
        <v>20</v>
      </c>
      <c r="M495" s="1" t="s">
        <v>50</v>
      </c>
      <c r="N495" s="1" t="s">
        <v>56</v>
      </c>
      <c r="O495">
        <v>1151.2</v>
      </c>
      <c r="P495" t="b">
        <v>1</v>
      </c>
      <c r="Q495">
        <v>8.3333333333333329E-2</v>
      </c>
      <c r="R495">
        <v>1151.2</v>
      </c>
      <c r="S495">
        <v>87.79</v>
      </c>
      <c r="T495" s="2">
        <v>44896</v>
      </c>
      <c r="U495" s="1" t="s">
        <v>51</v>
      </c>
      <c r="V495">
        <v>0</v>
      </c>
      <c r="W495" s="1" t="s">
        <v>56</v>
      </c>
      <c r="X495">
        <v>31</v>
      </c>
      <c r="Y495" s="1" t="s">
        <v>43</v>
      </c>
      <c r="Z495" s="1" t="s">
        <v>52</v>
      </c>
      <c r="AA495">
        <v>0</v>
      </c>
      <c r="AB495" s="1" t="s">
        <v>42</v>
      </c>
      <c r="AC495">
        <v>1</v>
      </c>
      <c r="AD495" s="2">
        <v>44896</v>
      </c>
      <c r="AE495" s="1" t="s">
        <v>58</v>
      </c>
      <c r="AF495" s="1" t="s">
        <v>54</v>
      </c>
      <c r="AG495" s="1" t="s">
        <v>63</v>
      </c>
      <c r="AH495" s="1" t="s">
        <v>47</v>
      </c>
      <c r="AI495">
        <v>1439</v>
      </c>
      <c r="AJ495">
        <v>-287.79999999999995</v>
      </c>
    </row>
    <row r="496" spans="1:36" x14ac:dyDescent="0.25">
      <c r="A496">
        <v>10495</v>
      </c>
      <c r="B496">
        <v>44</v>
      </c>
      <c r="C496" s="1" t="s">
        <v>60</v>
      </c>
      <c r="D496" s="1" t="s">
        <v>71</v>
      </c>
      <c r="E496" s="2">
        <v>45072</v>
      </c>
      <c r="F496" s="2">
        <v>45148</v>
      </c>
      <c r="G496" s="1" t="s">
        <v>38</v>
      </c>
      <c r="H496">
        <v>1003</v>
      </c>
      <c r="I496">
        <v>16</v>
      </c>
      <c r="J496">
        <v>4</v>
      </c>
      <c r="K496">
        <v>27.12</v>
      </c>
      <c r="L496">
        <v>15</v>
      </c>
      <c r="M496" s="1" t="s">
        <v>67</v>
      </c>
      <c r="N496" s="1" t="s">
        <v>56</v>
      </c>
      <c r="O496">
        <v>15897.55</v>
      </c>
      <c r="P496" t="b">
        <v>1</v>
      </c>
      <c r="Q496">
        <v>1.3333333333333333</v>
      </c>
      <c r="R496">
        <v>993.59687499999995</v>
      </c>
      <c r="S496">
        <v>5.4240000000000004</v>
      </c>
      <c r="T496" s="2">
        <v>45047</v>
      </c>
      <c r="U496" s="1" t="s">
        <v>51</v>
      </c>
      <c r="V496">
        <v>0</v>
      </c>
      <c r="W496" s="1" t="s">
        <v>40</v>
      </c>
      <c r="X496">
        <v>76</v>
      </c>
      <c r="Y496" s="1" t="s">
        <v>52</v>
      </c>
      <c r="Z496" s="1" t="s">
        <v>42</v>
      </c>
      <c r="AA496">
        <v>0.23529411764705882</v>
      </c>
      <c r="AB496" s="1" t="s">
        <v>52</v>
      </c>
      <c r="AC496">
        <v>1</v>
      </c>
      <c r="AD496" s="2">
        <v>45047</v>
      </c>
      <c r="AE496" s="1" t="s">
        <v>53</v>
      </c>
      <c r="AF496" s="1" t="s">
        <v>45</v>
      </c>
      <c r="AG496" s="1" t="s">
        <v>70</v>
      </c>
      <c r="AH496" s="1" t="s">
        <v>47</v>
      </c>
      <c r="AI496">
        <v>16048</v>
      </c>
      <c r="AJ496">
        <v>-150.45000000000073</v>
      </c>
    </row>
    <row r="497" spans="1:36" x14ac:dyDescent="0.25">
      <c r="A497">
        <v>10496</v>
      </c>
      <c r="B497">
        <v>37</v>
      </c>
      <c r="C497" s="1" t="s">
        <v>60</v>
      </c>
      <c r="D497" s="1" t="s">
        <v>73</v>
      </c>
      <c r="E497" s="2">
        <v>44656</v>
      </c>
      <c r="F497" s="2">
        <v>44378</v>
      </c>
      <c r="G497" s="1" t="s">
        <v>38</v>
      </c>
      <c r="H497">
        <v>815</v>
      </c>
      <c r="I497">
        <v>15</v>
      </c>
      <c r="J497">
        <v>7</v>
      </c>
      <c r="K497">
        <v>99.52</v>
      </c>
      <c r="L497">
        <v>20</v>
      </c>
      <c r="M497" s="1" t="s">
        <v>39</v>
      </c>
      <c r="N497" s="1" t="s">
        <v>56</v>
      </c>
      <c r="O497">
        <v>12062</v>
      </c>
      <c r="P497" t="b">
        <v>0</v>
      </c>
      <c r="Q497">
        <v>1.25</v>
      </c>
      <c r="R497">
        <v>804.13333333333333</v>
      </c>
      <c r="S497">
        <v>12.44</v>
      </c>
      <c r="T497" s="2">
        <v>44652</v>
      </c>
      <c r="U497" s="1" t="s">
        <v>51</v>
      </c>
      <c r="V497">
        <v>0</v>
      </c>
      <c r="W497" s="1" t="s">
        <v>56</v>
      </c>
      <c r="Y497" s="1" t="s">
        <v>43</v>
      </c>
      <c r="Z497" s="1" t="s">
        <v>52</v>
      </c>
      <c r="AA497">
        <v>0.4375</v>
      </c>
      <c r="AB497" s="1" t="s">
        <v>52</v>
      </c>
      <c r="AC497">
        <v>1</v>
      </c>
      <c r="AD497" s="2">
        <v>44652</v>
      </c>
      <c r="AE497" s="1" t="s">
        <v>53</v>
      </c>
      <c r="AF497" s="1" t="s">
        <v>78</v>
      </c>
      <c r="AG497" s="1" t="s">
        <v>63</v>
      </c>
      <c r="AH497" s="1" t="s">
        <v>59</v>
      </c>
      <c r="AI497">
        <v>12225</v>
      </c>
      <c r="AJ497">
        <v>-163</v>
      </c>
    </row>
    <row r="498" spans="1:36" x14ac:dyDescent="0.25">
      <c r="A498">
        <v>10497</v>
      </c>
      <c r="B498">
        <v>41</v>
      </c>
      <c r="C498" s="1" t="s">
        <v>60</v>
      </c>
      <c r="D498" s="1" t="s">
        <v>61</v>
      </c>
      <c r="E498" s="2">
        <v>45031</v>
      </c>
      <c r="F498" s="2">
        <v>44728</v>
      </c>
      <c r="G498" s="1" t="s">
        <v>38</v>
      </c>
      <c r="H498">
        <v>329</v>
      </c>
      <c r="I498">
        <v>33</v>
      </c>
      <c r="J498">
        <v>3</v>
      </c>
      <c r="K498">
        <v>62.59</v>
      </c>
      <c r="L498">
        <v>0</v>
      </c>
      <c r="M498" s="1" t="s">
        <v>65</v>
      </c>
      <c r="N498" s="1" t="s">
        <v>56</v>
      </c>
      <c r="O498">
        <v>10857</v>
      </c>
      <c r="P498" t="b">
        <v>0</v>
      </c>
      <c r="Q498">
        <v>2.75</v>
      </c>
      <c r="R498">
        <v>329</v>
      </c>
      <c r="S498">
        <v>15.647500000000001</v>
      </c>
      <c r="T498" s="2">
        <v>45017</v>
      </c>
      <c r="U498" s="1" t="s">
        <v>51</v>
      </c>
      <c r="V498">
        <v>0</v>
      </c>
      <c r="W498" s="1" t="s">
        <v>56</v>
      </c>
      <c r="Y498" s="1" t="s">
        <v>43</v>
      </c>
      <c r="Z498" s="1" t="s">
        <v>42</v>
      </c>
      <c r="AA498">
        <v>8.8235294117647065E-2</v>
      </c>
      <c r="AB498" s="1" t="s">
        <v>52</v>
      </c>
      <c r="AC498">
        <v>1</v>
      </c>
      <c r="AD498" s="2">
        <v>45017</v>
      </c>
      <c r="AE498" s="1" t="s">
        <v>44</v>
      </c>
      <c r="AF498" s="1" t="s">
        <v>72</v>
      </c>
      <c r="AG498" s="1" t="s">
        <v>63</v>
      </c>
      <c r="AH498" s="1" t="s">
        <v>68</v>
      </c>
      <c r="AI498">
        <v>10857</v>
      </c>
      <c r="AJ498">
        <v>0</v>
      </c>
    </row>
    <row r="499" spans="1:36" x14ac:dyDescent="0.25">
      <c r="A499">
        <v>10498</v>
      </c>
      <c r="B499">
        <v>29</v>
      </c>
      <c r="C499" s="1" t="s">
        <v>60</v>
      </c>
      <c r="D499" s="1" t="s">
        <v>71</v>
      </c>
      <c r="E499" s="2">
        <v>44889</v>
      </c>
      <c r="F499" s="2">
        <v>44615</v>
      </c>
      <c r="G499" s="1" t="s">
        <v>62</v>
      </c>
      <c r="H499">
        <v>1466</v>
      </c>
      <c r="I499">
        <v>23</v>
      </c>
      <c r="J499">
        <v>2</v>
      </c>
      <c r="K499">
        <v>56.06</v>
      </c>
      <c r="L499">
        <v>10</v>
      </c>
      <c r="M499" s="1" t="s">
        <v>67</v>
      </c>
      <c r="N499" s="1" t="s">
        <v>56</v>
      </c>
      <c r="O499">
        <v>33571.4</v>
      </c>
      <c r="P499" t="b">
        <v>0</v>
      </c>
      <c r="Q499">
        <v>1.9166666666666667</v>
      </c>
      <c r="R499">
        <v>1459.6260869565217</v>
      </c>
      <c r="S499">
        <v>18.686666666666667</v>
      </c>
      <c r="T499" s="2">
        <v>44866</v>
      </c>
      <c r="U499" s="1" t="s">
        <v>57</v>
      </c>
      <c r="V499">
        <v>0</v>
      </c>
      <c r="W499" s="1" t="s">
        <v>40</v>
      </c>
      <c r="Y499" s="1" t="s">
        <v>52</v>
      </c>
      <c r="Z499" s="1" t="s">
        <v>42</v>
      </c>
      <c r="AA499">
        <v>8.3333333333333329E-2</v>
      </c>
      <c r="AB499" s="1" t="s">
        <v>43</v>
      </c>
      <c r="AC499">
        <v>2</v>
      </c>
      <c r="AD499" s="2">
        <v>44866</v>
      </c>
      <c r="AE499" s="1" t="s">
        <v>53</v>
      </c>
      <c r="AF499" s="1" t="s">
        <v>72</v>
      </c>
      <c r="AG499" s="1" t="s">
        <v>63</v>
      </c>
      <c r="AH499" s="1" t="s">
        <v>47</v>
      </c>
      <c r="AI499">
        <v>33718</v>
      </c>
      <c r="AJ499">
        <v>-146.59999999999854</v>
      </c>
    </row>
    <row r="500" spans="1:36" x14ac:dyDescent="0.25">
      <c r="A500">
        <v>10499</v>
      </c>
      <c r="B500">
        <v>52</v>
      </c>
      <c r="C500" s="1" t="s">
        <v>60</v>
      </c>
      <c r="D500" s="1" t="s">
        <v>71</v>
      </c>
      <c r="E500" s="2">
        <v>44274</v>
      </c>
      <c r="F500" s="2">
        <v>44358</v>
      </c>
      <c r="G500" s="1" t="s">
        <v>62</v>
      </c>
      <c r="H500">
        <v>625</v>
      </c>
      <c r="I500">
        <v>34</v>
      </c>
      <c r="J500">
        <v>1</v>
      </c>
      <c r="K500">
        <v>93.82</v>
      </c>
      <c r="L500">
        <v>15</v>
      </c>
      <c r="M500" s="1" t="s">
        <v>50</v>
      </c>
      <c r="N500" s="1" t="s">
        <v>56</v>
      </c>
      <c r="O500">
        <v>21156.25</v>
      </c>
      <c r="P500" t="b">
        <v>1</v>
      </c>
      <c r="Q500">
        <v>2.8333333333333335</v>
      </c>
      <c r="R500">
        <v>622.24264705882354</v>
      </c>
      <c r="S500">
        <v>46.91</v>
      </c>
      <c r="T500" s="2">
        <v>44256</v>
      </c>
      <c r="U500" s="1" t="s">
        <v>41</v>
      </c>
      <c r="V500">
        <v>0</v>
      </c>
      <c r="W500" s="1" t="s">
        <v>40</v>
      </c>
      <c r="X500">
        <v>84</v>
      </c>
      <c r="Y500" s="1" t="s">
        <v>43</v>
      </c>
      <c r="Z500" s="1" t="s">
        <v>42</v>
      </c>
      <c r="AA500">
        <v>2.8571428571428571E-2</v>
      </c>
      <c r="AB500" s="1" t="s">
        <v>43</v>
      </c>
      <c r="AC500">
        <v>2</v>
      </c>
      <c r="AD500" s="2">
        <v>44256</v>
      </c>
      <c r="AE500" s="1" t="s">
        <v>44</v>
      </c>
      <c r="AF500" s="1" t="s">
        <v>54</v>
      </c>
      <c r="AG500" s="1" t="s">
        <v>63</v>
      </c>
      <c r="AH500" s="1" t="s">
        <v>64</v>
      </c>
      <c r="AI500">
        <v>21250</v>
      </c>
      <c r="AJ500">
        <v>-93.75</v>
      </c>
    </row>
    <row r="501" spans="1:36" x14ac:dyDescent="0.25">
      <c r="A501">
        <v>10500</v>
      </c>
      <c r="B501">
        <v>50</v>
      </c>
      <c r="C501" s="1" t="s">
        <v>36</v>
      </c>
      <c r="D501" s="1" t="s">
        <v>48</v>
      </c>
      <c r="E501" s="2">
        <v>44608</v>
      </c>
      <c r="F501" s="2">
        <v>44691</v>
      </c>
      <c r="G501" s="1" t="s">
        <v>38</v>
      </c>
      <c r="H501">
        <v>1248</v>
      </c>
      <c r="I501">
        <v>17</v>
      </c>
      <c r="J501">
        <v>2</v>
      </c>
      <c r="K501">
        <v>76.92</v>
      </c>
      <c r="L501">
        <v>5</v>
      </c>
      <c r="M501" s="1" t="s">
        <v>65</v>
      </c>
      <c r="N501" s="1" t="s">
        <v>56</v>
      </c>
      <c r="O501">
        <v>21153.599999999999</v>
      </c>
      <c r="P501" t="b">
        <v>1</v>
      </c>
      <c r="Q501">
        <v>1.4166666666666667</v>
      </c>
      <c r="R501">
        <v>1244.3294117647058</v>
      </c>
      <c r="S501">
        <v>25.64</v>
      </c>
      <c r="T501" s="2">
        <v>44593</v>
      </c>
      <c r="U501" s="1" t="s">
        <v>51</v>
      </c>
      <c r="V501">
        <v>0</v>
      </c>
      <c r="W501" s="1" t="s">
        <v>40</v>
      </c>
      <c r="X501">
        <v>83</v>
      </c>
      <c r="Y501" s="1" t="s">
        <v>43</v>
      </c>
      <c r="Z501" s="1" t="s">
        <v>42</v>
      </c>
      <c r="AA501">
        <v>0.1111111111111111</v>
      </c>
      <c r="AB501" s="1" t="s">
        <v>43</v>
      </c>
      <c r="AC501">
        <v>1</v>
      </c>
      <c r="AD501" s="2">
        <v>44593</v>
      </c>
      <c r="AE501" s="1" t="s">
        <v>53</v>
      </c>
      <c r="AF501" s="1" t="s">
        <v>72</v>
      </c>
      <c r="AG501" s="1" t="s">
        <v>63</v>
      </c>
      <c r="AH501" s="1" t="s">
        <v>47</v>
      </c>
      <c r="AI501">
        <v>21216</v>
      </c>
      <c r="AJ501">
        <v>-62.400000000001455</v>
      </c>
    </row>
    <row r="502" spans="1:36" x14ac:dyDescent="0.25">
      <c r="A502">
        <v>10501</v>
      </c>
      <c r="B502">
        <v>50</v>
      </c>
      <c r="C502" s="1" t="s">
        <v>60</v>
      </c>
      <c r="D502" s="1" t="s">
        <v>61</v>
      </c>
      <c r="E502" s="2">
        <v>44271</v>
      </c>
      <c r="F502" s="2">
        <v>45187</v>
      </c>
      <c r="G502" s="1" t="s">
        <v>38</v>
      </c>
      <c r="H502">
        <v>315</v>
      </c>
      <c r="I502">
        <v>25</v>
      </c>
      <c r="J502">
        <v>1</v>
      </c>
      <c r="K502">
        <v>40.42</v>
      </c>
      <c r="L502">
        <v>20</v>
      </c>
      <c r="M502" s="1" t="s">
        <v>67</v>
      </c>
      <c r="N502" s="1" t="s">
        <v>56</v>
      </c>
      <c r="O502">
        <v>7812</v>
      </c>
      <c r="P502" t="b">
        <v>1</v>
      </c>
      <c r="Q502">
        <v>2.0833333333333335</v>
      </c>
      <c r="R502">
        <v>312.48</v>
      </c>
      <c r="S502">
        <v>20.21</v>
      </c>
      <c r="T502" s="2">
        <v>44256</v>
      </c>
      <c r="U502" s="1" t="s">
        <v>51</v>
      </c>
      <c r="V502">
        <v>0</v>
      </c>
      <c r="W502" s="1" t="s">
        <v>56</v>
      </c>
      <c r="X502">
        <v>916</v>
      </c>
      <c r="Y502" s="1" t="s">
        <v>52</v>
      </c>
      <c r="Z502" s="1" t="s">
        <v>52</v>
      </c>
      <c r="AA502">
        <v>3.8461538461538464E-2</v>
      </c>
      <c r="AB502" s="1" t="s">
        <v>42</v>
      </c>
      <c r="AC502">
        <v>1</v>
      </c>
      <c r="AD502" s="2">
        <v>44256</v>
      </c>
      <c r="AE502" s="1" t="s">
        <v>44</v>
      </c>
      <c r="AF502" s="1" t="s">
        <v>54</v>
      </c>
      <c r="AG502" s="1" t="s">
        <v>55</v>
      </c>
      <c r="AH502" s="1" t="s">
        <v>68</v>
      </c>
      <c r="AI502">
        <v>7875</v>
      </c>
      <c r="AJ502">
        <v>-63</v>
      </c>
    </row>
    <row r="503" spans="1:36" x14ac:dyDescent="0.25">
      <c r="A503">
        <v>10502</v>
      </c>
      <c r="B503">
        <v>60</v>
      </c>
      <c r="C503" s="1" t="s">
        <v>60</v>
      </c>
      <c r="D503" s="1" t="s">
        <v>71</v>
      </c>
      <c r="E503" s="2">
        <v>44491</v>
      </c>
      <c r="F503" s="2">
        <v>44891</v>
      </c>
      <c r="G503" s="1" t="s">
        <v>38</v>
      </c>
      <c r="H503">
        <v>410</v>
      </c>
      <c r="I503">
        <v>6</v>
      </c>
      <c r="J503">
        <v>1</v>
      </c>
      <c r="K503">
        <v>49.41</v>
      </c>
      <c r="L503">
        <v>15</v>
      </c>
      <c r="M503" s="1" t="s">
        <v>50</v>
      </c>
      <c r="N503" s="1" t="s">
        <v>56</v>
      </c>
      <c r="O503">
        <v>2398.5</v>
      </c>
      <c r="P503" t="b">
        <v>1</v>
      </c>
      <c r="Q503">
        <v>0.5</v>
      </c>
      <c r="R503">
        <v>399.75</v>
      </c>
      <c r="S503">
        <v>24.704999999999998</v>
      </c>
      <c r="T503" s="2">
        <v>44470</v>
      </c>
      <c r="U503" s="1" t="s">
        <v>41</v>
      </c>
      <c r="V503">
        <v>0</v>
      </c>
      <c r="W503" s="1" t="s">
        <v>56</v>
      </c>
      <c r="X503">
        <v>400</v>
      </c>
      <c r="Y503" s="1" t="s">
        <v>52</v>
      </c>
      <c r="Z503" s="1" t="s">
        <v>42</v>
      </c>
      <c r="AA503">
        <v>0.14285714285714285</v>
      </c>
      <c r="AB503" s="1" t="s">
        <v>42</v>
      </c>
      <c r="AC503">
        <v>1</v>
      </c>
      <c r="AD503" s="2">
        <v>44470</v>
      </c>
      <c r="AE503" s="1" t="s">
        <v>58</v>
      </c>
      <c r="AF503" s="1" t="s">
        <v>54</v>
      </c>
      <c r="AG503" s="1" t="s">
        <v>63</v>
      </c>
      <c r="AH503" s="1" t="s">
        <v>68</v>
      </c>
      <c r="AI503">
        <v>2460</v>
      </c>
      <c r="AJ503">
        <v>-61.5</v>
      </c>
    </row>
    <row r="504" spans="1:36" x14ac:dyDescent="0.25">
      <c r="A504">
        <v>10503</v>
      </c>
      <c r="B504">
        <v>54</v>
      </c>
      <c r="C504" s="1" t="s">
        <v>60</v>
      </c>
      <c r="D504" s="1" t="s">
        <v>48</v>
      </c>
      <c r="E504" s="2">
        <v>44989</v>
      </c>
      <c r="F504" s="2">
        <v>44916</v>
      </c>
      <c r="G504" s="1" t="s">
        <v>38</v>
      </c>
      <c r="H504">
        <v>1171</v>
      </c>
      <c r="I504">
        <v>31</v>
      </c>
      <c r="J504">
        <v>3</v>
      </c>
      <c r="K504">
        <v>40.17</v>
      </c>
      <c r="L504">
        <v>10</v>
      </c>
      <c r="M504" s="1" t="s">
        <v>67</v>
      </c>
      <c r="N504" s="1" t="s">
        <v>40</v>
      </c>
      <c r="O504">
        <v>36183.9</v>
      </c>
      <c r="P504" t="b">
        <v>0</v>
      </c>
      <c r="Q504">
        <v>2.5833333333333335</v>
      </c>
      <c r="R504">
        <v>1167.2225806451613</v>
      </c>
      <c r="S504">
        <v>10.0425</v>
      </c>
      <c r="T504" s="2">
        <v>44986</v>
      </c>
      <c r="U504" s="1" t="s">
        <v>41</v>
      </c>
      <c r="V504">
        <v>1</v>
      </c>
      <c r="W504" s="1" t="s">
        <v>40</v>
      </c>
      <c r="Y504" s="1" t="s">
        <v>52</v>
      </c>
      <c r="Z504" s="1" t="s">
        <v>42</v>
      </c>
      <c r="AA504">
        <v>9.375E-2</v>
      </c>
      <c r="AB504" s="1" t="s">
        <v>43</v>
      </c>
      <c r="AC504">
        <v>1</v>
      </c>
      <c r="AD504" s="2">
        <v>44986</v>
      </c>
      <c r="AE504" s="1" t="s">
        <v>44</v>
      </c>
      <c r="AF504" s="1" t="s">
        <v>72</v>
      </c>
      <c r="AG504" s="1" t="s">
        <v>55</v>
      </c>
      <c r="AH504" s="1" t="s">
        <v>47</v>
      </c>
      <c r="AI504">
        <v>36301</v>
      </c>
      <c r="AJ504">
        <v>-117.09999999999854</v>
      </c>
    </row>
    <row r="505" spans="1:36" x14ac:dyDescent="0.25">
      <c r="A505">
        <v>10504</v>
      </c>
      <c r="B505">
        <v>29</v>
      </c>
      <c r="C505" s="1" t="s">
        <v>60</v>
      </c>
      <c r="D505" s="1" t="s">
        <v>37</v>
      </c>
      <c r="E505" s="2">
        <v>44217</v>
      </c>
      <c r="F505" s="2">
        <v>44513</v>
      </c>
      <c r="G505" s="1" t="s">
        <v>62</v>
      </c>
      <c r="H505">
        <v>1012</v>
      </c>
      <c r="I505">
        <v>5</v>
      </c>
      <c r="J505">
        <v>3</v>
      </c>
      <c r="K505">
        <v>73.400000000000006</v>
      </c>
      <c r="L505">
        <v>5</v>
      </c>
      <c r="M505" s="1" t="s">
        <v>39</v>
      </c>
      <c r="N505" s="1" t="s">
        <v>56</v>
      </c>
      <c r="O505">
        <v>5009.3999999999996</v>
      </c>
      <c r="P505" t="b">
        <v>1</v>
      </c>
      <c r="Q505">
        <v>0.41666666666666669</v>
      </c>
      <c r="R505">
        <v>1001.8799999999999</v>
      </c>
      <c r="S505">
        <v>18.350000000000001</v>
      </c>
      <c r="T505" s="2">
        <v>44197</v>
      </c>
      <c r="U505" s="1" t="s">
        <v>57</v>
      </c>
      <c r="V505">
        <v>0</v>
      </c>
      <c r="W505" s="1" t="s">
        <v>56</v>
      </c>
      <c r="X505">
        <v>296</v>
      </c>
      <c r="Y505" s="1" t="s">
        <v>43</v>
      </c>
      <c r="Z505" s="1" t="s">
        <v>42</v>
      </c>
      <c r="AA505">
        <v>0.5</v>
      </c>
      <c r="AB505" s="1" t="s">
        <v>42</v>
      </c>
      <c r="AC505">
        <v>2</v>
      </c>
      <c r="AD505" s="2">
        <v>44197</v>
      </c>
      <c r="AE505" s="1" t="s">
        <v>58</v>
      </c>
      <c r="AF505" s="1" t="s">
        <v>72</v>
      </c>
      <c r="AG505" s="1" t="s">
        <v>63</v>
      </c>
      <c r="AH505" s="1" t="s">
        <v>47</v>
      </c>
      <c r="AI505">
        <v>5060</v>
      </c>
      <c r="AJ505">
        <v>-50.600000000000364</v>
      </c>
    </row>
    <row r="506" spans="1:36" x14ac:dyDescent="0.25">
      <c r="A506">
        <v>10505</v>
      </c>
      <c r="B506">
        <v>20</v>
      </c>
      <c r="C506" s="1" t="s">
        <v>75</v>
      </c>
      <c r="D506" s="1" t="s">
        <v>48</v>
      </c>
      <c r="E506" s="2">
        <v>44367</v>
      </c>
      <c r="F506" s="2">
        <v>45047</v>
      </c>
      <c r="G506" s="1" t="s">
        <v>62</v>
      </c>
      <c r="H506">
        <v>406</v>
      </c>
      <c r="I506">
        <v>30</v>
      </c>
      <c r="J506">
        <v>6</v>
      </c>
      <c r="K506">
        <v>43.25</v>
      </c>
      <c r="L506">
        <v>5</v>
      </c>
      <c r="M506" s="1" t="s">
        <v>65</v>
      </c>
      <c r="N506" s="1" t="s">
        <v>56</v>
      </c>
      <c r="O506">
        <v>12159.7</v>
      </c>
      <c r="P506" t="b">
        <v>1</v>
      </c>
      <c r="Q506">
        <v>2.5</v>
      </c>
      <c r="R506">
        <v>405.32333333333338</v>
      </c>
      <c r="S506">
        <v>6.1785714285714288</v>
      </c>
      <c r="T506" s="2">
        <v>44348</v>
      </c>
      <c r="U506" s="1" t="s">
        <v>66</v>
      </c>
      <c r="V506">
        <v>0</v>
      </c>
      <c r="W506" s="1" t="s">
        <v>56</v>
      </c>
      <c r="X506">
        <v>680</v>
      </c>
      <c r="Y506" s="1" t="s">
        <v>52</v>
      </c>
      <c r="Z506" s="1" t="s">
        <v>42</v>
      </c>
      <c r="AA506">
        <v>0.19354838709677419</v>
      </c>
      <c r="AB506" s="1" t="s">
        <v>52</v>
      </c>
      <c r="AC506">
        <v>2</v>
      </c>
      <c r="AD506" s="2">
        <v>44348</v>
      </c>
      <c r="AE506" s="1" t="s">
        <v>44</v>
      </c>
      <c r="AF506" s="1" t="s">
        <v>78</v>
      </c>
      <c r="AG506" s="1" t="s">
        <v>55</v>
      </c>
      <c r="AH506" s="1" t="s">
        <v>68</v>
      </c>
      <c r="AI506">
        <v>12180</v>
      </c>
      <c r="AJ506">
        <v>-20.299999999999272</v>
      </c>
    </row>
    <row r="507" spans="1:36" x14ac:dyDescent="0.25">
      <c r="A507">
        <v>10506</v>
      </c>
      <c r="B507">
        <v>41</v>
      </c>
      <c r="C507" s="1" t="s">
        <v>60</v>
      </c>
      <c r="D507" s="1" t="s">
        <v>48</v>
      </c>
      <c r="E507" s="2">
        <v>44211</v>
      </c>
      <c r="F507" s="2">
        <v>44689</v>
      </c>
      <c r="G507" s="1" t="s">
        <v>62</v>
      </c>
      <c r="H507">
        <v>678</v>
      </c>
      <c r="I507">
        <v>5</v>
      </c>
      <c r="J507">
        <v>3</v>
      </c>
      <c r="K507">
        <v>88.46</v>
      </c>
      <c r="L507">
        <v>20</v>
      </c>
      <c r="M507" s="1" t="s">
        <v>67</v>
      </c>
      <c r="N507" s="1" t="s">
        <v>56</v>
      </c>
      <c r="O507">
        <v>3254.4</v>
      </c>
      <c r="P507" t="b">
        <v>1</v>
      </c>
      <c r="Q507">
        <v>0.41666666666666669</v>
      </c>
      <c r="R507">
        <v>650.88</v>
      </c>
      <c r="S507">
        <v>22.114999999999998</v>
      </c>
      <c r="T507" s="2">
        <v>44197</v>
      </c>
      <c r="U507" s="1" t="s">
        <v>51</v>
      </c>
      <c r="V507">
        <v>0</v>
      </c>
      <c r="W507" s="1" t="s">
        <v>56</v>
      </c>
      <c r="X507">
        <v>478</v>
      </c>
      <c r="Y507" s="1" t="s">
        <v>43</v>
      </c>
      <c r="Z507" s="1" t="s">
        <v>52</v>
      </c>
      <c r="AA507">
        <v>0.5</v>
      </c>
      <c r="AB507" s="1" t="s">
        <v>42</v>
      </c>
      <c r="AC507">
        <v>2</v>
      </c>
      <c r="AD507" s="2">
        <v>44197</v>
      </c>
      <c r="AE507" s="1" t="s">
        <v>58</v>
      </c>
      <c r="AF507" s="1" t="s">
        <v>72</v>
      </c>
      <c r="AG507" s="1" t="s">
        <v>63</v>
      </c>
      <c r="AH507" s="1" t="s">
        <v>64</v>
      </c>
      <c r="AI507">
        <v>3390</v>
      </c>
      <c r="AJ507">
        <v>-135.59999999999991</v>
      </c>
    </row>
    <row r="508" spans="1:36" x14ac:dyDescent="0.25">
      <c r="A508">
        <v>10507</v>
      </c>
      <c r="B508">
        <v>50</v>
      </c>
      <c r="C508" s="1" t="s">
        <v>36</v>
      </c>
      <c r="D508" s="1" t="s">
        <v>71</v>
      </c>
      <c r="E508" s="2">
        <v>44407</v>
      </c>
      <c r="F508" s="2">
        <v>44829</v>
      </c>
      <c r="G508" s="1" t="s">
        <v>62</v>
      </c>
      <c r="H508">
        <v>461</v>
      </c>
      <c r="I508">
        <v>12</v>
      </c>
      <c r="J508">
        <v>1</v>
      </c>
      <c r="K508">
        <v>71.680000000000007</v>
      </c>
      <c r="L508">
        <v>15</v>
      </c>
      <c r="M508" s="1" t="s">
        <v>39</v>
      </c>
      <c r="N508" s="1" t="s">
        <v>56</v>
      </c>
      <c r="O508">
        <v>5462.85</v>
      </c>
      <c r="P508" t="b">
        <v>1</v>
      </c>
      <c r="Q508">
        <v>1</v>
      </c>
      <c r="R508">
        <v>455.23750000000001</v>
      </c>
      <c r="S508">
        <v>35.840000000000003</v>
      </c>
      <c r="T508" s="2">
        <v>44378</v>
      </c>
      <c r="U508" s="1" t="s">
        <v>51</v>
      </c>
      <c r="V508">
        <v>0</v>
      </c>
      <c r="W508" s="1" t="s">
        <v>56</v>
      </c>
      <c r="X508">
        <v>422</v>
      </c>
      <c r="Y508" s="1" t="s">
        <v>43</v>
      </c>
      <c r="Z508" s="1" t="s">
        <v>42</v>
      </c>
      <c r="AA508">
        <v>7.6923076923076927E-2</v>
      </c>
      <c r="AB508" s="1" t="s">
        <v>42</v>
      </c>
      <c r="AC508">
        <v>2</v>
      </c>
      <c r="AD508" s="2">
        <v>44378</v>
      </c>
      <c r="AE508" s="1" t="s">
        <v>74</v>
      </c>
      <c r="AF508" s="1" t="s">
        <v>54</v>
      </c>
      <c r="AG508" s="1" t="s">
        <v>63</v>
      </c>
      <c r="AH508" s="1" t="s">
        <v>68</v>
      </c>
      <c r="AI508">
        <v>5532</v>
      </c>
      <c r="AJ508">
        <v>-69.149999999999636</v>
      </c>
    </row>
    <row r="509" spans="1:36" x14ac:dyDescent="0.25">
      <c r="A509">
        <v>10508</v>
      </c>
      <c r="B509">
        <v>57</v>
      </c>
      <c r="C509" s="1" t="s">
        <v>75</v>
      </c>
      <c r="D509" s="1" t="s">
        <v>69</v>
      </c>
      <c r="E509" s="2">
        <v>44756</v>
      </c>
      <c r="F509" s="2">
        <v>44366</v>
      </c>
      <c r="G509" s="1" t="s">
        <v>38</v>
      </c>
      <c r="H509">
        <v>582</v>
      </c>
      <c r="I509">
        <v>7</v>
      </c>
      <c r="J509">
        <v>4</v>
      </c>
      <c r="K509">
        <v>21.76</v>
      </c>
      <c r="L509">
        <v>15</v>
      </c>
      <c r="M509" s="1" t="s">
        <v>50</v>
      </c>
      <c r="N509" s="1" t="s">
        <v>40</v>
      </c>
      <c r="O509">
        <v>3986.7</v>
      </c>
      <c r="P509" t="b">
        <v>0</v>
      </c>
      <c r="Q509">
        <v>0.58333333333333337</v>
      </c>
      <c r="R509">
        <v>569.52857142857135</v>
      </c>
      <c r="S509">
        <v>4.3520000000000003</v>
      </c>
      <c r="T509" s="2">
        <v>44743</v>
      </c>
      <c r="U509" s="1" t="s">
        <v>41</v>
      </c>
      <c r="V509">
        <v>1</v>
      </c>
      <c r="W509" s="1" t="s">
        <v>56</v>
      </c>
      <c r="Y509" s="1" t="s">
        <v>52</v>
      </c>
      <c r="Z509" s="1" t="s">
        <v>42</v>
      </c>
      <c r="AA509">
        <v>0.5</v>
      </c>
      <c r="AB509" s="1" t="s">
        <v>42</v>
      </c>
      <c r="AC509">
        <v>1</v>
      </c>
      <c r="AD509" s="2">
        <v>44743</v>
      </c>
      <c r="AE509" s="1" t="s">
        <v>74</v>
      </c>
      <c r="AF509" s="1" t="s">
        <v>45</v>
      </c>
      <c r="AG509" s="1" t="s">
        <v>70</v>
      </c>
      <c r="AH509" s="1" t="s">
        <v>64</v>
      </c>
      <c r="AI509">
        <v>4074</v>
      </c>
      <c r="AJ509">
        <v>-87.300000000000182</v>
      </c>
    </row>
    <row r="510" spans="1:36" x14ac:dyDescent="0.25">
      <c r="A510">
        <v>10509</v>
      </c>
      <c r="B510">
        <v>27</v>
      </c>
      <c r="C510" s="1" t="s">
        <v>36</v>
      </c>
      <c r="D510" s="1" t="s">
        <v>69</v>
      </c>
      <c r="E510" s="2">
        <v>44282</v>
      </c>
      <c r="F510" s="2">
        <v>44975</v>
      </c>
      <c r="G510" s="1" t="s">
        <v>49</v>
      </c>
      <c r="H510">
        <v>568</v>
      </c>
      <c r="I510">
        <v>13</v>
      </c>
      <c r="J510">
        <v>3</v>
      </c>
      <c r="K510">
        <v>40.68</v>
      </c>
      <c r="L510">
        <v>5</v>
      </c>
      <c r="M510" s="1" t="s">
        <v>39</v>
      </c>
      <c r="N510" s="1" t="s">
        <v>56</v>
      </c>
      <c r="O510">
        <v>7355.6</v>
      </c>
      <c r="P510" t="b">
        <v>1</v>
      </c>
      <c r="Q510">
        <v>1.0833333333333333</v>
      </c>
      <c r="R510">
        <v>565.81538461538469</v>
      </c>
      <c r="S510">
        <v>10.17</v>
      </c>
      <c r="T510" s="2">
        <v>44256</v>
      </c>
      <c r="U510" s="1" t="s">
        <v>57</v>
      </c>
      <c r="V510">
        <v>0</v>
      </c>
      <c r="W510" s="1" t="s">
        <v>56</v>
      </c>
      <c r="X510">
        <v>693</v>
      </c>
      <c r="Y510" s="1" t="s">
        <v>52</v>
      </c>
      <c r="Z510" s="1" t="s">
        <v>42</v>
      </c>
      <c r="AA510">
        <v>0.21428571428571427</v>
      </c>
      <c r="AB510" s="1" t="s">
        <v>42</v>
      </c>
      <c r="AC510">
        <v>3</v>
      </c>
      <c r="AD510" s="2">
        <v>44256</v>
      </c>
      <c r="AE510" s="1" t="s">
        <v>53</v>
      </c>
      <c r="AF510" s="1" t="s">
        <v>72</v>
      </c>
      <c r="AG510" s="1" t="s">
        <v>55</v>
      </c>
      <c r="AH510" s="1" t="s">
        <v>64</v>
      </c>
      <c r="AI510">
        <v>7384</v>
      </c>
      <c r="AJ510">
        <v>-28.399999999999636</v>
      </c>
    </row>
    <row r="511" spans="1:36" x14ac:dyDescent="0.25">
      <c r="A511">
        <v>10510</v>
      </c>
      <c r="B511">
        <v>60</v>
      </c>
      <c r="C511" s="1" t="s">
        <v>36</v>
      </c>
      <c r="D511" s="1" t="s">
        <v>73</v>
      </c>
      <c r="E511" s="2">
        <v>44345</v>
      </c>
      <c r="F511" s="2">
        <v>44531</v>
      </c>
      <c r="G511" s="1" t="s">
        <v>49</v>
      </c>
      <c r="H511">
        <v>783</v>
      </c>
      <c r="I511">
        <v>4</v>
      </c>
      <c r="J511">
        <v>2</v>
      </c>
      <c r="K511">
        <v>30.47</v>
      </c>
      <c r="L511">
        <v>0</v>
      </c>
      <c r="M511" s="1" t="s">
        <v>50</v>
      </c>
      <c r="N511" s="1" t="s">
        <v>40</v>
      </c>
      <c r="O511">
        <v>3132</v>
      </c>
      <c r="P511" t="b">
        <v>1</v>
      </c>
      <c r="Q511">
        <v>0.33333333333333331</v>
      </c>
      <c r="R511">
        <v>783</v>
      </c>
      <c r="S511">
        <v>10.156666666666666</v>
      </c>
      <c r="T511" s="2">
        <v>44317</v>
      </c>
      <c r="U511" s="1" t="s">
        <v>41</v>
      </c>
      <c r="V511">
        <v>1</v>
      </c>
      <c r="W511" s="1" t="s">
        <v>56</v>
      </c>
      <c r="X511">
        <v>186</v>
      </c>
      <c r="Y511" s="1" t="s">
        <v>52</v>
      </c>
      <c r="Z511" s="1" t="s">
        <v>42</v>
      </c>
      <c r="AA511">
        <v>0.4</v>
      </c>
      <c r="AB511" s="1" t="s">
        <v>42</v>
      </c>
      <c r="AC511">
        <v>3</v>
      </c>
      <c r="AD511" s="2">
        <v>44317</v>
      </c>
      <c r="AE511" s="1" t="s">
        <v>58</v>
      </c>
      <c r="AF511" s="1" t="s">
        <v>72</v>
      </c>
      <c r="AG511" s="1" t="s">
        <v>55</v>
      </c>
      <c r="AH511" s="1" t="s">
        <v>59</v>
      </c>
      <c r="AI511">
        <v>3132</v>
      </c>
      <c r="AJ511">
        <v>0</v>
      </c>
    </row>
    <row r="512" spans="1:36" x14ac:dyDescent="0.25">
      <c r="A512">
        <v>10511</v>
      </c>
      <c r="B512">
        <v>61</v>
      </c>
      <c r="C512" s="1" t="s">
        <v>36</v>
      </c>
      <c r="D512" s="1" t="s">
        <v>69</v>
      </c>
      <c r="E512" s="2">
        <v>44896</v>
      </c>
      <c r="F512" s="2">
        <v>45129</v>
      </c>
      <c r="G512" s="1" t="s">
        <v>49</v>
      </c>
      <c r="H512">
        <v>966</v>
      </c>
      <c r="I512">
        <v>3</v>
      </c>
      <c r="J512">
        <v>7</v>
      </c>
      <c r="K512">
        <v>49.89</v>
      </c>
      <c r="L512">
        <v>5</v>
      </c>
      <c r="M512" s="1" t="s">
        <v>65</v>
      </c>
      <c r="N512" s="1" t="s">
        <v>56</v>
      </c>
      <c r="O512">
        <v>2849.7</v>
      </c>
      <c r="P512" t="b">
        <v>1</v>
      </c>
      <c r="Q512">
        <v>0.25</v>
      </c>
      <c r="R512">
        <v>949.9</v>
      </c>
      <c r="S512">
        <v>6.2362500000000001</v>
      </c>
      <c r="T512" s="2">
        <v>44896</v>
      </c>
      <c r="U512" s="1" t="s">
        <v>41</v>
      </c>
      <c r="V512">
        <v>0</v>
      </c>
      <c r="W512" s="1" t="s">
        <v>56</v>
      </c>
      <c r="X512">
        <v>233</v>
      </c>
      <c r="Y512" s="1" t="s">
        <v>52</v>
      </c>
      <c r="Z512" s="1" t="s">
        <v>42</v>
      </c>
      <c r="AA512">
        <v>1.75</v>
      </c>
      <c r="AB512" s="1" t="s">
        <v>42</v>
      </c>
      <c r="AC512">
        <v>3</v>
      </c>
      <c r="AD512" s="2">
        <v>44896</v>
      </c>
      <c r="AE512" s="1" t="s">
        <v>58</v>
      </c>
      <c r="AF512" s="1" t="s">
        <v>78</v>
      </c>
      <c r="AG512" s="1" t="s">
        <v>63</v>
      </c>
      <c r="AH512" s="1" t="s">
        <v>59</v>
      </c>
      <c r="AI512">
        <v>2898</v>
      </c>
      <c r="AJ512">
        <v>-48.300000000000182</v>
      </c>
    </row>
    <row r="513" spans="1:36" x14ac:dyDescent="0.25">
      <c r="A513">
        <v>10512</v>
      </c>
      <c r="B513">
        <v>46</v>
      </c>
      <c r="C513" s="1" t="s">
        <v>75</v>
      </c>
      <c r="D513" s="1" t="s">
        <v>48</v>
      </c>
      <c r="E513" s="2">
        <v>44568</v>
      </c>
      <c r="F513" s="2">
        <v>44892</v>
      </c>
      <c r="G513" s="1" t="s">
        <v>38</v>
      </c>
      <c r="H513">
        <v>1396</v>
      </c>
      <c r="I513">
        <v>12</v>
      </c>
      <c r="J513">
        <v>1</v>
      </c>
      <c r="K513">
        <v>64.34</v>
      </c>
      <c r="L513">
        <v>10</v>
      </c>
      <c r="M513" s="1" t="s">
        <v>39</v>
      </c>
      <c r="N513" s="1" t="s">
        <v>56</v>
      </c>
      <c r="O513">
        <v>16612.400000000001</v>
      </c>
      <c r="P513" t="b">
        <v>1</v>
      </c>
      <c r="Q513">
        <v>1</v>
      </c>
      <c r="R513">
        <v>1384.3666666666668</v>
      </c>
      <c r="S513">
        <v>32.17</v>
      </c>
      <c r="T513" s="2">
        <v>44562</v>
      </c>
      <c r="U513" s="1" t="s">
        <v>51</v>
      </c>
      <c r="V513">
        <v>0</v>
      </c>
      <c r="W513" s="1" t="s">
        <v>40</v>
      </c>
      <c r="X513">
        <v>324</v>
      </c>
      <c r="Y513" s="1" t="s">
        <v>43</v>
      </c>
      <c r="Z513" s="1" t="s">
        <v>42</v>
      </c>
      <c r="AA513">
        <v>7.6923076923076927E-2</v>
      </c>
      <c r="AB513" s="1" t="s">
        <v>52</v>
      </c>
      <c r="AC513">
        <v>1</v>
      </c>
      <c r="AD513" s="2">
        <v>44562</v>
      </c>
      <c r="AE513" s="1" t="s">
        <v>74</v>
      </c>
      <c r="AF513" s="1" t="s">
        <v>54</v>
      </c>
      <c r="AG513" s="1" t="s">
        <v>63</v>
      </c>
      <c r="AH513" s="1" t="s">
        <v>47</v>
      </c>
      <c r="AI513">
        <v>16752</v>
      </c>
      <c r="AJ513">
        <v>-139.59999999999854</v>
      </c>
    </row>
    <row r="514" spans="1:36" x14ac:dyDescent="0.25">
      <c r="A514">
        <v>10513</v>
      </c>
      <c r="B514">
        <v>30</v>
      </c>
      <c r="C514" s="1" t="s">
        <v>36</v>
      </c>
      <c r="D514" s="1" t="s">
        <v>73</v>
      </c>
      <c r="E514" s="2">
        <v>44676</v>
      </c>
      <c r="F514" s="2">
        <v>44357</v>
      </c>
      <c r="G514" s="1" t="s">
        <v>49</v>
      </c>
      <c r="H514">
        <v>897</v>
      </c>
      <c r="I514">
        <v>1</v>
      </c>
      <c r="J514">
        <v>0</v>
      </c>
      <c r="K514">
        <v>63.28</v>
      </c>
      <c r="L514">
        <v>15</v>
      </c>
      <c r="M514" s="1" t="s">
        <v>39</v>
      </c>
      <c r="N514" s="1" t="s">
        <v>56</v>
      </c>
      <c r="O514">
        <v>762.45</v>
      </c>
      <c r="P514" t="b">
        <v>0</v>
      </c>
      <c r="Q514">
        <v>8.3333333333333329E-2</v>
      </c>
      <c r="R514">
        <v>762.45</v>
      </c>
      <c r="S514">
        <v>63.28</v>
      </c>
      <c r="T514" s="2">
        <v>44652</v>
      </c>
      <c r="U514" s="1" t="s">
        <v>57</v>
      </c>
      <c r="V514">
        <v>0</v>
      </c>
      <c r="W514" s="1" t="s">
        <v>56</v>
      </c>
      <c r="Y514" s="1" t="s">
        <v>43</v>
      </c>
      <c r="Z514" s="1" t="s">
        <v>42</v>
      </c>
      <c r="AA514">
        <v>0</v>
      </c>
      <c r="AB514" s="1" t="s">
        <v>42</v>
      </c>
      <c r="AC514">
        <v>3</v>
      </c>
      <c r="AD514" s="2">
        <v>44652</v>
      </c>
      <c r="AE514" s="1" t="s">
        <v>58</v>
      </c>
      <c r="AF514" s="1" t="s">
        <v>54</v>
      </c>
      <c r="AG514" s="1" t="s">
        <v>63</v>
      </c>
      <c r="AH514" s="1" t="s">
        <v>59</v>
      </c>
      <c r="AI514">
        <v>897</v>
      </c>
      <c r="AJ514">
        <v>-134.54999999999995</v>
      </c>
    </row>
    <row r="515" spans="1:36" x14ac:dyDescent="0.25">
      <c r="A515">
        <v>10514</v>
      </c>
      <c r="B515">
        <v>29</v>
      </c>
      <c r="C515" s="1" t="s">
        <v>36</v>
      </c>
      <c r="D515" s="1" t="s">
        <v>71</v>
      </c>
      <c r="E515" s="2">
        <v>45014</v>
      </c>
      <c r="F515" s="2">
        <v>44939</v>
      </c>
      <c r="G515" s="1" t="s">
        <v>49</v>
      </c>
      <c r="H515">
        <v>1098</v>
      </c>
      <c r="I515">
        <v>27</v>
      </c>
      <c r="J515">
        <v>1</v>
      </c>
      <c r="K515">
        <v>91.77</v>
      </c>
      <c r="L515">
        <v>20</v>
      </c>
      <c r="M515" s="1" t="s">
        <v>50</v>
      </c>
      <c r="N515" s="1" t="s">
        <v>56</v>
      </c>
      <c r="O515">
        <v>29426.400000000001</v>
      </c>
      <c r="P515" t="b">
        <v>0</v>
      </c>
      <c r="Q515">
        <v>2.25</v>
      </c>
      <c r="R515">
        <v>1089.8666666666668</v>
      </c>
      <c r="S515">
        <v>45.884999999999998</v>
      </c>
      <c r="T515" s="2">
        <v>44986</v>
      </c>
      <c r="U515" s="1" t="s">
        <v>57</v>
      </c>
      <c r="V515">
        <v>0</v>
      </c>
      <c r="W515" s="1" t="s">
        <v>40</v>
      </c>
      <c r="Y515" s="1" t="s">
        <v>43</v>
      </c>
      <c r="Z515" s="1" t="s">
        <v>52</v>
      </c>
      <c r="AA515">
        <v>3.5714285714285712E-2</v>
      </c>
      <c r="AB515" s="1" t="s">
        <v>43</v>
      </c>
      <c r="AC515">
        <v>3</v>
      </c>
      <c r="AD515" s="2">
        <v>44986</v>
      </c>
      <c r="AE515" s="1" t="s">
        <v>44</v>
      </c>
      <c r="AF515" s="1" t="s">
        <v>54</v>
      </c>
      <c r="AG515" s="1" t="s">
        <v>63</v>
      </c>
      <c r="AH515" s="1" t="s">
        <v>47</v>
      </c>
      <c r="AI515">
        <v>29646</v>
      </c>
      <c r="AJ515">
        <v>-219.59999999999854</v>
      </c>
    </row>
    <row r="516" spans="1:36" x14ac:dyDescent="0.25">
      <c r="A516">
        <v>10515</v>
      </c>
      <c r="B516">
        <v>48</v>
      </c>
      <c r="C516" s="1" t="s">
        <v>36</v>
      </c>
      <c r="D516" s="1" t="s">
        <v>61</v>
      </c>
      <c r="E516" s="2">
        <v>44347</v>
      </c>
      <c r="F516" s="2">
        <v>44539</v>
      </c>
      <c r="G516" s="1" t="s">
        <v>49</v>
      </c>
      <c r="H516">
        <v>1097</v>
      </c>
      <c r="I516">
        <v>13</v>
      </c>
      <c r="J516">
        <v>2</v>
      </c>
      <c r="K516">
        <v>26.75</v>
      </c>
      <c r="L516">
        <v>15</v>
      </c>
      <c r="M516" s="1" t="s">
        <v>67</v>
      </c>
      <c r="N516" s="1" t="s">
        <v>56</v>
      </c>
      <c r="O516">
        <v>14096.45</v>
      </c>
      <c r="P516" t="b">
        <v>1</v>
      </c>
      <c r="Q516">
        <v>1.0833333333333333</v>
      </c>
      <c r="R516">
        <v>1084.3423076923077</v>
      </c>
      <c r="S516">
        <v>8.9166666666666661</v>
      </c>
      <c r="T516" s="2">
        <v>44317</v>
      </c>
      <c r="U516" s="1" t="s">
        <v>51</v>
      </c>
      <c r="V516">
        <v>0</v>
      </c>
      <c r="W516" s="1" t="s">
        <v>40</v>
      </c>
      <c r="X516">
        <v>192</v>
      </c>
      <c r="Y516" s="1" t="s">
        <v>52</v>
      </c>
      <c r="Z516" s="1" t="s">
        <v>42</v>
      </c>
      <c r="AA516">
        <v>0.14285714285714285</v>
      </c>
      <c r="AB516" s="1" t="s">
        <v>52</v>
      </c>
      <c r="AC516">
        <v>3</v>
      </c>
      <c r="AD516" s="2">
        <v>44317</v>
      </c>
      <c r="AE516" s="1" t="s">
        <v>53</v>
      </c>
      <c r="AF516" s="1" t="s">
        <v>72</v>
      </c>
      <c r="AG516" s="1" t="s">
        <v>70</v>
      </c>
      <c r="AH516" s="1" t="s">
        <v>47</v>
      </c>
      <c r="AI516">
        <v>14261</v>
      </c>
      <c r="AJ516">
        <v>-164.54999999999927</v>
      </c>
    </row>
    <row r="517" spans="1:36" x14ac:dyDescent="0.25">
      <c r="A517">
        <v>10516</v>
      </c>
      <c r="B517">
        <v>63</v>
      </c>
      <c r="C517" s="1" t="s">
        <v>36</v>
      </c>
      <c r="D517" s="1" t="s">
        <v>48</v>
      </c>
      <c r="E517" s="2">
        <v>44337</v>
      </c>
      <c r="F517" s="2">
        <v>44667</v>
      </c>
      <c r="G517" s="1" t="s">
        <v>38</v>
      </c>
      <c r="H517">
        <v>1472</v>
      </c>
      <c r="I517">
        <v>17</v>
      </c>
      <c r="J517">
        <v>5</v>
      </c>
      <c r="K517">
        <v>113.84</v>
      </c>
      <c r="L517">
        <v>5</v>
      </c>
      <c r="M517" s="1" t="s">
        <v>50</v>
      </c>
      <c r="N517" s="1" t="s">
        <v>56</v>
      </c>
      <c r="O517">
        <v>24950.400000000001</v>
      </c>
      <c r="P517" t="b">
        <v>1</v>
      </c>
      <c r="Q517">
        <v>1.4166666666666667</v>
      </c>
      <c r="R517">
        <v>1467.6705882352942</v>
      </c>
      <c r="S517">
        <v>18.973333333333333</v>
      </c>
      <c r="T517" s="2">
        <v>44317</v>
      </c>
      <c r="U517" s="1" t="s">
        <v>41</v>
      </c>
      <c r="V517">
        <v>0</v>
      </c>
      <c r="W517" s="1" t="s">
        <v>40</v>
      </c>
      <c r="X517">
        <v>330</v>
      </c>
      <c r="Y517" s="1" t="s">
        <v>43</v>
      </c>
      <c r="Z517" s="1" t="s">
        <v>42</v>
      </c>
      <c r="AA517">
        <v>0.27777777777777779</v>
      </c>
      <c r="AB517" s="1" t="s">
        <v>43</v>
      </c>
      <c r="AC517">
        <v>1</v>
      </c>
      <c r="AD517" s="2">
        <v>44317</v>
      </c>
      <c r="AE517" s="1" t="s">
        <v>53</v>
      </c>
      <c r="AF517" s="1" t="s">
        <v>45</v>
      </c>
      <c r="AG517" s="1" t="s">
        <v>63</v>
      </c>
      <c r="AH517" s="1" t="s">
        <v>47</v>
      </c>
      <c r="AI517">
        <v>25024</v>
      </c>
      <c r="AJ517">
        <v>-73.599999999998545</v>
      </c>
    </row>
    <row r="518" spans="1:36" x14ac:dyDescent="0.25">
      <c r="A518">
        <v>10517</v>
      </c>
      <c r="B518">
        <v>19</v>
      </c>
      <c r="C518" s="1" t="s">
        <v>36</v>
      </c>
      <c r="D518" s="1" t="s">
        <v>48</v>
      </c>
      <c r="E518" s="2">
        <v>44265</v>
      </c>
      <c r="F518" s="2">
        <v>45049</v>
      </c>
      <c r="G518" s="1" t="s">
        <v>62</v>
      </c>
      <c r="H518">
        <v>689</v>
      </c>
      <c r="I518">
        <v>8</v>
      </c>
      <c r="J518">
        <v>1</v>
      </c>
      <c r="K518">
        <v>44.43</v>
      </c>
      <c r="L518">
        <v>10</v>
      </c>
      <c r="M518" s="1" t="s">
        <v>67</v>
      </c>
      <c r="N518" s="1" t="s">
        <v>40</v>
      </c>
      <c r="O518">
        <v>5443.1</v>
      </c>
      <c r="P518" t="b">
        <v>1</v>
      </c>
      <c r="Q518">
        <v>0.66666666666666663</v>
      </c>
      <c r="R518">
        <v>680.38750000000005</v>
      </c>
      <c r="S518">
        <v>22.215</v>
      </c>
      <c r="T518" s="2">
        <v>44256</v>
      </c>
      <c r="U518" s="1" t="s">
        <v>66</v>
      </c>
      <c r="V518">
        <v>1</v>
      </c>
      <c r="W518" s="1" t="s">
        <v>56</v>
      </c>
      <c r="X518">
        <v>784</v>
      </c>
      <c r="Y518" s="1" t="s">
        <v>52</v>
      </c>
      <c r="Z518" s="1" t="s">
        <v>42</v>
      </c>
      <c r="AA518">
        <v>0.1111111111111111</v>
      </c>
      <c r="AB518" s="1" t="s">
        <v>42</v>
      </c>
      <c r="AC518">
        <v>2</v>
      </c>
      <c r="AD518" s="2">
        <v>44256</v>
      </c>
      <c r="AE518" s="1" t="s">
        <v>74</v>
      </c>
      <c r="AF518" s="1" t="s">
        <v>54</v>
      </c>
      <c r="AG518" s="1" t="s">
        <v>55</v>
      </c>
      <c r="AH518" s="1" t="s">
        <v>64</v>
      </c>
      <c r="AI518">
        <v>5512</v>
      </c>
      <c r="AJ518">
        <v>-68.899999999999636</v>
      </c>
    </row>
    <row r="519" spans="1:36" x14ac:dyDescent="0.25">
      <c r="A519">
        <v>10518</v>
      </c>
      <c r="B519">
        <v>52</v>
      </c>
      <c r="C519" s="1" t="s">
        <v>60</v>
      </c>
      <c r="D519" s="1" t="s">
        <v>73</v>
      </c>
      <c r="E519" s="2">
        <v>44456</v>
      </c>
      <c r="F519" s="2">
        <v>44927</v>
      </c>
      <c r="G519" s="1" t="s">
        <v>49</v>
      </c>
      <c r="H519">
        <v>715</v>
      </c>
      <c r="I519">
        <v>32</v>
      </c>
      <c r="J519">
        <v>2</v>
      </c>
      <c r="K519">
        <v>39.53</v>
      </c>
      <c r="L519">
        <v>0</v>
      </c>
      <c r="M519" s="1" t="s">
        <v>50</v>
      </c>
      <c r="N519" s="1" t="s">
        <v>56</v>
      </c>
      <c r="O519">
        <v>22880</v>
      </c>
      <c r="P519" t="b">
        <v>1</v>
      </c>
      <c r="Q519">
        <v>2.6666666666666665</v>
      </c>
      <c r="R519">
        <v>715</v>
      </c>
      <c r="S519">
        <v>13.176666666666668</v>
      </c>
      <c r="T519" s="2">
        <v>44440</v>
      </c>
      <c r="U519" s="1" t="s">
        <v>41</v>
      </c>
      <c r="V519">
        <v>0</v>
      </c>
      <c r="W519" s="1" t="s">
        <v>40</v>
      </c>
      <c r="X519">
        <v>471</v>
      </c>
      <c r="Y519" s="1" t="s">
        <v>52</v>
      </c>
      <c r="Z519" s="1" t="s">
        <v>42</v>
      </c>
      <c r="AA519">
        <v>6.0606060606060608E-2</v>
      </c>
      <c r="AB519" s="1" t="s">
        <v>43</v>
      </c>
      <c r="AC519">
        <v>3</v>
      </c>
      <c r="AD519" s="2">
        <v>44440</v>
      </c>
      <c r="AE519" s="1" t="s">
        <v>44</v>
      </c>
      <c r="AF519" s="1" t="s">
        <v>72</v>
      </c>
      <c r="AG519" s="1" t="s">
        <v>55</v>
      </c>
      <c r="AH519" s="1" t="s">
        <v>59</v>
      </c>
      <c r="AI519">
        <v>22880</v>
      </c>
      <c r="AJ519">
        <v>0</v>
      </c>
    </row>
    <row r="520" spans="1:36" x14ac:dyDescent="0.25">
      <c r="A520">
        <v>10519</v>
      </c>
      <c r="B520">
        <v>40</v>
      </c>
      <c r="C520" s="1" t="s">
        <v>60</v>
      </c>
      <c r="D520" s="1" t="s">
        <v>71</v>
      </c>
      <c r="E520" s="2">
        <v>45042</v>
      </c>
      <c r="F520" s="2">
        <v>44822</v>
      </c>
      <c r="G520" s="1" t="s">
        <v>62</v>
      </c>
      <c r="H520">
        <v>725</v>
      </c>
      <c r="I520">
        <v>20</v>
      </c>
      <c r="J520">
        <v>1</v>
      </c>
      <c r="K520">
        <v>83.8</v>
      </c>
      <c r="L520">
        <v>15</v>
      </c>
      <c r="M520" s="1" t="s">
        <v>65</v>
      </c>
      <c r="N520" s="1" t="s">
        <v>56</v>
      </c>
      <c r="O520">
        <v>14391.25</v>
      </c>
      <c r="P520" t="b">
        <v>0</v>
      </c>
      <c r="Q520">
        <v>1.6666666666666667</v>
      </c>
      <c r="R520">
        <v>719.5625</v>
      </c>
      <c r="S520">
        <v>41.9</v>
      </c>
      <c r="T520" s="2">
        <v>45017</v>
      </c>
      <c r="U520" s="1" t="s">
        <v>51</v>
      </c>
      <c r="V520">
        <v>0</v>
      </c>
      <c r="W520" s="1" t="s">
        <v>40</v>
      </c>
      <c r="Y520" s="1" t="s">
        <v>43</v>
      </c>
      <c r="Z520" s="1" t="s">
        <v>42</v>
      </c>
      <c r="AA520">
        <v>4.7619047619047616E-2</v>
      </c>
      <c r="AB520" s="1" t="s">
        <v>52</v>
      </c>
      <c r="AC520">
        <v>2</v>
      </c>
      <c r="AD520" s="2">
        <v>45017</v>
      </c>
      <c r="AE520" s="1" t="s">
        <v>53</v>
      </c>
      <c r="AF520" s="1" t="s">
        <v>54</v>
      </c>
      <c r="AG520" s="1" t="s">
        <v>63</v>
      </c>
      <c r="AH520" s="1" t="s">
        <v>59</v>
      </c>
      <c r="AI520">
        <v>14500</v>
      </c>
      <c r="AJ520">
        <v>-108.75</v>
      </c>
    </row>
    <row r="521" spans="1:36" x14ac:dyDescent="0.25">
      <c r="A521">
        <v>10520</v>
      </c>
      <c r="B521">
        <v>34</v>
      </c>
      <c r="C521" s="1" t="s">
        <v>60</v>
      </c>
      <c r="D521" s="1" t="s">
        <v>37</v>
      </c>
      <c r="E521" s="2">
        <v>44717</v>
      </c>
      <c r="F521" s="2">
        <v>45207</v>
      </c>
      <c r="G521" s="1" t="s">
        <v>62</v>
      </c>
      <c r="H521">
        <v>1296</v>
      </c>
      <c r="I521">
        <v>17</v>
      </c>
      <c r="J521">
        <v>2</v>
      </c>
      <c r="K521">
        <v>97.63</v>
      </c>
      <c r="L521">
        <v>5</v>
      </c>
      <c r="M521" s="1" t="s">
        <v>67</v>
      </c>
      <c r="N521" s="1" t="s">
        <v>40</v>
      </c>
      <c r="O521">
        <v>21967.200000000001</v>
      </c>
      <c r="P521" t="b">
        <v>1</v>
      </c>
      <c r="Q521">
        <v>1.4166666666666667</v>
      </c>
      <c r="R521">
        <v>1292.1882352941177</v>
      </c>
      <c r="S521">
        <v>32.543333333333329</v>
      </c>
      <c r="T521" s="2">
        <v>44713</v>
      </c>
      <c r="U521" s="1" t="s">
        <v>57</v>
      </c>
      <c r="V521">
        <v>1</v>
      </c>
      <c r="W521" s="1" t="s">
        <v>40</v>
      </c>
      <c r="X521">
        <v>490</v>
      </c>
      <c r="Y521" s="1" t="s">
        <v>43</v>
      </c>
      <c r="Z521" s="1" t="s">
        <v>42</v>
      </c>
      <c r="AA521">
        <v>0.1111111111111111</v>
      </c>
      <c r="AB521" s="1" t="s">
        <v>43</v>
      </c>
      <c r="AC521">
        <v>2</v>
      </c>
      <c r="AD521" s="2">
        <v>44713</v>
      </c>
      <c r="AE521" s="1" t="s">
        <v>53</v>
      </c>
      <c r="AF521" s="1" t="s">
        <v>72</v>
      </c>
      <c r="AG521" s="1" t="s">
        <v>63</v>
      </c>
      <c r="AH521" s="1" t="s">
        <v>47</v>
      </c>
      <c r="AI521">
        <v>22032</v>
      </c>
      <c r="AJ521">
        <v>-64.799999999999272</v>
      </c>
    </row>
    <row r="522" spans="1:36" x14ac:dyDescent="0.25">
      <c r="A522">
        <v>10521</v>
      </c>
      <c r="B522">
        <v>43</v>
      </c>
      <c r="C522" s="1" t="s">
        <v>60</v>
      </c>
      <c r="D522" s="1" t="s">
        <v>48</v>
      </c>
      <c r="E522" s="2">
        <v>44829</v>
      </c>
      <c r="F522" s="2">
        <v>44984</v>
      </c>
      <c r="G522" s="1" t="s">
        <v>49</v>
      </c>
      <c r="H522">
        <v>1166</v>
      </c>
      <c r="I522">
        <v>34</v>
      </c>
      <c r="J522">
        <v>1</v>
      </c>
      <c r="K522">
        <v>48.52</v>
      </c>
      <c r="L522">
        <v>5</v>
      </c>
      <c r="M522" s="1" t="s">
        <v>39</v>
      </c>
      <c r="N522" s="1" t="s">
        <v>56</v>
      </c>
      <c r="O522">
        <v>39585.699999999997</v>
      </c>
      <c r="P522" t="b">
        <v>1</v>
      </c>
      <c r="Q522">
        <v>2.8333333333333335</v>
      </c>
      <c r="R522">
        <v>1164.285294117647</v>
      </c>
      <c r="S522">
        <v>24.26</v>
      </c>
      <c r="T522" s="2">
        <v>44805</v>
      </c>
      <c r="U522" s="1" t="s">
        <v>51</v>
      </c>
      <c r="V522">
        <v>0</v>
      </c>
      <c r="W522" s="1" t="s">
        <v>40</v>
      </c>
      <c r="X522">
        <v>155</v>
      </c>
      <c r="Y522" s="1" t="s">
        <v>52</v>
      </c>
      <c r="Z522" s="1" t="s">
        <v>42</v>
      </c>
      <c r="AA522">
        <v>2.8571428571428571E-2</v>
      </c>
      <c r="AB522" s="1" t="s">
        <v>43</v>
      </c>
      <c r="AC522">
        <v>3</v>
      </c>
      <c r="AD522" s="2">
        <v>44805</v>
      </c>
      <c r="AE522" s="1" t="s">
        <v>44</v>
      </c>
      <c r="AF522" s="1" t="s">
        <v>54</v>
      </c>
      <c r="AG522" s="1" t="s">
        <v>63</v>
      </c>
      <c r="AH522" s="1" t="s">
        <v>47</v>
      </c>
      <c r="AI522">
        <v>39644</v>
      </c>
      <c r="AJ522">
        <v>-58.30000000000291</v>
      </c>
    </row>
    <row r="523" spans="1:36" x14ac:dyDescent="0.25">
      <c r="A523">
        <v>10522</v>
      </c>
      <c r="B523">
        <v>25</v>
      </c>
      <c r="C523" s="1" t="s">
        <v>60</v>
      </c>
      <c r="D523" s="1" t="s">
        <v>37</v>
      </c>
      <c r="E523" s="2">
        <v>44567</v>
      </c>
      <c r="F523" s="2">
        <v>44774</v>
      </c>
      <c r="G523" s="1" t="s">
        <v>38</v>
      </c>
      <c r="H523">
        <v>385</v>
      </c>
      <c r="I523">
        <v>35</v>
      </c>
      <c r="J523">
        <v>0</v>
      </c>
      <c r="K523">
        <v>90.89</v>
      </c>
      <c r="L523">
        <v>10</v>
      </c>
      <c r="M523" s="1" t="s">
        <v>67</v>
      </c>
      <c r="N523" s="1" t="s">
        <v>56</v>
      </c>
      <c r="O523">
        <v>13455.75</v>
      </c>
      <c r="P523" t="b">
        <v>1</v>
      </c>
      <c r="Q523">
        <v>2.9166666666666665</v>
      </c>
      <c r="R523">
        <v>384.45</v>
      </c>
      <c r="S523">
        <v>90.89</v>
      </c>
      <c r="T523" s="2">
        <v>44562</v>
      </c>
      <c r="U523" s="1" t="s">
        <v>66</v>
      </c>
      <c r="V523">
        <v>0</v>
      </c>
      <c r="W523" s="1" t="s">
        <v>56</v>
      </c>
      <c r="X523">
        <v>207</v>
      </c>
      <c r="Y523" s="1" t="s">
        <v>43</v>
      </c>
      <c r="Z523" s="1" t="s">
        <v>42</v>
      </c>
      <c r="AA523">
        <v>0</v>
      </c>
      <c r="AB523" s="1" t="s">
        <v>52</v>
      </c>
      <c r="AC523">
        <v>1</v>
      </c>
      <c r="AD523" s="2">
        <v>44562</v>
      </c>
      <c r="AE523" s="1" t="s">
        <v>44</v>
      </c>
      <c r="AF523" s="1" t="s">
        <v>54</v>
      </c>
      <c r="AG523" s="1" t="s">
        <v>63</v>
      </c>
      <c r="AH523" s="1" t="s">
        <v>68</v>
      </c>
      <c r="AI523">
        <v>13475</v>
      </c>
      <c r="AJ523">
        <v>-19.25</v>
      </c>
    </row>
    <row r="524" spans="1:36" x14ac:dyDescent="0.25">
      <c r="A524">
        <v>10523</v>
      </c>
      <c r="B524">
        <v>46</v>
      </c>
      <c r="C524" s="1" t="s">
        <v>60</v>
      </c>
      <c r="D524" s="1" t="s">
        <v>37</v>
      </c>
      <c r="E524" s="2">
        <v>44615</v>
      </c>
      <c r="F524" s="2">
        <v>45195</v>
      </c>
      <c r="G524" s="1" t="s">
        <v>62</v>
      </c>
      <c r="H524">
        <v>722</v>
      </c>
      <c r="I524">
        <v>35</v>
      </c>
      <c r="J524">
        <v>1</v>
      </c>
      <c r="K524">
        <v>106.63</v>
      </c>
      <c r="L524">
        <v>10</v>
      </c>
      <c r="M524" s="1" t="s">
        <v>50</v>
      </c>
      <c r="N524" s="1" t="s">
        <v>56</v>
      </c>
      <c r="O524">
        <v>25197.8</v>
      </c>
      <c r="P524" t="b">
        <v>1</v>
      </c>
      <c r="Q524">
        <v>2.9166666666666665</v>
      </c>
      <c r="R524">
        <v>719.93714285714282</v>
      </c>
      <c r="S524">
        <v>53.314999999999998</v>
      </c>
      <c r="T524" s="2">
        <v>44593</v>
      </c>
      <c r="U524" s="1" t="s">
        <v>51</v>
      </c>
      <c r="V524">
        <v>0</v>
      </c>
      <c r="W524" s="1" t="s">
        <v>40</v>
      </c>
      <c r="X524">
        <v>580</v>
      </c>
      <c r="Y524" s="1" t="s">
        <v>43</v>
      </c>
      <c r="Z524" s="1" t="s">
        <v>42</v>
      </c>
      <c r="AA524">
        <v>2.7777777777777776E-2</v>
      </c>
      <c r="AB524" s="1" t="s">
        <v>43</v>
      </c>
      <c r="AC524">
        <v>2</v>
      </c>
      <c r="AD524" s="2">
        <v>44593</v>
      </c>
      <c r="AE524" s="1" t="s">
        <v>44</v>
      </c>
      <c r="AF524" s="1" t="s">
        <v>54</v>
      </c>
      <c r="AG524" s="1" t="s">
        <v>63</v>
      </c>
      <c r="AH524" s="1" t="s">
        <v>59</v>
      </c>
      <c r="AI524">
        <v>25270</v>
      </c>
      <c r="AJ524">
        <v>-72.200000000000728</v>
      </c>
    </row>
    <row r="525" spans="1:36" x14ac:dyDescent="0.25">
      <c r="A525">
        <v>10524</v>
      </c>
      <c r="B525">
        <v>43</v>
      </c>
      <c r="C525" s="1" t="s">
        <v>36</v>
      </c>
      <c r="D525" s="1" t="s">
        <v>69</v>
      </c>
      <c r="E525" s="2">
        <v>44297</v>
      </c>
      <c r="F525" s="2">
        <v>44406</v>
      </c>
      <c r="G525" s="1" t="s">
        <v>62</v>
      </c>
      <c r="H525">
        <v>417</v>
      </c>
      <c r="I525">
        <v>24</v>
      </c>
      <c r="J525">
        <v>4</v>
      </c>
      <c r="K525">
        <v>93.18</v>
      </c>
      <c r="L525">
        <v>5</v>
      </c>
      <c r="M525" s="1" t="s">
        <v>50</v>
      </c>
      <c r="N525" s="1" t="s">
        <v>56</v>
      </c>
      <c r="O525">
        <v>9987.15</v>
      </c>
      <c r="P525" t="b">
        <v>1</v>
      </c>
      <c r="Q525">
        <v>2</v>
      </c>
      <c r="R525">
        <v>416.13124999999997</v>
      </c>
      <c r="S525">
        <v>18.636000000000003</v>
      </c>
      <c r="T525" s="2">
        <v>44287</v>
      </c>
      <c r="U525" s="1" t="s">
        <v>51</v>
      </c>
      <c r="V525">
        <v>0</v>
      </c>
      <c r="W525" s="1" t="s">
        <v>56</v>
      </c>
      <c r="X525">
        <v>109</v>
      </c>
      <c r="Y525" s="1" t="s">
        <v>43</v>
      </c>
      <c r="Z525" s="1" t="s">
        <v>42</v>
      </c>
      <c r="AA525">
        <v>0.16</v>
      </c>
      <c r="AB525" s="1" t="s">
        <v>52</v>
      </c>
      <c r="AC525">
        <v>2</v>
      </c>
      <c r="AD525" s="2">
        <v>44287</v>
      </c>
      <c r="AE525" s="1" t="s">
        <v>53</v>
      </c>
      <c r="AF525" s="1" t="s">
        <v>45</v>
      </c>
      <c r="AG525" s="1" t="s">
        <v>63</v>
      </c>
      <c r="AH525" s="1" t="s">
        <v>68</v>
      </c>
      <c r="AI525">
        <v>10008</v>
      </c>
      <c r="AJ525">
        <v>-20.850000000000364</v>
      </c>
    </row>
    <row r="526" spans="1:36" x14ac:dyDescent="0.25">
      <c r="A526">
        <v>10525</v>
      </c>
      <c r="B526">
        <v>27</v>
      </c>
      <c r="C526" s="1" t="s">
        <v>60</v>
      </c>
      <c r="D526" s="1" t="s">
        <v>71</v>
      </c>
      <c r="E526" s="2">
        <v>44857</v>
      </c>
      <c r="F526" s="2">
        <v>44783</v>
      </c>
      <c r="G526" s="1" t="s">
        <v>49</v>
      </c>
      <c r="H526">
        <v>1258</v>
      </c>
      <c r="I526">
        <v>18</v>
      </c>
      <c r="J526">
        <v>0</v>
      </c>
      <c r="K526">
        <v>8.93</v>
      </c>
      <c r="L526">
        <v>5</v>
      </c>
      <c r="M526" s="1" t="s">
        <v>67</v>
      </c>
      <c r="N526" s="1" t="s">
        <v>56</v>
      </c>
      <c r="O526">
        <v>22581.1</v>
      </c>
      <c r="P526" t="b">
        <v>0</v>
      </c>
      <c r="Q526">
        <v>1.5</v>
      </c>
      <c r="R526">
        <v>1254.5055555555555</v>
      </c>
      <c r="S526">
        <v>8.93</v>
      </c>
      <c r="T526" s="2">
        <v>44835</v>
      </c>
      <c r="U526" s="1" t="s">
        <v>57</v>
      </c>
      <c r="V526">
        <v>0</v>
      </c>
      <c r="W526" s="1" t="s">
        <v>40</v>
      </c>
      <c r="Y526" s="1" t="s">
        <v>42</v>
      </c>
      <c r="Z526" s="1" t="s">
        <v>42</v>
      </c>
      <c r="AA526">
        <v>0</v>
      </c>
      <c r="AB526" s="1" t="s">
        <v>43</v>
      </c>
      <c r="AC526">
        <v>3</v>
      </c>
      <c r="AD526" s="2">
        <v>44835</v>
      </c>
      <c r="AE526" s="1" t="s">
        <v>53</v>
      </c>
      <c r="AF526" s="1" t="s">
        <v>54</v>
      </c>
      <c r="AG526" s="1" t="s">
        <v>77</v>
      </c>
      <c r="AH526" s="1" t="s">
        <v>47</v>
      </c>
      <c r="AI526">
        <v>22644</v>
      </c>
      <c r="AJ526">
        <v>-62.900000000001455</v>
      </c>
    </row>
    <row r="527" spans="1:36" x14ac:dyDescent="0.25">
      <c r="A527">
        <v>10526</v>
      </c>
      <c r="B527">
        <v>43</v>
      </c>
      <c r="C527" s="1" t="s">
        <v>36</v>
      </c>
      <c r="D527" s="1" t="s">
        <v>37</v>
      </c>
      <c r="E527" s="2">
        <v>44854</v>
      </c>
      <c r="F527" s="2">
        <v>44444</v>
      </c>
      <c r="G527" s="1" t="s">
        <v>38</v>
      </c>
      <c r="H527">
        <v>1181</v>
      </c>
      <c r="I527">
        <v>33</v>
      </c>
      <c r="J527">
        <v>2</v>
      </c>
      <c r="K527">
        <v>100.15</v>
      </c>
      <c r="L527">
        <v>5</v>
      </c>
      <c r="M527" s="1" t="s">
        <v>39</v>
      </c>
      <c r="N527" s="1" t="s">
        <v>56</v>
      </c>
      <c r="O527">
        <v>38913.949999999997</v>
      </c>
      <c r="P527" t="b">
        <v>0</v>
      </c>
      <c r="Q527">
        <v>2.75</v>
      </c>
      <c r="R527">
        <v>1179.2106060606059</v>
      </c>
      <c r="S527">
        <v>33.383333333333333</v>
      </c>
      <c r="T527" s="2">
        <v>44835</v>
      </c>
      <c r="U527" s="1" t="s">
        <v>51</v>
      </c>
      <c r="V527">
        <v>0</v>
      </c>
      <c r="W527" s="1" t="s">
        <v>40</v>
      </c>
      <c r="Y527" s="1" t="s">
        <v>43</v>
      </c>
      <c r="Z527" s="1" t="s">
        <v>42</v>
      </c>
      <c r="AA527">
        <v>5.8823529411764705E-2</v>
      </c>
      <c r="AB527" s="1" t="s">
        <v>43</v>
      </c>
      <c r="AC527">
        <v>1</v>
      </c>
      <c r="AD527" s="2">
        <v>44835</v>
      </c>
      <c r="AE527" s="1" t="s">
        <v>44</v>
      </c>
      <c r="AF527" s="1" t="s">
        <v>72</v>
      </c>
      <c r="AG527" s="1" t="s">
        <v>63</v>
      </c>
      <c r="AH527" s="1" t="s">
        <v>47</v>
      </c>
      <c r="AI527">
        <v>38973</v>
      </c>
      <c r="AJ527">
        <v>-59.05000000000291</v>
      </c>
    </row>
    <row r="528" spans="1:36" x14ac:dyDescent="0.25">
      <c r="A528">
        <v>10527</v>
      </c>
      <c r="B528">
        <v>51</v>
      </c>
      <c r="C528" s="1" t="s">
        <v>60</v>
      </c>
      <c r="D528" s="1" t="s">
        <v>71</v>
      </c>
      <c r="E528" s="2">
        <v>45061</v>
      </c>
      <c r="F528" s="2">
        <v>44843</v>
      </c>
      <c r="G528" s="1" t="s">
        <v>62</v>
      </c>
      <c r="H528">
        <v>1291</v>
      </c>
      <c r="I528">
        <v>23</v>
      </c>
      <c r="J528">
        <v>3</v>
      </c>
      <c r="K528">
        <v>94.07</v>
      </c>
      <c r="L528">
        <v>15</v>
      </c>
      <c r="M528" s="1" t="s">
        <v>65</v>
      </c>
      <c r="N528" s="1" t="s">
        <v>56</v>
      </c>
      <c r="O528">
        <v>29499.35</v>
      </c>
      <c r="P528" t="b">
        <v>0</v>
      </c>
      <c r="Q528">
        <v>1.9166666666666667</v>
      </c>
      <c r="R528">
        <v>1282.5804347826086</v>
      </c>
      <c r="S528">
        <v>23.517499999999998</v>
      </c>
      <c r="T528" s="2">
        <v>45047</v>
      </c>
      <c r="U528" s="1" t="s">
        <v>41</v>
      </c>
      <c r="V528">
        <v>0</v>
      </c>
      <c r="W528" s="1" t="s">
        <v>40</v>
      </c>
      <c r="Y528" s="1" t="s">
        <v>43</v>
      </c>
      <c r="Z528" s="1" t="s">
        <v>42</v>
      </c>
      <c r="AA528">
        <v>0.125</v>
      </c>
      <c r="AB528" s="1" t="s">
        <v>43</v>
      </c>
      <c r="AC528">
        <v>2</v>
      </c>
      <c r="AD528" s="2">
        <v>45047</v>
      </c>
      <c r="AE528" s="1" t="s">
        <v>53</v>
      </c>
      <c r="AF528" s="1" t="s">
        <v>72</v>
      </c>
      <c r="AG528" s="1" t="s">
        <v>63</v>
      </c>
      <c r="AH528" s="1" t="s">
        <v>47</v>
      </c>
      <c r="AI528">
        <v>29693</v>
      </c>
      <c r="AJ528">
        <v>-193.65000000000146</v>
      </c>
    </row>
    <row r="529" spans="1:36" x14ac:dyDescent="0.25">
      <c r="A529">
        <v>10528</v>
      </c>
      <c r="B529">
        <v>58</v>
      </c>
      <c r="C529" s="1" t="s">
        <v>60</v>
      </c>
      <c r="D529" s="1" t="s">
        <v>69</v>
      </c>
      <c r="E529" s="2">
        <v>44439</v>
      </c>
      <c r="F529" s="2">
        <v>45134</v>
      </c>
      <c r="G529" s="1" t="s">
        <v>62</v>
      </c>
      <c r="H529">
        <v>714</v>
      </c>
      <c r="I529">
        <v>25</v>
      </c>
      <c r="J529">
        <v>1</v>
      </c>
      <c r="K529">
        <v>62.59</v>
      </c>
      <c r="L529">
        <v>5</v>
      </c>
      <c r="M529" s="1" t="s">
        <v>39</v>
      </c>
      <c r="N529" s="1" t="s">
        <v>56</v>
      </c>
      <c r="O529">
        <v>17814.3</v>
      </c>
      <c r="P529" t="b">
        <v>1</v>
      </c>
      <c r="Q529">
        <v>2.0833333333333335</v>
      </c>
      <c r="R529">
        <v>712.572</v>
      </c>
      <c r="S529">
        <v>31.295000000000002</v>
      </c>
      <c r="T529" s="2">
        <v>44409</v>
      </c>
      <c r="U529" s="1" t="s">
        <v>41</v>
      </c>
      <c r="V529">
        <v>0</v>
      </c>
      <c r="W529" s="1" t="s">
        <v>40</v>
      </c>
      <c r="X529">
        <v>695</v>
      </c>
      <c r="Y529" s="1" t="s">
        <v>43</v>
      </c>
      <c r="Z529" s="1" t="s">
        <v>42</v>
      </c>
      <c r="AA529">
        <v>3.8461538461538464E-2</v>
      </c>
      <c r="AB529" s="1" t="s">
        <v>52</v>
      </c>
      <c r="AC529">
        <v>2</v>
      </c>
      <c r="AD529" s="2">
        <v>44409</v>
      </c>
      <c r="AE529" s="1" t="s">
        <v>44</v>
      </c>
      <c r="AF529" s="1" t="s">
        <v>54</v>
      </c>
      <c r="AG529" s="1" t="s">
        <v>63</v>
      </c>
      <c r="AH529" s="1" t="s">
        <v>59</v>
      </c>
      <c r="AI529">
        <v>17850</v>
      </c>
      <c r="AJ529">
        <v>-35.700000000000728</v>
      </c>
    </row>
    <row r="530" spans="1:36" x14ac:dyDescent="0.25">
      <c r="A530">
        <v>10529</v>
      </c>
      <c r="B530">
        <v>24</v>
      </c>
      <c r="C530" s="1" t="s">
        <v>36</v>
      </c>
      <c r="D530" s="1" t="s">
        <v>71</v>
      </c>
      <c r="E530" s="2">
        <v>44949</v>
      </c>
      <c r="F530" s="2">
        <v>45008</v>
      </c>
      <c r="G530" s="1" t="s">
        <v>62</v>
      </c>
      <c r="H530">
        <v>898</v>
      </c>
      <c r="I530">
        <v>27</v>
      </c>
      <c r="J530">
        <v>2</v>
      </c>
      <c r="K530">
        <v>92.4</v>
      </c>
      <c r="L530">
        <v>10</v>
      </c>
      <c r="M530" s="1" t="s">
        <v>67</v>
      </c>
      <c r="N530" s="1" t="s">
        <v>56</v>
      </c>
      <c r="O530">
        <v>24156.2</v>
      </c>
      <c r="P530" t="b">
        <v>1</v>
      </c>
      <c r="Q530">
        <v>2.25</v>
      </c>
      <c r="R530">
        <v>894.67407407407416</v>
      </c>
      <c r="S530">
        <v>30.8</v>
      </c>
      <c r="T530" s="2">
        <v>44927</v>
      </c>
      <c r="U530" s="1" t="s">
        <v>66</v>
      </c>
      <c r="V530">
        <v>0</v>
      </c>
      <c r="W530" s="1" t="s">
        <v>40</v>
      </c>
      <c r="X530">
        <v>59</v>
      </c>
      <c r="Y530" s="1" t="s">
        <v>43</v>
      </c>
      <c r="Z530" s="1" t="s">
        <v>42</v>
      </c>
      <c r="AA530">
        <v>7.1428571428571425E-2</v>
      </c>
      <c r="AB530" s="1" t="s">
        <v>43</v>
      </c>
      <c r="AC530">
        <v>2</v>
      </c>
      <c r="AD530" s="2">
        <v>44927</v>
      </c>
      <c r="AE530" s="1" t="s">
        <v>44</v>
      </c>
      <c r="AF530" s="1" t="s">
        <v>72</v>
      </c>
      <c r="AG530" s="1" t="s">
        <v>63</v>
      </c>
      <c r="AH530" s="1" t="s">
        <v>59</v>
      </c>
      <c r="AI530">
        <v>24246</v>
      </c>
      <c r="AJ530">
        <v>-89.799999999999272</v>
      </c>
    </row>
    <row r="531" spans="1:36" x14ac:dyDescent="0.25">
      <c r="A531">
        <v>10530</v>
      </c>
      <c r="B531">
        <v>21</v>
      </c>
      <c r="C531" s="1" t="s">
        <v>36</v>
      </c>
      <c r="D531" s="1" t="s">
        <v>48</v>
      </c>
      <c r="E531" s="2">
        <v>44708</v>
      </c>
      <c r="F531" s="2">
        <v>44625</v>
      </c>
      <c r="G531" s="1" t="s">
        <v>62</v>
      </c>
      <c r="H531">
        <v>339</v>
      </c>
      <c r="I531">
        <v>1</v>
      </c>
      <c r="J531">
        <v>3</v>
      </c>
      <c r="K531">
        <v>117.63</v>
      </c>
      <c r="L531">
        <v>15</v>
      </c>
      <c r="M531" s="1" t="s">
        <v>50</v>
      </c>
      <c r="N531" s="1" t="s">
        <v>56</v>
      </c>
      <c r="O531">
        <v>288.14999999999998</v>
      </c>
      <c r="P531" t="b">
        <v>0</v>
      </c>
      <c r="Q531">
        <v>8.3333333333333329E-2</v>
      </c>
      <c r="R531">
        <v>288.14999999999998</v>
      </c>
      <c r="S531">
        <v>29.407499999999999</v>
      </c>
      <c r="T531" s="2">
        <v>44682</v>
      </c>
      <c r="U531" s="1" t="s">
        <v>66</v>
      </c>
      <c r="V531">
        <v>0</v>
      </c>
      <c r="W531" s="1" t="s">
        <v>56</v>
      </c>
      <c r="Y531" s="1" t="s">
        <v>43</v>
      </c>
      <c r="Z531" s="1" t="s">
        <v>42</v>
      </c>
      <c r="AA531">
        <v>1.5</v>
      </c>
      <c r="AB531" s="1" t="s">
        <v>42</v>
      </c>
      <c r="AC531">
        <v>2</v>
      </c>
      <c r="AD531" s="2">
        <v>44682</v>
      </c>
      <c r="AE531" s="1" t="s">
        <v>58</v>
      </c>
      <c r="AF531" s="1" t="s">
        <v>72</v>
      </c>
      <c r="AG531" s="1" t="s">
        <v>63</v>
      </c>
      <c r="AH531" s="1" t="s">
        <v>68</v>
      </c>
      <c r="AI531">
        <v>339</v>
      </c>
      <c r="AJ531">
        <v>-50.850000000000023</v>
      </c>
    </row>
    <row r="532" spans="1:36" x14ac:dyDescent="0.25">
      <c r="A532">
        <v>10531</v>
      </c>
      <c r="B532">
        <v>62</v>
      </c>
      <c r="C532" s="1" t="s">
        <v>60</v>
      </c>
      <c r="D532" s="1" t="s">
        <v>76</v>
      </c>
      <c r="E532" s="2">
        <v>45045</v>
      </c>
      <c r="F532" s="2">
        <v>44612</v>
      </c>
      <c r="G532" s="1" t="s">
        <v>49</v>
      </c>
      <c r="H532">
        <v>1484</v>
      </c>
      <c r="I532">
        <v>21</v>
      </c>
      <c r="J532">
        <v>4</v>
      </c>
      <c r="K532">
        <v>54.58</v>
      </c>
      <c r="L532">
        <v>5</v>
      </c>
      <c r="M532" s="1" t="s">
        <v>39</v>
      </c>
      <c r="N532" s="1" t="s">
        <v>56</v>
      </c>
      <c r="O532">
        <v>31089.8</v>
      </c>
      <c r="P532" t="b">
        <v>0</v>
      </c>
      <c r="Q532">
        <v>1.75</v>
      </c>
      <c r="R532">
        <v>1480.4666666666667</v>
      </c>
      <c r="S532">
        <v>10.916</v>
      </c>
      <c r="T532" s="2">
        <v>45017</v>
      </c>
      <c r="U532" s="1" t="s">
        <v>41</v>
      </c>
      <c r="V532">
        <v>0</v>
      </c>
      <c r="W532" s="1" t="s">
        <v>40</v>
      </c>
      <c r="Y532" s="1" t="s">
        <v>52</v>
      </c>
      <c r="Z532" s="1" t="s">
        <v>42</v>
      </c>
      <c r="AA532">
        <v>0.18181818181818182</v>
      </c>
      <c r="AB532" s="1" t="s">
        <v>43</v>
      </c>
      <c r="AC532">
        <v>3</v>
      </c>
      <c r="AD532" s="2">
        <v>45017</v>
      </c>
      <c r="AE532" s="1" t="s">
        <v>53</v>
      </c>
      <c r="AF532" s="1" t="s">
        <v>45</v>
      </c>
      <c r="AG532" s="1" t="s">
        <v>63</v>
      </c>
      <c r="AH532" s="1" t="s">
        <v>47</v>
      </c>
      <c r="AI532">
        <v>31164</v>
      </c>
      <c r="AJ532">
        <v>-74.200000000000728</v>
      </c>
    </row>
    <row r="533" spans="1:36" x14ac:dyDescent="0.25">
      <c r="A533">
        <v>10532</v>
      </c>
      <c r="B533">
        <v>28</v>
      </c>
      <c r="C533" s="1" t="s">
        <v>36</v>
      </c>
      <c r="D533" s="1" t="s">
        <v>71</v>
      </c>
      <c r="E533" s="2">
        <v>44751</v>
      </c>
      <c r="F533" s="2">
        <v>44356</v>
      </c>
      <c r="G533" s="1" t="s">
        <v>49</v>
      </c>
      <c r="H533">
        <v>1002</v>
      </c>
      <c r="I533">
        <v>10</v>
      </c>
      <c r="J533">
        <v>3</v>
      </c>
      <c r="K533">
        <v>12.73</v>
      </c>
      <c r="L533">
        <v>0</v>
      </c>
      <c r="M533" s="1" t="s">
        <v>50</v>
      </c>
      <c r="N533" s="1" t="s">
        <v>56</v>
      </c>
      <c r="O533">
        <v>10020</v>
      </c>
      <c r="P533" t="b">
        <v>0</v>
      </c>
      <c r="Q533">
        <v>0.83333333333333337</v>
      </c>
      <c r="R533">
        <v>1002</v>
      </c>
      <c r="S533">
        <v>3.1825000000000001</v>
      </c>
      <c r="T533" s="2">
        <v>44743</v>
      </c>
      <c r="U533" s="1" t="s">
        <v>57</v>
      </c>
      <c r="V533">
        <v>0</v>
      </c>
      <c r="W533" s="1" t="s">
        <v>56</v>
      </c>
      <c r="Y533" s="1" t="s">
        <v>42</v>
      </c>
      <c r="Z533" s="1" t="s">
        <v>42</v>
      </c>
      <c r="AA533">
        <v>0.27272727272727271</v>
      </c>
      <c r="AB533" s="1" t="s">
        <v>52</v>
      </c>
      <c r="AC533">
        <v>3</v>
      </c>
      <c r="AD533" s="2">
        <v>44743</v>
      </c>
      <c r="AE533" s="1" t="s">
        <v>74</v>
      </c>
      <c r="AF533" s="1" t="s">
        <v>72</v>
      </c>
      <c r="AG533" s="1" t="s">
        <v>46</v>
      </c>
      <c r="AH533" s="1" t="s">
        <v>47</v>
      </c>
      <c r="AI533">
        <v>10020</v>
      </c>
      <c r="AJ533">
        <v>0</v>
      </c>
    </row>
    <row r="534" spans="1:36" x14ac:dyDescent="0.25">
      <c r="A534">
        <v>10533</v>
      </c>
      <c r="B534">
        <v>46</v>
      </c>
      <c r="C534" s="1" t="s">
        <v>36</v>
      </c>
      <c r="D534" s="1" t="s">
        <v>61</v>
      </c>
      <c r="E534" s="2">
        <v>44291</v>
      </c>
      <c r="F534" s="2">
        <v>44804</v>
      </c>
      <c r="G534" s="1" t="s">
        <v>38</v>
      </c>
      <c r="H534">
        <v>836</v>
      </c>
      <c r="I534">
        <v>31</v>
      </c>
      <c r="J534">
        <v>5</v>
      </c>
      <c r="K534">
        <v>62.59</v>
      </c>
      <c r="L534">
        <v>10</v>
      </c>
      <c r="M534" s="1" t="s">
        <v>50</v>
      </c>
      <c r="N534" s="1" t="s">
        <v>56</v>
      </c>
      <c r="O534">
        <v>25832.400000000001</v>
      </c>
      <c r="P534" t="b">
        <v>1</v>
      </c>
      <c r="Q534">
        <v>2.5833333333333335</v>
      </c>
      <c r="R534">
        <v>833.30322580645168</v>
      </c>
      <c r="S534">
        <v>10.431666666666667</v>
      </c>
      <c r="T534" s="2">
        <v>44287</v>
      </c>
      <c r="U534" s="1" t="s">
        <v>51</v>
      </c>
      <c r="V534">
        <v>0</v>
      </c>
      <c r="W534" s="1" t="s">
        <v>40</v>
      </c>
      <c r="X534">
        <v>513</v>
      </c>
      <c r="Y534" s="1" t="s">
        <v>43</v>
      </c>
      <c r="Z534" s="1" t="s">
        <v>42</v>
      </c>
      <c r="AA534">
        <v>0.15625</v>
      </c>
      <c r="AB534" s="1" t="s">
        <v>43</v>
      </c>
      <c r="AC534">
        <v>1</v>
      </c>
      <c r="AD534" s="2">
        <v>44287</v>
      </c>
      <c r="AE534" s="1" t="s">
        <v>44</v>
      </c>
      <c r="AF534" s="1" t="s">
        <v>45</v>
      </c>
      <c r="AG534" s="1" t="s">
        <v>63</v>
      </c>
      <c r="AH534" s="1" t="s">
        <v>59</v>
      </c>
      <c r="AI534">
        <v>25916</v>
      </c>
      <c r="AJ534">
        <v>-83.599999999998545</v>
      </c>
    </row>
    <row r="535" spans="1:36" x14ac:dyDescent="0.25">
      <c r="A535">
        <v>10534</v>
      </c>
      <c r="B535">
        <v>53</v>
      </c>
      <c r="C535" s="1" t="s">
        <v>60</v>
      </c>
      <c r="D535" s="1" t="s">
        <v>71</v>
      </c>
      <c r="E535" s="2">
        <v>44422</v>
      </c>
      <c r="F535" s="2">
        <v>45142</v>
      </c>
      <c r="G535" s="1" t="s">
        <v>38</v>
      </c>
      <c r="H535">
        <v>719</v>
      </c>
      <c r="I535">
        <v>25</v>
      </c>
      <c r="J535">
        <v>1</v>
      </c>
      <c r="K535">
        <v>10.34</v>
      </c>
      <c r="L535">
        <v>0</v>
      </c>
      <c r="M535" s="1" t="s">
        <v>39</v>
      </c>
      <c r="N535" s="1" t="s">
        <v>56</v>
      </c>
      <c r="O535">
        <v>17975</v>
      </c>
      <c r="P535" t="b">
        <v>1</v>
      </c>
      <c r="Q535">
        <v>2.0833333333333335</v>
      </c>
      <c r="R535">
        <v>719</v>
      </c>
      <c r="S535">
        <v>5.17</v>
      </c>
      <c r="T535" s="2">
        <v>44409</v>
      </c>
      <c r="U535" s="1" t="s">
        <v>41</v>
      </c>
      <c r="V535">
        <v>0</v>
      </c>
      <c r="W535" s="1" t="s">
        <v>40</v>
      </c>
      <c r="X535">
        <v>720</v>
      </c>
      <c r="Y535" s="1" t="s">
        <v>42</v>
      </c>
      <c r="Z535" s="1" t="s">
        <v>42</v>
      </c>
      <c r="AA535">
        <v>3.8461538461538464E-2</v>
      </c>
      <c r="AB535" s="1" t="s">
        <v>52</v>
      </c>
      <c r="AC535">
        <v>1</v>
      </c>
      <c r="AD535" s="2">
        <v>44409</v>
      </c>
      <c r="AE535" s="1" t="s">
        <v>44</v>
      </c>
      <c r="AF535" s="1" t="s">
        <v>54</v>
      </c>
      <c r="AG535" s="1" t="s">
        <v>46</v>
      </c>
      <c r="AH535" s="1" t="s">
        <v>59</v>
      </c>
      <c r="AI535">
        <v>17975</v>
      </c>
      <c r="AJ535">
        <v>0</v>
      </c>
    </row>
    <row r="536" spans="1:36" x14ac:dyDescent="0.25">
      <c r="A536">
        <v>10535</v>
      </c>
      <c r="B536">
        <v>42</v>
      </c>
      <c r="C536" s="1" t="s">
        <v>60</v>
      </c>
      <c r="D536" s="1" t="s">
        <v>37</v>
      </c>
      <c r="E536" s="2">
        <v>44714</v>
      </c>
      <c r="F536" s="2">
        <v>44620</v>
      </c>
      <c r="G536" s="1" t="s">
        <v>38</v>
      </c>
      <c r="H536">
        <v>963</v>
      </c>
      <c r="I536">
        <v>20</v>
      </c>
      <c r="J536">
        <v>2</v>
      </c>
      <c r="K536">
        <v>38.840000000000003</v>
      </c>
      <c r="L536">
        <v>10</v>
      </c>
      <c r="M536" s="1" t="s">
        <v>67</v>
      </c>
      <c r="N536" s="1" t="s">
        <v>40</v>
      </c>
      <c r="O536">
        <v>19163.7</v>
      </c>
      <c r="P536" t="b">
        <v>0</v>
      </c>
      <c r="Q536">
        <v>1.6666666666666667</v>
      </c>
      <c r="R536">
        <v>958.18500000000006</v>
      </c>
      <c r="S536">
        <v>12.946666666666667</v>
      </c>
      <c r="T536" s="2">
        <v>44713</v>
      </c>
      <c r="U536" s="1" t="s">
        <v>51</v>
      </c>
      <c r="V536">
        <v>1</v>
      </c>
      <c r="W536" s="1" t="s">
        <v>40</v>
      </c>
      <c r="Y536" s="1" t="s">
        <v>52</v>
      </c>
      <c r="Z536" s="1" t="s">
        <v>42</v>
      </c>
      <c r="AA536">
        <v>9.5238095238095233E-2</v>
      </c>
      <c r="AB536" s="1" t="s">
        <v>52</v>
      </c>
      <c r="AC536">
        <v>1</v>
      </c>
      <c r="AD536" s="2">
        <v>44713</v>
      </c>
      <c r="AE536" s="1" t="s">
        <v>53</v>
      </c>
      <c r="AF536" s="1" t="s">
        <v>72</v>
      </c>
      <c r="AG536" s="1" t="s">
        <v>55</v>
      </c>
      <c r="AH536" s="1" t="s">
        <v>59</v>
      </c>
      <c r="AI536">
        <v>19260</v>
      </c>
      <c r="AJ536">
        <v>-96.299999999999272</v>
      </c>
    </row>
    <row r="537" spans="1:36" x14ac:dyDescent="0.25">
      <c r="A537">
        <v>10536</v>
      </c>
      <c r="B537">
        <v>38</v>
      </c>
      <c r="C537" s="1" t="s">
        <v>75</v>
      </c>
      <c r="D537" s="1" t="s">
        <v>69</v>
      </c>
      <c r="E537" s="2">
        <v>44410</v>
      </c>
      <c r="F537" s="2">
        <v>45160</v>
      </c>
      <c r="G537" s="1" t="s">
        <v>38</v>
      </c>
      <c r="H537">
        <v>394</v>
      </c>
      <c r="I537">
        <v>2</v>
      </c>
      <c r="J537">
        <v>2</v>
      </c>
      <c r="K537">
        <v>72.489999999999995</v>
      </c>
      <c r="L537">
        <v>0</v>
      </c>
      <c r="M537" s="1" t="s">
        <v>39</v>
      </c>
      <c r="N537" s="1" t="s">
        <v>56</v>
      </c>
      <c r="O537">
        <v>788</v>
      </c>
      <c r="P537" t="b">
        <v>1</v>
      </c>
      <c r="Q537">
        <v>0.16666666666666666</v>
      </c>
      <c r="R537">
        <v>394</v>
      </c>
      <c r="S537">
        <v>24.16333333333333</v>
      </c>
      <c r="T537" s="2">
        <v>44409</v>
      </c>
      <c r="U537" s="1" t="s">
        <v>51</v>
      </c>
      <c r="V537">
        <v>0</v>
      </c>
      <c r="W537" s="1" t="s">
        <v>56</v>
      </c>
      <c r="X537">
        <v>750</v>
      </c>
      <c r="Y537" s="1" t="s">
        <v>43</v>
      </c>
      <c r="Z537" s="1" t="s">
        <v>42</v>
      </c>
      <c r="AA537">
        <v>0.66666666666666663</v>
      </c>
      <c r="AB537" s="1" t="s">
        <v>42</v>
      </c>
      <c r="AC537">
        <v>1</v>
      </c>
      <c r="AD537" s="2">
        <v>44409</v>
      </c>
      <c r="AE537" s="1" t="s">
        <v>58</v>
      </c>
      <c r="AF537" s="1" t="s">
        <v>72</v>
      </c>
      <c r="AG537" s="1" t="s">
        <v>63</v>
      </c>
      <c r="AH537" s="1" t="s">
        <v>68</v>
      </c>
      <c r="AI537">
        <v>788</v>
      </c>
      <c r="AJ537">
        <v>0</v>
      </c>
    </row>
    <row r="538" spans="1:36" x14ac:dyDescent="0.25">
      <c r="A538">
        <v>10537</v>
      </c>
      <c r="B538">
        <v>53</v>
      </c>
      <c r="C538" s="1" t="s">
        <v>36</v>
      </c>
      <c r="D538" s="1" t="s">
        <v>69</v>
      </c>
      <c r="E538" s="2">
        <v>44914</v>
      </c>
      <c r="F538" s="2">
        <v>44355</v>
      </c>
      <c r="G538" s="1" t="s">
        <v>62</v>
      </c>
      <c r="H538">
        <v>1272</v>
      </c>
      <c r="I538">
        <v>15</v>
      </c>
      <c r="J538">
        <v>2</v>
      </c>
      <c r="K538">
        <v>40.61</v>
      </c>
      <c r="L538">
        <v>5</v>
      </c>
      <c r="M538" s="1" t="s">
        <v>65</v>
      </c>
      <c r="N538" s="1" t="s">
        <v>56</v>
      </c>
      <c r="O538">
        <v>19016.400000000001</v>
      </c>
      <c r="P538" t="b">
        <v>0</v>
      </c>
      <c r="Q538">
        <v>1.25</v>
      </c>
      <c r="R538">
        <v>1267.76</v>
      </c>
      <c r="S538">
        <v>13.536666666666667</v>
      </c>
      <c r="T538" s="2">
        <v>44896</v>
      </c>
      <c r="U538" s="1" t="s">
        <v>41</v>
      </c>
      <c r="V538">
        <v>0</v>
      </c>
      <c r="W538" s="1" t="s">
        <v>40</v>
      </c>
      <c r="Y538" s="1" t="s">
        <v>52</v>
      </c>
      <c r="Z538" s="1" t="s">
        <v>42</v>
      </c>
      <c r="AA538">
        <v>0.125</v>
      </c>
      <c r="AB538" s="1" t="s">
        <v>52</v>
      </c>
      <c r="AC538">
        <v>2</v>
      </c>
      <c r="AD538" s="2">
        <v>44896</v>
      </c>
      <c r="AE538" s="1" t="s">
        <v>53</v>
      </c>
      <c r="AF538" s="1" t="s">
        <v>72</v>
      </c>
      <c r="AG538" s="1" t="s">
        <v>55</v>
      </c>
      <c r="AH538" s="1" t="s">
        <v>47</v>
      </c>
      <c r="AI538">
        <v>19080</v>
      </c>
      <c r="AJ538">
        <v>-63.599999999998545</v>
      </c>
    </row>
    <row r="539" spans="1:36" x14ac:dyDescent="0.25">
      <c r="A539">
        <v>10538</v>
      </c>
      <c r="B539">
        <v>27</v>
      </c>
      <c r="C539" s="1" t="s">
        <v>36</v>
      </c>
      <c r="D539" s="1" t="s">
        <v>37</v>
      </c>
      <c r="E539" s="2">
        <v>44263</v>
      </c>
      <c r="F539" s="2">
        <v>44555</v>
      </c>
      <c r="G539" s="1" t="s">
        <v>49</v>
      </c>
      <c r="H539">
        <v>949</v>
      </c>
      <c r="I539">
        <v>28</v>
      </c>
      <c r="J539">
        <v>3</v>
      </c>
      <c r="K539">
        <v>83.82</v>
      </c>
      <c r="L539">
        <v>0</v>
      </c>
      <c r="M539" s="1" t="s">
        <v>50</v>
      </c>
      <c r="N539" s="1" t="s">
        <v>56</v>
      </c>
      <c r="O539">
        <v>26572</v>
      </c>
      <c r="P539" t="b">
        <v>1</v>
      </c>
      <c r="Q539">
        <v>2.3333333333333335</v>
      </c>
      <c r="R539">
        <v>949</v>
      </c>
      <c r="S539">
        <v>20.954999999999998</v>
      </c>
      <c r="T539" s="2">
        <v>44256</v>
      </c>
      <c r="U539" s="1" t="s">
        <v>57</v>
      </c>
      <c r="V539">
        <v>0</v>
      </c>
      <c r="W539" s="1" t="s">
        <v>40</v>
      </c>
      <c r="X539">
        <v>292</v>
      </c>
      <c r="Y539" s="1" t="s">
        <v>43</v>
      </c>
      <c r="Z539" s="1" t="s">
        <v>42</v>
      </c>
      <c r="AA539">
        <v>0.10344827586206896</v>
      </c>
      <c r="AB539" s="1" t="s">
        <v>43</v>
      </c>
      <c r="AC539">
        <v>3</v>
      </c>
      <c r="AD539" s="2">
        <v>44256</v>
      </c>
      <c r="AE539" s="1" t="s">
        <v>44</v>
      </c>
      <c r="AF539" s="1" t="s">
        <v>72</v>
      </c>
      <c r="AG539" s="1" t="s">
        <v>63</v>
      </c>
      <c r="AH539" s="1" t="s">
        <v>59</v>
      </c>
      <c r="AI539">
        <v>26572</v>
      </c>
      <c r="AJ539">
        <v>0</v>
      </c>
    </row>
    <row r="540" spans="1:36" x14ac:dyDescent="0.25">
      <c r="A540">
        <v>10539</v>
      </c>
      <c r="B540">
        <v>54</v>
      </c>
      <c r="C540" s="1" t="s">
        <v>36</v>
      </c>
      <c r="D540" s="1" t="s">
        <v>48</v>
      </c>
      <c r="E540" s="2">
        <v>44592</v>
      </c>
      <c r="F540" s="2">
        <v>44984</v>
      </c>
      <c r="G540" s="1" t="s">
        <v>49</v>
      </c>
      <c r="H540">
        <v>587</v>
      </c>
      <c r="I540">
        <v>13</v>
      </c>
      <c r="J540">
        <v>2</v>
      </c>
      <c r="K540">
        <v>99.53</v>
      </c>
      <c r="L540">
        <v>0</v>
      </c>
      <c r="M540" s="1" t="s">
        <v>50</v>
      </c>
      <c r="N540" s="1" t="s">
        <v>56</v>
      </c>
      <c r="O540">
        <v>7631</v>
      </c>
      <c r="P540" t="b">
        <v>1</v>
      </c>
      <c r="Q540">
        <v>1.0833333333333333</v>
      </c>
      <c r="R540">
        <v>587</v>
      </c>
      <c r="S540">
        <v>33.176666666666669</v>
      </c>
      <c r="T540" s="2">
        <v>44562</v>
      </c>
      <c r="U540" s="1" t="s">
        <v>41</v>
      </c>
      <c r="V540">
        <v>0</v>
      </c>
      <c r="W540" s="1" t="s">
        <v>56</v>
      </c>
      <c r="X540">
        <v>392</v>
      </c>
      <c r="Y540" s="1" t="s">
        <v>43</v>
      </c>
      <c r="Z540" s="1" t="s">
        <v>42</v>
      </c>
      <c r="AA540">
        <v>0.14285714285714285</v>
      </c>
      <c r="AB540" s="1" t="s">
        <v>42</v>
      </c>
      <c r="AC540">
        <v>3</v>
      </c>
      <c r="AD540" s="2">
        <v>44562</v>
      </c>
      <c r="AE540" s="1" t="s">
        <v>53</v>
      </c>
      <c r="AF540" s="1" t="s">
        <v>72</v>
      </c>
      <c r="AG540" s="1" t="s">
        <v>63</v>
      </c>
      <c r="AH540" s="1" t="s">
        <v>64</v>
      </c>
      <c r="AI540">
        <v>7631</v>
      </c>
      <c r="AJ540">
        <v>0</v>
      </c>
    </row>
    <row r="541" spans="1:36" x14ac:dyDescent="0.25">
      <c r="A541">
        <v>10540</v>
      </c>
      <c r="B541">
        <v>26</v>
      </c>
      <c r="C541" s="1" t="s">
        <v>60</v>
      </c>
      <c r="D541" s="1" t="s">
        <v>48</v>
      </c>
      <c r="E541" s="2">
        <v>44808</v>
      </c>
      <c r="F541" s="2">
        <v>44470</v>
      </c>
      <c r="G541" s="1" t="s">
        <v>38</v>
      </c>
      <c r="H541">
        <v>711</v>
      </c>
      <c r="I541">
        <v>14</v>
      </c>
      <c r="J541">
        <v>2</v>
      </c>
      <c r="K541">
        <v>53.35</v>
      </c>
      <c r="L541">
        <v>10</v>
      </c>
      <c r="M541" s="1" t="s">
        <v>67</v>
      </c>
      <c r="N541" s="1" t="s">
        <v>56</v>
      </c>
      <c r="O541">
        <v>9882.9</v>
      </c>
      <c r="P541" t="b">
        <v>0</v>
      </c>
      <c r="Q541">
        <v>1.1666666666666667</v>
      </c>
      <c r="R541">
        <v>705.92142857142858</v>
      </c>
      <c r="S541">
        <v>17.783333333333335</v>
      </c>
      <c r="T541" s="2">
        <v>44805</v>
      </c>
      <c r="U541" s="1" t="s">
        <v>57</v>
      </c>
      <c r="V541">
        <v>0</v>
      </c>
      <c r="W541" s="1" t="s">
        <v>56</v>
      </c>
      <c r="Y541" s="1" t="s">
        <v>52</v>
      </c>
      <c r="Z541" s="1" t="s">
        <v>42</v>
      </c>
      <c r="AA541">
        <v>0.13333333333333333</v>
      </c>
      <c r="AB541" s="1" t="s">
        <v>52</v>
      </c>
      <c r="AC541">
        <v>1</v>
      </c>
      <c r="AD541" s="2">
        <v>44805</v>
      </c>
      <c r="AE541" s="1" t="s">
        <v>53</v>
      </c>
      <c r="AF541" s="1" t="s">
        <v>72</v>
      </c>
      <c r="AG541" s="1" t="s">
        <v>63</v>
      </c>
      <c r="AH541" s="1" t="s">
        <v>59</v>
      </c>
      <c r="AI541">
        <v>9954</v>
      </c>
      <c r="AJ541">
        <v>-71.100000000000364</v>
      </c>
    </row>
    <row r="542" spans="1:36" x14ac:dyDescent="0.25">
      <c r="A542">
        <v>10541</v>
      </c>
      <c r="B542">
        <v>41</v>
      </c>
      <c r="C542" s="1" t="s">
        <v>60</v>
      </c>
      <c r="D542" s="1" t="s">
        <v>69</v>
      </c>
      <c r="E542" s="2">
        <v>44208</v>
      </c>
      <c r="F542" s="2">
        <v>44380</v>
      </c>
      <c r="G542" s="1" t="s">
        <v>38</v>
      </c>
      <c r="H542">
        <v>699</v>
      </c>
      <c r="I542">
        <v>2</v>
      </c>
      <c r="J542">
        <v>5</v>
      </c>
      <c r="K542">
        <v>108.52</v>
      </c>
      <c r="L542">
        <v>5</v>
      </c>
      <c r="M542" s="1" t="s">
        <v>50</v>
      </c>
      <c r="N542" s="1" t="s">
        <v>56</v>
      </c>
      <c r="O542">
        <v>1363.05</v>
      </c>
      <c r="P542" t="b">
        <v>1</v>
      </c>
      <c r="Q542">
        <v>0.16666666666666666</v>
      </c>
      <c r="R542">
        <v>681.52499999999998</v>
      </c>
      <c r="S542">
        <v>18.086666666666666</v>
      </c>
      <c r="T542" s="2">
        <v>44197</v>
      </c>
      <c r="U542" s="1" t="s">
        <v>51</v>
      </c>
      <c r="V542">
        <v>0</v>
      </c>
      <c r="W542" s="1" t="s">
        <v>56</v>
      </c>
      <c r="X542">
        <v>172</v>
      </c>
      <c r="Y542" s="1" t="s">
        <v>43</v>
      </c>
      <c r="Z542" s="1" t="s">
        <v>42</v>
      </c>
      <c r="AA542">
        <v>1.6666666666666667</v>
      </c>
      <c r="AB542" s="1" t="s">
        <v>42</v>
      </c>
      <c r="AC542">
        <v>1</v>
      </c>
      <c r="AD542" s="2">
        <v>44197</v>
      </c>
      <c r="AE542" s="1" t="s">
        <v>58</v>
      </c>
      <c r="AF542" s="1" t="s">
        <v>45</v>
      </c>
      <c r="AG542" s="1" t="s">
        <v>63</v>
      </c>
      <c r="AH542" s="1" t="s">
        <v>64</v>
      </c>
      <c r="AI542">
        <v>1398</v>
      </c>
      <c r="AJ542">
        <v>-34.950000000000045</v>
      </c>
    </row>
    <row r="543" spans="1:36" x14ac:dyDescent="0.25">
      <c r="A543">
        <v>10542</v>
      </c>
      <c r="B543">
        <v>52</v>
      </c>
      <c r="C543" s="1" t="s">
        <v>60</v>
      </c>
      <c r="D543" s="1" t="s">
        <v>69</v>
      </c>
      <c r="E543" s="2">
        <v>44433</v>
      </c>
      <c r="F543" s="2">
        <v>44860</v>
      </c>
      <c r="G543" s="1" t="s">
        <v>62</v>
      </c>
      <c r="H543">
        <v>827</v>
      </c>
      <c r="I543">
        <v>34</v>
      </c>
      <c r="J543">
        <v>2</v>
      </c>
      <c r="K543">
        <v>62.59</v>
      </c>
      <c r="L543">
        <v>10</v>
      </c>
      <c r="M543" s="1" t="s">
        <v>50</v>
      </c>
      <c r="N543" s="1" t="s">
        <v>56</v>
      </c>
      <c r="O543">
        <v>28035.3</v>
      </c>
      <c r="P543" t="b">
        <v>1</v>
      </c>
      <c r="Q543">
        <v>2.8333333333333335</v>
      </c>
      <c r="R543">
        <v>824.56764705882347</v>
      </c>
      <c r="S543">
        <v>20.863333333333333</v>
      </c>
      <c r="T543" s="2">
        <v>44409</v>
      </c>
      <c r="U543" s="1" t="s">
        <v>41</v>
      </c>
      <c r="V543">
        <v>0</v>
      </c>
      <c r="W543" s="1" t="s">
        <v>40</v>
      </c>
      <c r="X543">
        <v>427</v>
      </c>
      <c r="Y543" s="1" t="s">
        <v>43</v>
      </c>
      <c r="Z543" s="1" t="s">
        <v>42</v>
      </c>
      <c r="AA543">
        <v>5.7142857142857141E-2</v>
      </c>
      <c r="AB543" s="1" t="s">
        <v>43</v>
      </c>
      <c r="AC543">
        <v>2</v>
      </c>
      <c r="AD543" s="2">
        <v>44409</v>
      </c>
      <c r="AE543" s="1" t="s">
        <v>44</v>
      </c>
      <c r="AF543" s="1" t="s">
        <v>72</v>
      </c>
      <c r="AG543" s="1" t="s">
        <v>63</v>
      </c>
      <c r="AH543" s="1" t="s">
        <v>59</v>
      </c>
      <c r="AI543">
        <v>28118</v>
      </c>
      <c r="AJ543">
        <v>-82.700000000000728</v>
      </c>
    </row>
    <row r="544" spans="1:36" x14ac:dyDescent="0.25">
      <c r="A544">
        <v>10543</v>
      </c>
      <c r="B544">
        <v>52</v>
      </c>
      <c r="C544" s="1" t="s">
        <v>36</v>
      </c>
      <c r="D544" s="1" t="s">
        <v>37</v>
      </c>
      <c r="E544" s="2">
        <v>45030</v>
      </c>
      <c r="F544" s="2">
        <v>44551</v>
      </c>
      <c r="G544" s="1" t="s">
        <v>62</v>
      </c>
      <c r="H544">
        <v>1341</v>
      </c>
      <c r="I544">
        <v>35</v>
      </c>
      <c r="J544">
        <v>2</v>
      </c>
      <c r="K544">
        <v>101.61</v>
      </c>
      <c r="L544">
        <v>5</v>
      </c>
      <c r="M544" s="1" t="s">
        <v>50</v>
      </c>
      <c r="N544" s="1" t="s">
        <v>56</v>
      </c>
      <c r="O544">
        <v>46867.95</v>
      </c>
      <c r="P544" t="b">
        <v>0</v>
      </c>
      <c r="Q544">
        <v>2.9166666666666665</v>
      </c>
      <c r="R544">
        <v>1339.0842857142857</v>
      </c>
      <c r="S544">
        <v>33.869999999999997</v>
      </c>
      <c r="T544" s="2">
        <v>45017</v>
      </c>
      <c r="U544" s="1" t="s">
        <v>41</v>
      </c>
      <c r="V544">
        <v>0</v>
      </c>
      <c r="W544" s="1" t="s">
        <v>40</v>
      </c>
      <c r="Y544" s="1" t="s">
        <v>43</v>
      </c>
      <c r="Z544" s="1" t="s">
        <v>42</v>
      </c>
      <c r="AA544">
        <v>5.5555555555555552E-2</v>
      </c>
      <c r="AB544" s="1" t="s">
        <v>43</v>
      </c>
      <c r="AC544">
        <v>2</v>
      </c>
      <c r="AD544" s="2">
        <v>45017</v>
      </c>
      <c r="AE544" s="1" t="s">
        <v>44</v>
      </c>
      <c r="AF544" s="1" t="s">
        <v>72</v>
      </c>
      <c r="AG544" s="1" t="s">
        <v>63</v>
      </c>
      <c r="AH544" s="1" t="s">
        <v>47</v>
      </c>
      <c r="AI544">
        <v>46935</v>
      </c>
      <c r="AJ544">
        <v>-67.05000000000291</v>
      </c>
    </row>
    <row r="545" spans="1:36" x14ac:dyDescent="0.25">
      <c r="A545">
        <v>10544</v>
      </c>
      <c r="B545">
        <v>53</v>
      </c>
      <c r="C545" s="1" t="s">
        <v>36</v>
      </c>
      <c r="D545" s="1" t="s">
        <v>48</v>
      </c>
      <c r="E545" s="2">
        <v>44966</v>
      </c>
      <c r="F545" s="2">
        <v>44865</v>
      </c>
      <c r="G545" s="1" t="s">
        <v>38</v>
      </c>
      <c r="H545">
        <v>435</v>
      </c>
      <c r="I545">
        <v>25</v>
      </c>
      <c r="J545">
        <v>3</v>
      </c>
      <c r="K545">
        <v>100.29</v>
      </c>
      <c r="L545">
        <v>20</v>
      </c>
      <c r="M545" s="1" t="s">
        <v>39</v>
      </c>
      <c r="N545" s="1" t="s">
        <v>40</v>
      </c>
      <c r="O545">
        <v>10788</v>
      </c>
      <c r="P545" t="b">
        <v>0</v>
      </c>
      <c r="Q545">
        <v>2.0833333333333335</v>
      </c>
      <c r="R545">
        <v>431.52</v>
      </c>
      <c r="S545">
        <v>25.072500000000002</v>
      </c>
      <c r="T545" s="2">
        <v>44958</v>
      </c>
      <c r="U545" s="1" t="s">
        <v>41</v>
      </c>
      <c r="V545">
        <v>1</v>
      </c>
      <c r="W545" s="1" t="s">
        <v>56</v>
      </c>
      <c r="Y545" s="1" t="s">
        <v>43</v>
      </c>
      <c r="Z545" s="1" t="s">
        <v>52</v>
      </c>
      <c r="AA545">
        <v>0.11538461538461539</v>
      </c>
      <c r="AB545" s="1" t="s">
        <v>52</v>
      </c>
      <c r="AC545">
        <v>1</v>
      </c>
      <c r="AD545" s="2">
        <v>44958</v>
      </c>
      <c r="AE545" s="1" t="s">
        <v>44</v>
      </c>
      <c r="AF545" s="1" t="s">
        <v>72</v>
      </c>
      <c r="AG545" s="1" t="s">
        <v>63</v>
      </c>
      <c r="AH545" s="1" t="s">
        <v>68</v>
      </c>
      <c r="AI545">
        <v>10875</v>
      </c>
      <c r="AJ545">
        <v>-87</v>
      </c>
    </row>
    <row r="546" spans="1:36" x14ac:dyDescent="0.25">
      <c r="A546">
        <v>10545</v>
      </c>
      <c r="B546">
        <v>35</v>
      </c>
      <c r="C546" s="1" t="s">
        <v>36</v>
      </c>
      <c r="D546" s="1" t="s">
        <v>69</v>
      </c>
      <c r="E546" s="2">
        <v>44595</v>
      </c>
      <c r="F546" s="2">
        <v>45156</v>
      </c>
      <c r="G546" s="1" t="s">
        <v>49</v>
      </c>
      <c r="H546">
        <v>1058</v>
      </c>
      <c r="I546">
        <v>15</v>
      </c>
      <c r="J546">
        <v>1</v>
      </c>
      <c r="K546">
        <v>42.03</v>
      </c>
      <c r="L546">
        <v>15</v>
      </c>
      <c r="M546" s="1" t="s">
        <v>50</v>
      </c>
      <c r="N546" s="1" t="s">
        <v>56</v>
      </c>
      <c r="O546">
        <v>15711.3</v>
      </c>
      <c r="P546" t="b">
        <v>1</v>
      </c>
      <c r="Q546">
        <v>1.25</v>
      </c>
      <c r="R546">
        <v>1047.4199999999998</v>
      </c>
      <c r="S546">
        <v>21.015000000000001</v>
      </c>
      <c r="T546" s="2">
        <v>44593</v>
      </c>
      <c r="U546" s="1" t="s">
        <v>57</v>
      </c>
      <c r="V546">
        <v>0</v>
      </c>
      <c r="W546" s="1" t="s">
        <v>40</v>
      </c>
      <c r="X546">
        <v>561</v>
      </c>
      <c r="Y546" s="1" t="s">
        <v>52</v>
      </c>
      <c r="Z546" s="1" t="s">
        <v>42</v>
      </c>
      <c r="AA546">
        <v>6.25E-2</v>
      </c>
      <c r="AB546" s="1" t="s">
        <v>52</v>
      </c>
      <c r="AC546">
        <v>3</v>
      </c>
      <c r="AD546" s="2">
        <v>44593</v>
      </c>
      <c r="AE546" s="1" t="s">
        <v>53</v>
      </c>
      <c r="AF546" s="1" t="s">
        <v>54</v>
      </c>
      <c r="AG546" s="1" t="s">
        <v>55</v>
      </c>
      <c r="AH546" s="1" t="s">
        <v>47</v>
      </c>
      <c r="AI546">
        <v>15870</v>
      </c>
      <c r="AJ546">
        <v>-158.70000000000073</v>
      </c>
    </row>
    <row r="547" spans="1:36" x14ac:dyDescent="0.25">
      <c r="A547">
        <v>10546</v>
      </c>
      <c r="B547">
        <v>56</v>
      </c>
      <c r="C547" s="1" t="s">
        <v>60</v>
      </c>
      <c r="D547" s="1" t="s">
        <v>48</v>
      </c>
      <c r="E547" s="2">
        <v>44603</v>
      </c>
      <c r="F547" s="2">
        <v>44864</v>
      </c>
      <c r="G547" s="1" t="s">
        <v>49</v>
      </c>
      <c r="H547">
        <v>1142</v>
      </c>
      <c r="I547">
        <v>12</v>
      </c>
      <c r="J547">
        <v>3</v>
      </c>
      <c r="K547">
        <v>39.35</v>
      </c>
      <c r="L547">
        <v>15</v>
      </c>
      <c r="M547" s="1" t="s">
        <v>39</v>
      </c>
      <c r="N547" s="1" t="s">
        <v>40</v>
      </c>
      <c r="O547">
        <v>13532.7</v>
      </c>
      <c r="P547" t="b">
        <v>1</v>
      </c>
      <c r="Q547">
        <v>1</v>
      </c>
      <c r="R547">
        <v>1127.7250000000001</v>
      </c>
      <c r="S547">
        <v>9.8375000000000004</v>
      </c>
      <c r="T547" s="2">
        <v>44593</v>
      </c>
      <c r="U547" s="1" t="s">
        <v>41</v>
      </c>
      <c r="V547">
        <v>1</v>
      </c>
      <c r="W547" s="1" t="s">
        <v>40</v>
      </c>
      <c r="X547">
        <v>261</v>
      </c>
      <c r="Y547" s="1" t="s">
        <v>52</v>
      </c>
      <c r="Z547" s="1" t="s">
        <v>42</v>
      </c>
      <c r="AA547">
        <v>0.23076923076923078</v>
      </c>
      <c r="AB547" s="1" t="s">
        <v>52</v>
      </c>
      <c r="AC547">
        <v>3</v>
      </c>
      <c r="AD547" s="2">
        <v>44593</v>
      </c>
      <c r="AE547" s="1" t="s">
        <v>74</v>
      </c>
      <c r="AF547" s="1" t="s">
        <v>72</v>
      </c>
      <c r="AG547" s="1" t="s">
        <v>55</v>
      </c>
      <c r="AH547" s="1" t="s">
        <v>47</v>
      </c>
      <c r="AI547">
        <v>13704</v>
      </c>
      <c r="AJ547">
        <v>-171.29999999999927</v>
      </c>
    </row>
    <row r="548" spans="1:36" x14ac:dyDescent="0.25">
      <c r="A548">
        <v>10547</v>
      </c>
      <c r="B548">
        <v>49</v>
      </c>
      <c r="C548" s="1" t="s">
        <v>60</v>
      </c>
      <c r="D548" s="1" t="s">
        <v>69</v>
      </c>
      <c r="E548" s="2">
        <v>45045</v>
      </c>
      <c r="F548" s="2">
        <v>44790</v>
      </c>
      <c r="G548" s="1" t="s">
        <v>38</v>
      </c>
      <c r="H548">
        <v>1009</v>
      </c>
      <c r="I548">
        <v>9</v>
      </c>
      <c r="J548">
        <v>1</v>
      </c>
      <c r="K548">
        <v>40.090000000000003</v>
      </c>
      <c r="L548">
        <v>10</v>
      </c>
      <c r="M548" s="1" t="s">
        <v>67</v>
      </c>
      <c r="N548" s="1" t="s">
        <v>56</v>
      </c>
      <c r="O548">
        <v>8980.1</v>
      </c>
      <c r="P548" t="b">
        <v>0</v>
      </c>
      <c r="Q548">
        <v>0.75</v>
      </c>
      <c r="R548">
        <v>997.78888888888889</v>
      </c>
      <c r="S548">
        <v>20.045000000000002</v>
      </c>
      <c r="T548" s="2">
        <v>45017</v>
      </c>
      <c r="U548" s="1" t="s">
        <v>51</v>
      </c>
      <c r="V548">
        <v>0</v>
      </c>
      <c r="W548" s="1" t="s">
        <v>56</v>
      </c>
      <c r="Y548" s="1" t="s">
        <v>52</v>
      </c>
      <c r="Z548" s="1" t="s">
        <v>42</v>
      </c>
      <c r="AA548">
        <v>0.1</v>
      </c>
      <c r="AB548" s="1" t="s">
        <v>52</v>
      </c>
      <c r="AC548">
        <v>1</v>
      </c>
      <c r="AD548" s="2">
        <v>45017</v>
      </c>
      <c r="AE548" s="1" t="s">
        <v>74</v>
      </c>
      <c r="AF548" s="1" t="s">
        <v>54</v>
      </c>
      <c r="AG548" s="1" t="s">
        <v>55</v>
      </c>
      <c r="AH548" s="1" t="s">
        <v>47</v>
      </c>
      <c r="AI548">
        <v>9081</v>
      </c>
      <c r="AJ548">
        <v>-100.89999999999964</v>
      </c>
    </row>
    <row r="549" spans="1:36" x14ac:dyDescent="0.25">
      <c r="A549">
        <v>10548</v>
      </c>
      <c r="B549">
        <v>41</v>
      </c>
      <c r="C549" s="1" t="s">
        <v>36</v>
      </c>
      <c r="D549" s="1" t="s">
        <v>71</v>
      </c>
      <c r="E549" s="2">
        <v>44676</v>
      </c>
      <c r="F549" s="2">
        <v>44939</v>
      </c>
      <c r="G549" s="1" t="s">
        <v>49</v>
      </c>
      <c r="H549">
        <v>1324</v>
      </c>
      <c r="I549">
        <v>31</v>
      </c>
      <c r="J549">
        <v>2</v>
      </c>
      <c r="K549">
        <v>98.31</v>
      </c>
      <c r="L549">
        <v>5</v>
      </c>
      <c r="M549" s="1" t="s">
        <v>65</v>
      </c>
      <c r="N549" s="1" t="s">
        <v>56</v>
      </c>
      <c r="O549">
        <v>40977.800000000003</v>
      </c>
      <c r="P549" t="b">
        <v>1</v>
      </c>
      <c r="Q549">
        <v>2.5833333333333335</v>
      </c>
      <c r="R549">
        <v>1321.8645161290324</v>
      </c>
      <c r="S549">
        <v>32.770000000000003</v>
      </c>
      <c r="T549" s="2">
        <v>44652</v>
      </c>
      <c r="U549" s="1" t="s">
        <v>51</v>
      </c>
      <c r="V549">
        <v>0</v>
      </c>
      <c r="W549" s="1" t="s">
        <v>40</v>
      </c>
      <c r="X549">
        <v>263</v>
      </c>
      <c r="Y549" s="1" t="s">
        <v>43</v>
      </c>
      <c r="Z549" s="1" t="s">
        <v>42</v>
      </c>
      <c r="AA549">
        <v>6.25E-2</v>
      </c>
      <c r="AB549" s="1" t="s">
        <v>43</v>
      </c>
      <c r="AC549">
        <v>3</v>
      </c>
      <c r="AD549" s="2">
        <v>44652</v>
      </c>
      <c r="AE549" s="1" t="s">
        <v>44</v>
      </c>
      <c r="AF549" s="1" t="s">
        <v>72</v>
      </c>
      <c r="AG549" s="1" t="s">
        <v>63</v>
      </c>
      <c r="AH549" s="1" t="s">
        <v>47</v>
      </c>
      <c r="AI549">
        <v>41044</v>
      </c>
      <c r="AJ549">
        <v>-66.19999999999709</v>
      </c>
    </row>
    <row r="550" spans="1:36" x14ac:dyDescent="0.25">
      <c r="A550">
        <v>10549</v>
      </c>
      <c r="B550">
        <v>40</v>
      </c>
      <c r="C550" s="1" t="s">
        <v>36</v>
      </c>
      <c r="D550" s="1" t="s">
        <v>61</v>
      </c>
      <c r="E550" s="2">
        <v>44843</v>
      </c>
      <c r="F550" s="2">
        <v>45133</v>
      </c>
      <c r="G550" s="1" t="s">
        <v>38</v>
      </c>
      <c r="H550">
        <v>680</v>
      </c>
      <c r="I550">
        <v>14</v>
      </c>
      <c r="J550">
        <v>2</v>
      </c>
      <c r="K550">
        <v>100.64</v>
      </c>
      <c r="L550">
        <v>0</v>
      </c>
      <c r="M550" s="1" t="s">
        <v>50</v>
      </c>
      <c r="N550" s="1" t="s">
        <v>56</v>
      </c>
      <c r="O550">
        <v>9520</v>
      </c>
      <c r="P550" t="b">
        <v>1</v>
      </c>
      <c r="Q550">
        <v>1.1666666666666667</v>
      </c>
      <c r="R550">
        <v>680</v>
      </c>
      <c r="S550">
        <v>33.546666666666667</v>
      </c>
      <c r="T550" s="2">
        <v>44835</v>
      </c>
      <c r="U550" s="1" t="s">
        <v>51</v>
      </c>
      <c r="V550">
        <v>0</v>
      </c>
      <c r="W550" s="1" t="s">
        <v>56</v>
      </c>
      <c r="X550">
        <v>290</v>
      </c>
      <c r="Y550" s="1" t="s">
        <v>43</v>
      </c>
      <c r="Z550" s="1" t="s">
        <v>42</v>
      </c>
      <c r="AA550">
        <v>0.13333333333333333</v>
      </c>
      <c r="AB550" s="1" t="s">
        <v>52</v>
      </c>
      <c r="AC550">
        <v>1</v>
      </c>
      <c r="AD550" s="2">
        <v>44835</v>
      </c>
      <c r="AE550" s="1" t="s">
        <v>53</v>
      </c>
      <c r="AF550" s="1" t="s">
        <v>72</v>
      </c>
      <c r="AG550" s="1" t="s">
        <v>63</v>
      </c>
      <c r="AH550" s="1" t="s">
        <v>64</v>
      </c>
      <c r="AI550">
        <v>9520</v>
      </c>
      <c r="AJ550">
        <v>0</v>
      </c>
    </row>
    <row r="551" spans="1:36" x14ac:dyDescent="0.25">
      <c r="A551">
        <v>10550</v>
      </c>
      <c r="B551">
        <v>49</v>
      </c>
      <c r="C551" s="1" t="s">
        <v>36</v>
      </c>
      <c r="D551" s="1" t="s">
        <v>73</v>
      </c>
      <c r="E551" s="2">
        <v>44418</v>
      </c>
      <c r="F551" s="2">
        <v>45036</v>
      </c>
      <c r="G551" s="1" t="s">
        <v>62</v>
      </c>
      <c r="H551">
        <v>808</v>
      </c>
      <c r="I551">
        <v>29</v>
      </c>
      <c r="J551">
        <v>2</v>
      </c>
      <c r="K551">
        <v>42.92</v>
      </c>
      <c r="L551">
        <v>15</v>
      </c>
      <c r="M551" s="1" t="s">
        <v>65</v>
      </c>
      <c r="N551" s="1" t="s">
        <v>56</v>
      </c>
      <c r="O551">
        <v>23310.799999999999</v>
      </c>
      <c r="P551" t="b">
        <v>1</v>
      </c>
      <c r="Q551">
        <v>2.4166666666666665</v>
      </c>
      <c r="R551">
        <v>803.82068965517237</v>
      </c>
      <c r="S551">
        <v>14.306666666666667</v>
      </c>
      <c r="T551" s="2">
        <v>44409</v>
      </c>
      <c r="U551" s="1" t="s">
        <v>51</v>
      </c>
      <c r="V551">
        <v>0</v>
      </c>
      <c r="W551" s="1" t="s">
        <v>40</v>
      </c>
      <c r="X551">
        <v>618</v>
      </c>
      <c r="Y551" s="1" t="s">
        <v>52</v>
      </c>
      <c r="Z551" s="1" t="s">
        <v>42</v>
      </c>
      <c r="AA551">
        <v>6.6666666666666666E-2</v>
      </c>
      <c r="AB551" s="1" t="s">
        <v>43</v>
      </c>
      <c r="AC551">
        <v>2</v>
      </c>
      <c r="AD551" s="2">
        <v>44409</v>
      </c>
      <c r="AE551" s="1" t="s">
        <v>44</v>
      </c>
      <c r="AF551" s="1" t="s">
        <v>72</v>
      </c>
      <c r="AG551" s="1" t="s">
        <v>55</v>
      </c>
      <c r="AH551" s="1" t="s">
        <v>59</v>
      </c>
      <c r="AI551">
        <v>23432</v>
      </c>
      <c r="AJ551">
        <v>-121.20000000000073</v>
      </c>
    </row>
    <row r="552" spans="1:36" x14ac:dyDescent="0.25">
      <c r="A552">
        <v>10551</v>
      </c>
      <c r="B552">
        <v>54</v>
      </c>
      <c r="C552" s="1" t="s">
        <v>60</v>
      </c>
      <c r="D552" s="1" t="s">
        <v>71</v>
      </c>
      <c r="E552" s="2">
        <v>44352</v>
      </c>
      <c r="F552" s="2">
        <v>45197</v>
      </c>
      <c r="G552" s="1" t="s">
        <v>62</v>
      </c>
      <c r="H552">
        <v>1105</v>
      </c>
      <c r="I552">
        <v>8</v>
      </c>
      <c r="J552">
        <v>2</v>
      </c>
      <c r="K552">
        <v>73.150000000000006</v>
      </c>
      <c r="L552">
        <v>10</v>
      </c>
      <c r="M552" s="1" t="s">
        <v>39</v>
      </c>
      <c r="N552" s="1" t="s">
        <v>56</v>
      </c>
      <c r="O552">
        <v>8729.5</v>
      </c>
      <c r="P552" t="b">
        <v>1</v>
      </c>
      <c r="Q552">
        <v>0.66666666666666663</v>
      </c>
      <c r="R552">
        <v>1091.1875</v>
      </c>
      <c r="S552">
        <v>24.383333333333336</v>
      </c>
      <c r="T552" s="2">
        <v>44348</v>
      </c>
      <c r="U552" s="1" t="s">
        <v>41</v>
      </c>
      <c r="V552">
        <v>0</v>
      </c>
      <c r="W552" s="1" t="s">
        <v>56</v>
      </c>
      <c r="X552">
        <v>845</v>
      </c>
      <c r="Y552" s="1" t="s">
        <v>43</v>
      </c>
      <c r="Z552" s="1" t="s">
        <v>42</v>
      </c>
      <c r="AA552">
        <v>0.22222222222222221</v>
      </c>
      <c r="AB552" s="1" t="s">
        <v>42</v>
      </c>
      <c r="AC552">
        <v>2</v>
      </c>
      <c r="AD552" s="2">
        <v>44348</v>
      </c>
      <c r="AE552" s="1" t="s">
        <v>74</v>
      </c>
      <c r="AF552" s="1" t="s">
        <v>72</v>
      </c>
      <c r="AG552" s="1" t="s">
        <v>63</v>
      </c>
      <c r="AH552" s="1" t="s">
        <v>47</v>
      </c>
      <c r="AI552">
        <v>8840</v>
      </c>
      <c r="AJ552">
        <v>-110.5</v>
      </c>
    </row>
    <row r="553" spans="1:36" x14ac:dyDescent="0.25">
      <c r="A553">
        <v>10552</v>
      </c>
      <c r="B553">
        <v>29</v>
      </c>
      <c r="C553" s="1" t="s">
        <v>36</v>
      </c>
      <c r="D553" s="1" t="s">
        <v>73</v>
      </c>
      <c r="E553" s="2">
        <v>44850</v>
      </c>
      <c r="F553" s="2">
        <v>45180</v>
      </c>
      <c r="G553" s="1" t="s">
        <v>38</v>
      </c>
      <c r="H553">
        <v>775</v>
      </c>
      <c r="I553">
        <v>3</v>
      </c>
      <c r="J553">
        <v>5</v>
      </c>
      <c r="K553">
        <v>20.98</v>
      </c>
      <c r="L553">
        <v>10</v>
      </c>
      <c r="M553" s="1" t="s">
        <v>67</v>
      </c>
      <c r="N553" s="1" t="s">
        <v>56</v>
      </c>
      <c r="O553">
        <v>2247.5</v>
      </c>
      <c r="P553" t="b">
        <v>1</v>
      </c>
      <c r="Q553">
        <v>0.25</v>
      </c>
      <c r="R553">
        <v>749.16666666666663</v>
      </c>
      <c r="S553">
        <v>3.4966666666666666</v>
      </c>
      <c r="T553" s="2">
        <v>44835</v>
      </c>
      <c r="U553" s="1" t="s">
        <v>57</v>
      </c>
      <c r="V553">
        <v>0</v>
      </c>
      <c r="W553" s="1" t="s">
        <v>56</v>
      </c>
      <c r="X553">
        <v>330</v>
      </c>
      <c r="Y553" s="1" t="s">
        <v>52</v>
      </c>
      <c r="Z553" s="1" t="s">
        <v>42</v>
      </c>
      <c r="AA553">
        <v>1.25</v>
      </c>
      <c r="AB553" s="1" t="s">
        <v>42</v>
      </c>
      <c r="AC553">
        <v>1</v>
      </c>
      <c r="AD553" s="2">
        <v>44835</v>
      </c>
      <c r="AE553" s="1" t="s">
        <v>58</v>
      </c>
      <c r="AF553" s="1" t="s">
        <v>45</v>
      </c>
      <c r="AG553" s="1" t="s">
        <v>70</v>
      </c>
      <c r="AH553" s="1" t="s">
        <v>59</v>
      </c>
      <c r="AI553">
        <v>2325</v>
      </c>
      <c r="AJ553">
        <v>-77.5</v>
      </c>
    </row>
    <row r="554" spans="1:36" x14ac:dyDescent="0.25">
      <c r="A554">
        <v>10553</v>
      </c>
      <c r="B554">
        <v>30</v>
      </c>
      <c r="C554" s="1" t="s">
        <v>60</v>
      </c>
      <c r="D554" s="1" t="s">
        <v>69</v>
      </c>
      <c r="E554" s="2">
        <v>44624</v>
      </c>
      <c r="F554" s="2">
        <v>44686</v>
      </c>
      <c r="G554" s="1" t="s">
        <v>49</v>
      </c>
      <c r="H554">
        <v>1253</v>
      </c>
      <c r="I554">
        <v>2</v>
      </c>
      <c r="J554">
        <v>3</v>
      </c>
      <c r="K554">
        <v>58.91</v>
      </c>
      <c r="L554">
        <v>10</v>
      </c>
      <c r="M554" s="1" t="s">
        <v>67</v>
      </c>
      <c r="N554" s="1" t="s">
        <v>56</v>
      </c>
      <c r="O554">
        <v>2380.6999999999998</v>
      </c>
      <c r="P554" t="b">
        <v>1</v>
      </c>
      <c r="Q554">
        <v>0.16666666666666666</v>
      </c>
      <c r="R554">
        <v>1190.3499999999999</v>
      </c>
      <c r="S554">
        <v>14.727499999999999</v>
      </c>
      <c r="T554" s="2">
        <v>44621</v>
      </c>
      <c r="U554" s="1" t="s">
        <v>57</v>
      </c>
      <c r="V554">
        <v>0</v>
      </c>
      <c r="W554" s="1" t="s">
        <v>56</v>
      </c>
      <c r="X554">
        <v>62</v>
      </c>
      <c r="Y554" s="1" t="s">
        <v>52</v>
      </c>
      <c r="Z554" s="1" t="s">
        <v>42</v>
      </c>
      <c r="AA554">
        <v>1</v>
      </c>
      <c r="AB554" s="1" t="s">
        <v>42</v>
      </c>
      <c r="AC554">
        <v>3</v>
      </c>
      <c r="AD554" s="2">
        <v>44621</v>
      </c>
      <c r="AE554" s="1" t="s">
        <v>58</v>
      </c>
      <c r="AF554" s="1" t="s">
        <v>72</v>
      </c>
      <c r="AG554" s="1" t="s">
        <v>63</v>
      </c>
      <c r="AH554" s="1" t="s">
        <v>47</v>
      </c>
      <c r="AI554">
        <v>2506</v>
      </c>
      <c r="AJ554">
        <v>-125.30000000000018</v>
      </c>
    </row>
    <row r="555" spans="1:36" x14ac:dyDescent="0.25">
      <c r="A555">
        <v>10554</v>
      </c>
      <c r="B555">
        <v>40</v>
      </c>
      <c r="C555" s="1" t="s">
        <v>36</v>
      </c>
      <c r="D555" s="1" t="s">
        <v>61</v>
      </c>
      <c r="E555" s="2">
        <v>44354</v>
      </c>
      <c r="F555" s="2">
        <v>44785</v>
      </c>
      <c r="G555" s="1" t="s">
        <v>62</v>
      </c>
      <c r="H555">
        <v>1148</v>
      </c>
      <c r="I555">
        <v>16</v>
      </c>
      <c r="J555">
        <v>0</v>
      </c>
      <c r="K555">
        <v>119.86</v>
      </c>
      <c r="L555">
        <v>5</v>
      </c>
      <c r="M555" s="1" t="s">
        <v>39</v>
      </c>
      <c r="N555" s="1" t="s">
        <v>56</v>
      </c>
      <c r="O555">
        <v>18310.599999999999</v>
      </c>
      <c r="P555" t="b">
        <v>1</v>
      </c>
      <c r="Q555">
        <v>1.3333333333333333</v>
      </c>
      <c r="R555">
        <v>1144.4124999999999</v>
      </c>
      <c r="S555">
        <v>119.86</v>
      </c>
      <c r="T555" s="2">
        <v>44348</v>
      </c>
      <c r="U555" s="1" t="s">
        <v>51</v>
      </c>
      <c r="V555">
        <v>0</v>
      </c>
      <c r="W555" s="1" t="s">
        <v>40</v>
      </c>
      <c r="X555">
        <v>431</v>
      </c>
      <c r="Y555" s="1" t="s">
        <v>43</v>
      </c>
      <c r="Z555" s="1" t="s">
        <v>42</v>
      </c>
      <c r="AA555">
        <v>0</v>
      </c>
      <c r="AB555" s="1" t="s">
        <v>52</v>
      </c>
      <c r="AC555">
        <v>2</v>
      </c>
      <c r="AD555" s="2">
        <v>44348</v>
      </c>
      <c r="AE555" s="1" t="s">
        <v>53</v>
      </c>
      <c r="AF555" s="1" t="s">
        <v>54</v>
      </c>
      <c r="AG555" s="1" t="s">
        <v>63</v>
      </c>
      <c r="AH555" s="1" t="s">
        <v>47</v>
      </c>
      <c r="AI555">
        <v>18368</v>
      </c>
      <c r="AJ555">
        <v>-57.400000000001455</v>
      </c>
    </row>
    <row r="556" spans="1:36" x14ac:dyDescent="0.25">
      <c r="A556">
        <v>10555</v>
      </c>
      <c r="B556">
        <v>42</v>
      </c>
      <c r="C556" s="1" t="s">
        <v>60</v>
      </c>
      <c r="D556" s="1" t="s">
        <v>61</v>
      </c>
      <c r="E556" s="2">
        <v>44612</v>
      </c>
      <c r="F556" s="2">
        <v>44792</v>
      </c>
      <c r="G556" s="1" t="s">
        <v>62</v>
      </c>
      <c r="H556">
        <v>1196</v>
      </c>
      <c r="I556">
        <v>19</v>
      </c>
      <c r="J556">
        <v>1</v>
      </c>
      <c r="K556">
        <v>23.27</v>
      </c>
      <c r="L556">
        <v>10</v>
      </c>
      <c r="M556" s="1" t="s">
        <v>65</v>
      </c>
      <c r="N556" s="1" t="s">
        <v>56</v>
      </c>
      <c r="O556">
        <v>22604.400000000001</v>
      </c>
      <c r="P556" t="b">
        <v>1</v>
      </c>
      <c r="Q556">
        <v>1.5833333333333333</v>
      </c>
      <c r="R556">
        <v>1189.7052631578947</v>
      </c>
      <c r="S556">
        <v>11.635</v>
      </c>
      <c r="T556" s="2">
        <v>44593</v>
      </c>
      <c r="U556" s="1" t="s">
        <v>51</v>
      </c>
      <c r="V556">
        <v>0</v>
      </c>
      <c r="W556" s="1" t="s">
        <v>40</v>
      </c>
      <c r="X556">
        <v>180</v>
      </c>
      <c r="Y556" s="1" t="s">
        <v>52</v>
      </c>
      <c r="Z556" s="1" t="s">
        <v>42</v>
      </c>
      <c r="AA556">
        <v>0.05</v>
      </c>
      <c r="AB556" s="1" t="s">
        <v>43</v>
      </c>
      <c r="AC556">
        <v>2</v>
      </c>
      <c r="AD556" s="2">
        <v>44593</v>
      </c>
      <c r="AE556" s="1" t="s">
        <v>53</v>
      </c>
      <c r="AF556" s="1" t="s">
        <v>54</v>
      </c>
      <c r="AG556" s="1" t="s">
        <v>70</v>
      </c>
      <c r="AH556" s="1" t="s">
        <v>47</v>
      </c>
      <c r="AI556">
        <v>22724</v>
      </c>
      <c r="AJ556">
        <v>-119.59999999999854</v>
      </c>
    </row>
    <row r="557" spans="1:36" x14ac:dyDescent="0.25">
      <c r="A557">
        <v>10556</v>
      </c>
      <c r="B557">
        <v>52</v>
      </c>
      <c r="C557" s="1" t="s">
        <v>36</v>
      </c>
      <c r="D557" s="1" t="s">
        <v>69</v>
      </c>
      <c r="E557" s="2">
        <v>44522</v>
      </c>
      <c r="F557" s="2">
        <v>44483</v>
      </c>
      <c r="G557" s="1" t="s">
        <v>38</v>
      </c>
      <c r="H557">
        <v>331</v>
      </c>
      <c r="I557">
        <v>30</v>
      </c>
      <c r="J557">
        <v>1</v>
      </c>
      <c r="K557">
        <v>113.97</v>
      </c>
      <c r="L557">
        <v>20</v>
      </c>
      <c r="M557" s="1" t="s">
        <v>50</v>
      </c>
      <c r="N557" s="1" t="s">
        <v>56</v>
      </c>
      <c r="O557">
        <v>9863.7999999999993</v>
      </c>
      <c r="P557" t="b">
        <v>0</v>
      </c>
      <c r="Q557">
        <v>2.5</v>
      </c>
      <c r="R557">
        <v>328.79333333333329</v>
      </c>
      <c r="S557">
        <v>56.984999999999999</v>
      </c>
      <c r="T557" s="2">
        <v>44501</v>
      </c>
      <c r="U557" s="1" t="s">
        <v>41</v>
      </c>
      <c r="V557">
        <v>0</v>
      </c>
      <c r="W557" s="1" t="s">
        <v>56</v>
      </c>
      <c r="Y557" s="1" t="s">
        <v>43</v>
      </c>
      <c r="Z557" s="1" t="s">
        <v>52</v>
      </c>
      <c r="AA557">
        <v>3.2258064516129031E-2</v>
      </c>
      <c r="AB557" s="1" t="s">
        <v>52</v>
      </c>
      <c r="AC557">
        <v>1</v>
      </c>
      <c r="AD557" s="2">
        <v>44501</v>
      </c>
      <c r="AE557" s="1" t="s">
        <v>44</v>
      </c>
      <c r="AF557" s="1" t="s">
        <v>54</v>
      </c>
      <c r="AG557" s="1" t="s">
        <v>63</v>
      </c>
      <c r="AH557" s="1" t="s">
        <v>68</v>
      </c>
      <c r="AI557">
        <v>9930</v>
      </c>
      <c r="AJ557">
        <v>-66.200000000000728</v>
      </c>
    </row>
    <row r="558" spans="1:36" x14ac:dyDescent="0.25">
      <c r="A558">
        <v>10557</v>
      </c>
      <c r="B558">
        <v>58</v>
      </c>
      <c r="C558" s="1" t="s">
        <v>60</v>
      </c>
      <c r="D558" s="1" t="s">
        <v>69</v>
      </c>
      <c r="E558" s="2">
        <v>44567</v>
      </c>
      <c r="F558" s="2">
        <v>44734</v>
      </c>
      <c r="G558" s="1" t="s">
        <v>38</v>
      </c>
      <c r="H558">
        <v>417</v>
      </c>
      <c r="I558">
        <v>16</v>
      </c>
      <c r="J558">
        <v>0</v>
      </c>
      <c r="K558">
        <v>99.79</v>
      </c>
      <c r="L558">
        <v>0</v>
      </c>
      <c r="M558" s="1" t="s">
        <v>39</v>
      </c>
      <c r="N558" s="1" t="s">
        <v>56</v>
      </c>
      <c r="O558">
        <v>6672</v>
      </c>
      <c r="P558" t="b">
        <v>1</v>
      </c>
      <c r="Q558">
        <v>1.3333333333333333</v>
      </c>
      <c r="R558">
        <v>417</v>
      </c>
      <c r="S558">
        <v>99.79</v>
      </c>
      <c r="T558" s="2">
        <v>44562</v>
      </c>
      <c r="U558" s="1" t="s">
        <v>41</v>
      </c>
      <c r="V558">
        <v>0</v>
      </c>
      <c r="W558" s="1" t="s">
        <v>56</v>
      </c>
      <c r="X558">
        <v>167</v>
      </c>
      <c r="Y558" s="1" t="s">
        <v>43</v>
      </c>
      <c r="Z558" s="1" t="s">
        <v>42</v>
      </c>
      <c r="AA558">
        <v>0</v>
      </c>
      <c r="AB558" s="1" t="s">
        <v>42</v>
      </c>
      <c r="AC558">
        <v>1</v>
      </c>
      <c r="AD558" s="2">
        <v>44562</v>
      </c>
      <c r="AE558" s="1" t="s">
        <v>53</v>
      </c>
      <c r="AF558" s="1" t="s">
        <v>54</v>
      </c>
      <c r="AG558" s="1" t="s">
        <v>63</v>
      </c>
      <c r="AH558" s="1" t="s">
        <v>68</v>
      </c>
      <c r="AI558">
        <v>6672</v>
      </c>
      <c r="AJ558">
        <v>0</v>
      </c>
    </row>
    <row r="559" spans="1:36" x14ac:dyDescent="0.25">
      <c r="A559">
        <v>10558</v>
      </c>
      <c r="B559">
        <v>47</v>
      </c>
      <c r="C559" s="1" t="s">
        <v>36</v>
      </c>
      <c r="D559" s="1" t="s">
        <v>76</v>
      </c>
      <c r="E559" s="2">
        <v>44540</v>
      </c>
      <c r="F559" s="2">
        <v>44372</v>
      </c>
      <c r="G559" s="1" t="s">
        <v>38</v>
      </c>
      <c r="H559">
        <v>490</v>
      </c>
      <c r="I559">
        <v>31</v>
      </c>
      <c r="J559">
        <v>2</v>
      </c>
      <c r="K559">
        <v>116.8</v>
      </c>
      <c r="L559">
        <v>10</v>
      </c>
      <c r="M559" s="1" t="s">
        <v>39</v>
      </c>
      <c r="N559" s="1" t="s">
        <v>56</v>
      </c>
      <c r="O559">
        <v>15141</v>
      </c>
      <c r="P559" t="b">
        <v>0</v>
      </c>
      <c r="Q559">
        <v>2.5833333333333335</v>
      </c>
      <c r="R559">
        <v>488.41935483870969</v>
      </c>
      <c r="S559">
        <v>38.93333333333333</v>
      </c>
      <c r="T559" s="2">
        <v>44531</v>
      </c>
      <c r="U559" s="1" t="s">
        <v>51</v>
      </c>
      <c r="V559">
        <v>0</v>
      </c>
      <c r="W559" s="1" t="s">
        <v>40</v>
      </c>
      <c r="Y559" s="1" t="s">
        <v>43</v>
      </c>
      <c r="Z559" s="1" t="s">
        <v>42</v>
      </c>
      <c r="AA559">
        <v>6.25E-2</v>
      </c>
      <c r="AB559" s="1" t="s">
        <v>52</v>
      </c>
      <c r="AC559">
        <v>1</v>
      </c>
      <c r="AD559" s="2">
        <v>44531</v>
      </c>
      <c r="AE559" s="1" t="s">
        <v>44</v>
      </c>
      <c r="AF559" s="1" t="s">
        <v>72</v>
      </c>
      <c r="AG559" s="1" t="s">
        <v>63</v>
      </c>
      <c r="AH559" s="1" t="s">
        <v>68</v>
      </c>
      <c r="AI559">
        <v>15190</v>
      </c>
      <c r="AJ559">
        <v>-49</v>
      </c>
    </row>
    <row r="560" spans="1:36" x14ac:dyDescent="0.25">
      <c r="A560">
        <v>10559</v>
      </c>
      <c r="B560">
        <v>34</v>
      </c>
      <c r="C560" s="1" t="s">
        <v>60</v>
      </c>
      <c r="D560" s="1" t="s">
        <v>69</v>
      </c>
      <c r="E560" s="2">
        <v>44458</v>
      </c>
      <c r="F560" s="2">
        <v>44853</v>
      </c>
      <c r="G560" s="1" t="s">
        <v>62</v>
      </c>
      <c r="H560">
        <v>373</v>
      </c>
      <c r="I560">
        <v>28</v>
      </c>
      <c r="J560">
        <v>4</v>
      </c>
      <c r="K560">
        <v>25.65</v>
      </c>
      <c r="L560">
        <v>5</v>
      </c>
      <c r="M560" s="1" t="s">
        <v>39</v>
      </c>
      <c r="N560" s="1" t="s">
        <v>56</v>
      </c>
      <c r="O560">
        <v>10425.35</v>
      </c>
      <c r="P560" t="b">
        <v>1</v>
      </c>
      <c r="Q560">
        <v>2.3333333333333335</v>
      </c>
      <c r="R560">
        <v>372.3339285714286</v>
      </c>
      <c r="S560">
        <v>5.13</v>
      </c>
      <c r="T560" s="2">
        <v>44440</v>
      </c>
      <c r="U560" s="1" t="s">
        <v>57</v>
      </c>
      <c r="V560">
        <v>0</v>
      </c>
      <c r="W560" s="1" t="s">
        <v>56</v>
      </c>
      <c r="X560">
        <v>395</v>
      </c>
      <c r="Y560" s="1" t="s">
        <v>52</v>
      </c>
      <c r="Z560" s="1" t="s">
        <v>42</v>
      </c>
      <c r="AA560">
        <v>0.13793103448275862</v>
      </c>
      <c r="AB560" s="1" t="s">
        <v>52</v>
      </c>
      <c r="AC560">
        <v>2</v>
      </c>
      <c r="AD560" s="2">
        <v>44440</v>
      </c>
      <c r="AE560" s="1" t="s">
        <v>44</v>
      </c>
      <c r="AF560" s="1" t="s">
        <v>45</v>
      </c>
      <c r="AG560" s="1" t="s">
        <v>70</v>
      </c>
      <c r="AH560" s="1" t="s">
        <v>68</v>
      </c>
      <c r="AI560">
        <v>10444</v>
      </c>
      <c r="AJ560">
        <v>-18.649999999999636</v>
      </c>
    </row>
    <row r="561" spans="1:36" x14ac:dyDescent="0.25">
      <c r="A561">
        <v>10560</v>
      </c>
      <c r="B561">
        <v>37</v>
      </c>
      <c r="C561" s="1" t="s">
        <v>60</v>
      </c>
      <c r="D561" s="1" t="s">
        <v>37</v>
      </c>
      <c r="E561" s="2">
        <v>44479</v>
      </c>
      <c r="F561" s="2">
        <v>44672</v>
      </c>
      <c r="G561" s="1" t="s">
        <v>62</v>
      </c>
      <c r="H561">
        <v>922</v>
      </c>
      <c r="I561">
        <v>4</v>
      </c>
      <c r="J561">
        <v>3</v>
      </c>
      <c r="K561">
        <v>29.55</v>
      </c>
      <c r="L561">
        <v>0</v>
      </c>
      <c r="M561" s="1" t="s">
        <v>39</v>
      </c>
      <c r="N561" s="1" t="s">
        <v>56</v>
      </c>
      <c r="O561">
        <v>3688</v>
      </c>
      <c r="P561" t="b">
        <v>1</v>
      </c>
      <c r="Q561">
        <v>0.33333333333333331</v>
      </c>
      <c r="R561">
        <v>922</v>
      </c>
      <c r="S561">
        <v>7.3875000000000002</v>
      </c>
      <c r="T561" s="2">
        <v>44470</v>
      </c>
      <c r="U561" s="1" t="s">
        <v>51</v>
      </c>
      <c r="V561">
        <v>0</v>
      </c>
      <c r="W561" s="1" t="s">
        <v>56</v>
      </c>
      <c r="X561">
        <v>193</v>
      </c>
      <c r="Y561" s="1" t="s">
        <v>52</v>
      </c>
      <c r="Z561" s="1" t="s">
        <v>42</v>
      </c>
      <c r="AA561">
        <v>0.6</v>
      </c>
      <c r="AB561" s="1" t="s">
        <v>42</v>
      </c>
      <c r="AC561">
        <v>2</v>
      </c>
      <c r="AD561" s="2">
        <v>44470</v>
      </c>
      <c r="AE561" s="1" t="s">
        <v>58</v>
      </c>
      <c r="AF561" s="1" t="s">
        <v>72</v>
      </c>
      <c r="AG561" s="1" t="s">
        <v>70</v>
      </c>
      <c r="AH561" s="1" t="s">
        <v>59</v>
      </c>
      <c r="AI561">
        <v>3688</v>
      </c>
      <c r="AJ561">
        <v>0</v>
      </c>
    </row>
    <row r="562" spans="1:36" x14ac:dyDescent="0.25">
      <c r="A562">
        <v>10561</v>
      </c>
      <c r="B562">
        <v>42</v>
      </c>
      <c r="C562" s="1" t="s">
        <v>60</v>
      </c>
      <c r="D562" s="1" t="s">
        <v>69</v>
      </c>
      <c r="E562" s="2">
        <v>45046</v>
      </c>
      <c r="F562" s="2">
        <v>45042</v>
      </c>
      <c r="G562" s="1" t="s">
        <v>38</v>
      </c>
      <c r="H562">
        <v>1426</v>
      </c>
      <c r="I562">
        <v>10</v>
      </c>
      <c r="J562">
        <v>0</v>
      </c>
      <c r="K562">
        <v>6.94</v>
      </c>
      <c r="L562">
        <v>0</v>
      </c>
      <c r="M562" s="1" t="s">
        <v>39</v>
      </c>
      <c r="N562" s="1" t="s">
        <v>56</v>
      </c>
      <c r="O562">
        <v>14260</v>
      </c>
      <c r="P562" t="b">
        <v>0</v>
      </c>
      <c r="Q562">
        <v>0.83333333333333337</v>
      </c>
      <c r="R562">
        <v>1426</v>
      </c>
      <c r="S562">
        <v>6.94</v>
      </c>
      <c r="T562" s="2">
        <v>45017</v>
      </c>
      <c r="U562" s="1" t="s">
        <v>51</v>
      </c>
      <c r="V562">
        <v>0</v>
      </c>
      <c r="W562" s="1" t="s">
        <v>40</v>
      </c>
      <c r="Y562" s="1" t="s">
        <v>42</v>
      </c>
      <c r="Z562" s="1" t="s">
        <v>42</v>
      </c>
      <c r="AA562">
        <v>0</v>
      </c>
      <c r="AB562" s="1" t="s">
        <v>52</v>
      </c>
      <c r="AC562">
        <v>1</v>
      </c>
      <c r="AD562" s="2">
        <v>45017</v>
      </c>
      <c r="AE562" s="1" t="s">
        <v>74</v>
      </c>
      <c r="AF562" s="1" t="s">
        <v>54</v>
      </c>
      <c r="AG562" s="1" t="s">
        <v>77</v>
      </c>
      <c r="AH562" s="1" t="s">
        <v>47</v>
      </c>
      <c r="AI562">
        <v>14260</v>
      </c>
      <c r="AJ562">
        <v>0</v>
      </c>
    </row>
    <row r="563" spans="1:36" x14ac:dyDescent="0.25">
      <c r="A563">
        <v>10562</v>
      </c>
      <c r="B563">
        <v>39</v>
      </c>
      <c r="C563" s="1" t="s">
        <v>60</v>
      </c>
      <c r="D563" s="1" t="s">
        <v>37</v>
      </c>
      <c r="E563" s="2">
        <v>45052</v>
      </c>
      <c r="F563" s="2">
        <v>45027</v>
      </c>
      <c r="G563" s="1" t="s">
        <v>62</v>
      </c>
      <c r="H563">
        <v>1170</v>
      </c>
      <c r="I563">
        <v>18</v>
      </c>
      <c r="J563">
        <v>1</v>
      </c>
      <c r="K563">
        <v>88.34</v>
      </c>
      <c r="L563">
        <v>15</v>
      </c>
      <c r="M563" s="1" t="s">
        <v>67</v>
      </c>
      <c r="N563" s="1" t="s">
        <v>56</v>
      </c>
      <c r="O563">
        <v>20884.5</v>
      </c>
      <c r="P563" t="b">
        <v>0</v>
      </c>
      <c r="Q563">
        <v>1.5</v>
      </c>
      <c r="R563">
        <v>1160.25</v>
      </c>
      <c r="S563">
        <v>44.17</v>
      </c>
      <c r="T563" s="2">
        <v>45047</v>
      </c>
      <c r="U563" s="1" t="s">
        <v>51</v>
      </c>
      <c r="V563">
        <v>0</v>
      </c>
      <c r="W563" s="1" t="s">
        <v>40</v>
      </c>
      <c r="Y563" s="1" t="s">
        <v>43</v>
      </c>
      <c r="Z563" s="1" t="s">
        <v>42</v>
      </c>
      <c r="AA563">
        <v>5.2631578947368418E-2</v>
      </c>
      <c r="AB563" s="1" t="s">
        <v>43</v>
      </c>
      <c r="AC563">
        <v>2</v>
      </c>
      <c r="AD563" s="2">
        <v>45047</v>
      </c>
      <c r="AE563" s="1" t="s">
        <v>53</v>
      </c>
      <c r="AF563" s="1" t="s">
        <v>54</v>
      </c>
      <c r="AG563" s="1" t="s">
        <v>63</v>
      </c>
      <c r="AH563" s="1" t="s">
        <v>47</v>
      </c>
      <c r="AI563">
        <v>21060</v>
      </c>
      <c r="AJ563">
        <v>-175.5</v>
      </c>
    </row>
    <row r="564" spans="1:36" x14ac:dyDescent="0.25">
      <c r="A564">
        <v>10563</v>
      </c>
      <c r="B564">
        <v>30</v>
      </c>
      <c r="C564" s="1" t="s">
        <v>60</v>
      </c>
      <c r="D564" s="1" t="s">
        <v>69</v>
      </c>
      <c r="E564" s="2">
        <v>44425</v>
      </c>
      <c r="F564" s="2">
        <v>44685</v>
      </c>
      <c r="G564" s="1" t="s">
        <v>62</v>
      </c>
      <c r="H564">
        <v>885</v>
      </c>
      <c r="I564">
        <v>32</v>
      </c>
      <c r="J564">
        <v>3</v>
      </c>
      <c r="K564">
        <v>79.069999999999993</v>
      </c>
      <c r="L564">
        <v>10</v>
      </c>
      <c r="M564" s="1" t="s">
        <v>39</v>
      </c>
      <c r="N564" s="1" t="s">
        <v>56</v>
      </c>
      <c r="O564">
        <v>28231.5</v>
      </c>
      <c r="P564" t="b">
        <v>1</v>
      </c>
      <c r="Q564">
        <v>2.6666666666666665</v>
      </c>
      <c r="R564">
        <v>882.234375</v>
      </c>
      <c r="S564">
        <v>19.767499999999998</v>
      </c>
      <c r="T564" s="2">
        <v>44409</v>
      </c>
      <c r="U564" s="1" t="s">
        <v>57</v>
      </c>
      <c r="V564">
        <v>0</v>
      </c>
      <c r="W564" s="1" t="s">
        <v>40</v>
      </c>
      <c r="X564">
        <v>260</v>
      </c>
      <c r="Y564" s="1" t="s">
        <v>43</v>
      </c>
      <c r="Z564" s="1" t="s">
        <v>42</v>
      </c>
      <c r="AA564">
        <v>9.0909090909090912E-2</v>
      </c>
      <c r="AB564" s="1" t="s">
        <v>43</v>
      </c>
      <c r="AC564">
        <v>2</v>
      </c>
      <c r="AD564" s="2">
        <v>44409</v>
      </c>
      <c r="AE564" s="1" t="s">
        <v>44</v>
      </c>
      <c r="AF564" s="1" t="s">
        <v>72</v>
      </c>
      <c r="AG564" s="1" t="s">
        <v>63</v>
      </c>
      <c r="AH564" s="1" t="s">
        <v>59</v>
      </c>
      <c r="AI564">
        <v>28320</v>
      </c>
      <c r="AJ564">
        <v>-88.5</v>
      </c>
    </row>
    <row r="565" spans="1:36" x14ac:dyDescent="0.25">
      <c r="A565">
        <v>10564</v>
      </c>
      <c r="B565">
        <v>36</v>
      </c>
      <c r="C565" s="1" t="s">
        <v>36</v>
      </c>
      <c r="D565" s="1" t="s">
        <v>48</v>
      </c>
      <c r="E565" s="2">
        <v>45084</v>
      </c>
      <c r="F565" s="2">
        <v>45037</v>
      </c>
      <c r="G565" s="1" t="s">
        <v>62</v>
      </c>
      <c r="H565">
        <v>719</v>
      </c>
      <c r="I565">
        <v>30</v>
      </c>
      <c r="J565">
        <v>3</v>
      </c>
      <c r="K565">
        <v>25.48</v>
      </c>
      <c r="L565">
        <v>10</v>
      </c>
      <c r="M565" s="1" t="s">
        <v>67</v>
      </c>
      <c r="N565" s="1" t="s">
        <v>56</v>
      </c>
      <c r="O565">
        <v>21498.1</v>
      </c>
      <c r="P565" t="b">
        <v>0</v>
      </c>
      <c r="Q565">
        <v>2.5</v>
      </c>
      <c r="R565">
        <v>716.60333333333324</v>
      </c>
      <c r="S565">
        <v>6.37</v>
      </c>
      <c r="T565" s="2">
        <v>45078</v>
      </c>
      <c r="U565" s="1" t="s">
        <v>51</v>
      </c>
      <c r="V565">
        <v>0</v>
      </c>
      <c r="W565" s="1" t="s">
        <v>40</v>
      </c>
      <c r="Y565" s="1" t="s">
        <v>52</v>
      </c>
      <c r="Z565" s="1" t="s">
        <v>42</v>
      </c>
      <c r="AA565">
        <v>9.6774193548387094E-2</v>
      </c>
      <c r="AB565" s="1" t="s">
        <v>43</v>
      </c>
      <c r="AC565">
        <v>2</v>
      </c>
      <c r="AD565" s="2">
        <v>45078</v>
      </c>
      <c r="AE565" s="1" t="s">
        <v>44</v>
      </c>
      <c r="AF565" s="1" t="s">
        <v>72</v>
      </c>
      <c r="AG565" s="1" t="s">
        <v>70</v>
      </c>
      <c r="AH565" s="1" t="s">
        <v>59</v>
      </c>
      <c r="AI565">
        <v>21570</v>
      </c>
      <c r="AJ565">
        <v>-71.900000000001455</v>
      </c>
    </row>
    <row r="566" spans="1:36" x14ac:dyDescent="0.25">
      <c r="A566">
        <v>10565</v>
      </c>
      <c r="B566">
        <v>53</v>
      </c>
      <c r="C566" s="1" t="s">
        <v>60</v>
      </c>
      <c r="D566" s="1" t="s">
        <v>37</v>
      </c>
      <c r="E566" s="2">
        <v>44476</v>
      </c>
      <c r="F566" s="2">
        <v>45232</v>
      </c>
      <c r="G566" s="1" t="s">
        <v>62</v>
      </c>
      <c r="H566">
        <v>772</v>
      </c>
      <c r="I566">
        <v>9</v>
      </c>
      <c r="J566">
        <v>2</v>
      </c>
      <c r="K566">
        <v>95.98</v>
      </c>
      <c r="L566">
        <v>5</v>
      </c>
      <c r="M566" s="1" t="s">
        <v>65</v>
      </c>
      <c r="N566" s="1" t="s">
        <v>56</v>
      </c>
      <c r="O566">
        <v>6909.4</v>
      </c>
      <c r="P566" t="b">
        <v>1</v>
      </c>
      <c r="Q566">
        <v>0.75</v>
      </c>
      <c r="R566">
        <v>767.71111111111111</v>
      </c>
      <c r="S566">
        <v>31.993333333333336</v>
      </c>
      <c r="T566" s="2">
        <v>44470</v>
      </c>
      <c r="U566" s="1" t="s">
        <v>41</v>
      </c>
      <c r="V566">
        <v>0</v>
      </c>
      <c r="W566" s="1" t="s">
        <v>56</v>
      </c>
      <c r="X566">
        <v>756</v>
      </c>
      <c r="Y566" s="1" t="s">
        <v>43</v>
      </c>
      <c r="Z566" s="1" t="s">
        <v>42</v>
      </c>
      <c r="AA566">
        <v>0.2</v>
      </c>
      <c r="AB566" s="1" t="s">
        <v>42</v>
      </c>
      <c r="AC566">
        <v>2</v>
      </c>
      <c r="AD566" s="2">
        <v>44470</v>
      </c>
      <c r="AE566" s="1" t="s">
        <v>74</v>
      </c>
      <c r="AF566" s="1" t="s">
        <v>72</v>
      </c>
      <c r="AG566" s="1" t="s">
        <v>63</v>
      </c>
      <c r="AH566" s="1" t="s">
        <v>59</v>
      </c>
      <c r="AI566">
        <v>6948</v>
      </c>
      <c r="AJ566">
        <v>-38.600000000000364</v>
      </c>
    </row>
    <row r="567" spans="1:36" x14ac:dyDescent="0.25">
      <c r="A567">
        <v>10566</v>
      </c>
      <c r="B567">
        <v>29</v>
      </c>
      <c r="C567" s="1" t="s">
        <v>36</v>
      </c>
      <c r="D567" s="1" t="s">
        <v>76</v>
      </c>
      <c r="E567" s="2">
        <v>45066</v>
      </c>
      <c r="F567" s="2">
        <v>44442</v>
      </c>
      <c r="G567" s="1" t="s">
        <v>49</v>
      </c>
      <c r="H567">
        <v>413</v>
      </c>
      <c r="I567">
        <v>29</v>
      </c>
      <c r="J567">
        <v>1</v>
      </c>
      <c r="K567">
        <v>39.409999999999997</v>
      </c>
      <c r="L567">
        <v>20</v>
      </c>
      <c r="M567" s="1" t="s">
        <v>50</v>
      </c>
      <c r="N567" s="1" t="s">
        <v>56</v>
      </c>
      <c r="O567">
        <v>11894.4</v>
      </c>
      <c r="P567" t="b">
        <v>0</v>
      </c>
      <c r="Q567">
        <v>2.4166666666666665</v>
      </c>
      <c r="R567">
        <v>410.15172413793101</v>
      </c>
      <c r="S567">
        <v>19.704999999999998</v>
      </c>
      <c r="T567" s="2">
        <v>45047</v>
      </c>
      <c r="U567" s="1" t="s">
        <v>57</v>
      </c>
      <c r="V567">
        <v>0</v>
      </c>
      <c r="W567" s="1" t="s">
        <v>56</v>
      </c>
      <c r="Y567" s="1" t="s">
        <v>52</v>
      </c>
      <c r="Z567" s="1" t="s">
        <v>52</v>
      </c>
      <c r="AA567">
        <v>3.3333333333333333E-2</v>
      </c>
      <c r="AB567" s="1" t="s">
        <v>52</v>
      </c>
      <c r="AC567">
        <v>3</v>
      </c>
      <c r="AD567" s="2">
        <v>45047</v>
      </c>
      <c r="AE567" s="1" t="s">
        <v>44</v>
      </c>
      <c r="AF567" s="1" t="s">
        <v>54</v>
      </c>
      <c r="AG567" s="1" t="s">
        <v>55</v>
      </c>
      <c r="AH567" s="1" t="s">
        <v>68</v>
      </c>
      <c r="AI567">
        <v>11977</v>
      </c>
      <c r="AJ567">
        <v>-82.600000000000364</v>
      </c>
    </row>
    <row r="568" spans="1:36" x14ac:dyDescent="0.25">
      <c r="A568">
        <v>10567</v>
      </c>
      <c r="B568">
        <v>58</v>
      </c>
      <c r="C568" s="1" t="s">
        <v>36</v>
      </c>
      <c r="D568" s="1" t="s">
        <v>37</v>
      </c>
      <c r="E568" s="2">
        <v>44486</v>
      </c>
      <c r="F568" s="2">
        <v>44892</v>
      </c>
      <c r="G568" s="1" t="s">
        <v>62</v>
      </c>
      <c r="H568">
        <v>629</v>
      </c>
      <c r="I568">
        <v>16</v>
      </c>
      <c r="J568">
        <v>1</v>
      </c>
      <c r="K568">
        <v>20.52</v>
      </c>
      <c r="L568">
        <v>20</v>
      </c>
      <c r="M568" s="1" t="s">
        <v>67</v>
      </c>
      <c r="N568" s="1" t="s">
        <v>56</v>
      </c>
      <c r="O568">
        <v>9938.2000000000007</v>
      </c>
      <c r="P568" t="b">
        <v>1</v>
      </c>
      <c r="Q568">
        <v>1.3333333333333333</v>
      </c>
      <c r="R568">
        <v>621.13750000000005</v>
      </c>
      <c r="S568">
        <v>10.26</v>
      </c>
      <c r="T568" s="2">
        <v>44470</v>
      </c>
      <c r="U568" s="1" t="s">
        <v>41</v>
      </c>
      <c r="V568">
        <v>0</v>
      </c>
      <c r="W568" s="1" t="s">
        <v>56</v>
      </c>
      <c r="X568">
        <v>406</v>
      </c>
      <c r="Y568" s="1" t="s">
        <v>52</v>
      </c>
      <c r="Z568" s="1" t="s">
        <v>52</v>
      </c>
      <c r="AA568">
        <v>5.8823529411764705E-2</v>
      </c>
      <c r="AB568" s="1" t="s">
        <v>52</v>
      </c>
      <c r="AC568">
        <v>2</v>
      </c>
      <c r="AD568" s="2">
        <v>44470</v>
      </c>
      <c r="AE568" s="1" t="s">
        <v>53</v>
      </c>
      <c r="AF568" s="1" t="s">
        <v>54</v>
      </c>
      <c r="AG568" s="1" t="s">
        <v>70</v>
      </c>
      <c r="AH568" s="1" t="s">
        <v>64</v>
      </c>
      <c r="AI568">
        <v>10064</v>
      </c>
      <c r="AJ568">
        <v>-125.79999999999927</v>
      </c>
    </row>
    <row r="569" spans="1:36" x14ac:dyDescent="0.25">
      <c r="A569">
        <v>10568</v>
      </c>
      <c r="B569">
        <v>36</v>
      </c>
      <c r="C569" s="1" t="s">
        <v>36</v>
      </c>
      <c r="D569" s="1" t="s">
        <v>48</v>
      </c>
      <c r="E569" s="2">
        <v>44876</v>
      </c>
      <c r="F569" s="2">
        <v>44970</v>
      </c>
      <c r="G569" s="1" t="s">
        <v>62</v>
      </c>
      <c r="H569">
        <v>638</v>
      </c>
      <c r="I569">
        <v>28</v>
      </c>
      <c r="J569">
        <v>0</v>
      </c>
      <c r="K569">
        <v>53.59</v>
      </c>
      <c r="L569">
        <v>15</v>
      </c>
      <c r="M569" s="1" t="s">
        <v>50</v>
      </c>
      <c r="N569" s="1" t="s">
        <v>56</v>
      </c>
      <c r="O569">
        <v>17768.3</v>
      </c>
      <c r="P569" t="b">
        <v>1</v>
      </c>
      <c r="Q569">
        <v>2.3333333333333335</v>
      </c>
      <c r="R569">
        <v>634.5821428571428</v>
      </c>
      <c r="S569">
        <v>53.59</v>
      </c>
      <c r="T569" s="2">
        <v>44866</v>
      </c>
      <c r="U569" s="1" t="s">
        <v>51</v>
      </c>
      <c r="V569">
        <v>0</v>
      </c>
      <c r="W569" s="1" t="s">
        <v>40</v>
      </c>
      <c r="X569">
        <v>94</v>
      </c>
      <c r="Y569" s="1" t="s">
        <v>52</v>
      </c>
      <c r="Z569" s="1" t="s">
        <v>42</v>
      </c>
      <c r="AA569">
        <v>0</v>
      </c>
      <c r="AB569" s="1" t="s">
        <v>52</v>
      </c>
      <c r="AC569">
        <v>2</v>
      </c>
      <c r="AD569" s="2">
        <v>44866</v>
      </c>
      <c r="AE569" s="1" t="s">
        <v>44</v>
      </c>
      <c r="AF569" s="1" t="s">
        <v>54</v>
      </c>
      <c r="AG569" s="1" t="s">
        <v>63</v>
      </c>
      <c r="AH569" s="1" t="s">
        <v>64</v>
      </c>
      <c r="AI569">
        <v>17864</v>
      </c>
      <c r="AJ569">
        <v>-95.700000000000728</v>
      </c>
    </row>
    <row r="570" spans="1:36" x14ac:dyDescent="0.25">
      <c r="A570">
        <v>10569</v>
      </c>
      <c r="B570">
        <v>29</v>
      </c>
      <c r="C570" s="1" t="s">
        <v>60</v>
      </c>
      <c r="D570" s="1" t="s">
        <v>73</v>
      </c>
      <c r="E570" s="2">
        <v>44243</v>
      </c>
      <c r="F570" s="2">
        <v>44493</v>
      </c>
      <c r="G570" s="1" t="s">
        <v>38</v>
      </c>
      <c r="H570">
        <v>537</v>
      </c>
      <c r="I570">
        <v>21</v>
      </c>
      <c r="J570">
        <v>3</v>
      </c>
      <c r="K570">
        <v>15.46</v>
      </c>
      <c r="L570">
        <v>20</v>
      </c>
      <c r="M570" s="1" t="s">
        <v>50</v>
      </c>
      <c r="N570" s="1" t="s">
        <v>56</v>
      </c>
      <c r="O570">
        <v>11169.6</v>
      </c>
      <c r="P570" t="b">
        <v>1</v>
      </c>
      <c r="Q570">
        <v>1.75</v>
      </c>
      <c r="R570">
        <v>531.88571428571436</v>
      </c>
      <c r="S570">
        <v>3.8650000000000002</v>
      </c>
      <c r="T570" s="2">
        <v>44228</v>
      </c>
      <c r="U570" s="1" t="s">
        <v>57</v>
      </c>
      <c r="V570">
        <v>0</v>
      </c>
      <c r="W570" s="1" t="s">
        <v>56</v>
      </c>
      <c r="X570">
        <v>250</v>
      </c>
      <c r="Y570" s="1" t="s">
        <v>42</v>
      </c>
      <c r="Z570" s="1" t="s">
        <v>52</v>
      </c>
      <c r="AA570">
        <v>0.13636363636363635</v>
      </c>
      <c r="AB570" s="1" t="s">
        <v>52</v>
      </c>
      <c r="AC570">
        <v>1</v>
      </c>
      <c r="AD570" s="2">
        <v>44228</v>
      </c>
      <c r="AE570" s="1" t="s">
        <v>53</v>
      </c>
      <c r="AF570" s="1" t="s">
        <v>72</v>
      </c>
      <c r="AG570" s="1" t="s">
        <v>46</v>
      </c>
      <c r="AH570" s="1" t="s">
        <v>64</v>
      </c>
      <c r="AI570">
        <v>11277</v>
      </c>
      <c r="AJ570">
        <v>-107.39999999999964</v>
      </c>
    </row>
    <row r="571" spans="1:36" x14ac:dyDescent="0.25">
      <c r="A571">
        <v>10570</v>
      </c>
      <c r="B571">
        <v>26</v>
      </c>
      <c r="C571" s="1" t="s">
        <v>60</v>
      </c>
      <c r="D571" s="1" t="s">
        <v>37</v>
      </c>
      <c r="E571" s="2">
        <v>44911</v>
      </c>
      <c r="F571" s="2">
        <v>45240</v>
      </c>
      <c r="G571" s="1" t="s">
        <v>38</v>
      </c>
      <c r="H571">
        <v>1496</v>
      </c>
      <c r="I571">
        <v>2</v>
      </c>
      <c r="J571">
        <v>2</v>
      </c>
      <c r="K571">
        <v>35.270000000000003</v>
      </c>
      <c r="L571">
        <v>5</v>
      </c>
      <c r="M571" s="1" t="s">
        <v>50</v>
      </c>
      <c r="N571" s="1" t="s">
        <v>56</v>
      </c>
      <c r="O571">
        <v>2917.2</v>
      </c>
      <c r="P571" t="b">
        <v>1</v>
      </c>
      <c r="Q571">
        <v>0.16666666666666666</v>
      </c>
      <c r="R571">
        <v>1458.6</v>
      </c>
      <c r="S571">
        <v>11.756666666666668</v>
      </c>
      <c r="T571" s="2">
        <v>44896</v>
      </c>
      <c r="U571" s="1" t="s">
        <v>57</v>
      </c>
      <c r="V571">
        <v>0</v>
      </c>
      <c r="W571" s="1" t="s">
        <v>56</v>
      </c>
      <c r="X571">
        <v>329</v>
      </c>
      <c r="Y571" s="1" t="s">
        <v>52</v>
      </c>
      <c r="Z571" s="1" t="s">
        <v>42</v>
      </c>
      <c r="AA571">
        <v>0.66666666666666663</v>
      </c>
      <c r="AB571" s="1" t="s">
        <v>42</v>
      </c>
      <c r="AC571">
        <v>1</v>
      </c>
      <c r="AD571" s="2">
        <v>44896</v>
      </c>
      <c r="AE571" s="1" t="s">
        <v>58</v>
      </c>
      <c r="AF571" s="1" t="s">
        <v>72</v>
      </c>
      <c r="AG571" s="1" t="s">
        <v>55</v>
      </c>
      <c r="AH571" s="1" t="s">
        <v>47</v>
      </c>
      <c r="AI571">
        <v>2992</v>
      </c>
      <c r="AJ571">
        <v>-74.800000000000182</v>
      </c>
    </row>
    <row r="572" spans="1:36" x14ac:dyDescent="0.25">
      <c r="A572">
        <v>10571</v>
      </c>
      <c r="B572">
        <v>24</v>
      </c>
      <c r="C572" s="1" t="s">
        <v>36</v>
      </c>
      <c r="D572" s="1" t="s">
        <v>76</v>
      </c>
      <c r="E572" s="2">
        <v>44410</v>
      </c>
      <c r="F572" s="2">
        <v>44578</v>
      </c>
      <c r="G572" s="1" t="s">
        <v>38</v>
      </c>
      <c r="H572">
        <v>378</v>
      </c>
      <c r="I572">
        <v>35</v>
      </c>
      <c r="J572">
        <v>2</v>
      </c>
      <c r="K572">
        <v>47.7</v>
      </c>
      <c r="L572">
        <v>15</v>
      </c>
      <c r="M572" s="1" t="s">
        <v>67</v>
      </c>
      <c r="N572" s="1" t="s">
        <v>40</v>
      </c>
      <c r="O572">
        <v>13173.3</v>
      </c>
      <c r="P572" t="b">
        <v>1</v>
      </c>
      <c r="Q572">
        <v>2.9166666666666665</v>
      </c>
      <c r="R572">
        <v>376.38</v>
      </c>
      <c r="S572">
        <v>15.9</v>
      </c>
      <c r="T572" s="2">
        <v>44409</v>
      </c>
      <c r="U572" s="1" t="s">
        <v>66</v>
      </c>
      <c r="V572">
        <v>1</v>
      </c>
      <c r="W572" s="1" t="s">
        <v>56</v>
      </c>
      <c r="X572">
        <v>168</v>
      </c>
      <c r="Y572" s="1" t="s">
        <v>52</v>
      </c>
      <c r="Z572" s="1" t="s">
        <v>42</v>
      </c>
      <c r="AA572">
        <v>5.5555555555555552E-2</v>
      </c>
      <c r="AB572" s="1" t="s">
        <v>52</v>
      </c>
      <c r="AC572">
        <v>1</v>
      </c>
      <c r="AD572" s="2">
        <v>44409</v>
      </c>
      <c r="AE572" s="1" t="s">
        <v>44</v>
      </c>
      <c r="AF572" s="1" t="s">
        <v>72</v>
      </c>
      <c r="AG572" s="1" t="s">
        <v>63</v>
      </c>
      <c r="AH572" s="1" t="s">
        <v>68</v>
      </c>
      <c r="AI572">
        <v>13230</v>
      </c>
      <c r="AJ572">
        <v>-56.700000000000728</v>
      </c>
    </row>
    <row r="573" spans="1:36" x14ac:dyDescent="0.25">
      <c r="A573">
        <v>10572</v>
      </c>
      <c r="B573">
        <v>45</v>
      </c>
      <c r="C573" s="1" t="s">
        <v>75</v>
      </c>
      <c r="D573" s="1" t="s">
        <v>76</v>
      </c>
      <c r="E573" s="2">
        <v>44954</v>
      </c>
      <c r="F573" s="2">
        <v>45131</v>
      </c>
      <c r="G573" s="1" t="s">
        <v>62</v>
      </c>
      <c r="H573">
        <v>763</v>
      </c>
      <c r="I573">
        <v>28</v>
      </c>
      <c r="J573">
        <v>3</v>
      </c>
      <c r="K573">
        <v>102.96</v>
      </c>
      <c r="L573">
        <v>10</v>
      </c>
      <c r="M573" s="1" t="s">
        <v>67</v>
      </c>
      <c r="N573" s="1" t="s">
        <v>56</v>
      </c>
      <c r="O573">
        <v>21287.7</v>
      </c>
      <c r="P573" t="b">
        <v>1</v>
      </c>
      <c r="Q573">
        <v>2.3333333333333335</v>
      </c>
      <c r="R573">
        <v>760.27499999999998</v>
      </c>
      <c r="S573">
        <v>25.74</v>
      </c>
      <c r="T573" s="2">
        <v>44927</v>
      </c>
      <c r="U573" s="1" t="s">
        <v>51</v>
      </c>
      <c r="V573">
        <v>0</v>
      </c>
      <c r="W573" s="1" t="s">
        <v>40</v>
      </c>
      <c r="X573">
        <v>177</v>
      </c>
      <c r="Y573" s="1" t="s">
        <v>43</v>
      </c>
      <c r="Z573" s="1" t="s">
        <v>42</v>
      </c>
      <c r="AA573">
        <v>0.10344827586206896</v>
      </c>
      <c r="AB573" s="1" t="s">
        <v>43</v>
      </c>
      <c r="AC573">
        <v>2</v>
      </c>
      <c r="AD573" s="2">
        <v>44927</v>
      </c>
      <c r="AE573" s="1" t="s">
        <v>44</v>
      </c>
      <c r="AF573" s="1" t="s">
        <v>72</v>
      </c>
      <c r="AG573" s="1" t="s">
        <v>63</v>
      </c>
      <c r="AH573" s="1" t="s">
        <v>59</v>
      </c>
      <c r="AI573">
        <v>21364</v>
      </c>
      <c r="AJ573">
        <v>-76.299999999999272</v>
      </c>
    </row>
    <row r="574" spans="1:36" x14ac:dyDescent="0.25">
      <c r="A574">
        <v>10573</v>
      </c>
      <c r="B574">
        <v>31</v>
      </c>
      <c r="C574" s="1" t="s">
        <v>60</v>
      </c>
      <c r="D574" s="1" t="s">
        <v>73</v>
      </c>
      <c r="E574" s="2">
        <v>44220</v>
      </c>
      <c r="F574" s="2">
        <v>45195</v>
      </c>
      <c r="G574" s="1" t="s">
        <v>38</v>
      </c>
      <c r="H574">
        <v>904</v>
      </c>
      <c r="I574">
        <v>31</v>
      </c>
      <c r="J574">
        <v>1</v>
      </c>
      <c r="K574">
        <v>96.14</v>
      </c>
      <c r="L574">
        <v>20</v>
      </c>
      <c r="M574" s="1" t="s">
        <v>67</v>
      </c>
      <c r="N574" s="1" t="s">
        <v>56</v>
      </c>
      <c r="O574">
        <v>27843.200000000001</v>
      </c>
      <c r="P574" t="b">
        <v>1</v>
      </c>
      <c r="Q574">
        <v>2.5833333333333335</v>
      </c>
      <c r="R574">
        <v>898.16774193548395</v>
      </c>
      <c r="S574">
        <v>48.07</v>
      </c>
      <c r="T574" s="2">
        <v>44197</v>
      </c>
      <c r="U574" s="1" t="s">
        <v>57</v>
      </c>
      <c r="V574">
        <v>0</v>
      </c>
      <c r="W574" s="1" t="s">
        <v>40</v>
      </c>
      <c r="X574">
        <v>975</v>
      </c>
      <c r="Y574" s="1" t="s">
        <v>43</v>
      </c>
      <c r="Z574" s="1" t="s">
        <v>52</v>
      </c>
      <c r="AA574">
        <v>3.125E-2</v>
      </c>
      <c r="AB574" s="1" t="s">
        <v>43</v>
      </c>
      <c r="AC574">
        <v>1</v>
      </c>
      <c r="AD574" s="2">
        <v>44197</v>
      </c>
      <c r="AE574" s="1" t="s">
        <v>44</v>
      </c>
      <c r="AF574" s="1" t="s">
        <v>54</v>
      </c>
      <c r="AG574" s="1" t="s">
        <v>63</v>
      </c>
      <c r="AH574" s="1" t="s">
        <v>59</v>
      </c>
      <c r="AI574">
        <v>28024</v>
      </c>
      <c r="AJ574">
        <v>-180.79999999999927</v>
      </c>
    </row>
    <row r="575" spans="1:36" x14ac:dyDescent="0.25">
      <c r="A575">
        <v>10574</v>
      </c>
      <c r="B575">
        <v>48</v>
      </c>
      <c r="C575" s="1" t="s">
        <v>60</v>
      </c>
      <c r="D575" s="1" t="s">
        <v>48</v>
      </c>
      <c r="E575" s="2">
        <v>44517</v>
      </c>
      <c r="F575" s="2">
        <v>44842</v>
      </c>
      <c r="G575" s="1" t="s">
        <v>38</v>
      </c>
      <c r="H575">
        <v>861</v>
      </c>
      <c r="I575">
        <v>33</v>
      </c>
      <c r="J575">
        <v>1</v>
      </c>
      <c r="K575">
        <v>55.92</v>
      </c>
      <c r="L575">
        <v>5</v>
      </c>
      <c r="M575" s="1" t="s">
        <v>65</v>
      </c>
      <c r="N575" s="1" t="s">
        <v>56</v>
      </c>
      <c r="O575">
        <v>28369.95</v>
      </c>
      <c r="P575" t="b">
        <v>1</v>
      </c>
      <c r="Q575">
        <v>2.75</v>
      </c>
      <c r="R575">
        <v>859.6954545454546</v>
      </c>
      <c r="S575">
        <v>27.96</v>
      </c>
      <c r="T575" s="2">
        <v>44501</v>
      </c>
      <c r="U575" s="1" t="s">
        <v>51</v>
      </c>
      <c r="V575">
        <v>0</v>
      </c>
      <c r="W575" s="1" t="s">
        <v>40</v>
      </c>
      <c r="X575">
        <v>325</v>
      </c>
      <c r="Y575" s="1" t="s">
        <v>52</v>
      </c>
      <c r="Z575" s="1" t="s">
        <v>42</v>
      </c>
      <c r="AA575">
        <v>2.9411764705882353E-2</v>
      </c>
      <c r="AB575" s="1" t="s">
        <v>43</v>
      </c>
      <c r="AC575">
        <v>1</v>
      </c>
      <c r="AD575" s="2">
        <v>44501</v>
      </c>
      <c r="AE575" s="1" t="s">
        <v>44</v>
      </c>
      <c r="AF575" s="1" t="s">
        <v>54</v>
      </c>
      <c r="AG575" s="1" t="s">
        <v>63</v>
      </c>
      <c r="AH575" s="1" t="s">
        <v>59</v>
      </c>
      <c r="AI575">
        <v>28413</v>
      </c>
      <c r="AJ575">
        <v>-43.049999999999272</v>
      </c>
    </row>
    <row r="576" spans="1:36" x14ac:dyDescent="0.25">
      <c r="A576">
        <v>10575</v>
      </c>
      <c r="B576">
        <v>36</v>
      </c>
      <c r="C576" s="1" t="s">
        <v>60</v>
      </c>
      <c r="D576" s="1" t="s">
        <v>61</v>
      </c>
      <c r="E576" s="2">
        <v>44470</v>
      </c>
      <c r="F576" s="2">
        <v>44385</v>
      </c>
      <c r="G576" s="1" t="s">
        <v>62</v>
      </c>
      <c r="H576">
        <v>584</v>
      </c>
      <c r="I576">
        <v>23</v>
      </c>
      <c r="J576">
        <v>3</v>
      </c>
      <c r="K576">
        <v>88.33</v>
      </c>
      <c r="L576">
        <v>5</v>
      </c>
      <c r="M576" s="1" t="s">
        <v>67</v>
      </c>
      <c r="N576" s="1" t="s">
        <v>56</v>
      </c>
      <c r="O576">
        <v>13402.8</v>
      </c>
      <c r="P576" t="b">
        <v>0</v>
      </c>
      <c r="Q576">
        <v>1.9166666666666667</v>
      </c>
      <c r="R576">
        <v>582.73043478260865</v>
      </c>
      <c r="S576">
        <v>22.0825</v>
      </c>
      <c r="T576" s="2">
        <v>44470</v>
      </c>
      <c r="U576" s="1" t="s">
        <v>51</v>
      </c>
      <c r="V576">
        <v>0</v>
      </c>
      <c r="W576" s="1" t="s">
        <v>56</v>
      </c>
      <c r="Y576" s="1" t="s">
        <v>43</v>
      </c>
      <c r="Z576" s="1" t="s">
        <v>42</v>
      </c>
      <c r="AA576">
        <v>0.125</v>
      </c>
      <c r="AB576" s="1" t="s">
        <v>52</v>
      </c>
      <c r="AC576">
        <v>2</v>
      </c>
      <c r="AD576" s="2">
        <v>44470</v>
      </c>
      <c r="AE576" s="1" t="s">
        <v>53</v>
      </c>
      <c r="AF576" s="1" t="s">
        <v>72</v>
      </c>
      <c r="AG576" s="1" t="s">
        <v>63</v>
      </c>
      <c r="AH576" s="1" t="s">
        <v>64</v>
      </c>
      <c r="AI576">
        <v>13432</v>
      </c>
      <c r="AJ576">
        <v>-29.200000000000728</v>
      </c>
    </row>
    <row r="577" spans="1:36" x14ac:dyDescent="0.25">
      <c r="A577">
        <v>10576</v>
      </c>
      <c r="B577">
        <v>64</v>
      </c>
      <c r="C577" s="1" t="s">
        <v>75</v>
      </c>
      <c r="D577" s="1" t="s">
        <v>69</v>
      </c>
      <c r="E577" s="2">
        <v>44752</v>
      </c>
      <c r="F577" s="2">
        <v>44772</v>
      </c>
      <c r="G577" s="1" t="s">
        <v>38</v>
      </c>
      <c r="H577">
        <v>522</v>
      </c>
      <c r="I577">
        <v>17</v>
      </c>
      <c r="J577">
        <v>3</v>
      </c>
      <c r="K577">
        <v>70.39</v>
      </c>
      <c r="L577">
        <v>10</v>
      </c>
      <c r="M577" s="1" t="s">
        <v>65</v>
      </c>
      <c r="N577" s="1" t="s">
        <v>56</v>
      </c>
      <c r="O577">
        <v>8821.7999999999993</v>
      </c>
      <c r="P577" t="b">
        <v>1</v>
      </c>
      <c r="Q577">
        <v>1.4166666666666667</v>
      </c>
      <c r="R577">
        <v>518.92941176470583</v>
      </c>
      <c r="S577">
        <v>17.5975</v>
      </c>
      <c r="T577" s="2">
        <v>44743</v>
      </c>
      <c r="U577" s="1" t="s">
        <v>41</v>
      </c>
      <c r="V577">
        <v>0</v>
      </c>
      <c r="W577" s="1" t="s">
        <v>56</v>
      </c>
      <c r="X577">
        <v>20</v>
      </c>
      <c r="Y577" s="1" t="s">
        <v>43</v>
      </c>
      <c r="Z577" s="1" t="s">
        <v>42</v>
      </c>
      <c r="AA577">
        <v>0.16666666666666666</v>
      </c>
      <c r="AB577" s="1" t="s">
        <v>52</v>
      </c>
      <c r="AC577">
        <v>1</v>
      </c>
      <c r="AD577" s="2">
        <v>44743</v>
      </c>
      <c r="AE577" s="1" t="s">
        <v>53</v>
      </c>
      <c r="AF577" s="1" t="s">
        <v>72</v>
      </c>
      <c r="AG577" s="1" t="s">
        <v>63</v>
      </c>
      <c r="AH577" s="1" t="s">
        <v>64</v>
      </c>
      <c r="AI577">
        <v>8874</v>
      </c>
      <c r="AJ577">
        <v>-52.200000000000728</v>
      </c>
    </row>
    <row r="578" spans="1:36" x14ac:dyDescent="0.25">
      <c r="A578">
        <v>10577</v>
      </c>
      <c r="B578">
        <v>33</v>
      </c>
      <c r="C578" s="1" t="s">
        <v>60</v>
      </c>
      <c r="D578" s="1" t="s">
        <v>71</v>
      </c>
      <c r="E578" s="2">
        <v>45040</v>
      </c>
      <c r="F578" s="2">
        <v>44994</v>
      </c>
      <c r="G578" s="1" t="s">
        <v>38</v>
      </c>
      <c r="H578">
        <v>892</v>
      </c>
      <c r="I578">
        <v>1</v>
      </c>
      <c r="J578">
        <v>3</v>
      </c>
      <c r="K578">
        <v>44.2</v>
      </c>
      <c r="L578">
        <v>5</v>
      </c>
      <c r="M578" s="1" t="s">
        <v>67</v>
      </c>
      <c r="N578" s="1" t="s">
        <v>56</v>
      </c>
      <c r="O578">
        <v>847.4</v>
      </c>
      <c r="P578" t="b">
        <v>0</v>
      </c>
      <c r="Q578">
        <v>8.3333333333333329E-2</v>
      </c>
      <c r="R578">
        <v>847.4</v>
      </c>
      <c r="S578">
        <v>11.05</v>
      </c>
      <c r="T578" s="2">
        <v>45017</v>
      </c>
      <c r="U578" s="1" t="s">
        <v>57</v>
      </c>
      <c r="V578">
        <v>0</v>
      </c>
      <c r="W578" s="1" t="s">
        <v>56</v>
      </c>
      <c r="Y578" s="1" t="s">
        <v>52</v>
      </c>
      <c r="Z578" s="1" t="s">
        <v>42</v>
      </c>
      <c r="AA578">
        <v>1.5</v>
      </c>
      <c r="AB578" s="1" t="s">
        <v>42</v>
      </c>
      <c r="AC578">
        <v>1</v>
      </c>
      <c r="AD578" s="2">
        <v>45017</v>
      </c>
      <c r="AE578" s="1" t="s">
        <v>58</v>
      </c>
      <c r="AF578" s="1" t="s">
        <v>72</v>
      </c>
      <c r="AG578" s="1" t="s">
        <v>55</v>
      </c>
      <c r="AH578" s="1" t="s">
        <v>59</v>
      </c>
      <c r="AI578">
        <v>892</v>
      </c>
      <c r="AJ578">
        <v>-44.600000000000023</v>
      </c>
    </row>
    <row r="579" spans="1:36" x14ac:dyDescent="0.25">
      <c r="A579">
        <v>10578</v>
      </c>
      <c r="B579">
        <v>22</v>
      </c>
      <c r="C579" s="1" t="s">
        <v>60</v>
      </c>
      <c r="D579" s="1" t="s">
        <v>48</v>
      </c>
      <c r="E579" s="2">
        <v>44509</v>
      </c>
      <c r="F579" s="2">
        <v>45193</v>
      </c>
      <c r="G579" s="1" t="s">
        <v>38</v>
      </c>
      <c r="H579">
        <v>672</v>
      </c>
      <c r="I579">
        <v>23</v>
      </c>
      <c r="J579">
        <v>1</v>
      </c>
      <c r="K579">
        <v>88.48</v>
      </c>
      <c r="L579">
        <v>15</v>
      </c>
      <c r="M579" s="1" t="s">
        <v>67</v>
      </c>
      <c r="N579" s="1" t="s">
        <v>56</v>
      </c>
      <c r="O579">
        <v>15355.2</v>
      </c>
      <c r="P579" t="b">
        <v>1</v>
      </c>
      <c r="Q579">
        <v>1.9166666666666667</v>
      </c>
      <c r="R579">
        <v>667.61739130434785</v>
      </c>
      <c r="S579">
        <v>44.24</v>
      </c>
      <c r="T579" s="2">
        <v>44501</v>
      </c>
      <c r="U579" s="1" t="s">
        <v>66</v>
      </c>
      <c r="V579">
        <v>0</v>
      </c>
      <c r="W579" s="1" t="s">
        <v>40</v>
      </c>
      <c r="X579">
        <v>684</v>
      </c>
      <c r="Y579" s="1" t="s">
        <v>43</v>
      </c>
      <c r="Z579" s="1" t="s">
        <v>42</v>
      </c>
      <c r="AA579">
        <v>4.1666666666666664E-2</v>
      </c>
      <c r="AB579" s="1" t="s">
        <v>52</v>
      </c>
      <c r="AC579">
        <v>1</v>
      </c>
      <c r="AD579" s="2">
        <v>44501</v>
      </c>
      <c r="AE579" s="1" t="s">
        <v>53</v>
      </c>
      <c r="AF579" s="1" t="s">
        <v>54</v>
      </c>
      <c r="AG579" s="1" t="s">
        <v>63</v>
      </c>
      <c r="AH579" s="1" t="s">
        <v>64</v>
      </c>
      <c r="AI579">
        <v>15456</v>
      </c>
      <c r="AJ579">
        <v>-100.79999999999927</v>
      </c>
    </row>
    <row r="580" spans="1:36" x14ac:dyDescent="0.25">
      <c r="A580">
        <v>10579</v>
      </c>
      <c r="B580">
        <v>52</v>
      </c>
      <c r="C580" s="1" t="s">
        <v>36</v>
      </c>
      <c r="D580" s="1" t="s">
        <v>37</v>
      </c>
      <c r="E580" s="2">
        <v>44559</v>
      </c>
      <c r="F580" s="2">
        <v>45094</v>
      </c>
      <c r="G580" s="1" t="s">
        <v>62</v>
      </c>
      <c r="H580">
        <v>1210</v>
      </c>
      <c r="I580">
        <v>27</v>
      </c>
      <c r="J580">
        <v>0</v>
      </c>
      <c r="K580">
        <v>83.6</v>
      </c>
      <c r="L580">
        <v>15</v>
      </c>
      <c r="M580" s="1" t="s">
        <v>50</v>
      </c>
      <c r="N580" s="1" t="s">
        <v>56</v>
      </c>
      <c r="O580">
        <v>32488.5</v>
      </c>
      <c r="P580" t="b">
        <v>1</v>
      </c>
      <c r="Q580">
        <v>2.25</v>
      </c>
      <c r="R580">
        <v>1203.2777777777778</v>
      </c>
      <c r="S580">
        <v>83.6</v>
      </c>
      <c r="T580" s="2">
        <v>44531</v>
      </c>
      <c r="U580" s="1" t="s">
        <v>41</v>
      </c>
      <c r="V580">
        <v>0</v>
      </c>
      <c r="W580" s="1" t="s">
        <v>40</v>
      </c>
      <c r="X580">
        <v>535</v>
      </c>
      <c r="Y580" s="1" t="s">
        <v>43</v>
      </c>
      <c r="Z580" s="1" t="s">
        <v>42</v>
      </c>
      <c r="AA580">
        <v>0</v>
      </c>
      <c r="AB580" s="1" t="s">
        <v>43</v>
      </c>
      <c r="AC580">
        <v>2</v>
      </c>
      <c r="AD580" s="2">
        <v>44531</v>
      </c>
      <c r="AE580" s="1" t="s">
        <v>44</v>
      </c>
      <c r="AF580" s="1" t="s">
        <v>54</v>
      </c>
      <c r="AG580" s="1" t="s">
        <v>63</v>
      </c>
      <c r="AH580" s="1" t="s">
        <v>47</v>
      </c>
      <c r="AI580">
        <v>32670</v>
      </c>
      <c r="AJ580">
        <v>-181.5</v>
      </c>
    </row>
    <row r="581" spans="1:36" x14ac:dyDescent="0.25">
      <c r="A581">
        <v>10580</v>
      </c>
      <c r="B581">
        <v>29</v>
      </c>
      <c r="C581" s="1" t="s">
        <v>60</v>
      </c>
      <c r="D581" s="1" t="s">
        <v>37</v>
      </c>
      <c r="E581" s="2">
        <v>44864</v>
      </c>
      <c r="F581" s="2">
        <v>44784</v>
      </c>
      <c r="G581" s="1" t="s">
        <v>38</v>
      </c>
      <c r="H581">
        <v>1127</v>
      </c>
      <c r="I581">
        <v>25</v>
      </c>
      <c r="J581">
        <v>3</v>
      </c>
      <c r="K581">
        <v>76.2</v>
      </c>
      <c r="L581">
        <v>0</v>
      </c>
      <c r="M581" s="1" t="s">
        <v>39</v>
      </c>
      <c r="N581" s="1" t="s">
        <v>56</v>
      </c>
      <c r="O581">
        <v>28175</v>
      </c>
      <c r="P581" t="b">
        <v>0</v>
      </c>
      <c r="Q581">
        <v>2.0833333333333335</v>
      </c>
      <c r="R581">
        <v>1127</v>
      </c>
      <c r="S581">
        <v>19.05</v>
      </c>
      <c r="T581" s="2">
        <v>44835</v>
      </c>
      <c r="U581" s="1" t="s">
        <v>57</v>
      </c>
      <c r="V581">
        <v>0</v>
      </c>
      <c r="W581" s="1" t="s">
        <v>40</v>
      </c>
      <c r="Y581" s="1" t="s">
        <v>43</v>
      </c>
      <c r="Z581" s="1" t="s">
        <v>42</v>
      </c>
      <c r="AA581">
        <v>0.11538461538461539</v>
      </c>
      <c r="AB581" s="1" t="s">
        <v>43</v>
      </c>
      <c r="AC581">
        <v>1</v>
      </c>
      <c r="AD581" s="2">
        <v>44835</v>
      </c>
      <c r="AE581" s="1" t="s">
        <v>44</v>
      </c>
      <c r="AF581" s="1" t="s">
        <v>72</v>
      </c>
      <c r="AG581" s="1" t="s">
        <v>63</v>
      </c>
      <c r="AH581" s="1" t="s">
        <v>47</v>
      </c>
      <c r="AI581">
        <v>28175</v>
      </c>
      <c r="AJ581">
        <v>0</v>
      </c>
    </row>
    <row r="582" spans="1:36" x14ac:dyDescent="0.25">
      <c r="A582">
        <v>10581</v>
      </c>
      <c r="B582">
        <v>42</v>
      </c>
      <c r="C582" s="1" t="s">
        <v>60</v>
      </c>
      <c r="D582" s="1" t="s">
        <v>71</v>
      </c>
      <c r="E582" s="2">
        <v>44576</v>
      </c>
      <c r="F582" s="2">
        <v>45178</v>
      </c>
      <c r="G582" s="1" t="s">
        <v>62</v>
      </c>
      <c r="H582">
        <v>535</v>
      </c>
      <c r="I582">
        <v>32</v>
      </c>
      <c r="J582">
        <v>2</v>
      </c>
      <c r="K582">
        <v>76.06</v>
      </c>
      <c r="L582">
        <v>10</v>
      </c>
      <c r="M582" s="1" t="s">
        <v>50</v>
      </c>
      <c r="N582" s="1" t="s">
        <v>40</v>
      </c>
      <c r="O582">
        <v>17066.5</v>
      </c>
      <c r="P582" t="b">
        <v>1</v>
      </c>
      <c r="Q582">
        <v>2.6666666666666665</v>
      </c>
      <c r="R582">
        <v>533.328125</v>
      </c>
      <c r="S582">
        <v>25.353333333333335</v>
      </c>
      <c r="T582" s="2">
        <v>44562</v>
      </c>
      <c r="U582" s="1" t="s">
        <v>51</v>
      </c>
      <c r="V582">
        <v>1</v>
      </c>
      <c r="W582" s="1" t="s">
        <v>40</v>
      </c>
      <c r="X582">
        <v>602</v>
      </c>
      <c r="Y582" s="1" t="s">
        <v>43</v>
      </c>
      <c r="Z582" s="1" t="s">
        <v>42</v>
      </c>
      <c r="AA582">
        <v>6.0606060606060608E-2</v>
      </c>
      <c r="AB582" s="1" t="s">
        <v>52</v>
      </c>
      <c r="AC582">
        <v>2</v>
      </c>
      <c r="AD582" s="2">
        <v>44562</v>
      </c>
      <c r="AE582" s="1" t="s">
        <v>44</v>
      </c>
      <c r="AF582" s="1" t="s">
        <v>72</v>
      </c>
      <c r="AG582" s="1" t="s">
        <v>63</v>
      </c>
      <c r="AH582" s="1" t="s">
        <v>64</v>
      </c>
      <c r="AI582">
        <v>17120</v>
      </c>
      <c r="AJ582">
        <v>-53.5</v>
      </c>
    </row>
    <row r="583" spans="1:36" x14ac:dyDescent="0.25">
      <c r="A583">
        <v>10582</v>
      </c>
      <c r="B583">
        <v>38</v>
      </c>
      <c r="C583" s="1" t="s">
        <v>36</v>
      </c>
      <c r="D583" s="1" t="s">
        <v>69</v>
      </c>
      <c r="E583" s="2">
        <v>44907</v>
      </c>
      <c r="F583" s="2">
        <v>44715</v>
      </c>
      <c r="G583" s="1" t="s">
        <v>62</v>
      </c>
      <c r="H583">
        <v>970</v>
      </c>
      <c r="I583">
        <v>19</v>
      </c>
      <c r="J583">
        <v>2</v>
      </c>
      <c r="K583">
        <v>83.54</v>
      </c>
      <c r="L583">
        <v>5</v>
      </c>
      <c r="M583" s="1" t="s">
        <v>67</v>
      </c>
      <c r="N583" s="1" t="s">
        <v>56</v>
      </c>
      <c r="O583">
        <v>18381.5</v>
      </c>
      <c r="P583" t="b">
        <v>0</v>
      </c>
      <c r="Q583">
        <v>1.5833333333333333</v>
      </c>
      <c r="R583">
        <v>967.4473684210526</v>
      </c>
      <c r="S583">
        <v>27.846666666666668</v>
      </c>
      <c r="T583" s="2">
        <v>44896</v>
      </c>
      <c r="U583" s="1" t="s">
        <v>51</v>
      </c>
      <c r="V583">
        <v>0</v>
      </c>
      <c r="W583" s="1" t="s">
        <v>40</v>
      </c>
      <c r="Y583" s="1" t="s">
        <v>43</v>
      </c>
      <c r="Z583" s="1" t="s">
        <v>42</v>
      </c>
      <c r="AA583">
        <v>0.1</v>
      </c>
      <c r="AB583" s="1" t="s">
        <v>52</v>
      </c>
      <c r="AC583">
        <v>2</v>
      </c>
      <c r="AD583" s="2">
        <v>44896</v>
      </c>
      <c r="AE583" s="1" t="s">
        <v>53</v>
      </c>
      <c r="AF583" s="1" t="s">
        <v>72</v>
      </c>
      <c r="AG583" s="1" t="s">
        <v>63</v>
      </c>
      <c r="AH583" s="1" t="s">
        <v>59</v>
      </c>
      <c r="AI583">
        <v>18430</v>
      </c>
      <c r="AJ583">
        <v>-48.5</v>
      </c>
    </row>
    <row r="584" spans="1:36" x14ac:dyDescent="0.25">
      <c r="A584">
        <v>10583</v>
      </c>
      <c r="B584">
        <v>53</v>
      </c>
      <c r="C584" s="1" t="s">
        <v>36</v>
      </c>
      <c r="D584" s="1" t="s">
        <v>48</v>
      </c>
      <c r="E584" s="2">
        <v>44870</v>
      </c>
      <c r="F584" s="2">
        <v>44692</v>
      </c>
      <c r="G584" s="1" t="s">
        <v>62</v>
      </c>
      <c r="H584">
        <v>1127</v>
      </c>
      <c r="I584">
        <v>24</v>
      </c>
      <c r="J584">
        <v>3</v>
      </c>
      <c r="K584">
        <v>49.22</v>
      </c>
      <c r="L584">
        <v>10</v>
      </c>
      <c r="M584" s="1" t="s">
        <v>39</v>
      </c>
      <c r="N584" s="1" t="s">
        <v>56</v>
      </c>
      <c r="O584">
        <v>26822.6</v>
      </c>
      <c r="P584" t="b">
        <v>0</v>
      </c>
      <c r="Q584">
        <v>2</v>
      </c>
      <c r="R584">
        <v>1117.6083333333333</v>
      </c>
      <c r="S584">
        <v>12.305</v>
      </c>
      <c r="T584" s="2">
        <v>44866</v>
      </c>
      <c r="U584" s="1" t="s">
        <v>41</v>
      </c>
      <c r="V584">
        <v>0</v>
      </c>
      <c r="W584" s="1" t="s">
        <v>40</v>
      </c>
      <c r="Y584" s="1" t="s">
        <v>52</v>
      </c>
      <c r="Z584" s="1" t="s">
        <v>42</v>
      </c>
      <c r="AA584">
        <v>0.12</v>
      </c>
      <c r="AB584" s="1" t="s">
        <v>43</v>
      </c>
      <c r="AC584">
        <v>2</v>
      </c>
      <c r="AD584" s="2">
        <v>44866</v>
      </c>
      <c r="AE584" s="1" t="s">
        <v>53</v>
      </c>
      <c r="AF584" s="1" t="s">
        <v>72</v>
      </c>
      <c r="AG584" s="1" t="s">
        <v>63</v>
      </c>
      <c r="AH584" s="1" t="s">
        <v>47</v>
      </c>
      <c r="AI584">
        <v>27048</v>
      </c>
      <c r="AJ584">
        <v>-225.40000000000146</v>
      </c>
    </row>
    <row r="585" spans="1:36" x14ac:dyDescent="0.25">
      <c r="A585">
        <v>10584</v>
      </c>
      <c r="B585">
        <v>40</v>
      </c>
      <c r="C585" s="1" t="s">
        <v>60</v>
      </c>
      <c r="D585" s="1" t="s">
        <v>71</v>
      </c>
      <c r="E585" s="2">
        <v>44666</v>
      </c>
      <c r="F585" s="2">
        <v>44507</v>
      </c>
      <c r="G585" s="1" t="s">
        <v>62</v>
      </c>
      <c r="H585">
        <v>1062</v>
      </c>
      <c r="I585">
        <v>3</v>
      </c>
      <c r="J585">
        <v>2</v>
      </c>
      <c r="K585">
        <v>104.94</v>
      </c>
      <c r="L585">
        <v>15</v>
      </c>
      <c r="M585" s="1" t="s">
        <v>39</v>
      </c>
      <c r="N585" s="1" t="s">
        <v>56</v>
      </c>
      <c r="O585">
        <v>3026.7</v>
      </c>
      <c r="P585" t="b">
        <v>0</v>
      </c>
      <c r="Q585">
        <v>0.25</v>
      </c>
      <c r="R585">
        <v>1008.9</v>
      </c>
      <c r="S585">
        <v>34.979999999999997</v>
      </c>
      <c r="T585" s="2">
        <v>44652</v>
      </c>
      <c r="U585" s="1" t="s">
        <v>51</v>
      </c>
      <c r="V585">
        <v>0</v>
      </c>
      <c r="W585" s="1" t="s">
        <v>56</v>
      </c>
      <c r="Y585" s="1" t="s">
        <v>43</v>
      </c>
      <c r="Z585" s="1" t="s">
        <v>42</v>
      </c>
      <c r="AA585">
        <v>0.5</v>
      </c>
      <c r="AB585" s="1" t="s">
        <v>42</v>
      </c>
      <c r="AC585">
        <v>2</v>
      </c>
      <c r="AD585" s="2">
        <v>44652</v>
      </c>
      <c r="AE585" s="1" t="s">
        <v>58</v>
      </c>
      <c r="AF585" s="1" t="s">
        <v>72</v>
      </c>
      <c r="AG585" s="1" t="s">
        <v>63</v>
      </c>
      <c r="AH585" s="1" t="s">
        <v>47</v>
      </c>
      <c r="AI585">
        <v>3186</v>
      </c>
      <c r="AJ585">
        <v>-159.30000000000018</v>
      </c>
    </row>
    <row r="586" spans="1:36" x14ac:dyDescent="0.25">
      <c r="A586">
        <v>10585</v>
      </c>
      <c r="B586">
        <v>33</v>
      </c>
      <c r="C586" s="1" t="s">
        <v>60</v>
      </c>
      <c r="D586" s="1" t="s">
        <v>69</v>
      </c>
      <c r="E586" s="2">
        <v>44942</v>
      </c>
      <c r="F586" s="2">
        <v>44897</v>
      </c>
      <c r="G586" s="1" t="s">
        <v>49</v>
      </c>
      <c r="H586">
        <v>679</v>
      </c>
      <c r="I586">
        <v>12</v>
      </c>
      <c r="J586">
        <v>6</v>
      </c>
      <c r="K586">
        <v>23.67</v>
      </c>
      <c r="L586">
        <v>10</v>
      </c>
      <c r="M586" s="1" t="s">
        <v>65</v>
      </c>
      <c r="N586" s="1" t="s">
        <v>56</v>
      </c>
      <c r="O586">
        <v>8080.1</v>
      </c>
      <c r="P586" t="b">
        <v>0</v>
      </c>
      <c r="Q586">
        <v>1</v>
      </c>
      <c r="R586">
        <v>673.3416666666667</v>
      </c>
      <c r="S586">
        <v>3.3814285714285717</v>
      </c>
      <c r="T586" s="2">
        <v>44927</v>
      </c>
      <c r="U586" s="1" t="s">
        <v>57</v>
      </c>
      <c r="V586">
        <v>0</v>
      </c>
      <c r="W586" s="1" t="s">
        <v>56</v>
      </c>
      <c r="Y586" s="1" t="s">
        <v>52</v>
      </c>
      <c r="Z586" s="1" t="s">
        <v>42</v>
      </c>
      <c r="AA586">
        <v>0.46153846153846156</v>
      </c>
      <c r="AB586" s="1" t="s">
        <v>42</v>
      </c>
      <c r="AC586">
        <v>3</v>
      </c>
      <c r="AD586" s="2">
        <v>44927</v>
      </c>
      <c r="AE586" s="1" t="s">
        <v>74</v>
      </c>
      <c r="AF586" s="1" t="s">
        <v>78</v>
      </c>
      <c r="AG586" s="1" t="s">
        <v>70</v>
      </c>
      <c r="AH586" s="1" t="s">
        <v>64</v>
      </c>
      <c r="AI586">
        <v>8148</v>
      </c>
      <c r="AJ586">
        <v>-67.899999999999636</v>
      </c>
    </row>
    <row r="587" spans="1:36" x14ac:dyDescent="0.25">
      <c r="A587">
        <v>10586</v>
      </c>
      <c r="B587">
        <v>56</v>
      </c>
      <c r="C587" s="1" t="s">
        <v>60</v>
      </c>
      <c r="D587" s="1" t="s">
        <v>48</v>
      </c>
      <c r="E587" s="2">
        <v>44871</v>
      </c>
      <c r="F587" s="2">
        <v>45009</v>
      </c>
      <c r="G587" s="1" t="s">
        <v>38</v>
      </c>
      <c r="H587">
        <v>1093</v>
      </c>
      <c r="I587">
        <v>35</v>
      </c>
      <c r="J587">
        <v>1</v>
      </c>
      <c r="K587">
        <v>106.65</v>
      </c>
      <c r="L587">
        <v>10</v>
      </c>
      <c r="M587" s="1" t="s">
        <v>39</v>
      </c>
      <c r="N587" s="1" t="s">
        <v>56</v>
      </c>
      <c r="O587">
        <v>38145.699999999997</v>
      </c>
      <c r="P587" t="b">
        <v>1</v>
      </c>
      <c r="Q587">
        <v>2.9166666666666665</v>
      </c>
      <c r="R587">
        <v>1089.8771428571429</v>
      </c>
      <c r="S587">
        <v>53.325000000000003</v>
      </c>
      <c r="T587" s="2">
        <v>44866</v>
      </c>
      <c r="U587" s="1" t="s">
        <v>41</v>
      </c>
      <c r="V587">
        <v>0</v>
      </c>
      <c r="W587" s="1" t="s">
        <v>40</v>
      </c>
      <c r="X587">
        <v>138</v>
      </c>
      <c r="Y587" s="1" t="s">
        <v>43</v>
      </c>
      <c r="Z587" s="1" t="s">
        <v>42</v>
      </c>
      <c r="AA587">
        <v>2.7777777777777776E-2</v>
      </c>
      <c r="AB587" s="1" t="s">
        <v>43</v>
      </c>
      <c r="AC587">
        <v>1</v>
      </c>
      <c r="AD587" s="2">
        <v>44866</v>
      </c>
      <c r="AE587" s="1" t="s">
        <v>44</v>
      </c>
      <c r="AF587" s="1" t="s">
        <v>54</v>
      </c>
      <c r="AG587" s="1" t="s">
        <v>63</v>
      </c>
      <c r="AH587" s="1" t="s">
        <v>47</v>
      </c>
      <c r="AI587">
        <v>38255</v>
      </c>
      <c r="AJ587">
        <v>-109.30000000000291</v>
      </c>
    </row>
    <row r="588" spans="1:36" x14ac:dyDescent="0.25">
      <c r="A588">
        <v>10587</v>
      </c>
      <c r="B588">
        <v>62</v>
      </c>
      <c r="C588" s="1" t="s">
        <v>60</v>
      </c>
      <c r="D588" s="1" t="s">
        <v>37</v>
      </c>
      <c r="E588" s="2">
        <v>44312</v>
      </c>
      <c r="F588" s="2">
        <v>45167</v>
      </c>
      <c r="G588" s="1" t="s">
        <v>38</v>
      </c>
      <c r="H588">
        <v>913</v>
      </c>
      <c r="I588">
        <v>15</v>
      </c>
      <c r="J588">
        <v>3</v>
      </c>
      <c r="K588">
        <v>44.36</v>
      </c>
      <c r="L588">
        <v>15</v>
      </c>
      <c r="M588" s="1" t="s">
        <v>65</v>
      </c>
      <c r="N588" s="1" t="s">
        <v>56</v>
      </c>
      <c r="O588">
        <v>13558.05</v>
      </c>
      <c r="P588" t="b">
        <v>1</v>
      </c>
      <c r="Q588">
        <v>1.25</v>
      </c>
      <c r="R588">
        <v>903.87</v>
      </c>
      <c r="S588">
        <v>11.09</v>
      </c>
      <c r="T588" s="2">
        <v>44287</v>
      </c>
      <c r="U588" s="1" t="s">
        <v>41</v>
      </c>
      <c r="V588">
        <v>0</v>
      </c>
      <c r="W588" s="1" t="s">
        <v>40</v>
      </c>
      <c r="X588">
        <v>855</v>
      </c>
      <c r="Y588" s="1" t="s">
        <v>52</v>
      </c>
      <c r="Z588" s="1" t="s">
        <v>42</v>
      </c>
      <c r="AA588">
        <v>0.1875</v>
      </c>
      <c r="AB588" s="1" t="s">
        <v>52</v>
      </c>
      <c r="AC588">
        <v>1</v>
      </c>
      <c r="AD588" s="2">
        <v>44287</v>
      </c>
      <c r="AE588" s="1" t="s">
        <v>53</v>
      </c>
      <c r="AF588" s="1" t="s">
        <v>72</v>
      </c>
      <c r="AG588" s="1" t="s">
        <v>55</v>
      </c>
      <c r="AH588" s="1" t="s">
        <v>59</v>
      </c>
      <c r="AI588">
        <v>13695</v>
      </c>
      <c r="AJ588">
        <v>-136.95000000000073</v>
      </c>
    </row>
    <row r="589" spans="1:36" x14ac:dyDescent="0.25">
      <c r="A589">
        <v>10588</v>
      </c>
      <c r="B589">
        <v>59</v>
      </c>
      <c r="C589" s="1" t="s">
        <v>36</v>
      </c>
      <c r="D589" s="1" t="s">
        <v>48</v>
      </c>
      <c r="E589" s="2">
        <v>44801</v>
      </c>
      <c r="F589" s="2">
        <v>44888</v>
      </c>
      <c r="G589" s="1" t="s">
        <v>38</v>
      </c>
      <c r="H589">
        <v>862</v>
      </c>
      <c r="I589">
        <v>17</v>
      </c>
      <c r="J589">
        <v>3</v>
      </c>
      <c r="K589">
        <v>19.38</v>
      </c>
      <c r="L589">
        <v>0</v>
      </c>
      <c r="M589" s="1" t="s">
        <v>50</v>
      </c>
      <c r="N589" s="1" t="s">
        <v>40</v>
      </c>
      <c r="O589">
        <v>14654</v>
      </c>
      <c r="P589" t="b">
        <v>1</v>
      </c>
      <c r="Q589">
        <v>1.4166666666666667</v>
      </c>
      <c r="R589">
        <v>862</v>
      </c>
      <c r="S589">
        <v>4.8449999999999998</v>
      </c>
      <c r="T589" s="2">
        <v>44774</v>
      </c>
      <c r="U589" s="1" t="s">
        <v>41</v>
      </c>
      <c r="V589">
        <v>1</v>
      </c>
      <c r="W589" s="1" t="s">
        <v>40</v>
      </c>
      <c r="X589">
        <v>87</v>
      </c>
      <c r="Y589" s="1" t="s">
        <v>42</v>
      </c>
      <c r="Z589" s="1" t="s">
        <v>42</v>
      </c>
      <c r="AA589">
        <v>0.16666666666666666</v>
      </c>
      <c r="AB589" s="1" t="s">
        <v>52</v>
      </c>
      <c r="AC589">
        <v>1</v>
      </c>
      <c r="AD589" s="2">
        <v>44774</v>
      </c>
      <c r="AE589" s="1" t="s">
        <v>53</v>
      </c>
      <c r="AF589" s="1" t="s">
        <v>72</v>
      </c>
      <c r="AG589" s="1" t="s">
        <v>46</v>
      </c>
      <c r="AH589" s="1" t="s">
        <v>59</v>
      </c>
      <c r="AI589">
        <v>14654</v>
      </c>
      <c r="AJ589">
        <v>0</v>
      </c>
    </row>
    <row r="590" spans="1:36" x14ac:dyDescent="0.25">
      <c r="A590">
        <v>10589</v>
      </c>
      <c r="B590">
        <v>56</v>
      </c>
      <c r="C590" s="1" t="s">
        <v>60</v>
      </c>
      <c r="D590" s="1" t="s">
        <v>73</v>
      </c>
      <c r="E590" s="2">
        <v>44238</v>
      </c>
      <c r="F590" s="2">
        <v>44491</v>
      </c>
      <c r="G590" s="1" t="s">
        <v>38</v>
      </c>
      <c r="H590">
        <v>719</v>
      </c>
      <c r="I590">
        <v>32</v>
      </c>
      <c r="J590">
        <v>1</v>
      </c>
      <c r="K590">
        <v>74</v>
      </c>
      <c r="L590">
        <v>10</v>
      </c>
      <c r="M590" s="1" t="s">
        <v>65</v>
      </c>
      <c r="N590" s="1" t="s">
        <v>56</v>
      </c>
      <c r="O590">
        <v>22936.1</v>
      </c>
      <c r="P590" t="b">
        <v>1</v>
      </c>
      <c r="Q590">
        <v>2.6666666666666665</v>
      </c>
      <c r="R590">
        <v>716.75312499999995</v>
      </c>
      <c r="S590">
        <v>37</v>
      </c>
      <c r="T590" s="2">
        <v>44228</v>
      </c>
      <c r="U590" s="1" t="s">
        <v>41</v>
      </c>
      <c r="V590">
        <v>0</v>
      </c>
      <c r="W590" s="1" t="s">
        <v>40</v>
      </c>
      <c r="X590">
        <v>253</v>
      </c>
      <c r="Y590" s="1" t="s">
        <v>43</v>
      </c>
      <c r="Z590" s="1" t="s">
        <v>42</v>
      </c>
      <c r="AA590">
        <v>3.0303030303030304E-2</v>
      </c>
      <c r="AB590" s="1" t="s">
        <v>43</v>
      </c>
      <c r="AC590">
        <v>1</v>
      </c>
      <c r="AD590" s="2">
        <v>44228</v>
      </c>
      <c r="AE590" s="1" t="s">
        <v>44</v>
      </c>
      <c r="AF590" s="1" t="s">
        <v>54</v>
      </c>
      <c r="AG590" s="1" t="s">
        <v>63</v>
      </c>
      <c r="AH590" s="1" t="s">
        <v>59</v>
      </c>
      <c r="AI590">
        <v>23008</v>
      </c>
      <c r="AJ590">
        <v>-71.900000000001455</v>
      </c>
    </row>
    <row r="591" spans="1:36" x14ac:dyDescent="0.25">
      <c r="A591">
        <v>10590</v>
      </c>
      <c r="B591">
        <v>31</v>
      </c>
      <c r="C591" s="1" t="s">
        <v>60</v>
      </c>
      <c r="D591" s="1" t="s">
        <v>61</v>
      </c>
      <c r="E591" s="2">
        <v>44992</v>
      </c>
      <c r="F591" s="2">
        <v>44935</v>
      </c>
      <c r="G591" s="1" t="s">
        <v>38</v>
      </c>
      <c r="H591">
        <v>351</v>
      </c>
      <c r="I591">
        <v>7</v>
      </c>
      <c r="J591">
        <v>1</v>
      </c>
      <c r="K591">
        <v>48.24</v>
      </c>
      <c r="L591">
        <v>5</v>
      </c>
      <c r="M591" s="1" t="s">
        <v>67</v>
      </c>
      <c r="N591" s="1" t="s">
        <v>56</v>
      </c>
      <c r="O591">
        <v>2439.4499999999998</v>
      </c>
      <c r="P591" t="b">
        <v>0</v>
      </c>
      <c r="Q591">
        <v>0.58333333333333337</v>
      </c>
      <c r="R591">
        <v>348.49285714285713</v>
      </c>
      <c r="S591">
        <v>24.12</v>
      </c>
      <c r="T591" s="2">
        <v>44986</v>
      </c>
      <c r="U591" s="1" t="s">
        <v>57</v>
      </c>
      <c r="V591">
        <v>0</v>
      </c>
      <c r="W591" s="1" t="s">
        <v>56</v>
      </c>
      <c r="Y591" s="1" t="s">
        <v>52</v>
      </c>
      <c r="Z591" s="1" t="s">
        <v>42</v>
      </c>
      <c r="AA591">
        <v>0.125</v>
      </c>
      <c r="AB591" s="1" t="s">
        <v>42</v>
      </c>
      <c r="AC591">
        <v>1</v>
      </c>
      <c r="AD591" s="2">
        <v>44986</v>
      </c>
      <c r="AE591" s="1" t="s">
        <v>74</v>
      </c>
      <c r="AF591" s="1" t="s">
        <v>54</v>
      </c>
      <c r="AG591" s="1" t="s">
        <v>63</v>
      </c>
      <c r="AH591" s="1" t="s">
        <v>68</v>
      </c>
      <c r="AI591">
        <v>2457</v>
      </c>
      <c r="AJ591">
        <v>-17.550000000000182</v>
      </c>
    </row>
    <row r="592" spans="1:36" x14ac:dyDescent="0.25">
      <c r="A592">
        <v>10591</v>
      </c>
      <c r="B592">
        <v>41</v>
      </c>
      <c r="C592" s="1" t="s">
        <v>60</v>
      </c>
      <c r="D592" s="1" t="s">
        <v>48</v>
      </c>
      <c r="E592" s="2">
        <v>44575</v>
      </c>
      <c r="F592" s="2">
        <v>45004</v>
      </c>
      <c r="G592" s="1" t="s">
        <v>38</v>
      </c>
      <c r="H592">
        <v>1118</v>
      </c>
      <c r="I592">
        <v>19</v>
      </c>
      <c r="J592">
        <v>1</v>
      </c>
      <c r="K592">
        <v>98.78</v>
      </c>
      <c r="L592">
        <v>20</v>
      </c>
      <c r="M592" s="1" t="s">
        <v>39</v>
      </c>
      <c r="N592" s="1" t="s">
        <v>56</v>
      </c>
      <c r="O592">
        <v>21018.400000000001</v>
      </c>
      <c r="P592" t="b">
        <v>1</v>
      </c>
      <c r="Q592">
        <v>1.5833333333333333</v>
      </c>
      <c r="R592">
        <v>1106.2315789473685</v>
      </c>
      <c r="S592">
        <v>49.39</v>
      </c>
      <c r="T592" s="2">
        <v>44562</v>
      </c>
      <c r="U592" s="1" t="s">
        <v>51</v>
      </c>
      <c r="V592">
        <v>0</v>
      </c>
      <c r="W592" s="1" t="s">
        <v>40</v>
      </c>
      <c r="X592">
        <v>429</v>
      </c>
      <c r="Y592" s="1" t="s">
        <v>43</v>
      </c>
      <c r="Z592" s="1" t="s">
        <v>52</v>
      </c>
      <c r="AA592">
        <v>0.05</v>
      </c>
      <c r="AB592" s="1" t="s">
        <v>43</v>
      </c>
      <c r="AC592">
        <v>1</v>
      </c>
      <c r="AD592" s="2">
        <v>44562</v>
      </c>
      <c r="AE592" s="1" t="s">
        <v>53</v>
      </c>
      <c r="AF592" s="1" t="s">
        <v>54</v>
      </c>
      <c r="AG592" s="1" t="s">
        <v>63</v>
      </c>
      <c r="AH592" s="1" t="s">
        <v>47</v>
      </c>
      <c r="AI592">
        <v>21242</v>
      </c>
      <c r="AJ592">
        <v>-223.59999999999854</v>
      </c>
    </row>
    <row r="593" spans="1:36" x14ac:dyDescent="0.25">
      <c r="A593">
        <v>10592</v>
      </c>
      <c r="B593">
        <v>22</v>
      </c>
      <c r="C593" s="1" t="s">
        <v>36</v>
      </c>
      <c r="D593" s="1" t="s">
        <v>61</v>
      </c>
      <c r="E593" s="2">
        <v>44918</v>
      </c>
      <c r="F593" s="2">
        <v>45088</v>
      </c>
      <c r="G593" s="1" t="s">
        <v>62</v>
      </c>
      <c r="H593">
        <v>504</v>
      </c>
      <c r="I593">
        <v>7</v>
      </c>
      <c r="J593">
        <v>1</v>
      </c>
      <c r="K593">
        <v>54.54</v>
      </c>
      <c r="L593">
        <v>20</v>
      </c>
      <c r="M593" s="1" t="s">
        <v>67</v>
      </c>
      <c r="N593" s="1" t="s">
        <v>56</v>
      </c>
      <c r="O593">
        <v>3427.2</v>
      </c>
      <c r="P593" t="b">
        <v>1</v>
      </c>
      <c r="Q593">
        <v>0.58333333333333337</v>
      </c>
      <c r="R593">
        <v>489.59999999999997</v>
      </c>
      <c r="S593">
        <v>27.27</v>
      </c>
      <c r="T593" s="2">
        <v>44896</v>
      </c>
      <c r="U593" s="1" t="s">
        <v>66</v>
      </c>
      <c r="V593">
        <v>0</v>
      </c>
      <c r="W593" s="1" t="s">
        <v>56</v>
      </c>
      <c r="X593">
        <v>170</v>
      </c>
      <c r="Y593" s="1" t="s">
        <v>52</v>
      </c>
      <c r="Z593" s="1" t="s">
        <v>52</v>
      </c>
      <c r="AA593">
        <v>0.125</v>
      </c>
      <c r="AB593" s="1" t="s">
        <v>42</v>
      </c>
      <c r="AC593">
        <v>2</v>
      </c>
      <c r="AD593" s="2">
        <v>44896</v>
      </c>
      <c r="AE593" s="1" t="s">
        <v>74</v>
      </c>
      <c r="AF593" s="1" t="s">
        <v>54</v>
      </c>
      <c r="AG593" s="1" t="s">
        <v>63</v>
      </c>
      <c r="AH593" s="1" t="s">
        <v>64</v>
      </c>
      <c r="AI593">
        <v>3528</v>
      </c>
      <c r="AJ593">
        <v>-100.80000000000018</v>
      </c>
    </row>
    <row r="594" spans="1:36" x14ac:dyDescent="0.25">
      <c r="A594">
        <v>10593</v>
      </c>
      <c r="B594">
        <v>52</v>
      </c>
      <c r="C594" s="1" t="s">
        <v>36</v>
      </c>
      <c r="D594" s="1" t="s">
        <v>48</v>
      </c>
      <c r="E594" s="2">
        <v>44402</v>
      </c>
      <c r="F594" s="2">
        <v>44923</v>
      </c>
      <c r="G594" s="1" t="s">
        <v>62</v>
      </c>
      <c r="H594">
        <v>1300</v>
      </c>
      <c r="I594">
        <v>5</v>
      </c>
      <c r="J594">
        <v>3</v>
      </c>
      <c r="K594">
        <v>81.88</v>
      </c>
      <c r="L594">
        <v>15</v>
      </c>
      <c r="M594" s="1" t="s">
        <v>39</v>
      </c>
      <c r="N594" s="1" t="s">
        <v>40</v>
      </c>
      <c r="O594">
        <v>6305</v>
      </c>
      <c r="P594" t="b">
        <v>1</v>
      </c>
      <c r="Q594">
        <v>0.41666666666666669</v>
      </c>
      <c r="R594">
        <v>1261</v>
      </c>
      <c r="S594">
        <v>20.47</v>
      </c>
      <c r="T594" s="2">
        <v>44378</v>
      </c>
      <c r="U594" s="1" t="s">
        <v>41</v>
      </c>
      <c r="V594">
        <v>1</v>
      </c>
      <c r="W594" s="1" t="s">
        <v>56</v>
      </c>
      <c r="X594">
        <v>521</v>
      </c>
      <c r="Y594" s="1" t="s">
        <v>43</v>
      </c>
      <c r="Z594" s="1" t="s">
        <v>42</v>
      </c>
      <c r="AA594">
        <v>0.5</v>
      </c>
      <c r="AB594" s="1" t="s">
        <v>42</v>
      </c>
      <c r="AC594">
        <v>2</v>
      </c>
      <c r="AD594" s="2">
        <v>44378</v>
      </c>
      <c r="AE594" s="1" t="s">
        <v>58</v>
      </c>
      <c r="AF594" s="1" t="s">
        <v>72</v>
      </c>
      <c r="AG594" s="1" t="s">
        <v>63</v>
      </c>
      <c r="AH594" s="1" t="s">
        <v>47</v>
      </c>
      <c r="AI594">
        <v>6500</v>
      </c>
      <c r="AJ594">
        <v>-195</v>
      </c>
    </row>
    <row r="595" spans="1:36" x14ac:dyDescent="0.25">
      <c r="A595">
        <v>10594</v>
      </c>
      <c r="B595">
        <v>40</v>
      </c>
      <c r="C595" s="1" t="s">
        <v>36</v>
      </c>
      <c r="D595" s="1" t="s">
        <v>61</v>
      </c>
      <c r="E595" s="2">
        <v>44662</v>
      </c>
      <c r="F595" s="2">
        <v>45206</v>
      </c>
      <c r="G595" s="1" t="s">
        <v>38</v>
      </c>
      <c r="H595">
        <v>1030</v>
      </c>
      <c r="I595">
        <v>21</v>
      </c>
      <c r="J595">
        <v>2</v>
      </c>
      <c r="K595">
        <v>40.450000000000003</v>
      </c>
      <c r="L595">
        <v>10</v>
      </c>
      <c r="M595" s="1" t="s">
        <v>39</v>
      </c>
      <c r="N595" s="1" t="s">
        <v>40</v>
      </c>
      <c r="O595">
        <v>21527</v>
      </c>
      <c r="P595" t="b">
        <v>1</v>
      </c>
      <c r="Q595">
        <v>1.75</v>
      </c>
      <c r="R595">
        <v>1025.0952380952381</v>
      </c>
      <c r="S595">
        <v>13.483333333333334</v>
      </c>
      <c r="T595" s="2">
        <v>44652</v>
      </c>
      <c r="U595" s="1" t="s">
        <v>51</v>
      </c>
      <c r="V595">
        <v>1</v>
      </c>
      <c r="W595" s="1" t="s">
        <v>40</v>
      </c>
      <c r="X595">
        <v>544</v>
      </c>
      <c r="Y595" s="1" t="s">
        <v>52</v>
      </c>
      <c r="Z595" s="1" t="s">
        <v>42</v>
      </c>
      <c r="AA595">
        <v>9.0909090909090912E-2</v>
      </c>
      <c r="AB595" s="1" t="s">
        <v>43</v>
      </c>
      <c r="AC595">
        <v>1</v>
      </c>
      <c r="AD595" s="2">
        <v>44652</v>
      </c>
      <c r="AE595" s="1" t="s">
        <v>53</v>
      </c>
      <c r="AF595" s="1" t="s">
        <v>72</v>
      </c>
      <c r="AG595" s="1" t="s">
        <v>55</v>
      </c>
      <c r="AH595" s="1" t="s">
        <v>47</v>
      </c>
      <c r="AI595">
        <v>21630</v>
      </c>
      <c r="AJ595">
        <v>-103</v>
      </c>
    </row>
    <row r="596" spans="1:36" x14ac:dyDescent="0.25">
      <c r="A596">
        <v>10595</v>
      </c>
      <c r="B596">
        <v>46</v>
      </c>
      <c r="C596" s="1" t="s">
        <v>60</v>
      </c>
      <c r="D596" s="1" t="s">
        <v>73</v>
      </c>
      <c r="E596" s="2">
        <v>44928</v>
      </c>
      <c r="F596" s="2">
        <v>44692</v>
      </c>
      <c r="G596" s="1" t="s">
        <v>62</v>
      </c>
      <c r="H596">
        <v>556</v>
      </c>
      <c r="I596">
        <v>7</v>
      </c>
      <c r="J596">
        <v>2</v>
      </c>
      <c r="K596">
        <v>29.09</v>
      </c>
      <c r="L596">
        <v>20</v>
      </c>
      <c r="M596" s="1" t="s">
        <v>50</v>
      </c>
      <c r="N596" s="1" t="s">
        <v>56</v>
      </c>
      <c r="O596">
        <v>3780.8</v>
      </c>
      <c r="P596" t="b">
        <v>0</v>
      </c>
      <c r="Q596">
        <v>0.58333333333333337</v>
      </c>
      <c r="R596">
        <v>540.11428571428576</v>
      </c>
      <c r="S596">
        <v>9.6966666666666672</v>
      </c>
      <c r="T596" s="2">
        <v>44927</v>
      </c>
      <c r="U596" s="1" t="s">
        <v>51</v>
      </c>
      <c r="V596">
        <v>0</v>
      </c>
      <c r="W596" s="1" t="s">
        <v>56</v>
      </c>
      <c r="Y596" s="1" t="s">
        <v>52</v>
      </c>
      <c r="Z596" s="1" t="s">
        <v>52</v>
      </c>
      <c r="AA596">
        <v>0.25</v>
      </c>
      <c r="AB596" s="1" t="s">
        <v>42</v>
      </c>
      <c r="AC596">
        <v>2</v>
      </c>
      <c r="AD596" s="2">
        <v>44927</v>
      </c>
      <c r="AE596" s="1" t="s">
        <v>74</v>
      </c>
      <c r="AF596" s="1" t="s">
        <v>72</v>
      </c>
      <c r="AG596" s="1" t="s">
        <v>70</v>
      </c>
      <c r="AH596" s="1" t="s">
        <v>64</v>
      </c>
      <c r="AI596">
        <v>3892</v>
      </c>
      <c r="AJ596">
        <v>-111.19999999999982</v>
      </c>
    </row>
    <row r="597" spans="1:36" x14ac:dyDescent="0.25">
      <c r="A597">
        <v>10596</v>
      </c>
      <c r="B597">
        <v>60</v>
      </c>
      <c r="C597" s="1" t="s">
        <v>36</v>
      </c>
      <c r="D597" s="1" t="s">
        <v>37</v>
      </c>
      <c r="E597" s="2">
        <v>44476</v>
      </c>
      <c r="F597" s="2">
        <v>44616</v>
      </c>
      <c r="G597" s="1" t="s">
        <v>38</v>
      </c>
      <c r="H597">
        <v>484</v>
      </c>
      <c r="I597">
        <v>23</v>
      </c>
      <c r="J597">
        <v>0</v>
      </c>
      <c r="K597">
        <v>49.63</v>
      </c>
      <c r="L597">
        <v>10</v>
      </c>
      <c r="M597" s="1" t="s">
        <v>65</v>
      </c>
      <c r="N597" s="1" t="s">
        <v>56</v>
      </c>
      <c r="O597">
        <v>11083.6</v>
      </c>
      <c r="P597" t="b">
        <v>1</v>
      </c>
      <c r="Q597">
        <v>1.9166666666666667</v>
      </c>
      <c r="R597">
        <v>481.89565217391305</v>
      </c>
      <c r="S597">
        <v>49.63</v>
      </c>
      <c r="T597" s="2">
        <v>44470</v>
      </c>
      <c r="U597" s="1" t="s">
        <v>41</v>
      </c>
      <c r="V597">
        <v>0</v>
      </c>
      <c r="W597" s="1" t="s">
        <v>56</v>
      </c>
      <c r="X597">
        <v>140</v>
      </c>
      <c r="Y597" s="1" t="s">
        <v>52</v>
      </c>
      <c r="Z597" s="1" t="s">
        <v>42</v>
      </c>
      <c r="AA597">
        <v>0</v>
      </c>
      <c r="AB597" s="1" t="s">
        <v>52</v>
      </c>
      <c r="AC597">
        <v>1</v>
      </c>
      <c r="AD597" s="2">
        <v>44470</v>
      </c>
      <c r="AE597" s="1" t="s">
        <v>53</v>
      </c>
      <c r="AF597" s="1" t="s">
        <v>54</v>
      </c>
      <c r="AG597" s="1" t="s">
        <v>63</v>
      </c>
      <c r="AH597" s="1" t="s">
        <v>68</v>
      </c>
      <c r="AI597">
        <v>11132</v>
      </c>
      <c r="AJ597">
        <v>-48.399999999999636</v>
      </c>
    </row>
    <row r="598" spans="1:36" x14ac:dyDescent="0.25">
      <c r="A598">
        <v>10597</v>
      </c>
      <c r="B598">
        <v>28</v>
      </c>
      <c r="C598" s="1" t="s">
        <v>36</v>
      </c>
      <c r="D598" s="1" t="s">
        <v>69</v>
      </c>
      <c r="E598" s="2">
        <v>44844</v>
      </c>
      <c r="F598" s="2">
        <v>45187</v>
      </c>
      <c r="G598" s="1" t="s">
        <v>38</v>
      </c>
      <c r="H598">
        <v>444</v>
      </c>
      <c r="I598">
        <v>11</v>
      </c>
      <c r="J598">
        <v>1</v>
      </c>
      <c r="K598">
        <v>74.78</v>
      </c>
      <c r="L598">
        <v>15</v>
      </c>
      <c r="M598" s="1" t="s">
        <v>50</v>
      </c>
      <c r="N598" s="1" t="s">
        <v>40</v>
      </c>
      <c r="O598">
        <v>4817.3999999999996</v>
      </c>
      <c r="P598" t="b">
        <v>1</v>
      </c>
      <c r="Q598">
        <v>0.91666666666666663</v>
      </c>
      <c r="R598">
        <v>437.94545454545454</v>
      </c>
      <c r="S598">
        <v>37.39</v>
      </c>
      <c r="T598" s="2">
        <v>44835</v>
      </c>
      <c r="U598" s="1" t="s">
        <v>57</v>
      </c>
      <c r="V598">
        <v>1</v>
      </c>
      <c r="W598" s="1" t="s">
        <v>56</v>
      </c>
      <c r="X598">
        <v>343</v>
      </c>
      <c r="Y598" s="1" t="s">
        <v>43</v>
      </c>
      <c r="Z598" s="1" t="s">
        <v>42</v>
      </c>
      <c r="AA598">
        <v>8.3333333333333329E-2</v>
      </c>
      <c r="AB598" s="1" t="s">
        <v>42</v>
      </c>
      <c r="AC598">
        <v>1</v>
      </c>
      <c r="AD598" s="2">
        <v>44835</v>
      </c>
      <c r="AE598" s="1" t="s">
        <v>74</v>
      </c>
      <c r="AF598" s="1" t="s">
        <v>54</v>
      </c>
      <c r="AG598" s="1" t="s">
        <v>63</v>
      </c>
      <c r="AH598" s="1" t="s">
        <v>68</v>
      </c>
      <c r="AI598">
        <v>4884</v>
      </c>
      <c r="AJ598">
        <v>-66.600000000000364</v>
      </c>
    </row>
    <row r="599" spans="1:36" x14ac:dyDescent="0.25">
      <c r="A599">
        <v>10598</v>
      </c>
      <c r="B599">
        <v>35</v>
      </c>
      <c r="C599" s="1" t="s">
        <v>60</v>
      </c>
      <c r="D599" s="1" t="s">
        <v>61</v>
      </c>
      <c r="E599" s="2">
        <v>44814</v>
      </c>
      <c r="F599" s="2">
        <v>45043</v>
      </c>
      <c r="G599" s="1" t="s">
        <v>62</v>
      </c>
      <c r="H599">
        <v>1337</v>
      </c>
      <c r="I599">
        <v>10</v>
      </c>
      <c r="J599">
        <v>5</v>
      </c>
      <c r="K599">
        <v>80.55</v>
      </c>
      <c r="L599">
        <v>0</v>
      </c>
      <c r="M599" s="1" t="s">
        <v>65</v>
      </c>
      <c r="N599" s="1" t="s">
        <v>56</v>
      </c>
      <c r="O599">
        <v>13370</v>
      </c>
      <c r="P599" t="b">
        <v>1</v>
      </c>
      <c r="Q599">
        <v>0.83333333333333337</v>
      </c>
      <c r="R599">
        <v>1337</v>
      </c>
      <c r="S599">
        <v>13.424999999999999</v>
      </c>
      <c r="T599" s="2">
        <v>44805</v>
      </c>
      <c r="U599" s="1" t="s">
        <v>57</v>
      </c>
      <c r="V599">
        <v>0</v>
      </c>
      <c r="W599" s="1" t="s">
        <v>56</v>
      </c>
      <c r="X599">
        <v>229</v>
      </c>
      <c r="Y599" s="1" t="s">
        <v>43</v>
      </c>
      <c r="Z599" s="1" t="s">
        <v>42</v>
      </c>
      <c r="AA599">
        <v>0.45454545454545453</v>
      </c>
      <c r="AB599" s="1" t="s">
        <v>52</v>
      </c>
      <c r="AC599">
        <v>2</v>
      </c>
      <c r="AD599" s="2">
        <v>44805</v>
      </c>
      <c r="AE599" s="1" t="s">
        <v>74</v>
      </c>
      <c r="AF599" s="1" t="s">
        <v>45</v>
      </c>
      <c r="AG599" s="1" t="s">
        <v>63</v>
      </c>
      <c r="AH599" s="1" t="s">
        <v>47</v>
      </c>
      <c r="AI599">
        <v>13370</v>
      </c>
      <c r="AJ599">
        <v>0</v>
      </c>
    </row>
    <row r="600" spans="1:36" x14ac:dyDescent="0.25">
      <c r="A600">
        <v>10599</v>
      </c>
      <c r="B600">
        <v>64</v>
      </c>
      <c r="C600" s="1" t="s">
        <v>60</v>
      </c>
      <c r="D600" s="1" t="s">
        <v>73</v>
      </c>
      <c r="E600" s="2">
        <v>44314</v>
      </c>
      <c r="F600" s="2">
        <v>45120</v>
      </c>
      <c r="G600" s="1" t="s">
        <v>38</v>
      </c>
      <c r="H600">
        <v>545</v>
      </c>
      <c r="I600">
        <v>21</v>
      </c>
      <c r="J600">
        <v>0</v>
      </c>
      <c r="K600">
        <v>71.489999999999995</v>
      </c>
      <c r="L600">
        <v>20</v>
      </c>
      <c r="M600" s="1" t="s">
        <v>50</v>
      </c>
      <c r="N600" s="1" t="s">
        <v>56</v>
      </c>
      <c r="O600">
        <v>11336</v>
      </c>
      <c r="P600" t="b">
        <v>1</v>
      </c>
      <c r="Q600">
        <v>1.75</v>
      </c>
      <c r="R600">
        <v>539.80952380952385</v>
      </c>
      <c r="S600">
        <v>71.489999999999995</v>
      </c>
      <c r="T600" s="2">
        <v>44287</v>
      </c>
      <c r="U600" s="1" t="s">
        <v>41</v>
      </c>
      <c r="V600">
        <v>0</v>
      </c>
      <c r="W600" s="1" t="s">
        <v>56</v>
      </c>
      <c r="X600">
        <v>806</v>
      </c>
      <c r="Y600" s="1" t="s">
        <v>43</v>
      </c>
      <c r="Z600" s="1" t="s">
        <v>52</v>
      </c>
      <c r="AA600">
        <v>0</v>
      </c>
      <c r="AB600" s="1" t="s">
        <v>52</v>
      </c>
      <c r="AC600">
        <v>1</v>
      </c>
      <c r="AD600" s="2">
        <v>44287</v>
      </c>
      <c r="AE600" s="1" t="s">
        <v>53</v>
      </c>
      <c r="AF600" s="1" t="s">
        <v>54</v>
      </c>
      <c r="AG600" s="1" t="s">
        <v>63</v>
      </c>
      <c r="AH600" s="1" t="s">
        <v>64</v>
      </c>
      <c r="AI600">
        <v>11445</v>
      </c>
      <c r="AJ600">
        <v>-109</v>
      </c>
    </row>
    <row r="601" spans="1:36" x14ac:dyDescent="0.25">
      <c r="A601">
        <v>10600</v>
      </c>
      <c r="B601">
        <v>29</v>
      </c>
      <c r="C601" s="1" t="s">
        <v>60</v>
      </c>
      <c r="D601" s="1" t="s">
        <v>61</v>
      </c>
      <c r="E601" s="2">
        <v>44433</v>
      </c>
      <c r="F601" s="2">
        <v>44615</v>
      </c>
      <c r="G601" s="1" t="s">
        <v>38</v>
      </c>
      <c r="H601">
        <v>486</v>
      </c>
      <c r="I601">
        <v>33</v>
      </c>
      <c r="J601">
        <v>2</v>
      </c>
      <c r="K601">
        <v>118.63</v>
      </c>
      <c r="L601">
        <v>5</v>
      </c>
      <c r="M601" s="1" t="s">
        <v>50</v>
      </c>
      <c r="N601" s="1" t="s">
        <v>56</v>
      </c>
      <c r="O601">
        <v>16013.7</v>
      </c>
      <c r="P601" t="b">
        <v>1</v>
      </c>
      <c r="Q601">
        <v>2.75</v>
      </c>
      <c r="R601">
        <v>485.26363636363641</v>
      </c>
      <c r="S601">
        <v>39.543333333333329</v>
      </c>
      <c r="T601" s="2">
        <v>44409</v>
      </c>
      <c r="U601" s="1" t="s">
        <v>57</v>
      </c>
      <c r="V601">
        <v>0</v>
      </c>
      <c r="W601" s="1" t="s">
        <v>40</v>
      </c>
      <c r="X601">
        <v>182</v>
      </c>
      <c r="Y601" s="1" t="s">
        <v>43</v>
      </c>
      <c r="Z601" s="1" t="s">
        <v>42</v>
      </c>
      <c r="AA601">
        <v>5.8823529411764705E-2</v>
      </c>
      <c r="AB601" s="1" t="s">
        <v>52</v>
      </c>
      <c r="AC601">
        <v>1</v>
      </c>
      <c r="AD601" s="2">
        <v>44409</v>
      </c>
      <c r="AE601" s="1" t="s">
        <v>44</v>
      </c>
      <c r="AF601" s="1" t="s">
        <v>72</v>
      </c>
      <c r="AG601" s="1" t="s">
        <v>63</v>
      </c>
      <c r="AH601" s="1" t="s">
        <v>68</v>
      </c>
      <c r="AI601">
        <v>16038</v>
      </c>
      <c r="AJ601">
        <v>-24.299999999999272</v>
      </c>
    </row>
    <row r="602" spans="1:36" x14ac:dyDescent="0.25">
      <c r="A602">
        <v>10601</v>
      </c>
      <c r="B602">
        <v>26</v>
      </c>
      <c r="C602" s="1" t="s">
        <v>60</v>
      </c>
      <c r="D602" s="1" t="s">
        <v>37</v>
      </c>
      <c r="E602" s="2">
        <v>44505</v>
      </c>
      <c r="F602" s="2">
        <v>44516</v>
      </c>
      <c r="G602" s="1" t="s">
        <v>38</v>
      </c>
      <c r="H602">
        <v>1165</v>
      </c>
      <c r="I602">
        <v>20</v>
      </c>
      <c r="J602">
        <v>5</v>
      </c>
      <c r="K602">
        <v>84.48</v>
      </c>
      <c r="L602">
        <v>15</v>
      </c>
      <c r="M602" s="1" t="s">
        <v>39</v>
      </c>
      <c r="N602" s="1" t="s">
        <v>56</v>
      </c>
      <c r="O602">
        <v>23125.25</v>
      </c>
      <c r="P602" t="b">
        <v>1</v>
      </c>
      <c r="Q602">
        <v>1.6666666666666667</v>
      </c>
      <c r="R602">
        <v>1156.2625</v>
      </c>
      <c r="S602">
        <v>14.08</v>
      </c>
      <c r="T602" s="2">
        <v>44501</v>
      </c>
      <c r="U602" s="1" t="s">
        <v>57</v>
      </c>
      <c r="V602">
        <v>0</v>
      </c>
      <c r="W602" s="1" t="s">
        <v>40</v>
      </c>
      <c r="X602">
        <v>11</v>
      </c>
      <c r="Y602" s="1" t="s">
        <v>43</v>
      </c>
      <c r="Z602" s="1" t="s">
        <v>42</v>
      </c>
      <c r="AA602">
        <v>0.23809523809523808</v>
      </c>
      <c r="AB602" s="1" t="s">
        <v>43</v>
      </c>
      <c r="AC602">
        <v>1</v>
      </c>
      <c r="AD602" s="2">
        <v>44501</v>
      </c>
      <c r="AE602" s="1" t="s">
        <v>53</v>
      </c>
      <c r="AF602" s="1" t="s">
        <v>45</v>
      </c>
      <c r="AG602" s="1" t="s">
        <v>63</v>
      </c>
      <c r="AH602" s="1" t="s">
        <v>47</v>
      </c>
      <c r="AI602">
        <v>23300</v>
      </c>
      <c r="AJ602">
        <v>-174.75</v>
      </c>
    </row>
    <row r="603" spans="1:36" x14ac:dyDescent="0.25">
      <c r="A603">
        <v>10602</v>
      </c>
      <c r="B603">
        <v>27</v>
      </c>
      <c r="C603" s="1" t="s">
        <v>60</v>
      </c>
      <c r="D603" s="1" t="s">
        <v>61</v>
      </c>
      <c r="E603" s="2">
        <v>44652</v>
      </c>
      <c r="F603" s="2">
        <v>45118</v>
      </c>
      <c r="G603" s="1" t="s">
        <v>49</v>
      </c>
      <c r="H603">
        <v>339</v>
      </c>
      <c r="I603">
        <v>33</v>
      </c>
      <c r="J603">
        <v>1</v>
      </c>
      <c r="K603">
        <v>112.12</v>
      </c>
      <c r="L603">
        <v>0</v>
      </c>
      <c r="M603" s="1" t="s">
        <v>50</v>
      </c>
      <c r="N603" s="1" t="s">
        <v>56</v>
      </c>
      <c r="O603">
        <v>11187</v>
      </c>
      <c r="P603" t="b">
        <v>1</v>
      </c>
      <c r="Q603">
        <v>2.75</v>
      </c>
      <c r="R603">
        <v>339</v>
      </c>
      <c r="S603">
        <v>56.06</v>
      </c>
      <c r="T603" s="2">
        <v>44652</v>
      </c>
      <c r="U603" s="1" t="s">
        <v>57</v>
      </c>
      <c r="V603">
        <v>0</v>
      </c>
      <c r="W603" s="1" t="s">
        <v>56</v>
      </c>
      <c r="X603">
        <v>466</v>
      </c>
      <c r="Y603" s="1" t="s">
        <v>43</v>
      </c>
      <c r="Z603" s="1" t="s">
        <v>42</v>
      </c>
      <c r="AA603">
        <v>2.9411764705882353E-2</v>
      </c>
      <c r="AB603" s="1" t="s">
        <v>52</v>
      </c>
      <c r="AC603">
        <v>3</v>
      </c>
      <c r="AD603" s="2">
        <v>44652</v>
      </c>
      <c r="AE603" s="1" t="s">
        <v>44</v>
      </c>
      <c r="AF603" s="1" t="s">
        <v>54</v>
      </c>
      <c r="AG603" s="1" t="s">
        <v>63</v>
      </c>
      <c r="AH603" s="1" t="s">
        <v>68</v>
      </c>
      <c r="AI603">
        <v>11187</v>
      </c>
      <c r="AJ603">
        <v>0</v>
      </c>
    </row>
    <row r="604" spans="1:36" x14ac:dyDescent="0.25">
      <c r="A604">
        <v>10603</v>
      </c>
      <c r="B604">
        <v>61</v>
      </c>
      <c r="C604" s="1" t="s">
        <v>60</v>
      </c>
      <c r="D604" s="1" t="s">
        <v>73</v>
      </c>
      <c r="E604" s="2">
        <v>45096</v>
      </c>
      <c r="F604" s="2">
        <v>45086</v>
      </c>
      <c r="G604" s="1" t="s">
        <v>62</v>
      </c>
      <c r="H604">
        <v>900</v>
      </c>
      <c r="I604">
        <v>35</v>
      </c>
      <c r="J604">
        <v>1</v>
      </c>
      <c r="K604">
        <v>18.559999999999999</v>
      </c>
      <c r="L604">
        <v>5</v>
      </c>
      <c r="M604" s="1" t="s">
        <v>50</v>
      </c>
      <c r="N604" s="1" t="s">
        <v>40</v>
      </c>
      <c r="O604">
        <v>31455</v>
      </c>
      <c r="P604" t="b">
        <v>0</v>
      </c>
      <c r="Q604">
        <v>2.9166666666666665</v>
      </c>
      <c r="R604">
        <v>898.71428571428567</v>
      </c>
      <c r="S604">
        <v>9.2799999999999994</v>
      </c>
      <c r="T604" s="2">
        <v>45078</v>
      </c>
      <c r="U604" s="1" t="s">
        <v>41</v>
      </c>
      <c r="V604">
        <v>1</v>
      </c>
      <c r="W604" s="1" t="s">
        <v>40</v>
      </c>
      <c r="Y604" s="1" t="s">
        <v>42</v>
      </c>
      <c r="Z604" s="1" t="s">
        <v>42</v>
      </c>
      <c r="AA604">
        <v>2.7777777777777776E-2</v>
      </c>
      <c r="AB604" s="1" t="s">
        <v>43</v>
      </c>
      <c r="AC604">
        <v>2</v>
      </c>
      <c r="AD604" s="2">
        <v>45078</v>
      </c>
      <c r="AE604" s="1" t="s">
        <v>44</v>
      </c>
      <c r="AF604" s="1" t="s">
        <v>54</v>
      </c>
      <c r="AG604" s="1" t="s">
        <v>46</v>
      </c>
      <c r="AH604" s="1" t="s">
        <v>59</v>
      </c>
      <c r="AI604">
        <v>31500</v>
      </c>
      <c r="AJ604">
        <v>-45</v>
      </c>
    </row>
    <row r="605" spans="1:36" x14ac:dyDescent="0.25">
      <c r="A605">
        <v>10604</v>
      </c>
      <c r="B605">
        <v>34</v>
      </c>
      <c r="C605" s="1" t="s">
        <v>60</v>
      </c>
      <c r="D605" s="1" t="s">
        <v>73</v>
      </c>
      <c r="E605" s="2">
        <v>44671</v>
      </c>
      <c r="F605" s="2">
        <v>44380</v>
      </c>
      <c r="G605" s="1" t="s">
        <v>38</v>
      </c>
      <c r="H605">
        <v>1261</v>
      </c>
      <c r="I605">
        <v>34</v>
      </c>
      <c r="J605">
        <v>2</v>
      </c>
      <c r="K605">
        <v>12.06</v>
      </c>
      <c r="L605">
        <v>5</v>
      </c>
      <c r="M605" s="1" t="s">
        <v>65</v>
      </c>
      <c r="N605" s="1" t="s">
        <v>40</v>
      </c>
      <c r="O605">
        <v>42810.95</v>
      </c>
      <c r="P605" t="b">
        <v>0</v>
      </c>
      <c r="Q605">
        <v>2.8333333333333335</v>
      </c>
      <c r="R605">
        <v>1259.1455882352941</v>
      </c>
      <c r="S605">
        <v>4.0200000000000005</v>
      </c>
      <c r="T605" s="2">
        <v>44652</v>
      </c>
      <c r="U605" s="1" t="s">
        <v>57</v>
      </c>
      <c r="V605">
        <v>1</v>
      </c>
      <c r="W605" s="1" t="s">
        <v>40</v>
      </c>
      <c r="Y605" s="1" t="s">
        <v>42</v>
      </c>
      <c r="Z605" s="1" t="s">
        <v>42</v>
      </c>
      <c r="AA605">
        <v>5.7142857142857141E-2</v>
      </c>
      <c r="AB605" s="1" t="s">
        <v>43</v>
      </c>
      <c r="AC605">
        <v>1</v>
      </c>
      <c r="AD605" s="2">
        <v>44652</v>
      </c>
      <c r="AE605" s="1" t="s">
        <v>44</v>
      </c>
      <c r="AF605" s="1" t="s">
        <v>72</v>
      </c>
      <c r="AG605" s="1" t="s">
        <v>46</v>
      </c>
      <c r="AH605" s="1" t="s">
        <v>47</v>
      </c>
      <c r="AI605">
        <v>42874</v>
      </c>
      <c r="AJ605">
        <v>-63.05000000000291</v>
      </c>
    </row>
    <row r="606" spans="1:36" x14ac:dyDescent="0.25">
      <c r="A606">
        <v>10605</v>
      </c>
      <c r="B606">
        <v>55</v>
      </c>
      <c r="C606" s="1" t="s">
        <v>36</v>
      </c>
      <c r="D606" s="1" t="s">
        <v>71</v>
      </c>
      <c r="E606" s="2">
        <v>44296</v>
      </c>
      <c r="F606" s="2">
        <v>44724</v>
      </c>
      <c r="G606" s="1" t="s">
        <v>49</v>
      </c>
      <c r="H606">
        <v>1285</v>
      </c>
      <c r="I606">
        <v>27</v>
      </c>
      <c r="J606">
        <v>1</v>
      </c>
      <c r="K606">
        <v>40.76</v>
      </c>
      <c r="L606">
        <v>20</v>
      </c>
      <c r="M606" s="1" t="s">
        <v>50</v>
      </c>
      <c r="N606" s="1" t="s">
        <v>56</v>
      </c>
      <c r="O606">
        <v>34438</v>
      </c>
      <c r="P606" t="b">
        <v>1</v>
      </c>
      <c r="Q606">
        <v>2.25</v>
      </c>
      <c r="R606">
        <v>1275.4814814814815</v>
      </c>
      <c r="S606">
        <v>20.38</v>
      </c>
      <c r="T606" s="2">
        <v>44287</v>
      </c>
      <c r="U606" s="1" t="s">
        <v>41</v>
      </c>
      <c r="V606">
        <v>0</v>
      </c>
      <c r="W606" s="1" t="s">
        <v>40</v>
      </c>
      <c r="X606">
        <v>428</v>
      </c>
      <c r="Y606" s="1" t="s">
        <v>52</v>
      </c>
      <c r="Z606" s="1" t="s">
        <v>52</v>
      </c>
      <c r="AA606">
        <v>3.5714285714285712E-2</v>
      </c>
      <c r="AB606" s="1" t="s">
        <v>43</v>
      </c>
      <c r="AC606">
        <v>3</v>
      </c>
      <c r="AD606" s="2">
        <v>44287</v>
      </c>
      <c r="AE606" s="1" t="s">
        <v>44</v>
      </c>
      <c r="AF606" s="1" t="s">
        <v>54</v>
      </c>
      <c r="AG606" s="1" t="s">
        <v>55</v>
      </c>
      <c r="AH606" s="1" t="s">
        <v>47</v>
      </c>
      <c r="AI606">
        <v>34695</v>
      </c>
      <c r="AJ606">
        <v>-257</v>
      </c>
    </row>
    <row r="607" spans="1:36" x14ac:dyDescent="0.25">
      <c r="A607">
        <v>10606</v>
      </c>
      <c r="B607">
        <v>24</v>
      </c>
      <c r="C607" s="1" t="s">
        <v>60</v>
      </c>
      <c r="D607" s="1" t="s">
        <v>37</v>
      </c>
      <c r="E607" s="2">
        <v>44457</v>
      </c>
      <c r="F607" s="2">
        <v>44561</v>
      </c>
      <c r="G607" s="1" t="s">
        <v>62</v>
      </c>
      <c r="H607">
        <v>308</v>
      </c>
      <c r="I607">
        <v>19</v>
      </c>
      <c r="J607">
        <v>0</v>
      </c>
      <c r="K607">
        <v>20.71</v>
      </c>
      <c r="L607">
        <v>10</v>
      </c>
      <c r="M607" s="1" t="s">
        <v>39</v>
      </c>
      <c r="N607" s="1" t="s">
        <v>40</v>
      </c>
      <c r="O607">
        <v>5821.2</v>
      </c>
      <c r="P607" t="b">
        <v>1</v>
      </c>
      <c r="Q607">
        <v>1.5833333333333333</v>
      </c>
      <c r="R607">
        <v>306.37894736842105</v>
      </c>
      <c r="S607">
        <v>20.71</v>
      </c>
      <c r="T607" s="2">
        <v>44440</v>
      </c>
      <c r="U607" s="1" t="s">
        <v>66</v>
      </c>
      <c r="V607">
        <v>1</v>
      </c>
      <c r="W607" s="1" t="s">
        <v>56</v>
      </c>
      <c r="X607">
        <v>104</v>
      </c>
      <c r="Y607" s="1" t="s">
        <v>52</v>
      </c>
      <c r="Z607" s="1" t="s">
        <v>42</v>
      </c>
      <c r="AA607">
        <v>0</v>
      </c>
      <c r="AB607" s="1" t="s">
        <v>42</v>
      </c>
      <c r="AC607">
        <v>2</v>
      </c>
      <c r="AD607" s="2">
        <v>44440</v>
      </c>
      <c r="AE607" s="1" t="s">
        <v>53</v>
      </c>
      <c r="AF607" s="1" t="s">
        <v>54</v>
      </c>
      <c r="AG607" s="1" t="s">
        <v>70</v>
      </c>
      <c r="AH607" s="1" t="s">
        <v>68</v>
      </c>
      <c r="AI607">
        <v>5852</v>
      </c>
      <c r="AJ607">
        <v>-30.800000000000182</v>
      </c>
    </row>
    <row r="608" spans="1:36" x14ac:dyDescent="0.25">
      <c r="A608">
        <v>10607</v>
      </c>
      <c r="B608">
        <v>63</v>
      </c>
      <c r="C608" s="1" t="s">
        <v>36</v>
      </c>
      <c r="D608" s="1" t="s">
        <v>71</v>
      </c>
      <c r="E608" s="2">
        <v>44501</v>
      </c>
      <c r="F608" s="2">
        <v>44909</v>
      </c>
      <c r="G608" s="1" t="s">
        <v>62</v>
      </c>
      <c r="H608">
        <v>649</v>
      </c>
      <c r="I608">
        <v>5</v>
      </c>
      <c r="J608">
        <v>3</v>
      </c>
      <c r="K608">
        <v>65.47</v>
      </c>
      <c r="L608">
        <v>15</v>
      </c>
      <c r="M608" s="1" t="s">
        <v>50</v>
      </c>
      <c r="N608" s="1" t="s">
        <v>56</v>
      </c>
      <c r="O608">
        <v>3147.65</v>
      </c>
      <c r="P608" t="b">
        <v>1</v>
      </c>
      <c r="Q608">
        <v>0.41666666666666669</v>
      </c>
      <c r="R608">
        <v>629.53</v>
      </c>
      <c r="S608">
        <v>16.3675</v>
      </c>
      <c r="T608" s="2">
        <v>44501</v>
      </c>
      <c r="U608" s="1" t="s">
        <v>41</v>
      </c>
      <c r="V608">
        <v>0</v>
      </c>
      <c r="W608" s="1" t="s">
        <v>56</v>
      </c>
      <c r="X608">
        <v>408</v>
      </c>
      <c r="Y608" s="1" t="s">
        <v>43</v>
      </c>
      <c r="Z608" s="1" t="s">
        <v>42</v>
      </c>
      <c r="AA608">
        <v>0.5</v>
      </c>
      <c r="AB608" s="1" t="s">
        <v>42</v>
      </c>
      <c r="AC608">
        <v>2</v>
      </c>
      <c r="AD608" s="2">
        <v>44501</v>
      </c>
      <c r="AE608" s="1" t="s">
        <v>58</v>
      </c>
      <c r="AF608" s="1" t="s">
        <v>72</v>
      </c>
      <c r="AG608" s="1" t="s">
        <v>63</v>
      </c>
      <c r="AH608" s="1" t="s">
        <v>64</v>
      </c>
      <c r="AI608">
        <v>3245</v>
      </c>
      <c r="AJ608">
        <v>-97.349999999999909</v>
      </c>
    </row>
    <row r="609" spans="1:36" x14ac:dyDescent="0.25">
      <c r="A609">
        <v>10608</v>
      </c>
      <c r="B609">
        <v>30</v>
      </c>
      <c r="C609" s="1" t="s">
        <v>36</v>
      </c>
      <c r="D609" s="1" t="s">
        <v>37</v>
      </c>
      <c r="E609" s="2">
        <v>44550</v>
      </c>
      <c r="F609" s="2">
        <v>44787</v>
      </c>
      <c r="G609" s="1" t="s">
        <v>49</v>
      </c>
      <c r="H609">
        <v>383</v>
      </c>
      <c r="I609">
        <v>29</v>
      </c>
      <c r="J609">
        <v>0</v>
      </c>
      <c r="K609">
        <v>64.680000000000007</v>
      </c>
      <c r="L609">
        <v>5</v>
      </c>
      <c r="M609" s="1" t="s">
        <v>67</v>
      </c>
      <c r="N609" s="1" t="s">
        <v>40</v>
      </c>
      <c r="O609">
        <v>11087.85</v>
      </c>
      <c r="P609" t="b">
        <v>1</v>
      </c>
      <c r="Q609">
        <v>2.4166666666666665</v>
      </c>
      <c r="R609">
        <v>382.33965517241381</v>
      </c>
      <c r="S609">
        <v>64.680000000000007</v>
      </c>
      <c r="T609" s="2">
        <v>44531</v>
      </c>
      <c r="U609" s="1" t="s">
        <v>57</v>
      </c>
      <c r="V609">
        <v>1</v>
      </c>
      <c r="W609" s="1" t="s">
        <v>56</v>
      </c>
      <c r="X609">
        <v>237</v>
      </c>
      <c r="Y609" s="1" t="s">
        <v>43</v>
      </c>
      <c r="Z609" s="1" t="s">
        <v>42</v>
      </c>
      <c r="AA609">
        <v>0</v>
      </c>
      <c r="AB609" s="1" t="s">
        <v>52</v>
      </c>
      <c r="AC609">
        <v>3</v>
      </c>
      <c r="AD609" s="2">
        <v>44531</v>
      </c>
      <c r="AE609" s="1" t="s">
        <v>44</v>
      </c>
      <c r="AF609" s="1" t="s">
        <v>54</v>
      </c>
      <c r="AG609" s="1" t="s">
        <v>63</v>
      </c>
      <c r="AH609" s="1" t="s">
        <v>68</v>
      </c>
      <c r="AI609">
        <v>11107</v>
      </c>
      <c r="AJ609">
        <v>-19.149999999999636</v>
      </c>
    </row>
    <row r="610" spans="1:36" x14ac:dyDescent="0.25">
      <c r="A610">
        <v>10609</v>
      </c>
      <c r="B610">
        <v>57</v>
      </c>
      <c r="C610" s="1" t="s">
        <v>36</v>
      </c>
      <c r="D610" s="1" t="s">
        <v>76</v>
      </c>
      <c r="E610" s="2">
        <v>44482</v>
      </c>
      <c r="F610" s="2">
        <v>44839</v>
      </c>
      <c r="G610" s="1" t="s">
        <v>38</v>
      </c>
      <c r="H610">
        <v>832</v>
      </c>
      <c r="I610">
        <v>10</v>
      </c>
      <c r="J610">
        <v>1</v>
      </c>
      <c r="K610">
        <v>71.13</v>
      </c>
      <c r="L610">
        <v>20</v>
      </c>
      <c r="M610" s="1" t="s">
        <v>67</v>
      </c>
      <c r="N610" s="1" t="s">
        <v>40</v>
      </c>
      <c r="O610">
        <v>8153.6</v>
      </c>
      <c r="P610" t="b">
        <v>1</v>
      </c>
      <c r="Q610">
        <v>0.83333333333333337</v>
      </c>
      <c r="R610">
        <v>815.36</v>
      </c>
      <c r="S610">
        <v>35.564999999999998</v>
      </c>
      <c r="T610" s="2">
        <v>44470</v>
      </c>
      <c r="U610" s="1" t="s">
        <v>41</v>
      </c>
      <c r="V610">
        <v>1</v>
      </c>
      <c r="W610" s="1" t="s">
        <v>56</v>
      </c>
      <c r="X610">
        <v>357</v>
      </c>
      <c r="Y610" s="1" t="s">
        <v>43</v>
      </c>
      <c r="Z610" s="1" t="s">
        <v>52</v>
      </c>
      <c r="AA610">
        <v>9.0909090909090912E-2</v>
      </c>
      <c r="AB610" s="1" t="s">
        <v>42</v>
      </c>
      <c r="AC610">
        <v>1</v>
      </c>
      <c r="AD610" s="2">
        <v>44470</v>
      </c>
      <c r="AE610" s="1" t="s">
        <v>74</v>
      </c>
      <c r="AF610" s="1" t="s">
        <v>54</v>
      </c>
      <c r="AG610" s="1" t="s">
        <v>63</v>
      </c>
      <c r="AH610" s="1" t="s">
        <v>59</v>
      </c>
      <c r="AI610">
        <v>8320</v>
      </c>
      <c r="AJ610">
        <v>-166.39999999999964</v>
      </c>
    </row>
    <row r="611" spans="1:36" x14ac:dyDescent="0.25">
      <c r="A611">
        <v>10610</v>
      </c>
      <c r="B611">
        <v>59</v>
      </c>
      <c r="C611" s="1" t="s">
        <v>36</v>
      </c>
      <c r="D611" s="1" t="s">
        <v>73</v>
      </c>
      <c r="E611" s="2">
        <v>44524</v>
      </c>
      <c r="F611" s="2">
        <v>44740</v>
      </c>
      <c r="G611" s="1" t="s">
        <v>38</v>
      </c>
      <c r="H611">
        <v>1288</v>
      </c>
      <c r="I611">
        <v>13</v>
      </c>
      <c r="J611">
        <v>2</v>
      </c>
      <c r="K611">
        <v>90.7</v>
      </c>
      <c r="L611">
        <v>0</v>
      </c>
      <c r="M611" s="1" t="s">
        <v>65</v>
      </c>
      <c r="N611" s="1" t="s">
        <v>40</v>
      </c>
      <c r="O611">
        <v>16744</v>
      </c>
      <c r="P611" t="b">
        <v>1</v>
      </c>
      <c r="Q611">
        <v>1.0833333333333333</v>
      </c>
      <c r="R611">
        <v>1288</v>
      </c>
      <c r="S611">
        <v>30.233333333333334</v>
      </c>
      <c r="T611" s="2">
        <v>44501</v>
      </c>
      <c r="U611" s="1" t="s">
        <v>41</v>
      </c>
      <c r="V611">
        <v>1</v>
      </c>
      <c r="W611" s="1" t="s">
        <v>40</v>
      </c>
      <c r="X611">
        <v>216</v>
      </c>
      <c r="Y611" s="1" t="s">
        <v>43</v>
      </c>
      <c r="Z611" s="1" t="s">
        <v>42</v>
      </c>
      <c r="AA611">
        <v>0.14285714285714285</v>
      </c>
      <c r="AB611" s="1" t="s">
        <v>52</v>
      </c>
      <c r="AC611">
        <v>1</v>
      </c>
      <c r="AD611" s="2">
        <v>44501</v>
      </c>
      <c r="AE611" s="1" t="s">
        <v>53</v>
      </c>
      <c r="AF611" s="1" t="s">
        <v>72</v>
      </c>
      <c r="AG611" s="1" t="s">
        <v>63</v>
      </c>
      <c r="AH611" s="1" t="s">
        <v>47</v>
      </c>
      <c r="AI611">
        <v>16744</v>
      </c>
      <c r="AJ611">
        <v>0</v>
      </c>
    </row>
    <row r="612" spans="1:36" x14ac:dyDescent="0.25">
      <c r="A612">
        <v>10611</v>
      </c>
      <c r="B612">
        <v>26</v>
      </c>
      <c r="C612" s="1" t="s">
        <v>60</v>
      </c>
      <c r="D612" s="1" t="s">
        <v>71</v>
      </c>
      <c r="E612" s="2">
        <v>44299</v>
      </c>
      <c r="F612" s="2">
        <v>44836</v>
      </c>
      <c r="G612" s="1" t="s">
        <v>62</v>
      </c>
      <c r="H612">
        <v>657</v>
      </c>
      <c r="I612">
        <v>29</v>
      </c>
      <c r="J612">
        <v>2</v>
      </c>
      <c r="K612">
        <v>62.59</v>
      </c>
      <c r="L612">
        <v>5</v>
      </c>
      <c r="M612" s="1" t="s">
        <v>65</v>
      </c>
      <c r="N612" s="1" t="s">
        <v>56</v>
      </c>
      <c r="O612">
        <v>19020.150000000001</v>
      </c>
      <c r="P612" t="b">
        <v>1</v>
      </c>
      <c r="Q612">
        <v>2.4166666666666665</v>
      </c>
      <c r="R612">
        <v>655.86724137931037</v>
      </c>
      <c r="S612">
        <v>20.863333333333333</v>
      </c>
      <c r="T612" s="2">
        <v>44287</v>
      </c>
      <c r="U612" s="1" t="s">
        <v>57</v>
      </c>
      <c r="V612">
        <v>0</v>
      </c>
      <c r="W612" s="1" t="s">
        <v>40</v>
      </c>
      <c r="X612">
        <v>537</v>
      </c>
      <c r="Y612" s="1" t="s">
        <v>43</v>
      </c>
      <c r="Z612" s="1" t="s">
        <v>42</v>
      </c>
      <c r="AA612">
        <v>6.6666666666666666E-2</v>
      </c>
      <c r="AB612" s="1" t="s">
        <v>52</v>
      </c>
      <c r="AC612">
        <v>2</v>
      </c>
      <c r="AD612" s="2">
        <v>44287</v>
      </c>
      <c r="AE612" s="1" t="s">
        <v>44</v>
      </c>
      <c r="AF612" s="1" t="s">
        <v>72</v>
      </c>
      <c r="AG612" s="1" t="s">
        <v>63</v>
      </c>
      <c r="AH612" s="1" t="s">
        <v>64</v>
      </c>
      <c r="AI612">
        <v>19053</v>
      </c>
      <c r="AJ612">
        <v>-32.849999999998545</v>
      </c>
    </row>
    <row r="613" spans="1:36" x14ac:dyDescent="0.25">
      <c r="A613">
        <v>10612</v>
      </c>
      <c r="B613">
        <v>44</v>
      </c>
      <c r="C613" s="1" t="s">
        <v>36</v>
      </c>
      <c r="D613" s="1" t="s">
        <v>61</v>
      </c>
      <c r="E613" s="2">
        <v>44259</v>
      </c>
      <c r="F613" s="2">
        <v>45069</v>
      </c>
      <c r="G613" s="1" t="s">
        <v>62</v>
      </c>
      <c r="H613">
        <v>677</v>
      </c>
      <c r="I613">
        <v>5</v>
      </c>
      <c r="J613">
        <v>0</v>
      </c>
      <c r="K613">
        <v>106</v>
      </c>
      <c r="L613">
        <v>0</v>
      </c>
      <c r="M613" s="1" t="s">
        <v>67</v>
      </c>
      <c r="N613" s="1" t="s">
        <v>56</v>
      </c>
      <c r="O613">
        <v>3385</v>
      </c>
      <c r="P613" t="b">
        <v>1</v>
      </c>
      <c r="Q613">
        <v>0.41666666666666669</v>
      </c>
      <c r="R613">
        <v>677</v>
      </c>
      <c r="S613">
        <v>106</v>
      </c>
      <c r="T613" s="2">
        <v>44256</v>
      </c>
      <c r="U613" s="1" t="s">
        <v>51</v>
      </c>
      <c r="V613">
        <v>0</v>
      </c>
      <c r="W613" s="1" t="s">
        <v>56</v>
      </c>
      <c r="X613">
        <v>810</v>
      </c>
      <c r="Y613" s="1" t="s">
        <v>43</v>
      </c>
      <c r="Z613" s="1" t="s">
        <v>42</v>
      </c>
      <c r="AA613">
        <v>0</v>
      </c>
      <c r="AB613" s="1" t="s">
        <v>42</v>
      </c>
      <c r="AC613">
        <v>2</v>
      </c>
      <c r="AD613" s="2">
        <v>44256</v>
      </c>
      <c r="AE613" s="1" t="s">
        <v>58</v>
      </c>
      <c r="AF613" s="1" t="s">
        <v>54</v>
      </c>
      <c r="AG613" s="1" t="s">
        <v>63</v>
      </c>
      <c r="AH613" s="1" t="s">
        <v>64</v>
      </c>
      <c r="AI613">
        <v>3385</v>
      </c>
      <c r="AJ613">
        <v>0</v>
      </c>
    </row>
    <row r="614" spans="1:36" x14ac:dyDescent="0.25">
      <c r="A614">
        <v>10613</v>
      </c>
      <c r="B614">
        <v>19</v>
      </c>
      <c r="C614" s="1" t="s">
        <v>60</v>
      </c>
      <c r="D614" s="1" t="s">
        <v>73</v>
      </c>
      <c r="E614" s="2">
        <v>44883</v>
      </c>
      <c r="F614" s="2">
        <v>44376</v>
      </c>
      <c r="G614" s="1" t="s">
        <v>62</v>
      </c>
      <c r="H614">
        <v>471</v>
      </c>
      <c r="I614">
        <v>12</v>
      </c>
      <c r="J614">
        <v>3</v>
      </c>
      <c r="K614">
        <v>18.61</v>
      </c>
      <c r="L614">
        <v>15</v>
      </c>
      <c r="M614" s="1" t="s">
        <v>50</v>
      </c>
      <c r="N614" s="1" t="s">
        <v>40</v>
      </c>
      <c r="O614">
        <v>5581.35</v>
      </c>
      <c r="P614" t="b">
        <v>0</v>
      </c>
      <c r="Q614">
        <v>1</v>
      </c>
      <c r="R614">
        <v>465.11250000000001</v>
      </c>
      <c r="S614">
        <v>4.6524999999999999</v>
      </c>
      <c r="T614" s="2">
        <v>44866</v>
      </c>
      <c r="U614" s="1" t="s">
        <v>66</v>
      </c>
      <c r="V614">
        <v>1</v>
      </c>
      <c r="W614" s="1" t="s">
        <v>56</v>
      </c>
      <c r="Y614" s="1" t="s">
        <v>42</v>
      </c>
      <c r="Z614" s="1" t="s">
        <v>42</v>
      </c>
      <c r="AA614">
        <v>0.23076923076923078</v>
      </c>
      <c r="AB614" s="1" t="s">
        <v>42</v>
      </c>
      <c r="AC614">
        <v>2</v>
      </c>
      <c r="AD614" s="2">
        <v>44866</v>
      </c>
      <c r="AE614" s="1" t="s">
        <v>74</v>
      </c>
      <c r="AF614" s="1" t="s">
        <v>72</v>
      </c>
      <c r="AG614" s="1" t="s">
        <v>46</v>
      </c>
      <c r="AH614" s="1" t="s">
        <v>68</v>
      </c>
      <c r="AI614">
        <v>5652</v>
      </c>
      <c r="AJ614">
        <v>-70.649999999999636</v>
      </c>
    </row>
    <row r="615" spans="1:36" x14ac:dyDescent="0.25">
      <c r="A615">
        <v>10614</v>
      </c>
      <c r="B615">
        <v>22</v>
      </c>
      <c r="C615" s="1" t="s">
        <v>60</v>
      </c>
      <c r="D615" s="1" t="s">
        <v>37</v>
      </c>
      <c r="E615" s="2">
        <v>44478</v>
      </c>
      <c r="F615" s="2">
        <v>44386</v>
      </c>
      <c r="G615" s="1" t="s">
        <v>62</v>
      </c>
      <c r="H615">
        <v>1348</v>
      </c>
      <c r="I615">
        <v>13</v>
      </c>
      <c r="J615">
        <v>2</v>
      </c>
      <c r="K615">
        <v>43.93</v>
      </c>
      <c r="L615">
        <v>20</v>
      </c>
      <c r="M615" s="1" t="s">
        <v>50</v>
      </c>
      <c r="N615" s="1" t="s">
        <v>56</v>
      </c>
      <c r="O615">
        <v>17254.400000000001</v>
      </c>
      <c r="P615" t="b">
        <v>0</v>
      </c>
      <c r="Q615">
        <v>1.0833333333333333</v>
      </c>
      <c r="R615">
        <v>1327.2615384615385</v>
      </c>
      <c r="S615">
        <v>14.643333333333333</v>
      </c>
      <c r="T615" s="2">
        <v>44470</v>
      </c>
      <c r="U615" s="1" t="s">
        <v>66</v>
      </c>
      <c r="V615">
        <v>0</v>
      </c>
      <c r="W615" s="1" t="s">
        <v>40</v>
      </c>
      <c r="Y615" s="1" t="s">
        <v>52</v>
      </c>
      <c r="Z615" s="1" t="s">
        <v>52</v>
      </c>
      <c r="AA615">
        <v>0.14285714285714285</v>
      </c>
      <c r="AB615" s="1" t="s">
        <v>52</v>
      </c>
      <c r="AC615">
        <v>2</v>
      </c>
      <c r="AD615" s="2">
        <v>44470</v>
      </c>
      <c r="AE615" s="1" t="s">
        <v>53</v>
      </c>
      <c r="AF615" s="1" t="s">
        <v>72</v>
      </c>
      <c r="AG615" s="1" t="s">
        <v>55</v>
      </c>
      <c r="AH615" s="1" t="s">
        <v>47</v>
      </c>
      <c r="AI615">
        <v>17524</v>
      </c>
      <c r="AJ615">
        <v>-269.59999999999854</v>
      </c>
    </row>
    <row r="616" spans="1:36" x14ac:dyDescent="0.25">
      <c r="A616">
        <v>10615</v>
      </c>
      <c r="B616">
        <v>41</v>
      </c>
      <c r="C616" s="1" t="s">
        <v>36</v>
      </c>
      <c r="D616" s="1" t="s">
        <v>73</v>
      </c>
      <c r="E616" s="2">
        <v>44637</v>
      </c>
      <c r="F616" s="2">
        <v>45206</v>
      </c>
      <c r="G616" s="1" t="s">
        <v>49</v>
      </c>
      <c r="H616">
        <v>692</v>
      </c>
      <c r="I616">
        <v>22</v>
      </c>
      <c r="J616">
        <v>0</v>
      </c>
      <c r="K616">
        <v>34.42</v>
      </c>
      <c r="L616">
        <v>0</v>
      </c>
      <c r="M616" s="1" t="s">
        <v>65</v>
      </c>
      <c r="N616" s="1" t="s">
        <v>56</v>
      </c>
      <c r="O616">
        <v>15224</v>
      </c>
      <c r="P616" t="b">
        <v>1</v>
      </c>
      <c r="Q616">
        <v>1.8333333333333333</v>
      </c>
      <c r="R616">
        <v>692</v>
      </c>
      <c r="S616">
        <v>34.42</v>
      </c>
      <c r="T616" s="2">
        <v>44621</v>
      </c>
      <c r="U616" s="1" t="s">
        <v>51</v>
      </c>
      <c r="V616">
        <v>0</v>
      </c>
      <c r="W616" s="1" t="s">
        <v>40</v>
      </c>
      <c r="X616">
        <v>569</v>
      </c>
      <c r="Y616" s="1" t="s">
        <v>52</v>
      </c>
      <c r="Z616" s="1" t="s">
        <v>42</v>
      </c>
      <c r="AA616">
        <v>0</v>
      </c>
      <c r="AB616" s="1" t="s">
        <v>52</v>
      </c>
      <c r="AC616">
        <v>3</v>
      </c>
      <c r="AD616" s="2">
        <v>44621</v>
      </c>
      <c r="AE616" s="1" t="s">
        <v>53</v>
      </c>
      <c r="AF616" s="1" t="s">
        <v>54</v>
      </c>
      <c r="AG616" s="1" t="s">
        <v>55</v>
      </c>
      <c r="AH616" s="1" t="s">
        <v>64</v>
      </c>
      <c r="AI616">
        <v>15224</v>
      </c>
      <c r="AJ616">
        <v>0</v>
      </c>
    </row>
    <row r="617" spans="1:36" x14ac:dyDescent="0.25">
      <c r="A617">
        <v>10616</v>
      </c>
      <c r="B617">
        <v>54</v>
      </c>
      <c r="C617" s="1" t="s">
        <v>60</v>
      </c>
      <c r="D617" s="1" t="s">
        <v>61</v>
      </c>
      <c r="E617" s="2">
        <v>44489</v>
      </c>
      <c r="F617" s="2">
        <v>44959</v>
      </c>
      <c r="G617" s="1" t="s">
        <v>49</v>
      </c>
      <c r="H617">
        <v>1426</v>
      </c>
      <c r="I617">
        <v>15</v>
      </c>
      <c r="J617">
        <v>3</v>
      </c>
      <c r="K617">
        <v>25.33</v>
      </c>
      <c r="L617">
        <v>10</v>
      </c>
      <c r="M617" s="1" t="s">
        <v>39</v>
      </c>
      <c r="N617" s="1" t="s">
        <v>56</v>
      </c>
      <c r="O617">
        <v>21247.4</v>
      </c>
      <c r="P617" t="b">
        <v>1</v>
      </c>
      <c r="Q617">
        <v>1.25</v>
      </c>
      <c r="R617">
        <v>1416.4933333333333</v>
      </c>
      <c r="S617">
        <v>6.3324999999999996</v>
      </c>
      <c r="T617" s="2">
        <v>44470</v>
      </c>
      <c r="U617" s="1" t="s">
        <v>41</v>
      </c>
      <c r="V617">
        <v>0</v>
      </c>
      <c r="W617" s="1" t="s">
        <v>40</v>
      </c>
      <c r="X617">
        <v>470</v>
      </c>
      <c r="Y617" s="1" t="s">
        <v>52</v>
      </c>
      <c r="Z617" s="1" t="s">
        <v>42</v>
      </c>
      <c r="AA617">
        <v>0.1875</v>
      </c>
      <c r="AB617" s="1" t="s">
        <v>43</v>
      </c>
      <c r="AC617">
        <v>3</v>
      </c>
      <c r="AD617" s="2">
        <v>44470</v>
      </c>
      <c r="AE617" s="1" t="s">
        <v>53</v>
      </c>
      <c r="AF617" s="1" t="s">
        <v>72</v>
      </c>
      <c r="AG617" s="1" t="s">
        <v>70</v>
      </c>
      <c r="AH617" s="1" t="s">
        <v>47</v>
      </c>
      <c r="AI617">
        <v>21390</v>
      </c>
      <c r="AJ617">
        <v>-142.59999999999854</v>
      </c>
    </row>
    <row r="618" spans="1:36" x14ac:dyDescent="0.25">
      <c r="A618">
        <v>10617</v>
      </c>
      <c r="B618">
        <v>55</v>
      </c>
      <c r="C618" s="1" t="s">
        <v>60</v>
      </c>
      <c r="D618" s="1" t="s">
        <v>71</v>
      </c>
      <c r="E618" s="2">
        <v>44934</v>
      </c>
      <c r="F618" s="2">
        <v>44520</v>
      </c>
      <c r="G618" s="1" t="s">
        <v>49</v>
      </c>
      <c r="H618">
        <v>1001</v>
      </c>
      <c r="I618">
        <v>13</v>
      </c>
      <c r="J618">
        <v>3</v>
      </c>
      <c r="K618">
        <v>67.64</v>
      </c>
      <c r="L618">
        <v>0</v>
      </c>
      <c r="M618" s="1" t="s">
        <v>50</v>
      </c>
      <c r="N618" s="1" t="s">
        <v>40</v>
      </c>
      <c r="O618">
        <v>13013</v>
      </c>
      <c r="P618" t="b">
        <v>0</v>
      </c>
      <c r="Q618">
        <v>1.0833333333333333</v>
      </c>
      <c r="R618">
        <v>1001</v>
      </c>
      <c r="S618">
        <v>16.91</v>
      </c>
      <c r="T618" s="2">
        <v>44927</v>
      </c>
      <c r="U618" s="1" t="s">
        <v>41</v>
      </c>
      <c r="V618">
        <v>1</v>
      </c>
      <c r="W618" s="1" t="s">
        <v>56</v>
      </c>
      <c r="Y618" s="1" t="s">
        <v>43</v>
      </c>
      <c r="Z618" s="1" t="s">
        <v>42</v>
      </c>
      <c r="AA618">
        <v>0.21428571428571427</v>
      </c>
      <c r="AB618" s="1" t="s">
        <v>52</v>
      </c>
      <c r="AC618">
        <v>3</v>
      </c>
      <c r="AD618" s="2">
        <v>44927</v>
      </c>
      <c r="AE618" s="1" t="s">
        <v>53</v>
      </c>
      <c r="AF618" s="1" t="s">
        <v>72</v>
      </c>
      <c r="AG618" s="1" t="s">
        <v>63</v>
      </c>
      <c r="AH618" s="1" t="s">
        <v>47</v>
      </c>
      <c r="AI618">
        <v>13013</v>
      </c>
      <c r="AJ618">
        <v>0</v>
      </c>
    </row>
    <row r="619" spans="1:36" x14ac:dyDescent="0.25">
      <c r="A619">
        <v>10618</v>
      </c>
      <c r="B619">
        <v>36</v>
      </c>
      <c r="C619" s="1" t="s">
        <v>36</v>
      </c>
      <c r="D619" s="1" t="s">
        <v>71</v>
      </c>
      <c r="E619" s="2">
        <v>44203</v>
      </c>
      <c r="F619" s="2">
        <v>44364</v>
      </c>
      <c r="G619" s="1" t="s">
        <v>49</v>
      </c>
      <c r="H619">
        <v>848</v>
      </c>
      <c r="I619">
        <v>1</v>
      </c>
      <c r="J619">
        <v>2</v>
      </c>
      <c r="K619">
        <v>68.63</v>
      </c>
      <c r="L619">
        <v>0</v>
      </c>
      <c r="M619" s="1" t="s">
        <v>67</v>
      </c>
      <c r="N619" s="1" t="s">
        <v>40</v>
      </c>
      <c r="O619">
        <v>848</v>
      </c>
      <c r="P619" t="b">
        <v>1</v>
      </c>
      <c r="Q619">
        <v>8.3333333333333329E-2</v>
      </c>
      <c r="R619">
        <v>848</v>
      </c>
      <c r="S619">
        <v>22.876666666666665</v>
      </c>
      <c r="T619" s="2">
        <v>44197</v>
      </c>
      <c r="U619" s="1" t="s">
        <v>51</v>
      </c>
      <c r="V619">
        <v>1</v>
      </c>
      <c r="W619" s="1" t="s">
        <v>56</v>
      </c>
      <c r="X619">
        <v>161</v>
      </c>
      <c r="Y619" s="1" t="s">
        <v>43</v>
      </c>
      <c r="Z619" s="1" t="s">
        <v>42</v>
      </c>
      <c r="AA619">
        <v>1</v>
      </c>
      <c r="AB619" s="1" t="s">
        <v>42</v>
      </c>
      <c r="AC619">
        <v>3</v>
      </c>
      <c r="AD619" s="2">
        <v>44197</v>
      </c>
      <c r="AE619" s="1" t="s">
        <v>58</v>
      </c>
      <c r="AF619" s="1" t="s">
        <v>72</v>
      </c>
      <c r="AG619" s="1" t="s">
        <v>63</v>
      </c>
      <c r="AH619" s="1" t="s">
        <v>59</v>
      </c>
      <c r="AI619">
        <v>848</v>
      </c>
      <c r="AJ619">
        <v>0</v>
      </c>
    </row>
    <row r="620" spans="1:36" x14ac:dyDescent="0.25">
      <c r="A620">
        <v>10619</v>
      </c>
      <c r="B620">
        <v>25</v>
      </c>
      <c r="C620" s="1" t="s">
        <v>36</v>
      </c>
      <c r="D620" s="1" t="s">
        <v>73</v>
      </c>
      <c r="E620" s="2">
        <v>44835</v>
      </c>
      <c r="F620" s="2">
        <v>44403</v>
      </c>
      <c r="G620" s="1" t="s">
        <v>49</v>
      </c>
      <c r="H620">
        <v>1083</v>
      </c>
      <c r="I620">
        <v>1</v>
      </c>
      <c r="J620">
        <v>4</v>
      </c>
      <c r="K620">
        <v>31.13</v>
      </c>
      <c r="L620">
        <v>20</v>
      </c>
      <c r="M620" s="1" t="s">
        <v>39</v>
      </c>
      <c r="N620" s="1" t="s">
        <v>56</v>
      </c>
      <c r="O620">
        <v>866.4</v>
      </c>
      <c r="P620" t="b">
        <v>0</v>
      </c>
      <c r="Q620">
        <v>8.3333333333333329E-2</v>
      </c>
      <c r="R620">
        <v>866.4</v>
      </c>
      <c r="S620">
        <v>6.226</v>
      </c>
      <c r="T620" s="2">
        <v>44835</v>
      </c>
      <c r="U620" s="1" t="s">
        <v>66</v>
      </c>
      <c r="V620">
        <v>0</v>
      </c>
      <c r="W620" s="1" t="s">
        <v>56</v>
      </c>
      <c r="Y620" s="1" t="s">
        <v>52</v>
      </c>
      <c r="Z620" s="1" t="s">
        <v>52</v>
      </c>
      <c r="AA620">
        <v>2</v>
      </c>
      <c r="AB620" s="1" t="s">
        <v>42</v>
      </c>
      <c r="AC620">
        <v>3</v>
      </c>
      <c r="AD620" s="2">
        <v>44835</v>
      </c>
      <c r="AE620" s="1" t="s">
        <v>58</v>
      </c>
      <c r="AF620" s="1" t="s">
        <v>45</v>
      </c>
      <c r="AG620" s="1" t="s">
        <v>55</v>
      </c>
      <c r="AH620" s="1" t="s">
        <v>47</v>
      </c>
      <c r="AI620">
        <v>1083</v>
      </c>
      <c r="AJ620">
        <v>-216.60000000000002</v>
      </c>
    </row>
    <row r="621" spans="1:36" x14ac:dyDescent="0.25">
      <c r="A621">
        <v>10620</v>
      </c>
      <c r="B621">
        <v>62</v>
      </c>
      <c r="C621" s="1" t="s">
        <v>36</v>
      </c>
      <c r="D621" s="1" t="s">
        <v>61</v>
      </c>
      <c r="E621" s="2">
        <v>44288</v>
      </c>
      <c r="F621" s="2">
        <v>44573</v>
      </c>
      <c r="G621" s="1" t="s">
        <v>38</v>
      </c>
      <c r="H621">
        <v>631</v>
      </c>
      <c r="I621">
        <v>11</v>
      </c>
      <c r="J621">
        <v>1</v>
      </c>
      <c r="K621">
        <v>86.87</v>
      </c>
      <c r="L621">
        <v>20</v>
      </c>
      <c r="M621" s="1" t="s">
        <v>39</v>
      </c>
      <c r="N621" s="1" t="s">
        <v>56</v>
      </c>
      <c r="O621">
        <v>6814.8</v>
      </c>
      <c r="P621" t="b">
        <v>1</v>
      </c>
      <c r="Q621">
        <v>0.91666666666666663</v>
      </c>
      <c r="R621">
        <v>619.5272727272727</v>
      </c>
      <c r="S621">
        <v>43.435000000000002</v>
      </c>
      <c r="T621" s="2">
        <v>44287</v>
      </c>
      <c r="U621" s="1" t="s">
        <v>41</v>
      </c>
      <c r="V621">
        <v>0</v>
      </c>
      <c r="W621" s="1" t="s">
        <v>56</v>
      </c>
      <c r="X621">
        <v>285</v>
      </c>
      <c r="Y621" s="1" t="s">
        <v>43</v>
      </c>
      <c r="Z621" s="1" t="s">
        <v>52</v>
      </c>
      <c r="AA621">
        <v>8.3333333333333329E-2</v>
      </c>
      <c r="AB621" s="1" t="s">
        <v>42</v>
      </c>
      <c r="AC621">
        <v>1</v>
      </c>
      <c r="AD621" s="2">
        <v>44287</v>
      </c>
      <c r="AE621" s="1" t="s">
        <v>74</v>
      </c>
      <c r="AF621" s="1" t="s">
        <v>54</v>
      </c>
      <c r="AG621" s="1" t="s">
        <v>63</v>
      </c>
      <c r="AH621" s="1" t="s">
        <v>64</v>
      </c>
      <c r="AI621">
        <v>6941</v>
      </c>
      <c r="AJ621">
        <v>-126.19999999999982</v>
      </c>
    </row>
    <row r="622" spans="1:36" x14ac:dyDescent="0.25">
      <c r="A622">
        <v>10621</v>
      </c>
      <c r="B622">
        <v>18</v>
      </c>
      <c r="C622" s="1" t="s">
        <v>60</v>
      </c>
      <c r="D622" s="1" t="s">
        <v>48</v>
      </c>
      <c r="E622" s="2">
        <v>44386</v>
      </c>
      <c r="F622" s="2">
        <v>44905</v>
      </c>
      <c r="G622" s="1" t="s">
        <v>38</v>
      </c>
      <c r="H622">
        <v>1093</v>
      </c>
      <c r="I622">
        <v>22</v>
      </c>
      <c r="J622">
        <v>2</v>
      </c>
      <c r="K622">
        <v>89.29</v>
      </c>
      <c r="L622">
        <v>5</v>
      </c>
      <c r="M622" s="1" t="s">
        <v>50</v>
      </c>
      <c r="N622" s="1" t="s">
        <v>56</v>
      </c>
      <c r="O622">
        <v>23991.35</v>
      </c>
      <c r="P622" t="b">
        <v>1</v>
      </c>
      <c r="Q622">
        <v>1.8333333333333333</v>
      </c>
      <c r="R622">
        <v>1090.515909090909</v>
      </c>
      <c r="S622">
        <v>29.763333333333335</v>
      </c>
      <c r="T622" s="2">
        <v>44378</v>
      </c>
      <c r="U622" s="1" t="s">
        <v>66</v>
      </c>
      <c r="V622">
        <v>0</v>
      </c>
      <c r="W622" s="1" t="s">
        <v>40</v>
      </c>
      <c r="X622">
        <v>519</v>
      </c>
      <c r="Y622" s="1" t="s">
        <v>43</v>
      </c>
      <c r="Z622" s="1" t="s">
        <v>42</v>
      </c>
      <c r="AA622">
        <v>8.6956521739130432E-2</v>
      </c>
      <c r="AB622" s="1" t="s">
        <v>43</v>
      </c>
      <c r="AC622">
        <v>1</v>
      </c>
      <c r="AD622" s="2">
        <v>44378</v>
      </c>
      <c r="AE622" s="1" t="s">
        <v>53</v>
      </c>
      <c r="AF622" s="1" t="s">
        <v>72</v>
      </c>
      <c r="AG622" s="1" t="s">
        <v>63</v>
      </c>
      <c r="AH622" s="1" t="s">
        <v>47</v>
      </c>
      <c r="AI622">
        <v>24046</v>
      </c>
      <c r="AJ622">
        <v>-54.650000000001455</v>
      </c>
    </row>
    <row r="623" spans="1:36" x14ac:dyDescent="0.25">
      <c r="A623">
        <v>10622</v>
      </c>
      <c r="B623">
        <v>39</v>
      </c>
      <c r="C623" s="1" t="s">
        <v>36</v>
      </c>
      <c r="D623" s="1" t="s">
        <v>76</v>
      </c>
      <c r="E623" s="2">
        <v>45067</v>
      </c>
      <c r="F623" s="2">
        <v>44414</v>
      </c>
      <c r="G623" s="1" t="s">
        <v>62</v>
      </c>
      <c r="H623">
        <v>948</v>
      </c>
      <c r="I623">
        <v>35</v>
      </c>
      <c r="J623">
        <v>3</v>
      </c>
      <c r="K623">
        <v>7.41</v>
      </c>
      <c r="L623">
        <v>0</v>
      </c>
      <c r="M623" s="1" t="s">
        <v>39</v>
      </c>
      <c r="N623" s="1" t="s">
        <v>56</v>
      </c>
      <c r="O623">
        <v>33180</v>
      </c>
      <c r="P623" t="b">
        <v>0</v>
      </c>
      <c r="Q623">
        <v>2.9166666666666665</v>
      </c>
      <c r="R623">
        <v>948</v>
      </c>
      <c r="S623">
        <v>1.8525</v>
      </c>
      <c r="T623" s="2">
        <v>45047</v>
      </c>
      <c r="U623" s="1" t="s">
        <v>51</v>
      </c>
      <c r="V623">
        <v>0</v>
      </c>
      <c r="W623" s="1" t="s">
        <v>40</v>
      </c>
      <c r="Y623" s="1" t="s">
        <v>42</v>
      </c>
      <c r="Z623" s="1" t="s">
        <v>42</v>
      </c>
      <c r="AA623">
        <v>8.3333333333333329E-2</v>
      </c>
      <c r="AB623" s="1" t="s">
        <v>43</v>
      </c>
      <c r="AC623">
        <v>2</v>
      </c>
      <c r="AD623" s="2">
        <v>45047</v>
      </c>
      <c r="AE623" s="1" t="s">
        <v>44</v>
      </c>
      <c r="AF623" s="1" t="s">
        <v>72</v>
      </c>
      <c r="AG623" s="1" t="s">
        <v>77</v>
      </c>
      <c r="AH623" s="1" t="s">
        <v>59</v>
      </c>
      <c r="AI623">
        <v>33180</v>
      </c>
      <c r="AJ623">
        <v>0</v>
      </c>
    </row>
    <row r="624" spans="1:36" x14ac:dyDescent="0.25">
      <c r="A624">
        <v>10623</v>
      </c>
      <c r="B624">
        <v>34</v>
      </c>
      <c r="C624" s="1" t="s">
        <v>60</v>
      </c>
      <c r="D624" s="1" t="s">
        <v>37</v>
      </c>
      <c r="E624" s="2">
        <v>44672</v>
      </c>
      <c r="F624" s="2">
        <v>44544</v>
      </c>
      <c r="G624" s="1" t="s">
        <v>49</v>
      </c>
      <c r="H624">
        <v>1282</v>
      </c>
      <c r="I624">
        <v>6</v>
      </c>
      <c r="J624">
        <v>2</v>
      </c>
      <c r="K624">
        <v>50.51</v>
      </c>
      <c r="L624">
        <v>0</v>
      </c>
      <c r="M624" s="1" t="s">
        <v>65</v>
      </c>
      <c r="N624" s="1" t="s">
        <v>40</v>
      </c>
      <c r="O624">
        <v>7692</v>
      </c>
      <c r="P624" t="b">
        <v>0</v>
      </c>
      <c r="Q624">
        <v>0.5</v>
      </c>
      <c r="R624">
        <v>1282</v>
      </c>
      <c r="S624">
        <v>16.836666666666666</v>
      </c>
      <c r="T624" s="2">
        <v>44652</v>
      </c>
      <c r="U624" s="1" t="s">
        <v>57</v>
      </c>
      <c r="V624">
        <v>1</v>
      </c>
      <c r="W624" s="1" t="s">
        <v>56</v>
      </c>
      <c r="Y624" s="1" t="s">
        <v>52</v>
      </c>
      <c r="Z624" s="1" t="s">
        <v>42</v>
      </c>
      <c r="AA624">
        <v>0.2857142857142857</v>
      </c>
      <c r="AB624" s="1" t="s">
        <v>42</v>
      </c>
      <c r="AC624">
        <v>3</v>
      </c>
      <c r="AD624" s="2">
        <v>44652</v>
      </c>
      <c r="AE624" s="1" t="s">
        <v>58</v>
      </c>
      <c r="AF624" s="1" t="s">
        <v>72</v>
      </c>
      <c r="AG624" s="1" t="s">
        <v>63</v>
      </c>
      <c r="AH624" s="1" t="s">
        <v>47</v>
      </c>
      <c r="AI624">
        <v>7692</v>
      </c>
      <c r="AJ624">
        <v>0</v>
      </c>
    </row>
    <row r="625" spans="1:36" x14ac:dyDescent="0.25">
      <c r="A625">
        <v>10624</v>
      </c>
      <c r="B625">
        <v>24</v>
      </c>
      <c r="C625" s="1" t="s">
        <v>36</v>
      </c>
      <c r="D625" s="1" t="s">
        <v>61</v>
      </c>
      <c r="E625" s="2">
        <v>44707</v>
      </c>
      <c r="F625" s="2">
        <v>45001</v>
      </c>
      <c r="G625" s="1" t="s">
        <v>62</v>
      </c>
      <c r="H625">
        <v>1352</v>
      </c>
      <c r="I625">
        <v>28</v>
      </c>
      <c r="J625">
        <v>4</v>
      </c>
      <c r="K625">
        <v>107.37</v>
      </c>
      <c r="L625">
        <v>20</v>
      </c>
      <c r="M625" s="1" t="s">
        <v>39</v>
      </c>
      <c r="N625" s="1" t="s">
        <v>56</v>
      </c>
      <c r="O625">
        <v>37585.599999999999</v>
      </c>
      <c r="P625" t="b">
        <v>1</v>
      </c>
      <c r="Q625">
        <v>2.3333333333333335</v>
      </c>
      <c r="R625">
        <v>1342.3428571428572</v>
      </c>
      <c r="S625">
        <v>21.474</v>
      </c>
      <c r="T625" s="2">
        <v>44682</v>
      </c>
      <c r="U625" s="1" t="s">
        <v>66</v>
      </c>
      <c r="V625">
        <v>0</v>
      </c>
      <c r="W625" s="1" t="s">
        <v>40</v>
      </c>
      <c r="X625">
        <v>294</v>
      </c>
      <c r="Y625" s="1" t="s">
        <v>43</v>
      </c>
      <c r="Z625" s="1" t="s">
        <v>52</v>
      </c>
      <c r="AA625">
        <v>0.13793103448275862</v>
      </c>
      <c r="AB625" s="1" t="s">
        <v>43</v>
      </c>
      <c r="AC625">
        <v>2</v>
      </c>
      <c r="AD625" s="2">
        <v>44682</v>
      </c>
      <c r="AE625" s="1" t="s">
        <v>44</v>
      </c>
      <c r="AF625" s="1" t="s">
        <v>45</v>
      </c>
      <c r="AG625" s="1" t="s">
        <v>63</v>
      </c>
      <c r="AH625" s="1" t="s">
        <v>47</v>
      </c>
      <c r="AI625">
        <v>37856</v>
      </c>
      <c r="AJ625">
        <v>-270.40000000000146</v>
      </c>
    </row>
    <row r="626" spans="1:36" x14ac:dyDescent="0.25">
      <c r="A626">
        <v>10625</v>
      </c>
      <c r="B626">
        <v>42</v>
      </c>
      <c r="C626" s="1" t="s">
        <v>36</v>
      </c>
      <c r="D626" s="1" t="s">
        <v>48</v>
      </c>
      <c r="E626" s="2">
        <v>44658</v>
      </c>
      <c r="F626" s="2">
        <v>45182</v>
      </c>
      <c r="G626" s="1" t="s">
        <v>62</v>
      </c>
      <c r="H626">
        <v>842</v>
      </c>
      <c r="I626">
        <v>31</v>
      </c>
      <c r="J626">
        <v>1</v>
      </c>
      <c r="K626">
        <v>64.84</v>
      </c>
      <c r="L626">
        <v>10</v>
      </c>
      <c r="M626" s="1" t="s">
        <v>65</v>
      </c>
      <c r="N626" s="1" t="s">
        <v>56</v>
      </c>
      <c r="O626">
        <v>26017.8</v>
      </c>
      <c r="P626" t="b">
        <v>1</v>
      </c>
      <c r="Q626">
        <v>2.5833333333333335</v>
      </c>
      <c r="R626">
        <v>839.2838709677419</v>
      </c>
      <c r="S626">
        <v>32.42</v>
      </c>
      <c r="T626" s="2">
        <v>44652</v>
      </c>
      <c r="U626" s="1" t="s">
        <v>51</v>
      </c>
      <c r="V626">
        <v>0</v>
      </c>
      <c r="W626" s="1" t="s">
        <v>40</v>
      </c>
      <c r="X626">
        <v>524</v>
      </c>
      <c r="Y626" s="1" t="s">
        <v>43</v>
      </c>
      <c r="Z626" s="1" t="s">
        <v>42</v>
      </c>
      <c r="AA626">
        <v>3.125E-2</v>
      </c>
      <c r="AB626" s="1" t="s">
        <v>43</v>
      </c>
      <c r="AC626">
        <v>2</v>
      </c>
      <c r="AD626" s="2">
        <v>44652</v>
      </c>
      <c r="AE626" s="1" t="s">
        <v>44</v>
      </c>
      <c r="AF626" s="1" t="s">
        <v>54</v>
      </c>
      <c r="AG626" s="1" t="s">
        <v>63</v>
      </c>
      <c r="AH626" s="1" t="s">
        <v>59</v>
      </c>
      <c r="AI626">
        <v>26102</v>
      </c>
      <c r="AJ626">
        <v>-84.200000000000728</v>
      </c>
    </row>
    <row r="627" spans="1:36" x14ac:dyDescent="0.25">
      <c r="A627">
        <v>10626</v>
      </c>
      <c r="B627">
        <v>62</v>
      </c>
      <c r="C627" s="1" t="s">
        <v>36</v>
      </c>
      <c r="D627" s="1" t="s">
        <v>71</v>
      </c>
      <c r="E627" s="2">
        <v>44249</v>
      </c>
      <c r="F627" s="2">
        <v>44370</v>
      </c>
      <c r="G627" s="1" t="s">
        <v>38</v>
      </c>
      <c r="H627">
        <v>1342</v>
      </c>
      <c r="I627">
        <v>8</v>
      </c>
      <c r="J627">
        <v>1</v>
      </c>
      <c r="K627">
        <v>44.98</v>
      </c>
      <c r="L627">
        <v>20</v>
      </c>
      <c r="M627" s="1" t="s">
        <v>50</v>
      </c>
      <c r="N627" s="1" t="s">
        <v>56</v>
      </c>
      <c r="O627">
        <v>10467.6</v>
      </c>
      <c r="P627" t="b">
        <v>1</v>
      </c>
      <c r="Q627">
        <v>0.66666666666666663</v>
      </c>
      <c r="R627">
        <v>1308.45</v>
      </c>
      <c r="S627">
        <v>22.49</v>
      </c>
      <c r="T627" s="2">
        <v>44228</v>
      </c>
      <c r="U627" s="1" t="s">
        <v>41</v>
      </c>
      <c r="V627">
        <v>0</v>
      </c>
      <c r="W627" s="1" t="s">
        <v>56</v>
      </c>
      <c r="X627">
        <v>121</v>
      </c>
      <c r="Y627" s="1" t="s">
        <v>52</v>
      </c>
      <c r="Z627" s="1" t="s">
        <v>52</v>
      </c>
      <c r="AA627">
        <v>0.1111111111111111</v>
      </c>
      <c r="AB627" s="1" t="s">
        <v>52</v>
      </c>
      <c r="AC627">
        <v>1</v>
      </c>
      <c r="AD627" s="2">
        <v>44228</v>
      </c>
      <c r="AE627" s="1" t="s">
        <v>74</v>
      </c>
      <c r="AF627" s="1" t="s">
        <v>54</v>
      </c>
      <c r="AG627" s="1" t="s">
        <v>55</v>
      </c>
      <c r="AH627" s="1" t="s">
        <v>47</v>
      </c>
      <c r="AI627">
        <v>10736</v>
      </c>
      <c r="AJ627">
        <v>-268.39999999999964</v>
      </c>
    </row>
    <row r="628" spans="1:36" x14ac:dyDescent="0.25">
      <c r="A628">
        <v>10627</v>
      </c>
      <c r="B628">
        <v>21</v>
      </c>
      <c r="C628" s="1" t="s">
        <v>36</v>
      </c>
      <c r="D628" s="1" t="s">
        <v>69</v>
      </c>
      <c r="E628" s="2">
        <v>44950</v>
      </c>
      <c r="F628" s="2">
        <v>44953</v>
      </c>
      <c r="G628" s="1" t="s">
        <v>38</v>
      </c>
      <c r="H628">
        <v>1471</v>
      </c>
      <c r="I628">
        <v>5</v>
      </c>
      <c r="J628">
        <v>5</v>
      </c>
      <c r="K628">
        <v>34.17</v>
      </c>
      <c r="L628">
        <v>10</v>
      </c>
      <c r="M628" s="1" t="s">
        <v>39</v>
      </c>
      <c r="N628" s="1" t="s">
        <v>56</v>
      </c>
      <c r="O628">
        <v>7207.9</v>
      </c>
      <c r="P628" t="b">
        <v>1</v>
      </c>
      <c r="Q628">
        <v>0.41666666666666669</v>
      </c>
      <c r="R628">
        <v>1441.58</v>
      </c>
      <c r="S628">
        <v>5.6950000000000003</v>
      </c>
      <c r="T628" s="2">
        <v>44927</v>
      </c>
      <c r="U628" s="1" t="s">
        <v>66</v>
      </c>
      <c r="V628">
        <v>0</v>
      </c>
      <c r="W628" s="1" t="s">
        <v>56</v>
      </c>
      <c r="X628">
        <v>3</v>
      </c>
      <c r="Y628" s="1" t="s">
        <v>52</v>
      </c>
      <c r="Z628" s="1" t="s">
        <v>42</v>
      </c>
      <c r="AA628">
        <v>0.83333333333333337</v>
      </c>
      <c r="AB628" s="1" t="s">
        <v>42</v>
      </c>
      <c r="AC628">
        <v>1</v>
      </c>
      <c r="AD628" s="2">
        <v>44927</v>
      </c>
      <c r="AE628" s="1" t="s">
        <v>58</v>
      </c>
      <c r="AF628" s="1" t="s">
        <v>45</v>
      </c>
      <c r="AG628" s="1" t="s">
        <v>55</v>
      </c>
      <c r="AH628" s="1" t="s">
        <v>47</v>
      </c>
      <c r="AI628">
        <v>7355</v>
      </c>
      <c r="AJ628">
        <v>-147.10000000000036</v>
      </c>
    </row>
    <row r="629" spans="1:36" x14ac:dyDescent="0.25">
      <c r="A629">
        <v>10628</v>
      </c>
      <c r="B629">
        <v>53</v>
      </c>
      <c r="C629" s="1" t="s">
        <v>60</v>
      </c>
      <c r="D629" s="1" t="s">
        <v>69</v>
      </c>
      <c r="E629" s="2">
        <v>44682</v>
      </c>
      <c r="F629" s="2">
        <v>45101</v>
      </c>
      <c r="G629" s="1" t="s">
        <v>62</v>
      </c>
      <c r="H629">
        <v>790</v>
      </c>
      <c r="I629">
        <v>17</v>
      </c>
      <c r="J629">
        <v>3</v>
      </c>
      <c r="K629">
        <v>32.99</v>
      </c>
      <c r="L629">
        <v>20</v>
      </c>
      <c r="M629" s="1" t="s">
        <v>67</v>
      </c>
      <c r="N629" s="1" t="s">
        <v>56</v>
      </c>
      <c r="O629">
        <v>13272</v>
      </c>
      <c r="P629" t="b">
        <v>1</v>
      </c>
      <c r="Q629">
        <v>1.4166666666666667</v>
      </c>
      <c r="R629">
        <v>780.70588235294122</v>
      </c>
      <c r="S629">
        <v>8.2475000000000005</v>
      </c>
      <c r="T629" s="2">
        <v>44682</v>
      </c>
      <c r="U629" s="1" t="s">
        <v>41</v>
      </c>
      <c r="V629">
        <v>0</v>
      </c>
      <c r="W629" s="1" t="s">
        <v>56</v>
      </c>
      <c r="X629">
        <v>419</v>
      </c>
      <c r="Y629" s="1" t="s">
        <v>52</v>
      </c>
      <c r="Z629" s="1" t="s">
        <v>52</v>
      </c>
      <c r="AA629">
        <v>0.16666666666666666</v>
      </c>
      <c r="AB629" s="1" t="s">
        <v>52</v>
      </c>
      <c r="AC629">
        <v>2</v>
      </c>
      <c r="AD629" s="2">
        <v>44682</v>
      </c>
      <c r="AE629" s="1" t="s">
        <v>53</v>
      </c>
      <c r="AF629" s="1" t="s">
        <v>72</v>
      </c>
      <c r="AG629" s="1" t="s">
        <v>55</v>
      </c>
      <c r="AH629" s="1" t="s">
        <v>59</v>
      </c>
      <c r="AI629">
        <v>13430</v>
      </c>
      <c r="AJ629">
        <v>-158</v>
      </c>
    </row>
    <row r="630" spans="1:36" x14ac:dyDescent="0.25">
      <c r="A630">
        <v>10629</v>
      </c>
      <c r="B630">
        <v>23</v>
      </c>
      <c r="C630" s="1" t="s">
        <v>36</v>
      </c>
      <c r="D630" s="1" t="s">
        <v>61</v>
      </c>
      <c r="E630" s="2">
        <v>44840</v>
      </c>
      <c r="F630" s="2">
        <v>44584</v>
      </c>
      <c r="G630" s="1" t="s">
        <v>38</v>
      </c>
      <c r="H630">
        <v>582</v>
      </c>
      <c r="I630">
        <v>9</v>
      </c>
      <c r="J630">
        <v>2</v>
      </c>
      <c r="K630">
        <v>16.47</v>
      </c>
      <c r="L630">
        <v>15</v>
      </c>
      <c r="M630" s="1" t="s">
        <v>67</v>
      </c>
      <c r="N630" s="1" t="s">
        <v>56</v>
      </c>
      <c r="O630">
        <v>5150.7</v>
      </c>
      <c r="P630" t="b">
        <v>0</v>
      </c>
      <c r="Q630">
        <v>0.75</v>
      </c>
      <c r="R630">
        <v>572.29999999999995</v>
      </c>
      <c r="S630">
        <v>5.4899999999999993</v>
      </c>
      <c r="T630" s="2">
        <v>44835</v>
      </c>
      <c r="U630" s="1" t="s">
        <v>66</v>
      </c>
      <c r="V630">
        <v>0</v>
      </c>
      <c r="W630" s="1" t="s">
        <v>56</v>
      </c>
      <c r="Y630" s="1" t="s">
        <v>42</v>
      </c>
      <c r="Z630" s="1" t="s">
        <v>42</v>
      </c>
      <c r="AA630">
        <v>0.2</v>
      </c>
      <c r="AB630" s="1" t="s">
        <v>42</v>
      </c>
      <c r="AC630">
        <v>1</v>
      </c>
      <c r="AD630" s="2">
        <v>44835</v>
      </c>
      <c r="AE630" s="1" t="s">
        <v>74</v>
      </c>
      <c r="AF630" s="1" t="s">
        <v>72</v>
      </c>
      <c r="AG630" s="1" t="s">
        <v>46</v>
      </c>
      <c r="AH630" s="1" t="s">
        <v>64</v>
      </c>
      <c r="AI630">
        <v>5238</v>
      </c>
      <c r="AJ630">
        <v>-87.300000000000182</v>
      </c>
    </row>
    <row r="631" spans="1:36" x14ac:dyDescent="0.25">
      <c r="A631">
        <v>10630</v>
      </c>
      <c r="B631">
        <v>48</v>
      </c>
      <c r="C631" s="1" t="s">
        <v>36</v>
      </c>
      <c r="D631" s="1" t="s">
        <v>48</v>
      </c>
      <c r="E631" s="2">
        <v>44686</v>
      </c>
      <c r="F631" s="2">
        <v>44913</v>
      </c>
      <c r="G631" s="1" t="s">
        <v>38</v>
      </c>
      <c r="H631">
        <v>1161</v>
      </c>
      <c r="I631">
        <v>10</v>
      </c>
      <c r="J631">
        <v>5</v>
      </c>
      <c r="K631">
        <v>98.98</v>
      </c>
      <c r="L631">
        <v>0</v>
      </c>
      <c r="M631" s="1" t="s">
        <v>65</v>
      </c>
      <c r="N631" s="1" t="s">
        <v>40</v>
      </c>
      <c r="O631">
        <v>11610</v>
      </c>
      <c r="P631" t="b">
        <v>1</v>
      </c>
      <c r="Q631">
        <v>0.83333333333333337</v>
      </c>
      <c r="R631">
        <v>1161</v>
      </c>
      <c r="S631">
        <v>16.496666666666666</v>
      </c>
      <c r="T631" s="2">
        <v>44682</v>
      </c>
      <c r="U631" s="1" t="s">
        <v>51</v>
      </c>
      <c r="V631">
        <v>1</v>
      </c>
      <c r="W631" s="1" t="s">
        <v>56</v>
      </c>
      <c r="X631">
        <v>227</v>
      </c>
      <c r="Y631" s="1" t="s">
        <v>43</v>
      </c>
      <c r="Z631" s="1" t="s">
        <v>42</v>
      </c>
      <c r="AA631">
        <v>0.45454545454545453</v>
      </c>
      <c r="AB631" s="1" t="s">
        <v>52</v>
      </c>
      <c r="AC631">
        <v>1</v>
      </c>
      <c r="AD631" s="2">
        <v>44682</v>
      </c>
      <c r="AE631" s="1" t="s">
        <v>74</v>
      </c>
      <c r="AF631" s="1" t="s">
        <v>45</v>
      </c>
      <c r="AG631" s="1" t="s">
        <v>63</v>
      </c>
      <c r="AH631" s="1" t="s">
        <v>47</v>
      </c>
      <c r="AI631">
        <v>11610</v>
      </c>
      <c r="AJ631">
        <v>0</v>
      </c>
    </row>
    <row r="632" spans="1:36" x14ac:dyDescent="0.25">
      <c r="A632">
        <v>10631</v>
      </c>
      <c r="B632">
        <v>36</v>
      </c>
      <c r="C632" s="1" t="s">
        <v>60</v>
      </c>
      <c r="D632" s="1" t="s">
        <v>48</v>
      </c>
      <c r="E632" s="2">
        <v>44560</v>
      </c>
      <c r="F632" s="2">
        <v>44485</v>
      </c>
      <c r="G632" s="1" t="s">
        <v>38</v>
      </c>
      <c r="H632">
        <v>412</v>
      </c>
      <c r="I632">
        <v>20</v>
      </c>
      <c r="J632">
        <v>4</v>
      </c>
      <c r="K632">
        <v>14.97</v>
      </c>
      <c r="L632">
        <v>10</v>
      </c>
      <c r="M632" s="1" t="s">
        <v>65</v>
      </c>
      <c r="N632" s="1" t="s">
        <v>40</v>
      </c>
      <c r="O632">
        <v>8198.7999999999993</v>
      </c>
      <c r="P632" t="b">
        <v>0</v>
      </c>
      <c r="Q632">
        <v>1.6666666666666667</v>
      </c>
      <c r="R632">
        <v>409.93999999999994</v>
      </c>
      <c r="S632">
        <v>2.9940000000000002</v>
      </c>
      <c r="T632" s="2">
        <v>44531</v>
      </c>
      <c r="U632" s="1" t="s">
        <v>51</v>
      </c>
      <c r="V632">
        <v>1</v>
      </c>
      <c r="W632" s="1" t="s">
        <v>56</v>
      </c>
      <c r="Y632" s="1" t="s">
        <v>42</v>
      </c>
      <c r="Z632" s="1" t="s">
        <v>42</v>
      </c>
      <c r="AA632">
        <v>0.19047619047619047</v>
      </c>
      <c r="AB632" s="1" t="s">
        <v>42</v>
      </c>
      <c r="AC632">
        <v>1</v>
      </c>
      <c r="AD632" s="2">
        <v>44531</v>
      </c>
      <c r="AE632" s="1" t="s">
        <v>53</v>
      </c>
      <c r="AF632" s="1" t="s">
        <v>45</v>
      </c>
      <c r="AG632" s="1" t="s">
        <v>46</v>
      </c>
      <c r="AH632" s="1" t="s">
        <v>68</v>
      </c>
      <c r="AI632">
        <v>8240</v>
      </c>
      <c r="AJ632">
        <v>-41.200000000000728</v>
      </c>
    </row>
    <row r="633" spans="1:36" x14ac:dyDescent="0.25">
      <c r="A633">
        <v>10632</v>
      </c>
      <c r="B633">
        <v>61</v>
      </c>
      <c r="C633" s="1" t="s">
        <v>36</v>
      </c>
      <c r="D633" s="1" t="s">
        <v>37</v>
      </c>
      <c r="E633" s="2">
        <v>44308</v>
      </c>
      <c r="F633" s="2">
        <v>44820</v>
      </c>
      <c r="G633" s="1" t="s">
        <v>38</v>
      </c>
      <c r="H633">
        <v>1161</v>
      </c>
      <c r="I633">
        <v>14</v>
      </c>
      <c r="J633">
        <v>4</v>
      </c>
      <c r="K633">
        <v>62.59</v>
      </c>
      <c r="L633">
        <v>15</v>
      </c>
      <c r="M633" s="1" t="s">
        <v>50</v>
      </c>
      <c r="N633" s="1" t="s">
        <v>56</v>
      </c>
      <c r="O633">
        <v>16079.85</v>
      </c>
      <c r="P633" t="b">
        <v>1</v>
      </c>
      <c r="Q633">
        <v>1.1666666666666667</v>
      </c>
      <c r="R633">
        <v>1148.5607142857143</v>
      </c>
      <c r="S633">
        <v>12.518000000000001</v>
      </c>
      <c r="T633" s="2">
        <v>44287</v>
      </c>
      <c r="U633" s="1" t="s">
        <v>41</v>
      </c>
      <c r="V633">
        <v>0</v>
      </c>
      <c r="W633" s="1" t="s">
        <v>40</v>
      </c>
      <c r="X633">
        <v>512</v>
      </c>
      <c r="Y633" s="1" t="s">
        <v>43</v>
      </c>
      <c r="Z633" s="1" t="s">
        <v>42</v>
      </c>
      <c r="AA633">
        <v>0.26666666666666666</v>
      </c>
      <c r="AB633" s="1" t="s">
        <v>52</v>
      </c>
      <c r="AC633">
        <v>1</v>
      </c>
      <c r="AD633" s="2">
        <v>44287</v>
      </c>
      <c r="AE633" s="1" t="s">
        <v>53</v>
      </c>
      <c r="AF633" s="1" t="s">
        <v>45</v>
      </c>
      <c r="AG633" s="1" t="s">
        <v>63</v>
      </c>
      <c r="AH633" s="1" t="s">
        <v>47</v>
      </c>
      <c r="AI633">
        <v>16254</v>
      </c>
      <c r="AJ633">
        <v>-174.14999999999964</v>
      </c>
    </row>
    <row r="634" spans="1:36" x14ac:dyDescent="0.25">
      <c r="A634">
        <v>10633</v>
      </c>
      <c r="B634">
        <v>56</v>
      </c>
      <c r="C634" s="1" t="s">
        <v>60</v>
      </c>
      <c r="D634" s="1" t="s">
        <v>71</v>
      </c>
      <c r="E634" s="2">
        <v>44605</v>
      </c>
      <c r="F634" s="2">
        <v>45192</v>
      </c>
      <c r="G634" s="1" t="s">
        <v>62</v>
      </c>
      <c r="H634">
        <v>909</v>
      </c>
      <c r="I634">
        <v>14</v>
      </c>
      <c r="J634">
        <v>5</v>
      </c>
      <c r="K634">
        <v>10.25</v>
      </c>
      <c r="L634">
        <v>10</v>
      </c>
      <c r="M634" s="1" t="s">
        <v>39</v>
      </c>
      <c r="N634" s="1" t="s">
        <v>56</v>
      </c>
      <c r="O634">
        <v>12635.1</v>
      </c>
      <c r="P634" t="b">
        <v>1</v>
      </c>
      <c r="Q634">
        <v>1.1666666666666667</v>
      </c>
      <c r="R634">
        <v>902.50714285714287</v>
      </c>
      <c r="S634">
        <v>1.7083333333333333</v>
      </c>
      <c r="T634" s="2">
        <v>44593</v>
      </c>
      <c r="U634" s="1" t="s">
        <v>41</v>
      </c>
      <c r="V634">
        <v>0</v>
      </c>
      <c r="W634" s="1" t="s">
        <v>56</v>
      </c>
      <c r="X634">
        <v>587</v>
      </c>
      <c r="Y634" s="1" t="s">
        <v>42</v>
      </c>
      <c r="Z634" s="1" t="s">
        <v>42</v>
      </c>
      <c r="AA634">
        <v>0.33333333333333331</v>
      </c>
      <c r="AB634" s="1" t="s">
        <v>52</v>
      </c>
      <c r="AC634">
        <v>2</v>
      </c>
      <c r="AD634" s="2">
        <v>44593</v>
      </c>
      <c r="AE634" s="1" t="s">
        <v>53</v>
      </c>
      <c r="AF634" s="1" t="s">
        <v>45</v>
      </c>
      <c r="AG634" s="1" t="s">
        <v>46</v>
      </c>
      <c r="AH634" s="1" t="s">
        <v>59</v>
      </c>
      <c r="AI634">
        <v>12726</v>
      </c>
      <c r="AJ634">
        <v>-90.899999999999636</v>
      </c>
    </row>
    <row r="635" spans="1:36" x14ac:dyDescent="0.25">
      <c r="A635">
        <v>10634</v>
      </c>
      <c r="B635">
        <v>44</v>
      </c>
      <c r="C635" s="1" t="s">
        <v>36</v>
      </c>
      <c r="D635" s="1" t="s">
        <v>73</v>
      </c>
      <c r="E635" s="2">
        <v>44203</v>
      </c>
      <c r="F635" s="2">
        <v>45131</v>
      </c>
      <c r="G635" s="1" t="s">
        <v>38</v>
      </c>
      <c r="H635">
        <v>807</v>
      </c>
      <c r="I635">
        <v>26</v>
      </c>
      <c r="J635">
        <v>3</v>
      </c>
      <c r="K635">
        <v>94.86</v>
      </c>
      <c r="L635">
        <v>5</v>
      </c>
      <c r="M635" s="1" t="s">
        <v>65</v>
      </c>
      <c r="N635" s="1" t="s">
        <v>40</v>
      </c>
      <c r="O635">
        <v>20941.650000000001</v>
      </c>
      <c r="P635" t="b">
        <v>1</v>
      </c>
      <c r="Q635">
        <v>2.1666666666666665</v>
      </c>
      <c r="R635">
        <v>805.448076923077</v>
      </c>
      <c r="S635">
        <v>23.715</v>
      </c>
      <c r="T635" s="2">
        <v>44197</v>
      </c>
      <c r="U635" s="1" t="s">
        <v>51</v>
      </c>
      <c r="V635">
        <v>1</v>
      </c>
      <c r="W635" s="1" t="s">
        <v>40</v>
      </c>
      <c r="X635">
        <v>928</v>
      </c>
      <c r="Y635" s="1" t="s">
        <v>43</v>
      </c>
      <c r="Z635" s="1" t="s">
        <v>42</v>
      </c>
      <c r="AA635">
        <v>0.1111111111111111</v>
      </c>
      <c r="AB635" s="1" t="s">
        <v>43</v>
      </c>
      <c r="AC635">
        <v>1</v>
      </c>
      <c r="AD635" s="2">
        <v>44197</v>
      </c>
      <c r="AE635" s="1" t="s">
        <v>44</v>
      </c>
      <c r="AF635" s="1" t="s">
        <v>72</v>
      </c>
      <c r="AG635" s="1" t="s">
        <v>63</v>
      </c>
      <c r="AH635" s="1" t="s">
        <v>59</v>
      </c>
      <c r="AI635">
        <v>20982</v>
      </c>
      <c r="AJ635">
        <v>-40.349999999998545</v>
      </c>
    </row>
    <row r="636" spans="1:36" x14ac:dyDescent="0.25">
      <c r="A636">
        <v>10635</v>
      </c>
      <c r="B636">
        <v>27</v>
      </c>
      <c r="C636" s="1" t="s">
        <v>36</v>
      </c>
      <c r="D636" s="1" t="s">
        <v>48</v>
      </c>
      <c r="E636" s="2">
        <v>44938</v>
      </c>
      <c r="F636" s="2">
        <v>44900</v>
      </c>
      <c r="G636" s="1" t="s">
        <v>62</v>
      </c>
      <c r="H636">
        <v>765</v>
      </c>
      <c r="I636">
        <v>29</v>
      </c>
      <c r="J636">
        <v>3</v>
      </c>
      <c r="K636">
        <v>9.52</v>
      </c>
      <c r="L636">
        <v>5</v>
      </c>
      <c r="M636" s="1" t="s">
        <v>65</v>
      </c>
      <c r="N636" s="1" t="s">
        <v>56</v>
      </c>
      <c r="O636">
        <v>22146.75</v>
      </c>
      <c r="P636" t="b">
        <v>0</v>
      </c>
      <c r="Q636">
        <v>2.4166666666666665</v>
      </c>
      <c r="R636">
        <v>763.68103448275861</v>
      </c>
      <c r="S636">
        <v>2.38</v>
      </c>
      <c r="T636" s="2">
        <v>44927</v>
      </c>
      <c r="U636" s="1" t="s">
        <v>57</v>
      </c>
      <c r="V636">
        <v>0</v>
      </c>
      <c r="W636" s="1" t="s">
        <v>40</v>
      </c>
      <c r="Y636" s="1" t="s">
        <v>42</v>
      </c>
      <c r="Z636" s="1" t="s">
        <v>42</v>
      </c>
      <c r="AA636">
        <v>0.1</v>
      </c>
      <c r="AB636" s="1" t="s">
        <v>43</v>
      </c>
      <c r="AC636">
        <v>2</v>
      </c>
      <c r="AD636" s="2">
        <v>44927</v>
      </c>
      <c r="AE636" s="1" t="s">
        <v>44</v>
      </c>
      <c r="AF636" s="1" t="s">
        <v>72</v>
      </c>
      <c r="AG636" s="1" t="s">
        <v>77</v>
      </c>
      <c r="AH636" s="1" t="s">
        <v>59</v>
      </c>
      <c r="AI636">
        <v>22185</v>
      </c>
      <c r="AJ636">
        <v>-38.25</v>
      </c>
    </row>
    <row r="637" spans="1:36" x14ac:dyDescent="0.25">
      <c r="A637">
        <v>10636</v>
      </c>
      <c r="B637">
        <v>41</v>
      </c>
      <c r="C637" s="1" t="s">
        <v>36</v>
      </c>
      <c r="D637" s="1" t="s">
        <v>73</v>
      </c>
      <c r="E637" s="2">
        <v>44864</v>
      </c>
      <c r="F637" s="2">
        <v>44957</v>
      </c>
      <c r="G637" s="1" t="s">
        <v>38</v>
      </c>
      <c r="H637">
        <v>1123</v>
      </c>
      <c r="I637">
        <v>27</v>
      </c>
      <c r="J637">
        <v>1</v>
      </c>
      <c r="K637">
        <v>40.450000000000003</v>
      </c>
      <c r="L637">
        <v>0</v>
      </c>
      <c r="M637" s="1" t="s">
        <v>50</v>
      </c>
      <c r="N637" s="1" t="s">
        <v>56</v>
      </c>
      <c r="O637">
        <v>30321</v>
      </c>
      <c r="P637" t="b">
        <v>1</v>
      </c>
      <c r="Q637">
        <v>2.25</v>
      </c>
      <c r="R637">
        <v>1123</v>
      </c>
      <c r="S637">
        <v>20.225000000000001</v>
      </c>
      <c r="T637" s="2">
        <v>44835</v>
      </c>
      <c r="U637" s="1" t="s">
        <v>51</v>
      </c>
      <c r="V637">
        <v>0</v>
      </c>
      <c r="W637" s="1" t="s">
        <v>40</v>
      </c>
      <c r="X637">
        <v>93</v>
      </c>
      <c r="Y637" s="1" t="s">
        <v>52</v>
      </c>
      <c r="Z637" s="1" t="s">
        <v>42</v>
      </c>
      <c r="AA637">
        <v>3.5714285714285712E-2</v>
      </c>
      <c r="AB637" s="1" t="s">
        <v>43</v>
      </c>
      <c r="AC637">
        <v>1</v>
      </c>
      <c r="AD637" s="2">
        <v>44835</v>
      </c>
      <c r="AE637" s="1" t="s">
        <v>44</v>
      </c>
      <c r="AF637" s="1" t="s">
        <v>54</v>
      </c>
      <c r="AG637" s="1" t="s">
        <v>55</v>
      </c>
      <c r="AH637" s="1" t="s">
        <v>47</v>
      </c>
      <c r="AI637">
        <v>30321</v>
      </c>
      <c r="AJ637">
        <v>0</v>
      </c>
    </row>
    <row r="638" spans="1:36" x14ac:dyDescent="0.25">
      <c r="A638">
        <v>10637</v>
      </c>
      <c r="B638">
        <v>36</v>
      </c>
      <c r="C638" s="1" t="s">
        <v>60</v>
      </c>
      <c r="D638" s="1" t="s">
        <v>69</v>
      </c>
      <c r="E638" s="2">
        <v>44393</v>
      </c>
      <c r="F638" s="2">
        <v>45042</v>
      </c>
      <c r="G638" s="1" t="s">
        <v>49</v>
      </c>
      <c r="H638">
        <v>908</v>
      </c>
      <c r="I638">
        <v>25</v>
      </c>
      <c r="J638">
        <v>5</v>
      </c>
      <c r="K638">
        <v>70.930000000000007</v>
      </c>
      <c r="L638">
        <v>15</v>
      </c>
      <c r="M638" s="1" t="s">
        <v>39</v>
      </c>
      <c r="N638" s="1" t="s">
        <v>56</v>
      </c>
      <c r="O638">
        <v>22563.8</v>
      </c>
      <c r="P638" t="b">
        <v>1</v>
      </c>
      <c r="Q638">
        <v>2.0833333333333335</v>
      </c>
      <c r="R638">
        <v>902.55200000000002</v>
      </c>
      <c r="S638">
        <v>11.821666666666667</v>
      </c>
      <c r="T638" s="2">
        <v>44378</v>
      </c>
      <c r="U638" s="1" t="s">
        <v>51</v>
      </c>
      <c r="V638">
        <v>0</v>
      </c>
      <c r="W638" s="1" t="s">
        <v>40</v>
      </c>
      <c r="X638">
        <v>649</v>
      </c>
      <c r="Y638" s="1" t="s">
        <v>43</v>
      </c>
      <c r="Z638" s="1" t="s">
        <v>42</v>
      </c>
      <c r="AA638">
        <v>0.19230769230769232</v>
      </c>
      <c r="AB638" s="1" t="s">
        <v>43</v>
      </c>
      <c r="AC638">
        <v>3</v>
      </c>
      <c r="AD638" s="2">
        <v>44378</v>
      </c>
      <c r="AE638" s="1" t="s">
        <v>44</v>
      </c>
      <c r="AF638" s="1" t="s">
        <v>45</v>
      </c>
      <c r="AG638" s="1" t="s">
        <v>63</v>
      </c>
      <c r="AH638" s="1" t="s">
        <v>59</v>
      </c>
      <c r="AI638">
        <v>22700</v>
      </c>
      <c r="AJ638">
        <v>-136.20000000000073</v>
      </c>
    </row>
    <row r="639" spans="1:36" x14ac:dyDescent="0.25">
      <c r="A639">
        <v>10638</v>
      </c>
      <c r="B639">
        <v>56</v>
      </c>
      <c r="C639" s="1" t="s">
        <v>36</v>
      </c>
      <c r="D639" s="1" t="s">
        <v>73</v>
      </c>
      <c r="E639" s="2">
        <v>45031</v>
      </c>
      <c r="F639" s="2">
        <v>44987</v>
      </c>
      <c r="G639" s="1" t="s">
        <v>38</v>
      </c>
      <c r="H639">
        <v>1421</v>
      </c>
      <c r="I639">
        <v>16</v>
      </c>
      <c r="J639">
        <v>8</v>
      </c>
      <c r="K639">
        <v>52.1</v>
      </c>
      <c r="L639">
        <v>15</v>
      </c>
      <c r="M639" s="1" t="s">
        <v>39</v>
      </c>
      <c r="N639" s="1" t="s">
        <v>56</v>
      </c>
      <c r="O639">
        <v>22522.85</v>
      </c>
      <c r="P639" t="b">
        <v>0</v>
      </c>
      <c r="Q639">
        <v>1.3333333333333333</v>
      </c>
      <c r="R639">
        <v>1407.6781249999999</v>
      </c>
      <c r="S639">
        <v>5.7888888888888888</v>
      </c>
      <c r="T639" s="2">
        <v>45017</v>
      </c>
      <c r="U639" s="1" t="s">
        <v>41</v>
      </c>
      <c r="V639">
        <v>0</v>
      </c>
      <c r="W639" s="1" t="s">
        <v>40</v>
      </c>
      <c r="Y639" s="1" t="s">
        <v>52</v>
      </c>
      <c r="Z639" s="1" t="s">
        <v>42</v>
      </c>
      <c r="AA639">
        <v>0.47058823529411764</v>
      </c>
      <c r="AB639" s="1" t="s">
        <v>43</v>
      </c>
      <c r="AC639">
        <v>1</v>
      </c>
      <c r="AD639" s="2">
        <v>45017</v>
      </c>
      <c r="AE639" s="1" t="s">
        <v>53</v>
      </c>
      <c r="AF639" s="1" t="s">
        <v>78</v>
      </c>
      <c r="AG639" s="1" t="s">
        <v>63</v>
      </c>
      <c r="AH639" s="1" t="s">
        <v>47</v>
      </c>
      <c r="AI639">
        <v>22736</v>
      </c>
      <c r="AJ639">
        <v>-213.15000000000146</v>
      </c>
    </row>
    <row r="640" spans="1:36" x14ac:dyDescent="0.25">
      <c r="A640">
        <v>10639</v>
      </c>
      <c r="B640">
        <v>20</v>
      </c>
      <c r="C640" s="1" t="s">
        <v>36</v>
      </c>
      <c r="D640" s="1" t="s">
        <v>71</v>
      </c>
      <c r="E640" s="2">
        <v>45072</v>
      </c>
      <c r="F640" s="2">
        <v>44576</v>
      </c>
      <c r="G640" s="1" t="s">
        <v>62</v>
      </c>
      <c r="H640">
        <v>589</v>
      </c>
      <c r="I640">
        <v>34</v>
      </c>
      <c r="J640">
        <v>0</v>
      </c>
      <c r="K640">
        <v>37.46</v>
      </c>
      <c r="L640">
        <v>5</v>
      </c>
      <c r="M640" s="1" t="s">
        <v>65</v>
      </c>
      <c r="N640" s="1" t="s">
        <v>56</v>
      </c>
      <c r="O640">
        <v>19996.55</v>
      </c>
      <c r="P640" t="b">
        <v>0</v>
      </c>
      <c r="Q640">
        <v>2.8333333333333335</v>
      </c>
      <c r="R640">
        <v>588.13382352941176</v>
      </c>
      <c r="S640">
        <v>37.46</v>
      </c>
      <c r="T640" s="2">
        <v>45047</v>
      </c>
      <c r="U640" s="1" t="s">
        <v>66</v>
      </c>
      <c r="V640">
        <v>0</v>
      </c>
      <c r="W640" s="1" t="s">
        <v>40</v>
      </c>
      <c r="Y640" s="1" t="s">
        <v>52</v>
      </c>
      <c r="Z640" s="1" t="s">
        <v>42</v>
      </c>
      <c r="AA640">
        <v>0</v>
      </c>
      <c r="AB640" s="1" t="s">
        <v>43</v>
      </c>
      <c r="AC640">
        <v>2</v>
      </c>
      <c r="AD640" s="2">
        <v>45047</v>
      </c>
      <c r="AE640" s="1" t="s">
        <v>44</v>
      </c>
      <c r="AF640" s="1" t="s">
        <v>54</v>
      </c>
      <c r="AG640" s="1" t="s">
        <v>55</v>
      </c>
      <c r="AH640" s="1" t="s">
        <v>64</v>
      </c>
      <c r="AI640">
        <v>20026</v>
      </c>
      <c r="AJ640">
        <v>-29.450000000000728</v>
      </c>
    </row>
    <row r="641" spans="1:36" x14ac:dyDescent="0.25">
      <c r="A641">
        <v>10640</v>
      </c>
      <c r="B641">
        <v>62</v>
      </c>
      <c r="C641" s="1" t="s">
        <v>36</v>
      </c>
      <c r="D641" s="1" t="s">
        <v>71</v>
      </c>
      <c r="E641" s="2">
        <v>44931</v>
      </c>
      <c r="F641" s="2">
        <v>44664</v>
      </c>
      <c r="G641" s="1" t="s">
        <v>62</v>
      </c>
      <c r="H641">
        <v>1167</v>
      </c>
      <c r="I641">
        <v>16</v>
      </c>
      <c r="J641">
        <v>2</v>
      </c>
      <c r="K641">
        <v>36.65</v>
      </c>
      <c r="L641">
        <v>0</v>
      </c>
      <c r="M641" s="1" t="s">
        <v>39</v>
      </c>
      <c r="N641" s="1" t="s">
        <v>56</v>
      </c>
      <c r="O641">
        <v>18672</v>
      </c>
      <c r="P641" t="b">
        <v>0</v>
      </c>
      <c r="Q641">
        <v>1.3333333333333333</v>
      </c>
      <c r="R641">
        <v>1167</v>
      </c>
      <c r="S641">
        <v>12.216666666666667</v>
      </c>
      <c r="T641" s="2">
        <v>44927</v>
      </c>
      <c r="U641" s="1" t="s">
        <v>41</v>
      </c>
      <c r="V641">
        <v>0</v>
      </c>
      <c r="W641" s="1" t="s">
        <v>40</v>
      </c>
      <c r="Y641" s="1" t="s">
        <v>52</v>
      </c>
      <c r="Z641" s="1" t="s">
        <v>42</v>
      </c>
      <c r="AA641">
        <v>0.11764705882352941</v>
      </c>
      <c r="AB641" s="1" t="s">
        <v>52</v>
      </c>
      <c r="AC641">
        <v>2</v>
      </c>
      <c r="AD641" s="2">
        <v>44927</v>
      </c>
      <c r="AE641" s="1" t="s">
        <v>53</v>
      </c>
      <c r="AF641" s="1" t="s">
        <v>72</v>
      </c>
      <c r="AG641" s="1" t="s">
        <v>55</v>
      </c>
      <c r="AH641" s="1" t="s">
        <v>47</v>
      </c>
      <c r="AI641">
        <v>18672</v>
      </c>
      <c r="AJ641">
        <v>0</v>
      </c>
    </row>
    <row r="642" spans="1:36" x14ac:dyDescent="0.25">
      <c r="A642">
        <v>10641</v>
      </c>
      <c r="B642">
        <v>30</v>
      </c>
      <c r="C642" s="1" t="s">
        <v>60</v>
      </c>
      <c r="D642" s="1" t="s">
        <v>73</v>
      </c>
      <c r="E642" s="2">
        <v>44563</v>
      </c>
      <c r="F642" s="2">
        <v>44945</v>
      </c>
      <c r="G642" s="1" t="s">
        <v>38</v>
      </c>
      <c r="H642">
        <v>1479</v>
      </c>
      <c r="I642">
        <v>33</v>
      </c>
      <c r="J642">
        <v>0</v>
      </c>
      <c r="K642">
        <v>96.75</v>
      </c>
      <c r="L642">
        <v>5</v>
      </c>
      <c r="M642" s="1" t="s">
        <v>39</v>
      </c>
      <c r="N642" s="1" t="s">
        <v>56</v>
      </c>
      <c r="O642">
        <v>48733.05</v>
      </c>
      <c r="P642" t="b">
        <v>1</v>
      </c>
      <c r="Q642">
        <v>2.75</v>
      </c>
      <c r="R642">
        <v>1476.7590909090909</v>
      </c>
      <c r="S642">
        <v>96.75</v>
      </c>
      <c r="T642" s="2">
        <v>44562</v>
      </c>
      <c r="U642" s="1" t="s">
        <v>57</v>
      </c>
      <c r="V642">
        <v>0</v>
      </c>
      <c r="W642" s="1" t="s">
        <v>40</v>
      </c>
      <c r="X642">
        <v>382</v>
      </c>
      <c r="Y642" s="1" t="s">
        <v>43</v>
      </c>
      <c r="Z642" s="1" t="s">
        <v>42</v>
      </c>
      <c r="AA642">
        <v>0</v>
      </c>
      <c r="AB642" s="1" t="s">
        <v>43</v>
      </c>
      <c r="AC642">
        <v>1</v>
      </c>
      <c r="AD642" s="2">
        <v>44562</v>
      </c>
      <c r="AE642" s="1" t="s">
        <v>44</v>
      </c>
      <c r="AF642" s="1" t="s">
        <v>54</v>
      </c>
      <c r="AG642" s="1" t="s">
        <v>63</v>
      </c>
      <c r="AH642" s="1" t="s">
        <v>47</v>
      </c>
      <c r="AI642">
        <v>48807</v>
      </c>
      <c r="AJ642">
        <v>-73.94999999999709</v>
      </c>
    </row>
    <row r="643" spans="1:36" x14ac:dyDescent="0.25">
      <c r="A643">
        <v>10642</v>
      </c>
      <c r="B643">
        <v>45</v>
      </c>
      <c r="C643" s="1" t="s">
        <v>60</v>
      </c>
      <c r="D643" s="1" t="s">
        <v>61</v>
      </c>
      <c r="E643" s="2">
        <v>44446</v>
      </c>
      <c r="F643" s="2">
        <v>45115</v>
      </c>
      <c r="G643" s="1" t="s">
        <v>49</v>
      </c>
      <c r="H643">
        <v>1081</v>
      </c>
      <c r="I643">
        <v>3</v>
      </c>
      <c r="J643">
        <v>0</v>
      </c>
      <c r="K643">
        <v>117.01</v>
      </c>
      <c r="L643">
        <v>15</v>
      </c>
      <c r="M643" s="1" t="s">
        <v>39</v>
      </c>
      <c r="N643" s="1" t="s">
        <v>56</v>
      </c>
      <c r="O643">
        <v>3080.85</v>
      </c>
      <c r="P643" t="b">
        <v>1</v>
      </c>
      <c r="Q643">
        <v>0.25</v>
      </c>
      <c r="R643">
        <v>1026.95</v>
      </c>
      <c r="S643">
        <v>117.01</v>
      </c>
      <c r="T643" s="2">
        <v>44440</v>
      </c>
      <c r="U643" s="1" t="s">
        <v>51</v>
      </c>
      <c r="V643">
        <v>0</v>
      </c>
      <c r="W643" s="1" t="s">
        <v>56</v>
      </c>
      <c r="X643">
        <v>669</v>
      </c>
      <c r="Y643" s="1" t="s">
        <v>43</v>
      </c>
      <c r="Z643" s="1" t="s">
        <v>42</v>
      </c>
      <c r="AA643">
        <v>0</v>
      </c>
      <c r="AB643" s="1" t="s">
        <v>42</v>
      </c>
      <c r="AC643">
        <v>3</v>
      </c>
      <c r="AD643" s="2">
        <v>44440</v>
      </c>
      <c r="AE643" s="1" t="s">
        <v>58</v>
      </c>
      <c r="AF643" s="1" t="s">
        <v>54</v>
      </c>
      <c r="AG643" s="1" t="s">
        <v>63</v>
      </c>
      <c r="AH643" s="1" t="s">
        <v>47</v>
      </c>
      <c r="AI643">
        <v>3243</v>
      </c>
      <c r="AJ643">
        <v>-162.15000000000009</v>
      </c>
    </row>
    <row r="644" spans="1:36" x14ac:dyDescent="0.25">
      <c r="A644">
        <v>10643</v>
      </c>
      <c r="B644">
        <v>37</v>
      </c>
      <c r="C644" s="1" t="s">
        <v>36</v>
      </c>
      <c r="D644" s="1" t="s">
        <v>48</v>
      </c>
      <c r="E644" s="2">
        <v>44791</v>
      </c>
      <c r="F644" s="2">
        <v>45068</v>
      </c>
      <c r="G644" s="1" t="s">
        <v>62</v>
      </c>
      <c r="H644">
        <v>461</v>
      </c>
      <c r="I644">
        <v>23</v>
      </c>
      <c r="J644">
        <v>2</v>
      </c>
      <c r="K644">
        <v>45.02</v>
      </c>
      <c r="L644">
        <v>10</v>
      </c>
      <c r="M644" s="1" t="s">
        <v>67</v>
      </c>
      <c r="N644" s="1" t="s">
        <v>40</v>
      </c>
      <c r="O644">
        <v>10556.9</v>
      </c>
      <c r="P644" t="b">
        <v>1</v>
      </c>
      <c r="Q644">
        <v>1.9166666666666667</v>
      </c>
      <c r="R644">
        <v>458.99565217391302</v>
      </c>
      <c r="S644">
        <v>15.006666666666668</v>
      </c>
      <c r="T644" s="2">
        <v>44774</v>
      </c>
      <c r="U644" s="1" t="s">
        <v>51</v>
      </c>
      <c r="V644">
        <v>1</v>
      </c>
      <c r="W644" s="1" t="s">
        <v>56</v>
      </c>
      <c r="X644">
        <v>277</v>
      </c>
      <c r="Y644" s="1" t="s">
        <v>52</v>
      </c>
      <c r="Z644" s="1" t="s">
        <v>42</v>
      </c>
      <c r="AA644">
        <v>8.3333333333333329E-2</v>
      </c>
      <c r="AB644" s="1" t="s">
        <v>52</v>
      </c>
      <c r="AC644">
        <v>2</v>
      </c>
      <c r="AD644" s="2">
        <v>44774</v>
      </c>
      <c r="AE644" s="1" t="s">
        <v>53</v>
      </c>
      <c r="AF644" s="1" t="s">
        <v>72</v>
      </c>
      <c r="AG644" s="1" t="s">
        <v>63</v>
      </c>
      <c r="AH644" s="1" t="s">
        <v>68</v>
      </c>
      <c r="AI644">
        <v>10603</v>
      </c>
      <c r="AJ644">
        <v>-46.100000000000364</v>
      </c>
    </row>
    <row r="645" spans="1:36" x14ac:dyDescent="0.25">
      <c r="A645">
        <v>10644</v>
      </c>
      <c r="B645">
        <v>45</v>
      </c>
      <c r="C645" s="1" t="s">
        <v>60</v>
      </c>
      <c r="D645" s="1" t="s">
        <v>61</v>
      </c>
      <c r="E645" s="2">
        <v>44436</v>
      </c>
      <c r="F645" s="2">
        <v>45074</v>
      </c>
      <c r="G645" s="1" t="s">
        <v>38</v>
      </c>
      <c r="H645">
        <v>923</v>
      </c>
      <c r="I645">
        <v>11</v>
      </c>
      <c r="J645">
        <v>0</v>
      </c>
      <c r="K645">
        <v>9.5</v>
      </c>
      <c r="L645">
        <v>15</v>
      </c>
      <c r="M645" s="1" t="s">
        <v>39</v>
      </c>
      <c r="N645" s="1" t="s">
        <v>56</v>
      </c>
      <c r="O645">
        <v>10014.549999999999</v>
      </c>
      <c r="P645" t="b">
        <v>1</v>
      </c>
      <c r="Q645">
        <v>0.91666666666666663</v>
      </c>
      <c r="R645">
        <v>910.41363636363633</v>
      </c>
      <c r="S645">
        <v>9.5</v>
      </c>
      <c r="T645" s="2">
        <v>44409</v>
      </c>
      <c r="U645" s="1" t="s">
        <v>51</v>
      </c>
      <c r="V645">
        <v>0</v>
      </c>
      <c r="W645" s="1" t="s">
        <v>56</v>
      </c>
      <c r="X645">
        <v>638</v>
      </c>
      <c r="Y645" s="1" t="s">
        <v>42</v>
      </c>
      <c r="Z645" s="1" t="s">
        <v>42</v>
      </c>
      <c r="AA645">
        <v>0</v>
      </c>
      <c r="AB645" s="1" t="s">
        <v>52</v>
      </c>
      <c r="AC645">
        <v>1</v>
      </c>
      <c r="AD645" s="2">
        <v>44409</v>
      </c>
      <c r="AE645" s="1" t="s">
        <v>74</v>
      </c>
      <c r="AF645" s="1" t="s">
        <v>54</v>
      </c>
      <c r="AG645" s="1" t="s">
        <v>77</v>
      </c>
      <c r="AH645" s="1" t="s">
        <v>59</v>
      </c>
      <c r="AI645">
        <v>10153</v>
      </c>
      <c r="AJ645">
        <v>-138.45000000000073</v>
      </c>
    </row>
    <row r="646" spans="1:36" x14ac:dyDescent="0.25">
      <c r="A646">
        <v>10645</v>
      </c>
      <c r="B646">
        <v>25</v>
      </c>
      <c r="C646" s="1" t="s">
        <v>36</v>
      </c>
      <c r="D646" s="1" t="s">
        <v>73</v>
      </c>
      <c r="E646" s="2">
        <v>44576</v>
      </c>
      <c r="F646" s="2">
        <v>45233</v>
      </c>
      <c r="G646" s="1" t="s">
        <v>38</v>
      </c>
      <c r="H646">
        <v>1016</v>
      </c>
      <c r="I646">
        <v>18</v>
      </c>
      <c r="J646">
        <v>2</v>
      </c>
      <c r="K646">
        <v>9.2100000000000009</v>
      </c>
      <c r="L646">
        <v>10</v>
      </c>
      <c r="M646" s="1" t="s">
        <v>67</v>
      </c>
      <c r="N646" s="1" t="s">
        <v>56</v>
      </c>
      <c r="O646">
        <v>18288</v>
      </c>
      <c r="P646" t="b">
        <v>1</v>
      </c>
      <c r="Q646">
        <v>1.5</v>
      </c>
      <c r="R646">
        <v>1016</v>
      </c>
      <c r="S646">
        <v>3.0700000000000003</v>
      </c>
      <c r="T646" s="2">
        <v>44562</v>
      </c>
      <c r="U646" s="1" t="s">
        <v>66</v>
      </c>
      <c r="V646">
        <v>0</v>
      </c>
      <c r="W646" s="1" t="s">
        <v>40</v>
      </c>
      <c r="X646">
        <v>657</v>
      </c>
      <c r="Y646" s="1" t="s">
        <v>42</v>
      </c>
      <c r="Z646" s="1" t="s">
        <v>42</v>
      </c>
      <c r="AA646">
        <v>0.10526315789473684</v>
      </c>
      <c r="AB646" s="1" t="s">
        <v>52</v>
      </c>
      <c r="AC646">
        <v>1</v>
      </c>
      <c r="AD646" s="2">
        <v>44562</v>
      </c>
      <c r="AE646" s="1" t="s">
        <v>53</v>
      </c>
      <c r="AF646" s="1" t="s">
        <v>72</v>
      </c>
      <c r="AG646" s="1" t="s">
        <v>77</v>
      </c>
      <c r="AH646" s="1" t="s">
        <v>47</v>
      </c>
      <c r="AI646">
        <v>18288</v>
      </c>
      <c r="AJ646">
        <v>0</v>
      </c>
    </row>
    <row r="647" spans="1:36" x14ac:dyDescent="0.25">
      <c r="A647">
        <v>10646</v>
      </c>
      <c r="B647">
        <v>58</v>
      </c>
      <c r="C647" s="1" t="s">
        <v>36</v>
      </c>
      <c r="D647" s="1" t="s">
        <v>48</v>
      </c>
      <c r="E647" s="2">
        <v>45068</v>
      </c>
      <c r="F647" s="2">
        <v>44959</v>
      </c>
      <c r="G647" s="1" t="s">
        <v>49</v>
      </c>
      <c r="H647">
        <v>1420</v>
      </c>
      <c r="I647">
        <v>29</v>
      </c>
      <c r="J647">
        <v>2</v>
      </c>
      <c r="K647">
        <v>92.31</v>
      </c>
      <c r="L647">
        <v>15</v>
      </c>
      <c r="M647" s="1" t="s">
        <v>39</v>
      </c>
      <c r="N647" s="1" t="s">
        <v>40</v>
      </c>
      <c r="O647">
        <v>40967</v>
      </c>
      <c r="P647" t="b">
        <v>0</v>
      </c>
      <c r="Q647">
        <v>2.4166666666666665</v>
      </c>
      <c r="R647">
        <v>1412.655172413793</v>
      </c>
      <c r="S647">
        <v>30.77</v>
      </c>
      <c r="T647" s="2">
        <v>45047</v>
      </c>
      <c r="U647" s="1" t="s">
        <v>41</v>
      </c>
      <c r="V647">
        <v>1</v>
      </c>
      <c r="W647" s="1" t="s">
        <v>40</v>
      </c>
      <c r="Y647" s="1" t="s">
        <v>43</v>
      </c>
      <c r="Z647" s="1" t="s">
        <v>42</v>
      </c>
      <c r="AA647">
        <v>6.6666666666666666E-2</v>
      </c>
      <c r="AB647" s="1" t="s">
        <v>43</v>
      </c>
      <c r="AC647">
        <v>3</v>
      </c>
      <c r="AD647" s="2">
        <v>45047</v>
      </c>
      <c r="AE647" s="1" t="s">
        <v>44</v>
      </c>
      <c r="AF647" s="1" t="s">
        <v>72</v>
      </c>
      <c r="AG647" s="1" t="s">
        <v>63</v>
      </c>
      <c r="AH647" s="1" t="s">
        <v>47</v>
      </c>
      <c r="AI647">
        <v>41180</v>
      </c>
      <c r="AJ647">
        <v>-213</v>
      </c>
    </row>
    <row r="648" spans="1:36" x14ac:dyDescent="0.25">
      <c r="A648">
        <v>10647</v>
      </c>
      <c r="B648">
        <v>56</v>
      </c>
      <c r="C648" s="1" t="s">
        <v>36</v>
      </c>
      <c r="D648" s="1" t="s">
        <v>37</v>
      </c>
      <c r="E648" s="2">
        <v>45031</v>
      </c>
      <c r="F648" s="2">
        <v>44908</v>
      </c>
      <c r="G648" s="1" t="s">
        <v>62</v>
      </c>
      <c r="H648">
        <v>866</v>
      </c>
      <c r="I648">
        <v>5</v>
      </c>
      <c r="J648">
        <v>3</v>
      </c>
      <c r="K648">
        <v>68.52</v>
      </c>
      <c r="L648">
        <v>20</v>
      </c>
      <c r="M648" s="1" t="s">
        <v>39</v>
      </c>
      <c r="N648" s="1" t="s">
        <v>56</v>
      </c>
      <c r="O648">
        <v>4156.8</v>
      </c>
      <c r="P648" t="b">
        <v>0</v>
      </c>
      <c r="Q648">
        <v>0.41666666666666669</v>
      </c>
      <c r="R648">
        <v>831.36</v>
      </c>
      <c r="S648">
        <v>17.13</v>
      </c>
      <c r="T648" s="2">
        <v>45017</v>
      </c>
      <c r="U648" s="1" t="s">
        <v>41</v>
      </c>
      <c r="V648">
        <v>0</v>
      </c>
      <c r="W648" s="1" t="s">
        <v>56</v>
      </c>
      <c r="Y648" s="1" t="s">
        <v>43</v>
      </c>
      <c r="Z648" s="1" t="s">
        <v>52</v>
      </c>
      <c r="AA648">
        <v>0.5</v>
      </c>
      <c r="AB648" s="1" t="s">
        <v>42</v>
      </c>
      <c r="AC648">
        <v>2</v>
      </c>
      <c r="AD648" s="2">
        <v>45017</v>
      </c>
      <c r="AE648" s="1" t="s">
        <v>58</v>
      </c>
      <c r="AF648" s="1" t="s">
        <v>72</v>
      </c>
      <c r="AG648" s="1" t="s">
        <v>63</v>
      </c>
      <c r="AH648" s="1" t="s">
        <v>59</v>
      </c>
      <c r="AI648">
        <v>4330</v>
      </c>
      <c r="AJ648">
        <v>-173.19999999999982</v>
      </c>
    </row>
    <row r="649" spans="1:36" x14ac:dyDescent="0.25">
      <c r="A649">
        <v>10648</v>
      </c>
      <c r="B649">
        <v>18</v>
      </c>
      <c r="C649" s="1" t="s">
        <v>36</v>
      </c>
      <c r="D649" s="1" t="s">
        <v>61</v>
      </c>
      <c r="E649" s="2">
        <v>44667</v>
      </c>
      <c r="F649" s="2">
        <v>44548</v>
      </c>
      <c r="G649" s="1" t="s">
        <v>38</v>
      </c>
      <c r="H649">
        <v>1293</v>
      </c>
      <c r="I649">
        <v>24</v>
      </c>
      <c r="J649">
        <v>1</v>
      </c>
      <c r="K649">
        <v>95.11</v>
      </c>
      <c r="L649">
        <v>15</v>
      </c>
      <c r="M649" s="1" t="s">
        <v>39</v>
      </c>
      <c r="N649" s="1" t="s">
        <v>56</v>
      </c>
      <c r="O649">
        <v>30838.05</v>
      </c>
      <c r="P649" t="b">
        <v>0</v>
      </c>
      <c r="Q649">
        <v>2</v>
      </c>
      <c r="R649">
        <v>1284.91875</v>
      </c>
      <c r="S649">
        <v>47.555</v>
      </c>
      <c r="T649" s="2">
        <v>44652</v>
      </c>
      <c r="U649" s="1" t="s">
        <v>66</v>
      </c>
      <c r="V649">
        <v>0</v>
      </c>
      <c r="W649" s="1" t="s">
        <v>40</v>
      </c>
      <c r="Y649" s="1" t="s">
        <v>43</v>
      </c>
      <c r="Z649" s="1" t="s">
        <v>42</v>
      </c>
      <c r="AA649">
        <v>0.04</v>
      </c>
      <c r="AB649" s="1" t="s">
        <v>43</v>
      </c>
      <c r="AC649">
        <v>1</v>
      </c>
      <c r="AD649" s="2">
        <v>44652</v>
      </c>
      <c r="AE649" s="1" t="s">
        <v>53</v>
      </c>
      <c r="AF649" s="1" t="s">
        <v>54</v>
      </c>
      <c r="AG649" s="1" t="s">
        <v>63</v>
      </c>
      <c r="AH649" s="1" t="s">
        <v>47</v>
      </c>
      <c r="AI649">
        <v>31032</v>
      </c>
      <c r="AJ649">
        <v>-193.95000000000073</v>
      </c>
    </row>
    <row r="650" spans="1:36" x14ac:dyDescent="0.25">
      <c r="A650">
        <v>10649</v>
      </c>
      <c r="B650">
        <v>20</v>
      </c>
      <c r="C650" s="1" t="s">
        <v>36</v>
      </c>
      <c r="D650" s="1" t="s">
        <v>61</v>
      </c>
      <c r="E650" s="2">
        <v>44971</v>
      </c>
      <c r="F650" s="2">
        <v>44605</v>
      </c>
      <c r="G650" s="1" t="s">
        <v>38</v>
      </c>
      <c r="H650">
        <v>1440</v>
      </c>
      <c r="I650">
        <v>29</v>
      </c>
      <c r="J650">
        <v>1</v>
      </c>
      <c r="K650">
        <v>85.21</v>
      </c>
      <c r="L650">
        <v>20</v>
      </c>
      <c r="M650" s="1" t="s">
        <v>65</v>
      </c>
      <c r="N650" s="1" t="s">
        <v>56</v>
      </c>
      <c r="O650">
        <v>41472</v>
      </c>
      <c r="P650" t="b">
        <v>0</v>
      </c>
      <c r="Q650">
        <v>2.4166666666666665</v>
      </c>
      <c r="R650">
        <v>1430.0689655172414</v>
      </c>
      <c r="S650">
        <v>42.604999999999997</v>
      </c>
      <c r="T650" s="2">
        <v>44958</v>
      </c>
      <c r="U650" s="1" t="s">
        <v>66</v>
      </c>
      <c r="V650">
        <v>0</v>
      </c>
      <c r="W650" s="1" t="s">
        <v>40</v>
      </c>
      <c r="Y650" s="1" t="s">
        <v>43</v>
      </c>
      <c r="Z650" s="1" t="s">
        <v>52</v>
      </c>
      <c r="AA650">
        <v>3.3333333333333333E-2</v>
      </c>
      <c r="AB650" s="1" t="s">
        <v>43</v>
      </c>
      <c r="AC650">
        <v>1</v>
      </c>
      <c r="AD650" s="2">
        <v>44958</v>
      </c>
      <c r="AE650" s="1" t="s">
        <v>44</v>
      </c>
      <c r="AF650" s="1" t="s">
        <v>54</v>
      </c>
      <c r="AG650" s="1" t="s">
        <v>63</v>
      </c>
      <c r="AH650" s="1" t="s">
        <v>47</v>
      </c>
      <c r="AI650">
        <v>41760</v>
      </c>
      <c r="AJ650">
        <v>-288</v>
      </c>
    </row>
    <row r="651" spans="1:36" x14ac:dyDescent="0.25">
      <c r="A651">
        <v>10650</v>
      </c>
      <c r="B651">
        <v>30</v>
      </c>
      <c r="C651" s="1" t="s">
        <v>60</v>
      </c>
      <c r="D651" s="1" t="s">
        <v>73</v>
      </c>
      <c r="E651" s="2">
        <v>44897</v>
      </c>
      <c r="F651" s="2">
        <v>44827</v>
      </c>
      <c r="G651" s="1" t="s">
        <v>49</v>
      </c>
      <c r="H651">
        <v>895</v>
      </c>
      <c r="I651">
        <v>29</v>
      </c>
      <c r="J651">
        <v>0</v>
      </c>
      <c r="K651">
        <v>109.36</v>
      </c>
      <c r="L651">
        <v>5</v>
      </c>
      <c r="M651" s="1" t="s">
        <v>65</v>
      </c>
      <c r="N651" s="1" t="s">
        <v>40</v>
      </c>
      <c r="O651">
        <v>25910.25</v>
      </c>
      <c r="P651" t="b">
        <v>0</v>
      </c>
      <c r="Q651">
        <v>2.4166666666666665</v>
      </c>
      <c r="R651">
        <v>893.45689655172418</v>
      </c>
      <c r="S651">
        <v>109.36</v>
      </c>
      <c r="T651" s="2">
        <v>44896</v>
      </c>
      <c r="U651" s="1" t="s">
        <v>57</v>
      </c>
      <c r="V651">
        <v>1</v>
      </c>
      <c r="W651" s="1" t="s">
        <v>40</v>
      </c>
      <c r="Y651" s="1" t="s">
        <v>43</v>
      </c>
      <c r="Z651" s="1" t="s">
        <v>42</v>
      </c>
      <c r="AA651">
        <v>0</v>
      </c>
      <c r="AB651" s="1" t="s">
        <v>43</v>
      </c>
      <c r="AC651">
        <v>3</v>
      </c>
      <c r="AD651" s="2">
        <v>44896</v>
      </c>
      <c r="AE651" s="1" t="s">
        <v>44</v>
      </c>
      <c r="AF651" s="1" t="s">
        <v>54</v>
      </c>
      <c r="AG651" s="1" t="s">
        <v>63</v>
      </c>
      <c r="AH651" s="1" t="s">
        <v>59</v>
      </c>
      <c r="AI651">
        <v>25955</v>
      </c>
      <c r="AJ651">
        <v>-44.75</v>
      </c>
    </row>
    <row r="652" spans="1:36" x14ac:dyDescent="0.25">
      <c r="A652">
        <v>10651</v>
      </c>
      <c r="B652">
        <v>45</v>
      </c>
      <c r="C652" s="1" t="s">
        <v>60</v>
      </c>
      <c r="D652" s="1" t="s">
        <v>69</v>
      </c>
      <c r="E652" s="2">
        <v>44651</v>
      </c>
      <c r="F652" s="2">
        <v>45235</v>
      </c>
      <c r="G652" s="1" t="s">
        <v>62</v>
      </c>
      <c r="H652">
        <v>1258</v>
      </c>
      <c r="I652">
        <v>26</v>
      </c>
      <c r="J652">
        <v>4</v>
      </c>
      <c r="K652">
        <v>106.87</v>
      </c>
      <c r="L652">
        <v>20</v>
      </c>
      <c r="M652" s="1" t="s">
        <v>67</v>
      </c>
      <c r="N652" s="1" t="s">
        <v>56</v>
      </c>
      <c r="O652">
        <v>32456.400000000001</v>
      </c>
      <c r="P652" t="b">
        <v>1</v>
      </c>
      <c r="Q652">
        <v>2.1666666666666665</v>
      </c>
      <c r="R652">
        <v>1248.323076923077</v>
      </c>
      <c r="S652">
        <v>21.374000000000002</v>
      </c>
      <c r="T652" s="2">
        <v>44621</v>
      </c>
      <c r="U652" s="1" t="s">
        <v>51</v>
      </c>
      <c r="V652">
        <v>0</v>
      </c>
      <c r="W652" s="1" t="s">
        <v>40</v>
      </c>
      <c r="X652">
        <v>584</v>
      </c>
      <c r="Y652" s="1" t="s">
        <v>43</v>
      </c>
      <c r="Z652" s="1" t="s">
        <v>52</v>
      </c>
      <c r="AA652">
        <v>0.14814814814814814</v>
      </c>
      <c r="AB652" s="1" t="s">
        <v>43</v>
      </c>
      <c r="AC652">
        <v>2</v>
      </c>
      <c r="AD652" s="2">
        <v>44621</v>
      </c>
      <c r="AE652" s="1" t="s">
        <v>44</v>
      </c>
      <c r="AF652" s="1" t="s">
        <v>45</v>
      </c>
      <c r="AG652" s="1" t="s">
        <v>63</v>
      </c>
      <c r="AH652" s="1" t="s">
        <v>47</v>
      </c>
      <c r="AI652">
        <v>32708</v>
      </c>
      <c r="AJ652">
        <v>-251.59999999999854</v>
      </c>
    </row>
    <row r="653" spans="1:36" x14ac:dyDescent="0.25">
      <c r="A653">
        <v>10652</v>
      </c>
      <c r="B653">
        <v>42</v>
      </c>
      <c r="C653" s="1" t="s">
        <v>60</v>
      </c>
      <c r="D653" s="1" t="s">
        <v>73</v>
      </c>
      <c r="E653" s="2">
        <v>44562</v>
      </c>
      <c r="F653" s="2">
        <v>44525</v>
      </c>
      <c r="G653" s="1" t="s">
        <v>62</v>
      </c>
      <c r="H653">
        <v>1312</v>
      </c>
      <c r="I653">
        <v>3</v>
      </c>
      <c r="J653">
        <v>1</v>
      </c>
      <c r="K653">
        <v>95.66</v>
      </c>
      <c r="L653">
        <v>15</v>
      </c>
      <c r="M653" s="1" t="s">
        <v>39</v>
      </c>
      <c r="N653" s="1" t="s">
        <v>40</v>
      </c>
      <c r="O653">
        <v>3739.2</v>
      </c>
      <c r="P653" t="b">
        <v>0</v>
      </c>
      <c r="Q653">
        <v>0.25</v>
      </c>
      <c r="R653">
        <v>1246.3999999999999</v>
      </c>
      <c r="S653">
        <v>47.83</v>
      </c>
      <c r="T653" s="2">
        <v>44562</v>
      </c>
      <c r="U653" s="1" t="s">
        <v>51</v>
      </c>
      <c r="V653">
        <v>1</v>
      </c>
      <c r="W653" s="1" t="s">
        <v>56</v>
      </c>
      <c r="Y653" s="1" t="s">
        <v>43</v>
      </c>
      <c r="Z653" s="1" t="s">
        <v>42</v>
      </c>
      <c r="AA653">
        <v>0.25</v>
      </c>
      <c r="AB653" s="1" t="s">
        <v>42</v>
      </c>
      <c r="AC653">
        <v>2</v>
      </c>
      <c r="AD653" s="2">
        <v>44562</v>
      </c>
      <c r="AE653" s="1" t="s">
        <v>58</v>
      </c>
      <c r="AF653" s="1" t="s">
        <v>54</v>
      </c>
      <c r="AG653" s="1" t="s">
        <v>63</v>
      </c>
      <c r="AH653" s="1" t="s">
        <v>47</v>
      </c>
      <c r="AI653">
        <v>3936</v>
      </c>
      <c r="AJ653">
        <v>-196.80000000000018</v>
      </c>
    </row>
    <row r="654" spans="1:36" x14ac:dyDescent="0.25">
      <c r="A654">
        <v>10653</v>
      </c>
      <c r="B654">
        <v>50</v>
      </c>
      <c r="C654" s="1" t="s">
        <v>60</v>
      </c>
      <c r="D654" s="1" t="s">
        <v>61</v>
      </c>
      <c r="E654" s="2">
        <v>44486</v>
      </c>
      <c r="F654" s="2">
        <v>45104</v>
      </c>
      <c r="G654" s="1" t="s">
        <v>38</v>
      </c>
      <c r="H654">
        <v>774</v>
      </c>
      <c r="I654">
        <v>2</v>
      </c>
      <c r="J654">
        <v>1</v>
      </c>
      <c r="K654">
        <v>59.65</v>
      </c>
      <c r="L654">
        <v>15</v>
      </c>
      <c r="M654" s="1" t="s">
        <v>67</v>
      </c>
      <c r="N654" s="1" t="s">
        <v>40</v>
      </c>
      <c r="O654">
        <v>1431.9</v>
      </c>
      <c r="P654" t="b">
        <v>1</v>
      </c>
      <c r="Q654">
        <v>0.16666666666666666</v>
      </c>
      <c r="R654">
        <v>715.95</v>
      </c>
      <c r="S654">
        <v>29.824999999999999</v>
      </c>
      <c r="T654" s="2">
        <v>44470</v>
      </c>
      <c r="U654" s="1" t="s">
        <v>51</v>
      </c>
      <c r="V654">
        <v>1</v>
      </c>
      <c r="W654" s="1" t="s">
        <v>56</v>
      </c>
      <c r="X654">
        <v>618</v>
      </c>
      <c r="Y654" s="1" t="s">
        <v>52</v>
      </c>
      <c r="Z654" s="1" t="s">
        <v>42</v>
      </c>
      <c r="AA654">
        <v>0.33333333333333331</v>
      </c>
      <c r="AB654" s="1" t="s">
        <v>42</v>
      </c>
      <c r="AC654">
        <v>1</v>
      </c>
      <c r="AD654" s="2">
        <v>44470</v>
      </c>
      <c r="AE654" s="1" t="s">
        <v>58</v>
      </c>
      <c r="AF654" s="1" t="s">
        <v>54</v>
      </c>
      <c r="AG654" s="1" t="s">
        <v>63</v>
      </c>
      <c r="AH654" s="1" t="s">
        <v>59</v>
      </c>
      <c r="AI654">
        <v>1548</v>
      </c>
      <c r="AJ654">
        <v>-116.09999999999991</v>
      </c>
    </row>
    <row r="655" spans="1:36" x14ac:dyDescent="0.25">
      <c r="A655">
        <v>10654</v>
      </c>
      <c r="B655">
        <v>55</v>
      </c>
      <c r="C655" s="1" t="s">
        <v>36</v>
      </c>
      <c r="D655" s="1" t="s">
        <v>48</v>
      </c>
      <c r="E655" s="2">
        <v>45070</v>
      </c>
      <c r="F655" s="2">
        <v>44470</v>
      </c>
      <c r="G655" s="1" t="s">
        <v>62</v>
      </c>
      <c r="H655">
        <v>917</v>
      </c>
      <c r="I655">
        <v>25</v>
      </c>
      <c r="J655">
        <v>2</v>
      </c>
      <c r="K655">
        <v>40.43</v>
      </c>
      <c r="L655">
        <v>15</v>
      </c>
      <c r="M655" s="1" t="s">
        <v>39</v>
      </c>
      <c r="N655" s="1" t="s">
        <v>56</v>
      </c>
      <c r="O655">
        <v>22787.45</v>
      </c>
      <c r="P655" t="b">
        <v>0</v>
      </c>
      <c r="Q655">
        <v>2.0833333333333335</v>
      </c>
      <c r="R655">
        <v>911.49800000000005</v>
      </c>
      <c r="S655">
        <v>13.476666666666667</v>
      </c>
      <c r="T655" s="2">
        <v>45047</v>
      </c>
      <c r="U655" s="1" t="s">
        <v>41</v>
      </c>
      <c r="V655">
        <v>0</v>
      </c>
      <c r="W655" s="1" t="s">
        <v>40</v>
      </c>
      <c r="Y655" s="1" t="s">
        <v>52</v>
      </c>
      <c r="Z655" s="1" t="s">
        <v>42</v>
      </c>
      <c r="AA655">
        <v>7.6923076923076927E-2</v>
      </c>
      <c r="AB655" s="1" t="s">
        <v>43</v>
      </c>
      <c r="AC655">
        <v>2</v>
      </c>
      <c r="AD655" s="2">
        <v>45047</v>
      </c>
      <c r="AE655" s="1" t="s">
        <v>44</v>
      </c>
      <c r="AF655" s="1" t="s">
        <v>72</v>
      </c>
      <c r="AG655" s="1" t="s">
        <v>55</v>
      </c>
      <c r="AH655" s="1" t="s">
        <v>59</v>
      </c>
      <c r="AI655">
        <v>22925</v>
      </c>
      <c r="AJ655">
        <v>-137.54999999999927</v>
      </c>
    </row>
    <row r="656" spans="1:36" x14ac:dyDescent="0.25">
      <c r="A656">
        <v>10655</v>
      </c>
      <c r="B656">
        <v>23</v>
      </c>
      <c r="C656" s="1" t="s">
        <v>36</v>
      </c>
      <c r="D656" s="1" t="s">
        <v>69</v>
      </c>
      <c r="E656" s="2">
        <v>44599</v>
      </c>
      <c r="F656" s="2">
        <v>44689</v>
      </c>
      <c r="G656" s="1" t="s">
        <v>38</v>
      </c>
      <c r="H656">
        <v>940</v>
      </c>
      <c r="I656">
        <v>19</v>
      </c>
      <c r="J656">
        <v>0</v>
      </c>
      <c r="K656">
        <v>63.31</v>
      </c>
      <c r="L656">
        <v>0</v>
      </c>
      <c r="M656" s="1" t="s">
        <v>50</v>
      </c>
      <c r="N656" s="1" t="s">
        <v>56</v>
      </c>
      <c r="O656">
        <v>17860</v>
      </c>
      <c r="P656" t="b">
        <v>1</v>
      </c>
      <c r="Q656">
        <v>1.5833333333333333</v>
      </c>
      <c r="R656">
        <v>940</v>
      </c>
      <c r="S656">
        <v>63.31</v>
      </c>
      <c r="T656" s="2">
        <v>44593</v>
      </c>
      <c r="U656" s="1" t="s">
        <v>66</v>
      </c>
      <c r="V656">
        <v>0</v>
      </c>
      <c r="W656" s="1" t="s">
        <v>40</v>
      </c>
      <c r="X656">
        <v>90</v>
      </c>
      <c r="Y656" s="1" t="s">
        <v>43</v>
      </c>
      <c r="Z656" s="1" t="s">
        <v>42</v>
      </c>
      <c r="AA656">
        <v>0</v>
      </c>
      <c r="AB656" s="1" t="s">
        <v>52</v>
      </c>
      <c r="AC656">
        <v>1</v>
      </c>
      <c r="AD656" s="2">
        <v>44593</v>
      </c>
      <c r="AE656" s="1" t="s">
        <v>53</v>
      </c>
      <c r="AF656" s="1" t="s">
        <v>54</v>
      </c>
      <c r="AG656" s="1" t="s">
        <v>63</v>
      </c>
      <c r="AH656" s="1" t="s">
        <v>59</v>
      </c>
      <c r="AI656">
        <v>17860</v>
      </c>
      <c r="AJ656">
        <v>0</v>
      </c>
    </row>
    <row r="657" spans="1:36" x14ac:dyDescent="0.25">
      <c r="A657">
        <v>10656</v>
      </c>
      <c r="B657">
        <v>61</v>
      </c>
      <c r="C657" s="1" t="s">
        <v>36</v>
      </c>
      <c r="D657" s="1" t="s">
        <v>73</v>
      </c>
      <c r="E657" s="2">
        <v>44254</v>
      </c>
      <c r="F657" s="2">
        <v>44518</v>
      </c>
      <c r="G657" s="1" t="s">
        <v>38</v>
      </c>
      <c r="H657">
        <v>561</v>
      </c>
      <c r="I657">
        <v>2</v>
      </c>
      <c r="J657">
        <v>2</v>
      </c>
      <c r="K657">
        <v>62.74</v>
      </c>
      <c r="L657">
        <v>5</v>
      </c>
      <c r="M657" s="1" t="s">
        <v>67</v>
      </c>
      <c r="N657" s="1" t="s">
        <v>56</v>
      </c>
      <c r="O657">
        <v>1093.95</v>
      </c>
      <c r="P657" t="b">
        <v>1</v>
      </c>
      <c r="Q657">
        <v>0.16666666666666666</v>
      </c>
      <c r="R657">
        <v>546.97500000000002</v>
      </c>
      <c r="S657">
        <v>20.913333333333334</v>
      </c>
      <c r="T657" s="2">
        <v>44228</v>
      </c>
      <c r="U657" s="1" t="s">
        <v>41</v>
      </c>
      <c r="V657">
        <v>0</v>
      </c>
      <c r="W657" s="1" t="s">
        <v>56</v>
      </c>
      <c r="X657">
        <v>264</v>
      </c>
      <c r="Y657" s="1" t="s">
        <v>43</v>
      </c>
      <c r="Z657" s="1" t="s">
        <v>42</v>
      </c>
      <c r="AA657">
        <v>0.66666666666666663</v>
      </c>
      <c r="AB657" s="1" t="s">
        <v>42</v>
      </c>
      <c r="AC657">
        <v>1</v>
      </c>
      <c r="AD657" s="2">
        <v>44228</v>
      </c>
      <c r="AE657" s="1" t="s">
        <v>58</v>
      </c>
      <c r="AF657" s="1" t="s">
        <v>72</v>
      </c>
      <c r="AG657" s="1" t="s">
        <v>63</v>
      </c>
      <c r="AH657" s="1" t="s">
        <v>64</v>
      </c>
      <c r="AI657">
        <v>1122</v>
      </c>
      <c r="AJ657">
        <v>-28.049999999999955</v>
      </c>
    </row>
    <row r="658" spans="1:36" x14ac:dyDescent="0.25">
      <c r="A658">
        <v>10657</v>
      </c>
      <c r="B658">
        <v>62</v>
      </c>
      <c r="C658" s="1" t="s">
        <v>36</v>
      </c>
      <c r="D658" s="1" t="s">
        <v>73</v>
      </c>
      <c r="E658" s="2">
        <v>44717</v>
      </c>
      <c r="F658" s="2">
        <v>45192</v>
      </c>
      <c r="G658" s="1" t="s">
        <v>62</v>
      </c>
      <c r="H658">
        <v>461</v>
      </c>
      <c r="I658">
        <v>19</v>
      </c>
      <c r="J658">
        <v>2</v>
      </c>
      <c r="K658">
        <v>75.180000000000007</v>
      </c>
      <c r="L658">
        <v>20</v>
      </c>
      <c r="M658" s="1" t="s">
        <v>65</v>
      </c>
      <c r="N658" s="1" t="s">
        <v>56</v>
      </c>
      <c r="O658">
        <v>8666.7999999999993</v>
      </c>
      <c r="P658" t="b">
        <v>1</v>
      </c>
      <c r="Q658">
        <v>1.5833333333333333</v>
      </c>
      <c r="R658">
        <v>456.14736842105259</v>
      </c>
      <c r="S658">
        <v>25.060000000000002</v>
      </c>
      <c r="T658" s="2">
        <v>44713</v>
      </c>
      <c r="U658" s="1" t="s">
        <v>41</v>
      </c>
      <c r="V658">
        <v>0</v>
      </c>
      <c r="W658" s="1" t="s">
        <v>56</v>
      </c>
      <c r="X658">
        <v>475</v>
      </c>
      <c r="Y658" s="1" t="s">
        <v>43</v>
      </c>
      <c r="Z658" s="1" t="s">
        <v>52</v>
      </c>
      <c r="AA658">
        <v>0.1</v>
      </c>
      <c r="AB658" s="1" t="s">
        <v>42</v>
      </c>
      <c r="AC658">
        <v>2</v>
      </c>
      <c r="AD658" s="2">
        <v>44713</v>
      </c>
      <c r="AE658" s="1" t="s">
        <v>53</v>
      </c>
      <c r="AF658" s="1" t="s">
        <v>72</v>
      </c>
      <c r="AG658" s="1" t="s">
        <v>63</v>
      </c>
      <c r="AH658" s="1" t="s">
        <v>68</v>
      </c>
      <c r="AI658">
        <v>8759</v>
      </c>
      <c r="AJ658">
        <v>-92.200000000000728</v>
      </c>
    </row>
    <row r="659" spans="1:36" x14ac:dyDescent="0.25">
      <c r="A659">
        <v>10658</v>
      </c>
      <c r="B659">
        <v>49</v>
      </c>
      <c r="C659" s="1" t="s">
        <v>75</v>
      </c>
      <c r="D659" s="1" t="s">
        <v>61</v>
      </c>
      <c r="E659" s="2">
        <v>44500</v>
      </c>
      <c r="F659" s="2">
        <v>44995</v>
      </c>
      <c r="G659" s="1" t="s">
        <v>49</v>
      </c>
      <c r="H659">
        <v>480</v>
      </c>
      <c r="I659">
        <v>1</v>
      </c>
      <c r="J659">
        <v>2</v>
      </c>
      <c r="K659">
        <v>26.4</v>
      </c>
      <c r="L659">
        <v>10</v>
      </c>
      <c r="M659" s="1" t="s">
        <v>50</v>
      </c>
      <c r="N659" s="1" t="s">
        <v>56</v>
      </c>
      <c r="O659">
        <v>432</v>
      </c>
      <c r="P659" t="b">
        <v>1</v>
      </c>
      <c r="Q659">
        <v>8.3333333333333329E-2</v>
      </c>
      <c r="R659">
        <v>432</v>
      </c>
      <c r="S659">
        <v>8.7999999999999989</v>
      </c>
      <c r="T659" s="2">
        <v>44470</v>
      </c>
      <c r="U659" s="1" t="s">
        <v>51</v>
      </c>
      <c r="V659">
        <v>0</v>
      </c>
      <c r="W659" s="1" t="s">
        <v>56</v>
      </c>
      <c r="X659">
        <v>495</v>
      </c>
      <c r="Y659" s="1" t="s">
        <v>52</v>
      </c>
      <c r="Z659" s="1" t="s">
        <v>42</v>
      </c>
      <c r="AA659">
        <v>1</v>
      </c>
      <c r="AB659" s="1" t="s">
        <v>42</v>
      </c>
      <c r="AC659">
        <v>3</v>
      </c>
      <c r="AD659" s="2">
        <v>44470</v>
      </c>
      <c r="AE659" s="1" t="s">
        <v>58</v>
      </c>
      <c r="AF659" s="1" t="s">
        <v>72</v>
      </c>
      <c r="AG659" s="1" t="s">
        <v>70</v>
      </c>
      <c r="AH659" s="1" t="s">
        <v>68</v>
      </c>
      <c r="AI659">
        <v>480</v>
      </c>
      <c r="AJ659">
        <v>-48</v>
      </c>
    </row>
    <row r="660" spans="1:36" x14ac:dyDescent="0.25">
      <c r="A660">
        <v>10659</v>
      </c>
      <c r="B660">
        <v>62</v>
      </c>
      <c r="C660" s="1" t="s">
        <v>36</v>
      </c>
      <c r="D660" s="1" t="s">
        <v>61</v>
      </c>
      <c r="E660" s="2">
        <v>44311</v>
      </c>
      <c r="F660" s="2">
        <v>44406</v>
      </c>
      <c r="G660" s="1" t="s">
        <v>38</v>
      </c>
      <c r="H660">
        <v>1024</v>
      </c>
      <c r="I660">
        <v>27</v>
      </c>
      <c r="J660">
        <v>0</v>
      </c>
      <c r="K660">
        <v>80.400000000000006</v>
      </c>
      <c r="L660">
        <v>20</v>
      </c>
      <c r="M660" s="1" t="s">
        <v>65</v>
      </c>
      <c r="N660" s="1" t="s">
        <v>56</v>
      </c>
      <c r="O660">
        <v>27443.200000000001</v>
      </c>
      <c r="P660" t="b">
        <v>1</v>
      </c>
      <c r="Q660">
        <v>2.25</v>
      </c>
      <c r="R660">
        <v>1016.4148148148148</v>
      </c>
      <c r="S660">
        <v>80.400000000000006</v>
      </c>
      <c r="T660" s="2">
        <v>44287</v>
      </c>
      <c r="U660" s="1" t="s">
        <v>41</v>
      </c>
      <c r="V660">
        <v>0</v>
      </c>
      <c r="W660" s="1" t="s">
        <v>40</v>
      </c>
      <c r="X660">
        <v>95</v>
      </c>
      <c r="Y660" s="1" t="s">
        <v>43</v>
      </c>
      <c r="Z660" s="1" t="s">
        <v>52</v>
      </c>
      <c r="AA660">
        <v>0</v>
      </c>
      <c r="AB660" s="1" t="s">
        <v>43</v>
      </c>
      <c r="AC660">
        <v>1</v>
      </c>
      <c r="AD660" s="2">
        <v>44287</v>
      </c>
      <c r="AE660" s="1" t="s">
        <v>44</v>
      </c>
      <c r="AF660" s="1" t="s">
        <v>54</v>
      </c>
      <c r="AG660" s="1" t="s">
        <v>63</v>
      </c>
      <c r="AH660" s="1" t="s">
        <v>47</v>
      </c>
      <c r="AI660">
        <v>27648</v>
      </c>
      <c r="AJ660">
        <v>-204.79999999999927</v>
      </c>
    </row>
    <row r="661" spans="1:36" x14ac:dyDescent="0.25">
      <c r="A661">
        <v>10660</v>
      </c>
      <c r="B661">
        <v>64</v>
      </c>
      <c r="C661" s="1" t="s">
        <v>36</v>
      </c>
      <c r="D661" s="1" t="s">
        <v>37</v>
      </c>
      <c r="E661" s="2">
        <v>44406</v>
      </c>
      <c r="F661" s="2">
        <v>45052</v>
      </c>
      <c r="G661" s="1" t="s">
        <v>62</v>
      </c>
      <c r="H661">
        <v>768</v>
      </c>
      <c r="I661">
        <v>35</v>
      </c>
      <c r="J661">
        <v>4</v>
      </c>
      <c r="K661">
        <v>57.51</v>
      </c>
      <c r="L661">
        <v>15</v>
      </c>
      <c r="M661" s="1" t="s">
        <v>50</v>
      </c>
      <c r="N661" s="1" t="s">
        <v>56</v>
      </c>
      <c r="O661">
        <v>26764.799999999999</v>
      </c>
      <c r="P661" t="b">
        <v>1</v>
      </c>
      <c r="Q661">
        <v>2.9166666666666665</v>
      </c>
      <c r="R661">
        <v>764.70857142857142</v>
      </c>
      <c r="S661">
        <v>11.501999999999999</v>
      </c>
      <c r="T661" s="2">
        <v>44378</v>
      </c>
      <c r="U661" s="1" t="s">
        <v>41</v>
      </c>
      <c r="V661">
        <v>0</v>
      </c>
      <c r="W661" s="1" t="s">
        <v>40</v>
      </c>
      <c r="X661">
        <v>646</v>
      </c>
      <c r="Y661" s="1" t="s">
        <v>52</v>
      </c>
      <c r="Z661" s="1" t="s">
        <v>42</v>
      </c>
      <c r="AA661">
        <v>0.1111111111111111</v>
      </c>
      <c r="AB661" s="1" t="s">
        <v>43</v>
      </c>
      <c r="AC661">
        <v>2</v>
      </c>
      <c r="AD661" s="2">
        <v>44378</v>
      </c>
      <c r="AE661" s="1" t="s">
        <v>44</v>
      </c>
      <c r="AF661" s="1" t="s">
        <v>45</v>
      </c>
      <c r="AG661" s="1" t="s">
        <v>63</v>
      </c>
      <c r="AH661" s="1" t="s">
        <v>59</v>
      </c>
      <c r="AI661">
        <v>26880</v>
      </c>
      <c r="AJ661">
        <v>-115.20000000000073</v>
      </c>
    </row>
    <row r="662" spans="1:36" x14ac:dyDescent="0.25">
      <c r="A662">
        <v>10661</v>
      </c>
      <c r="B662">
        <v>38</v>
      </c>
      <c r="C662" s="1" t="s">
        <v>36</v>
      </c>
      <c r="D662" s="1" t="s">
        <v>73</v>
      </c>
      <c r="E662" s="2">
        <v>44237</v>
      </c>
      <c r="F662" s="2">
        <v>44812</v>
      </c>
      <c r="G662" s="1" t="s">
        <v>62</v>
      </c>
      <c r="H662">
        <v>320</v>
      </c>
      <c r="I662">
        <v>5</v>
      </c>
      <c r="J662">
        <v>5</v>
      </c>
      <c r="K662">
        <v>76.319999999999993</v>
      </c>
      <c r="L662">
        <v>10</v>
      </c>
      <c r="M662" s="1" t="s">
        <v>50</v>
      </c>
      <c r="N662" s="1" t="s">
        <v>56</v>
      </c>
      <c r="O662">
        <v>1568</v>
      </c>
      <c r="P662" t="b">
        <v>1</v>
      </c>
      <c r="Q662">
        <v>0.41666666666666669</v>
      </c>
      <c r="R662">
        <v>313.60000000000002</v>
      </c>
      <c r="S662">
        <v>12.719999999999999</v>
      </c>
      <c r="T662" s="2">
        <v>44228</v>
      </c>
      <c r="U662" s="1" t="s">
        <v>51</v>
      </c>
      <c r="V662">
        <v>0</v>
      </c>
      <c r="W662" s="1" t="s">
        <v>56</v>
      </c>
      <c r="X662">
        <v>575</v>
      </c>
      <c r="Y662" s="1" t="s">
        <v>43</v>
      </c>
      <c r="Z662" s="1" t="s">
        <v>42</v>
      </c>
      <c r="AA662">
        <v>0.83333333333333337</v>
      </c>
      <c r="AB662" s="1" t="s">
        <v>42</v>
      </c>
      <c r="AC662">
        <v>2</v>
      </c>
      <c r="AD662" s="2">
        <v>44228</v>
      </c>
      <c r="AE662" s="1" t="s">
        <v>58</v>
      </c>
      <c r="AF662" s="1" t="s">
        <v>45</v>
      </c>
      <c r="AG662" s="1" t="s">
        <v>63</v>
      </c>
      <c r="AH662" s="1" t="s">
        <v>68</v>
      </c>
      <c r="AI662">
        <v>1600</v>
      </c>
      <c r="AJ662">
        <v>-32</v>
      </c>
    </row>
    <row r="663" spans="1:36" x14ac:dyDescent="0.25">
      <c r="A663">
        <v>10662</v>
      </c>
      <c r="B663">
        <v>33</v>
      </c>
      <c r="C663" s="1" t="s">
        <v>60</v>
      </c>
      <c r="D663" s="1" t="s">
        <v>61</v>
      </c>
      <c r="E663" s="2">
        <v>45012</v>
      </c>
      <c r="F663" s="2">
        <v>45127</v>
      </c>
      <c r="G663" s="1" t="s">
        <v>62</v>
      </c>
      <c r="H663">
        <v>559</v>
      </c>
      <c r="I663">
        <v>4</v>
      </c>
      <c r="J663">
        <v>2</v>
      </c>
      <c r="K663">
        <v>32.549999999999997</v>
      </c>
      <c r="L663">
        <v>10</v>
      </c>
      <c r="M663" s="1" t="s">
        <v>50</v>
      </c>
      <c r="N663" s="1" t="s">
        <v>56</v>
      </c>
      <c r="O663">
        <v>2180.1</v>
      </c>
      <c r="P663" t="b">
        <v>1</v>
      </c>
      <c r="Q663">
        <v>0.33333333333333331</v>
      </c>
      <c r="R663">
        <v>545.02499999999998</v>
      </c>
      <c r="S663">
        <v>10.85</v>
      </c>
      <c r="T663" s="2">
        <v>44986</v>
      </c>
      <c r="U663" s="1" t="s">
        <v>57</v>
      </c>
      <c r="V663">
        <v>0</v>
      </c>
      <c r="W663" s="1" t="s">
        <v>56</v>
      </c>
      <c r="X663">
        <v>115</v>
      </c>
      <c r="Y663" s="1" t="s">
        <v>52</v>
      </c>
      <c r="Z663" s="1" t="s">
        <v>42</v>
      </c>
      <c r="AA663">
        <v>0.4</v>
      </c>
      <c r="AB663" s="1" t="s">
        <v>42</v>
      </c>
      <c r="AC663">
        <v>2</v>
      </c>
      <c r="AD663" s="2">
        <v>44986</v>
      </c>
      <c r="AE663" s="1" t="s">
        <v>58</v>
      </c>
      <c r="AF663" s="1" t="s">
        <v>72</v>
      </c>
      <c r="AG663" s="1" t="s">
        <v>55</v>
      </c>
      <c r="AH663" s="1" t="s">
        <v>64</v>
      </c>
      <c r="AI663">
        <v>2236</v>
      </c>
      <c r="AJ663">
        <v>-55.900000000000091</v>
      </c>
    </row>
    <row r="664" spans="1:36" x14ac:dyDescent="0.25">
      <c r="A664">
        <v>10663</v>
      </c>
      <c r="B664">
        <v>38</v>
      </c>
      <c r="C664" s="1" t="s">
        <v>60</v>
      </c>
      <c r="D664" s="1" t="s">
        <v>71</v>
      </c>
      <c r="E664" s="2">
        <v>44369</v>
      </c>
      <c r="F664" s="2">
        <v>44607</v>
      </c>
      <c r="G664" s="1" t="s">
        <v>49</v>
      </c>
      <c r="H664">
        <v>765</v>
      </c>
      <c r="I664">
        <v>17</v>
      </c>
      <c r="J664">
        <v>1</v>
      </c>
      <c r="K664">
        <v>54.96</v>
      </c>
      <c r="L664">
        <v>20</v>
      </c>
      <c r="M664" s="1" t="s">
        <v>67</v>
      </c>
      <c r="N664" s="1" t="s">
        <v>56</v>
      </c>
      <c r="O664">
        <v>12852</v>
      </c>
      <c r="P664" t="b">
        <v>1</v>
      </c>
      <c r="Q664">
        <v>1.4166666666666667</v>
      </c>
      <c r="R664">
        <v>756</v>
      </c>
      <c r="S664">
        <v>27.48</v>
      </c>
      <c r="T664" s="2">
        <v>44348</v>
      </c>
      <c r="U664" s="1" t="s">
        <v>51</v>
      </c>
      <c r="V664">
        <v>0</v>
      </c>
      <c r="W664" s="1" t="s">
        <v>56</v>
      </c>
      <c r="X664">
        <v>238</v>
      </c>
      <c r="Y664" s="1" t="s">
        <v>52</v>
      </c>
      <c r="Z664" s="1" t="s">
        <v>52</v>
      </c>
      <c r="AA664">
        <v>5.5555555555555552E-2</v>
      </c>
      <c r="AB664" s="1" t="s">
        <v>52</v>
      </c>
      <c r="AC664">
        <v>3</v>
      </c>
      <c r="AD664" s="2">
        <v>44348</v>
      </c>
      <c r="AE664" s="1" t="s">
        <v>53</v>
      </c>
      <c r="AF664" s="1" t="s">
        <v>54</v>
      </c>
      <c r="AG664" s="1" t="s">
        <v>63</v>
      </c>
      <c r="AH664" s="1" t="s">
        <v>59</v>
      </c>
      <c r="AI664">
        <v>13005</v>
      </c>
      <c r="AJ664">
        <v>-153</v>
      </c>
    </row>
    <row r="665" spans="1:36" x14ac:dyDescent="0.25">
      <c r="A665">
        <v>10664</v>
      </c>
      <c r="B665">
        <v>28</v>
      </c>
      <c r="C665" s="1" t="s">
        <v>60</v>
      </c>
      <c r="D665" s="1" t="s">
        <v>69</v>
      </c>
      <c r="E665" s="2">
        <v>44430</v>
      </c>
      <c r="F665" s="2">
        <v>44720</v>
      </c>
      <c r="G665" s="1" t="s">
        <v>62</v>
      </c>
      <c r="H665">
        <v>1439</v>
      </c>
      <c r="I665">
        <v>21</v>
      </c>
      <c r="J665">
        <v>1</v>
      </c>
      <c r="K665">
        <v>29.17</v>
      </c>
      <c r="L665">
        <v>20</v>
      </c>
      <c r="M665" s="1" t="s">
        <v>67</v>
      </c>
      <c r="N665" s="1" t="s">
        <v>56</v>
      </c>
      <c r="O665">
        <v>29931.200000000001</v>
      </c>
      <c r="P665" t="b">
        <v>1</v>
      </c>
      <c r="Q665">
        <v>1.75</v>
      </c>
      <c r="R665">
        <v>1425.2952380952381</v>
      </c>
      <c r="S665">
        <v>14.585000000000001</v>
      </c>
      <c r="T665" s="2">
        <v>44409</v>
      </c>
      <c r="U665" s="1" t="s">
        <v>57</v>
      </c>
      <c r="V665">
        <v>0</v>
      </c>
      <c r="W665" s="1" t="s">
        <v>40</v>
      </c>
      <c r="X665">
        <v>290</v>
      </c>
      <c r="Y665" s="1" t="s">
        <v>52</v>
      </c>
      <c r="Z665" s="1" t="s">
        <v>52</v>
      </c>
      <c r="AA665">
        <v>4.5454545454545456E-2</v>
      </c>
      <c r="AB665" s="1" t="s">
        <v>43</v>
      </c>
      <c r="AC665">
        <v>2</v>
      </c>
      <c r="AD665" s="2">
        <v>44409</v>
      </c>
      <c r="AE665" s="1" t="s">
        <v>53</v>
      </c>
      <c r="AF665" s="1" t="s">
        <v>54</v>
      </c>
      <c r="AG665" s="1" t="s">
        <v>70</v>
      </c>
      <c r="AH665" s="1" t="s">
        <v>47</v>
      </c>
      <c r="AI665">
        <v>30219</v>
      </c>
      <c r="AJ665">
        <v>-287.79999999999927</v>
      </c>
    </row>
    <row r="666" spans="1:36" x14ac:dyDescent="0.25">
      <c r="A666">
        <v>10665</v>
      </c>
      <c r="B666">
        <v>54</v>
      </c>
      <c r="C666" s="1" t="s">
        <v>36</v>
      </c>
      <c r="D666" s="1" t="s">
        <v>71</v>
      </c>
      <c r="E666" s="2">
        <v>44989</v>
      </c>
      <c r="F666" s="2">
        <v>44442</v>
      </c>
      <c r="G666" s="1" t="s">
        <v>38</v>
      </c>
      <c r="H666">
        <v>836</v>
      </c>
      <c r="I666">
        <v>31</v>
      </c>
      <c r="J666">
        <v>2</v>
      </c>
      <c r="K666">
        <v>105.66</v>
      </c>
      <c r="L666">
        <v>20</v>
      </c>
      <c r="M666" s="1" t="s">
        <v>65</v>
      </c>
      <c r="N666" s="1" t="s">
        <v>56</v>
      </c>
      <c r="O666">
        <v>25748.799999999999</v>
      </c>
      <c r="P666" t="b">
        <v>0</v>
      </c>
      <c r="Q666">
        <v>2.5833333333333335</v>
      </c>
      <c r="R666">
        <v>830.60645161290324</v>
      </c>
      <c r="S666">
        <v>35.22</v>
      </c>
      <c r="T666" s="2">
        <v>44986</v>
      </c>
      <c r="U666" s="1" t="s">
        <v>41</v>
      </c>
      <c r="V666">
        <v>0</v>
      </c>
      <c r="W666" s="1" t="s">
        <v>40</v>
      </c>
      <c r="Y666" s="1" t="s">
        <v>43</v>
      </c>
      <c r="Z666" s="1" t="s">
        <v>52</v>
      </c>
      <c r="AA666">
        <v>6.25E-2</v>
      </c>
      <c r="AB666" s="1" t="s">
        <v>43</v>
      </c>
      <c r="AC666">
        <v>1</v>
      </c>
      <c r="AD666" s="2">
        <v>44986</v>
      </c>
      <c r="AE666" s="1" t="s">
        <v>44</v>
      </c>
      <c r="AF666" s="1" t="s">
        <v>72</v>
      </c>
      <c r="AG666" s="1" t="s">
        <v>63</v>
      </c>
      <c r="AH666" s="1" t="s">
        <v>59</v>
      </c>
      <c r="AI666">
        <v>25916</v>
      </c>
      <c r="AJ666">
        <v>-167.20000000000073</v>
      </c>
    </row>
    <row r="667" spans="1:36" x14ac:dyDescent="0.25">
      <c r="A667">
        <v>10666</v>
      </c>
      <c r="B667">
        <v>53</v>
      </c>
      <c r="C667" s="1" t="s">
        <v>36</v>
      </c>
      <c r="D667" s="1" t="s">
        <v>69</v>
      </c>
      <c r="E667" s="2">
        <v>45080</v>
      </c>
      <c r="F667" s="2">
        <v>44472</v>
      </c>
      <c r="G667" s="1" t="s">
        <v>49</v>
      </c>
      <c r="H667">
        <v>1251</v>
      </c>
      <c r="I667">
        <v>22</v>
      </c>
      <c r="J667">
        <v>1</v>
      </c>
      <c r="K667">
        <v>61.12</v>
      </c>
      <c r="L667">
        <v>20</v>
      </c>
      <c r="M667" s="1" t="s">
        <v>67</v>
      </c>
      <c r="N667" s="1" t="s">
        <v>56</v>
      </c>
      <c r="O667">
        <v>27271.8</v>
      </c>
      <c r="P667" t="b">
        <v>0</v>
      </c>
      <c r="Q667">
        <v>1.8333333333333333</v>
      </c>
      <c r="R667">
        <v>1239.6272727272726</v>
      </c>
      <c r="S667">
        <v>30.56</v>
      </c>
      <c r="T667" s="2">
        <v>45078</v>
      </c>
      <c r="U667" s="1" t="s">
        <v>41</v>
      </c>
      <c r="V667">
        <v>0</v>
      </c>
      <c r="W667" s="1" t="s">
        <v>40</v>
      </c>
      <c r="Y667" s="1" t="s">
        <v>43</v>
      </c>
      <c r="Z667" s="1" t="s">
        <v>52</v>
      </c>
      <c r="AA667">
        <v>4.3478260869565216E-2</v>
      </c>
      <c r="AB667" s="1" t="s">
        <v>43</v>
      </c>
      <c r="AC667">
        <v>3</v>
      </c>
      <c r="AD667" s="2">
        <v>45078</v>
      </c>
      <c r="AE667" s="1" t="s">
        <v>53</v>
      </c>
      <c r="AF667" s="1" t="s">
        <v>54</v>
      </c>
      <c r="AG667" s="1" t="s">
        <v>63</v>
      </c>
      <c r="AH667" s="1" t="s">
        <v>47</v>
      </c>
      <c r="AI667">
        <v>27522</v>
      </c>
      <c r="AJ667">
        <v>-250.20000000000073</v>
      </c>
    </row>
    <row r="668" spans="1:36" x14ac:dyDescent="0.25">
      <c r="A668">
        <v>10667</v>
      </c>
      <c r="B668">
        <v>41</v>
      </c>
      <c r="C668" s="1" t="s">
        <v>60</v>
      </c>
      <c r="D668" s="1" t="s">
        <v>73</v>
      </c>
      <c r="E668" s="2">
        <v>44786</v>
      </c>
      <c r="F668" s="2">
        <v>44388</v>
      </c>
      <c r="G668" s="1" t="s">
        <v>62</v>
      </c>
      <c r="H668">
        <v>1065</v>
      </c>
      <c r="I668">
        <v>11</v>
      </c>
      <c r="J668">
        <v>2</v>
      </c>
      <c r="K668">
        <v>30.87</v>
      </c>
      <c r="L668">
        <v>5</v>
      </c>
      <c r="M668" s="1" t="s">
        <v>65</v>
      </c>
      <c r="N668" s="1" t="s">
        <v>56</v>
      </c>
      <c r="O668">
        <v>11661.75</v>
      </c>
      <c r="P668" t="b">
        <v>0</v>
      </c>
      <c r="Q668">
        <v>0.91666666666666663</v>
      </c>
      <c r="R668">
        <v>1060.159090909091</v>
      </c>
      <c r="S668">
        <v>10.290000000000001</v>
      </c>
      <c r="T668" s="2">
        <v>44774</v>
      </c>
      <c r="U668" s="1" t="s">
        <v>51</v>
      </c>
      <c r="V668">
        <v>0</v>
      </c>
      <c r="W668" s="1" t="s">
        <v>56</v>
      </c>
      <c r="Y668" s="1" t="s">
        <v>52</v>
      </c>
      <c r="Z668" s="1" t="s">
        <v>42</v>
      </c>
      <c r="AA668">
        <v>0.16666666666666666</v>
      </c>
      <c r="AB668" s="1" t="s">
        <v>52</v>
      </c>
      <c r="AC668">
        <v>2</v>
      </c>
      <c r="AD668" s="2">
        <v>44774</v>
      </c>
      <c r="AE668" s="1" t="s">
        <v>74</v>
      </c>
      <c r="AF668" s="1" t="s">
        <v>72</v>
      </c>
      <c r="AG668" s="1" t="s">
        <v>55</v>
      </c>
      <c r="AH668" s="1" t="s">
        <v>47</v>
      </c>
      <c r="AI668">
        <v>11715</v>
      </c>
      <c r="AJ668">
        <v>-53.25</v>
      </c>
    </row>
    <row r="669" spans="1:36" x14ac:dyDescent="0.25">
      <c r="A669">
        <v>10668</v>
      </c>
      <c r="B669">
        <v>36</v>
      </c>
      <c r="C669" s="1" t="s">
        <v>60</v>
      </c>
      <c r="D669" s="1" t="s">
        <v>37</v>
      </c>
      <c r="E669" s="2">
        <v>44816</v>
      </c>
      <c r="F669" s="2">
        <v>45238</v>
      </c>
      <c r="G669" s="1" t="s">
        <v>49</v>
      </c>
      <c r="H669">
        <v>1258</v>
      </c>
      <c r="I669">
        <v>34</v>
      </c>
      <c r="J669">
        <v>3</v>
      </c>
      <c r="K669">
        <v>9.74</v>
      </c>
      <c r="L669">
        <v>0</v>
      </c>
      <c r="M669" s="1" t="s">
        <v>39</v>
      </c>
      <c r="N669" s="1" t="s">
        <v>56</v>
      </c>
      <c r="O669">
        <v>42772</v>
      </c>
      <c r="P669" t="b">
        <v>1</v>
      </c>
      <c r="Q669">
        <v>2.8333333333333335</v>
      </c>
      <c r="R669">
        <v>1258</v>
      </c>
      <c r="S669">
        <v>2.4350000000000001</v>
      </c>
      <c r="T669" s="2">
        <v>44805</v>
      </c>
      <c r="U669" s="1" t="s">
        <v>51</v>
      </c>
      <c r="V669">
        <v>0</v>
      </c>
      <c r="W669" s="1" t="s">
        <v>40</v>
      </c>
      <c r="X669">
        <v>422</v>
      </c>
      <c r="Y669" s="1" t="s">
        <v>42</v>
      </c>
      <c r="Z669" s="1" t="s">
        <v>42</v>
      </c>
      <c r="AA669">
        <v>8.5714285714285715E-2</v>
      </c>
      <c r="AB669" s="1" t="s">
        <v>43</v>
      </c>
      <c r="AC669">
        <v>3</v>
      </c>
      <c r="AD669" s="2">
        <v>44805</v>
      </c>
      <c r="AE669" s="1" t="s">
        <v>44</v>
      </c>
      <c r="AF669" s="1" t="s">
        <v>72</v>
      </c>
      <c r="AG669" s="1" t="s">
        <v>77</v>
      </c>
      <c r="AH669" s="1" t="s">
        <v>47</v>
      </c>
      <c r="AI669">
        <v>42772</v>
      </c>
      <c r="AJ669">
        <v>0</v>
      </c>
    </row>
    <row r="670" spans="1:36" x14ac:dyDescent="0.25">
      <c r="A670">
        <v>10669</v>
      </c>
      <c r="B670">
        <v>37</v>
      </c>
      <c r="C670" s="1" t="s">
        <v>36</v>
      </c>
      <c r="D670" s="1" t="s">
        <v>61</v>
      </c>
      <c r="E670" s="2">
        <v>44989</v>
      </c>
      <c r="F670" s="2">
        <v>44601</v>
      </c>
      <c r="G670" s="1" t="s">
        <v>62</v>
      </c>
      <c r="H670">
        <v>1233</v>
      </c>
      <c r="I670">
        <v>15</v>
      </c>
      <c r="J670">
        <v>2</v>
      </c>
      <c r="K670">
        <v>82.71</v>
      </c>
      <c r="L670">
        <v>0</v>
      </c>
      <c r="M670" s="1" t="s">
        <v>65</v>
      </c>
      <c r="N670" s="1" t="s">
        <v>40</v>
      </c>
      <c r="O670">
        <v>18495</v>
      </c>
      <c r="P670" t="b">
        <v>0</v>
      </c>
      <c r="Q670">
        <v>1.25</v>
      </c>
      <c r="R670">
        <v>1233</v>
      </c>
      <c r="S670">
        <v>27.569999999999997</v>
      </c>
      <c r="T670" s="2">
        <v>44986</v>
      </c>
      <c r="U670" s="1" t="s">
        <v>51</v>
      </c>
      <c r="V670">
        <v>1</v>
      </c>
      <c r="W670" s="1" t="s">
        <v>40</v>
      </c>
      <c r="Y670" s="1" t="s">
        <v>43</v>
      </c>
      <c r="Z670" s="1" t="s">
        <v>42</v>
      </c>
      <c r="AA670">
        <v>0.125</v>
      </c>
      <c r="AB670" s="1" t="s">
        <v>52</v>
      </c>
      <c r="AC670">
        <v>2</v>
      </c>
      <c r="AD670" s="2">
        <v>44986</v>
      </c>
      <c r="AE670" s="1" t="s">
        <v>53</v>
      </c>
      <c r="AF670" s="1" t="s">
        <v>72</v>
      </c>
      <c r="AG670" s="1" t="s">
        <v>63</v>
      </c>
      <c r="AH670" s="1" t="s">
        <v>47</v>
      </c>
      <c r="AI670">
        <v>18495</v>
      </c>
      <c r="AJ670">
        <v>0</v>
      </c>
    </row>
    <row r="671" spans="1:36" x14ac:dyDescent="0.25">
      <c r="A671">
        <v>10670</v>
      </c>
      <c r="B671">
        <v>35</v>
      </c>
      <c r="C671" s="1" t="s">
        <v>60</v>
      </c>
      <c r="D671" s="1" t="s">
        <v>61</v>
      </c>
      <c r="E671" s="2">
        <v>44599</v>
      </c>
      <c r="F671" s="2">
        <v>44354</v>
      </c>
      <c r="G671" s="1" t="s">
        <v>49</v>
      </c>
      <c r="H671">
        <v>1150</v>
      </c>
      <c r="I671">
        <v>10</v>
      </c>
      <c r="J671">
        <v>2</v>
      </c>
      <c r="K671">
        <v>29.68</v>
      </c>
      <c r="L671">
        <v>20</v>
      </c>
      <c r="M671" s="1" t="s">
        <v>65</v>
      </c>
      <c r="N671" s="1" t="s">
        <v>40</v>
      </c>
      <c r="O671">
        <v>11270</v>
      </c>
      <c r="P671" t="b">
        <v>0</v>
      </c>
      <c r="Q671">
        <v>0.83333333333333337</v>
      </c>
      <c r="R671">
        <v>1127</v>
      </c>
      <c r="S671">
        <v>9.8933333333333326</v>
      </c>
      <c r="T671" s="2">
        <v>44593</v>
      </c>
      <c r="U671" s="1" t="s">
        <v>57</v>
      </c>
      <c r="V671">
        <v>1</v>
      </c>
      <c r="W671" s="1" t="s">
        <v>56</v>
      </c>
      <c r="Y671" s="1" t="s">
        <v>52</v>
      </c>
      <c r="Z671" s="1" t="s">
        <v>52</v>
      </c>
      <c r="AA671">
        <v>0.18181818181818182</v>
      </c>
      <c r="AB671" s="1" t="s">
        <v>52</v>
      </c>
      <c r="AC671">
        <v>3</v>
      </c>
      <c r="AD671" s="2">
        <v>44593</v>
      </c>
      <c r="AE671" s="1" t="s">
        <v>74</v>
      </c>
      <c r="AF671" s="1" t="s">
        <v>72</v>
      </c>
      <c r="AG671" s="1" t="s">
        <v>70</v>
      </c>
      <c r="AH671" s="1" t="s">
        <v>47</v>
      </c>
      <c r="AI671">
        <v>11500</v>
      </c>
      <c r="AJ671">
        <v>-230</v>
      </c>
    </row>
    <row r="672" spans="1:36" x14ac:dyDescent="0.25">
      <c r="A672">
        <v>10671</v>
      </c>
      <c r="B672">
        <v>64</v>
      </c>
      <c r="C672" s="1" t="s">
        <v>60</v>
      </c>
      <c r="D672" s="1" t="s">
        <v>61</v>
      </c>
      <c r="E672" s="2">
        <v>44235</v>
      </c>
      <c r="F672" s="2">
        <v>44818</v>
      </c>
      <c r="G672" s="1" t="s">
        <v>38</v>
      </c>
      <c r="H672">
        <v>1491</v>
      </c>
      <c r="I672">
        <v>32</v>
      </c>
      <c r="J672">
        <v>1</v>
      </c>
      <c r="K672">
        <v>118.8</v>
      </c>
      <c r="L672">
        <v>0</v>
      </c>
      <c r="M672" s="1" t="s">
        <v>67</v>
      </c>
      <c r="N672" s="1" t="s">
        <v>56</v>
      </c>
      <c r="O672">
        <v>47712</v>
      </c>
      <c r="P672" t="b">
        <v>1</v>
      </c>
      <c r="Q672">
        <v>2.6666666666666665</v>
      </c>
      <c r="R672">
        <v>1491</v>
      </c>
      <c r="S672">
        <v>59.4</v>
      </c>
      <c r="T672" s="2">
        <v>44228</v>
      </c>
      <c r="U672" s="1" t="s">
        <v>41</v>
      </c>
      <c r="V672">
        <v>0</v>
      </c>
      <c r="W672" s="1" t="s">
        <v>40</v>
      </c>
      <c r="X672">
        <v>583</v>
      </c>
      <c r="Y672" s="1" t="s">
        <v>43</v>
      </c>
      <c r="Z672" s="1" t="s">
        <v>42</v>
      </c>
      <c r="AA672">
        <v>3.0303030303030304E-2</v>
      </c>
      <c r="AB672" s="1" t="s">
        <v>43</v>
      </c>
      <c r="AC672">
        <v>1</v>
      </c>
      <c r="AD672" s="2">
        <v>44228</v>
      </c>
      <c r="AE672" s="1" t="s">
        <v>44</v>
      </c>
      <c r="AF672" s="1" t="s">
        <v>54</v>
      </c>
      <c r="AG672" s="1" t="s">
        <v>63</v>
      </c>
      <c r="AH672" s="1" t="s">
        <v>47</v>
      </c>
      <c r="AI672">
        <v>47712</v>
      </c>
      <c r="AJ672">
        <v>0</v>
      </c>
    </row>
    <row r="673" spans="1:36" x14ac:dyDescent="0.25">
      <c r="A673">
        <v>10672</v>
      </c>
      <c r="B673">
        <v>58</v>
      </c>
      <c r="C673" s="1" t="s">
        <v>36</v>
      </c>
      <c r="D673" s="1" t="s">
        <v>73</v>
      </c>
      <c r="E673" s="2">
        <v>44315</v>
      </c>
      <c r="F673" s="2">
        <v>45075</v>
      </c>
      <c r="G673" s="1" t="s">
        <v>38</v>
      </c>
      <c r="H673">
        <v>832</v>
      </c>
      <c r="I673">
        <v>31</v>
      </c>
      <c r="J673">
        <v>5</v>
      </c>
      <c r="K673">
        <v>66.38</v>
      </c>
      <c r="L673">
        <v>20</v>
      </c>
      <c r="M673" s="1" t="s">
        <v>65</v>
      </c>
      <c r="N673" s="1" t="s">
        <v>56</v>
      </c>
      <c r="O673">
        <v>25625.599999999999</v>
      </c>
      <c r="P673" t="b">
        <v>1</v>
      </c>
      <c r="Q673">
        <v>2.5833333333333335</v>
      </c>
      <c r="R673">
        <v>826.63225806451612</v>
      </c>
      <c r="S673">
        <v>11.063333333333333</v>
      </c>
      <c r="T673" s="2">
        <v>44287</v>
      </c>
      <c r="U673" s="1" t="s">
        <v>41</v>
      </c>
      <c r="V673">
        <v>0</v>
      </c>
      <c r="W673" s="1" t="s">
        <v>40</v>
      </c>
      <c r="X673">
        <v>760</v>
      </c>
      <c r="Y673" s="1" t="s">
        <v>43</v>
      </c>
      <c r="Z673" s="1" t="s">
        <v>52</v>
      </c>
      <c r="AA673">
        <v>0.15625</v>
      </c>
      <c r="AB673" s="1" t="s">
        <v>43</v>
      </c>
      <c r="AC673">
        <v>1</v>
      </c>
      <c r="AD673" s="2">
        <v>44287</v>
      </c>
      <c r="AE673" s="1" t="s">
        <v>44</v>
      </c>
      <c r="AF673" s="1" t="s">
        <v>45</v>
      </c>
      <c r="AG673" s="1" t="s">
        <v>63</v>
      </c>
      <c r="AH673" s="1" t="s">
        <v>59</v>
      </c>
      <c r="AI673">
        <v>25792</v>
      </c>
      <c r="AJ673">
        <v>-166.40000000000146</v>
      </c>
    </row>
    <row r="674" spans="1:36" x14ac:dyDescent="0.25">
      <c r="A674">
        <v>10673</v>
      </c>
      <c r="B674">
        <v>31</v>
      </c>
      <c r="C674" s="1" t="s">
        <v>60</v>
      </c>
      <c r="D674" s="1" t="s">
        <v>69</v>
      </c>
      <c r="E674" s="2">
        <v>44531</v>
      </c>
      <c r="F674" s="2">
        <v>44858</v>
      </c>
      <c r="G674" s="1" t="s">
        <v>49</v>
      </c>
      <c r="H674">
        <v>314</v>
      </c>
      <c r="I674">
        <v>28</v>
      </c>
      <c r="J674">
        <v>0</v>
      </c>
      <c r="K674">
        <v>62.59</v>
      </c>
      <c r="L674">
        <v>20</v>
      </c>
      <c r="M674" s="1" t="s">
        <v>67</v>
      </c>
      <c r="N674" s="1" t="s">
        <v>56</v>
      </c>
      <c r="O674">
        <v>8729.2000000000007</v>
      </c>
      <c r="P674" t="b">
        <v>1</v>
      </c>
      <c r="Q674">
        <v>2.3333333333333335</v>
      </c>
      <c r="R674">
        <v>311.75714285714287</v>
      </c>
      <c r="S674">
        <v>62.59</v>
      </c>
      <c r="T674" s="2">
        <v>44531</v>
      </c>
      <c r="U674" s="1" t="s">
        <v>57</v>
      </c>
      <c r="V674">
        <v>0</v>
      </c>
      <c r="W674" s="1" t="s">
        <v>56</v>
      </c>
      <c r="X674">
        <v>327</v>
      </c>
      <c r="Y674" s="1" t="s">
        <v>43</v>
      </c>
      <c r="Z674" s="1" t="s">
        <v>52</v>
      </c>
      <c r="AA674">
        <v>0</v>
      </c>
      <c r="AB674" s="1" t="s">
        <v>42</v>
      </c>
      <c r="AC674">
        <v>3</v>
      </c>
      <c r="AD674" s="2">
        <v>44531</v>
      </c>
      <c r="AE674" s="1" t="s">
        <v>44</v>
      </c>
      <c r="AF674" s="1" t="s">
        <v>54</v>
      </c>
      <c r="AG674" s="1" t="s">
        <v>63</v>
      </c>
      <c r="AH674" s="1" t="s">
        <v>68</v>
      </c>
      <c r="AI674">
        <v>8792</v>
      </c>
      <c r="AJ674">
        <v>-62.799999999999272</v>
      </c>
    </row>
    <row r="675" spans="1:36" x14ac:dyDescent="0.25">
      <c r="A675">
        <v>10674</v>
      </c>
      <c r="B675">
        <v>32</v>
      </c>
      <c r="C675" s="1" t="s">
        <v>60</v>
      </c>
      <c r="D675" s="1" t="s">
        <v>61</v>
      </c>
      <c r="E675" s="2">
        <v>44532</v>
      </c>
      <c r="F675" s="2">
        <v>44928</v>
      </c>
      <c r="G675" s="1" t="s">
        <v>38</v>
      </c>
      <c r="H675">
        <v>349</v>
      </c>
      <c r="I675">
        <v>31</v>
      </c>
      <c r="J675">
        <v>3</v>
      </c>
      <c r="K675">
        <v>80.63</v>
      </c>
      <c r="L675">
        <v>20</v>
      </c>
      <c r="M675" s="1" t="s">
        <v>65</v>
      </c>
      <c r="N675" s="1" t="s">
        <v>56</v>
      </c>
      <c r="O675">
        <v>10749.2</v>
      </c>
      <c r="P675" t="b">
        <v>1</v>
      </c>
      <c r="Q675">
        <v>2.5833333333333335</v>
      </c>
      <c r="R675">
        <v>346.7483870967742</v>
      </c>
      <c r="S675">
        <v>20.157499999999999</v>
      </c>
      <c r="T675" s="2">
        <v>44531</v>
      </c>
      <c r="U675" s="1" t="s">
        <v>57</v>
      </c>
      <c r="V675">
        <v>0</v>
      </c>
      <c r="W675" s="1" t="s">
        <v>56</v>
      </c>
      <c r="X675">
        <v>396</v>
      </c>
      <c r="Y675" s="1" t="s">
        <v>43</v>
      </c>
      <c r="Z675" s="1" t="s">
        <v>52</v>
      </c>
      <c r="AA675">
        <v>9.375E-2</v>
      </c>
      <c r="AB675" s="1" t="s">
        <v>52</v>
      </c>
      <c r="AC675">
        <v>1</v>
      </c>
      <c r="AD675" s="2">
        <v>44531</v>
      </c>
      <c r="AE675" s="1" t="s">
        <v>44</v>
      </c>
      <c r="AF675" s="1" t="s">
        <v>72</v>
      </c>
      <c r="AG675" s="1" t="s">
        <v>63</v>
      </c>
      <c r="AH675" s="1" t="s">
        <v>68</v>
      </c>
      <c r="AI675">
        <v>10819</v>
      </c>
      <c r="AJ675">
        <v>-69.799999999999272</v>
      </c>
    </row>
    <row r="676" spans="1:36" x14ac:dyDescent="0.25">
      <c r="A676">
        <v>10675</v>
      </c>
      <c r="B676">
        <v>48</v>
      </c>
      <c r="C676" s="1" t="s">
        <v>36</v>
      </c>
      <c r="D676" s="1" t="s">
        <v>71</v>
      </c>
      <c r="E676" s="2">
        <v>44735</v>
      </c>
      <c r="F676" s="2">
        <v>44416</v>
      </c>
      <c r="G676" s="1" t="s">
        <v>38</v>
      </c>
      <c r="H676">
        <v>1298</v>
      </c>
      <c r="I676">
        <v>6</v>
      </c>
      <c r="J676">
        <v>0</v>
      </c>
      <c r="K676">
        <v>36.65</v>
      </c>
      <c r="L676">
        <v>5</v>
      </c>
      <c r="M676" s="1" t="s">
        <v>39</v>
      </c>
      <c r="N676" s="1" t="s">
        <v>40</v>
      </c>
      <c r="O676">
        <v>7723.1</v>
      </c>
      <c r="P676" t="b">
        <v>0</v>
      </c>
      <c r="Q676">
        <v>0.5</v>
      </c>
      <c r="R676">
        <v>1287.1833333333334</v>
      </c>
      <c r="S676">
        <v>36.65</v>
      </c>
      <c r="T676" s="2">
        <v>44713</v>
      </c>
      <c r="U676" s="1" t="s">
        <v>51</v>
      </c>
      <c r="V676">
        <v>1</v>
      </c>
      <c r="W676" s="1" t="s">
        <v>56</v>
      </c>
      <c r="Y676" s="1" t="s">
        <v>52</v>
      </c>
      <c r="Z676" s="1" t="s">
        <v>42</v>
      </c>
      <c r="AA676">
        <v>0</v>
      </c>
      <c r="AB676" s="1" t="s">
        <v>42</v>
      </c>
      <c r="AC676">
        <v>1</v>
      </c>
      <c r="AD676" s="2">
        <v>44713</v>
      </c>
      <c r="AE676" s="1" t="s">
        <v>58</v>
      </c>
      <c r="AF676" s="1" t="s">
        <v>54</v>
      </c>
      <c r="AG676" s="1" t="s">
        <v>55</v>
      </c>
      <c r="AH676" s="1" t="s">
        <v>47</v>
      </c>
      <c r="AI676">
        <v>7788</v>
      </c>
      <c r="AJ676">
        <v>-64.899999999999636</v>
      </c>
    </row>
    <row r="677" spans="1:36" x14ac:dyDescent="0.25">
      <c r="A677">
        <v>10676</v>
      </c>
      <c r="B677">
        <v>18</v>
      </c>
      <c r="C677" s="1" t="s">
        <v>36</v>
      </c>
      <c r="D677" s="1" t="s">
        <v>61</v>
      </c>
      <c r="E677" s="2">
        <v>44812</v>
      </c>
      <c r="F677" s="2">
        <v>44428</v>
      </c>
      <c r="G677" s="1" t="s">
        <v>62</v>
      </c>
      <c r="H677">
        <v>603</v>
      </c>
      <c r="I677">
        <v>14</v>
      </c>
      <c r="J677">
        <v>2</v>
      </c>
      <c r="K677">
        <v>99.33</v>
      </c>
      <c r="L677">
        <v>15</v>
      </c>
      <c r="M677" s="1" t="s">
        <v>67</v>
      </c>
      <c r="N677" s="1" t="s">
        <v>40</v>
      </c>
      <c r="O677">
        <v>8351.5499999999993</v>
      </c>
      <c r="P677" t="b">
        <v>0</v>
      </c>
      <c r="Q677">
        <v>1.1666666666666667</v>
      </c>
      <c r="R677">
        <v>596.53928571428571</v>
      </c>
      <c r="S677">
        <v>33.11</v>
      </c>
      <c r="T677" s="2">
        <v>44805</v>
      </c>
      <c r="U677" s="1" t="s">
        <v>66</v>
      </c>
      <c r="V677">
        <v>1</v>
      </c>
      <c r="W677" s="1" t="s">
        <v>56</v>
      </c>
      <c r="Y677" s="1" t="s">
        <v>43</v>
      </c>
      <c r="Z677" s="1" t="s">
        <v>42</v>
      </c>
      <c r="AA677">
        <v>0.13333333333333333</v>
      </c>
      <c r="AB677" s="1" t="s">
        <v>42</v>
      </c>
      <c r="AC677">
        <v>2</v>
      </c>
      <c r="AD677" s="2">
        <v>44805</v>
      </c>
      <c r="AE677" s="1" t="s">
        <v>53</v>
      </c>
      <c r="AF677" s="1" t="s">
        <v>72</v>
      </c>
      <c r="AG677" s="1" t="s">
        <v>63</v>
      </c>
      <c r="AH677" s="1" t="s">
        <v>64</v>
      </c>
      <c r="AI677">
        <v>8442</v>
      </c>
      <c r="AJ677">
        <v>-90.450000000000728</v>
      </c>
    </row>
    <row r="678" spans="1:36" x14ac:dyDescent="0.25">
      <c r="A678">
        <v>10677</v>
      </c>
      <c r="B678">
        <v>20</v>
      </c>
      <c r="C678" s="1" t="s">
        <v>36</v>
      </c>
      <c r="D678" s="1" t="s">
        <v>73</v>
      </c>
      <c r="E678" s="2">
        <v>44270</v>
      </c>
      <c r="F678" s="2">
        <v>44889</v>
      </c>
      <c r="G678" s="1" t="s">
        <v>49</v>
      </c>
      <c r="H678">
        <v>715</v>
      </c>
      <c r="I678">
        <v>23</v>
      </c>
      <c r="J678">
        <v>3</v>
      </c>
      <c r="K678">
        <v>40.450000000000003</v>
      </c>
      <c r="L678">
        <v>0</v>
      </c>
      <c r="M678" s="1" t="s">
        <v>67</v>
      </c>
      <c r="N678" s="1" t="s">
        <v>56</v>
      </c>
      <c r="O678">
        <v>16445</v>
      </c>
      <c r="P678" t="b">
        <v>1</v>
      </c>
      <c r="Q678">
        <v>1.9166666666666667</v>
      </c>
      <c r="R678">
        <v>715</v>
      </c>
      <c r="S678">
        <v>10.112500000000001</v>
      </c>
      <c r="T678" s="2">
        <v>44256</v>
      </c>
      <c r="U678" s="1" t="s">
        <v>66</v>
      </c>
      <c r="V678">
        <v>0</v>
      </c>
      <c r="W678" s="1" t="s">
        <v>40</v>
      </c>
      <c r="X678">
        <v>619</v>
      </c>
      <c r="Y678" s="1" t="s">
        <v>52</v>
      </c>
      <c r="Z678" s="1" t="s">
        <v>42</v>
      </c>
      <c r="AA678">
        <v>0.125</v>
      </c>
      <c r="AB678" s="1" t="s">
        <v>52</v>
      </c>
      <c r="AC678">
        <v>3</v>
      </c>
      <c r="AD678" s="2">
        <v>44256</v>
      </c>
      <c r="AE678" s="1" t="s">
        <v>53</v>
      </c>
      <c r="AF678" s="1" t="s">
        <v>72</v>
      </c>
      <c r="AG678" s="1" t="s">
        <v>55</v>
      </c>
      <c r="AH678" s="1" t="s">
        <v>59</v>
      </c>
      <c r="AI678">
        <v>16445</v>
      </c>
      <c r="AJ678">
        <v>0</v>
      </c>
    </row>
    <row r="679" spans="1:36" x14ac:dyDescent="0.25">
      <c r="A679">
        <v>10678</v>
      </c>
      <c r="B679">
        <v>33</v>
      </c>
      <c r="C679" s="1" t="s">
        <v>60</v>
      </c>
      <c r="D679" s="1" t="s">
        <v>37</v>
      </c>
      <c r="E679" s="2">
        <v>44387</v>
      </c>
      <c r="F679" s="2">
        <v>44932</v>
      </c>
      <c r="G679" s="1" t="s">
        <v>38</v>
      </c>
      <c r="H679">
        <v>604</v>
      </c>
      <c r="I679">
        <v>16</v>
      </c>
      <c r="J679">
        <v>2</v>
      </c>
      <c r="K679">
        <v>118.65</v>
      </c>
      <c r="L679">
        <v>0</v>
      </c>
      <c r="M679" s="1" t="s">
        <v>39</v>
      </c>
      <c r="N679" s="1" t="s">
        <v>40</v>
      </c>
      <c r="O679">
        <v>9664</v>
      </c>
      <c r="P679" t="b">
        <v>1</v>
      </c>
      <c r="Q679">
        <v>1.3333333333333333</v>
      </c>
      <c r="R679">
        <v>604</v>
      </c>
      <c r="S679">
        <v>39.550000000000004</v>
      </c>
      <c r="T679" s="2">
        <v>44378</v>
      </c>
      <c r="U679" s="1" t="s">
        <v>57</v>
      </c>
      <c r="V679">
        <v>1</v>
      </c>
      <c r="W679" s="1" t="s">
        <v>56</v>
      </c>
      <c r="X679">
        <v>545</v>
      </c>
      <c r="Y679" s="1" t="s">
        <v>43</v>
      </c>
      <c r="Z679" s="1" t="s">
        <v>42</v>
      </c>
      <c r="AA679">
        <v>0.11764705882352941</v>
      </c>
      <c r="AB679" s="1" t="s">
        <v>52</v>
      </c>
      <c r="AC679">
        <v>1</v>
      </c>
      <c r="AD679" s="2">
        <v>44378</v>
      </c>
      <c r="AE679" s="1" t="s">
        <v>53</v>
      </c>
      <c r="AF679" s="1" t="s">
        <v>72</v>
      </c>
      <c r="AG679" s="1" t="s">
        <v>63</v>
      </c>
      <c r="AH679" s="1" t="s">
        <v>64</v>
      </c>
      <c r="AI679">
        <v>9664</v>
      </c>
      <c r="AJ679">
        <v>0</v>
      </c>
    </row>
    <row r="680" spans="1:36" x14ac:dyDescent="0.25">
      <c r="A680">
        <v>10679</v>
      </c>
      <c r="B680">
        <v>40</v>
      </c>
      <c r="C680" s="1" t="s">
        <v>60</v>
      </c>
      <c r="D680" s="1" t="s">
        <v>71</v>
      </c>
      <c r="E680" s="2">
        <v>44520</v>
      </c>
      <c r="F680" s="2">
        <v>44609</v>
      </c>
      <c r="G680" s="1" t="s">
        <v>49</v>
      </c>
      <c r="H680">
        <v>495</v>
      </c>
      <c r="I680">
        <v>25</v>
      </c>
      <c r="J680">
        <v>2</v>
      </c>
      <c r="K680">
        <v>74.59</v>
      </c>
      <c r="L680">
        <v>5</v>
      </c>
      <c r="M680" s="1" t="s">
        <v>67</v>
      </c>
      <c r="N680" s="1" t="s">
        <v>56</v>
      </c>
      <c r="O680">
        <v>12350.25</v>
      </c>
      <c r="P680" t="b">
        <v>1</v>
      </c>
      <c r="Q680">
        <v>2.0833333333333335</v>
      </c>
      <c r="R680">
        <v>494.01</v>
      </c>
      <c r="S680">
        <v>24.863333333333333</v>
      </c>
      <c r="T680" s="2">
        <v>44501</v>
      </c>
      <c r="U680" s="1" t="s">
        <v>51</v>
      </c>
      <c r="V680">
        <v>0</v>
      </c>
      <c r="W680" s="1" t="s">
        <v>56</v>
      </c>
      <c r="X680">
        <v>89</v>
      </c>
      <c r="Y680" s="1" t="s">
        <v>43</v>
      </c>
      <c r="Z680" s="1" t="s">
        <v>42</v>
      </c>
      <c r="AA680">
        <v>7.6923076923076927E-2</v>
      </c>
      <c r="AB680" s="1" t="s">
        <v>52</v>
      </c>
      <c r="AC680">
        <v>3</v>
      </c>
      <c r="AD680" s="2">
        <v>44501</v>
      </c>
      <c r="AE680" s="1" t="s">
        <v>44</v>
      </c>
      <c r="AF680" s="1" t="s">
        <v>72</v>
      </c>
      <c r="AG680" s="1" t="s">
        <v>63</v>
      </c>
      <c r="AH680" s="1" t="s">
        <v>68</v>
      </c>
      <c r="AI680">
        <v>12375</v>
      </c>
      <c r="AJ680">
        <v>-24.75</v>
      </c>
    </row>
    <row r="681" spans="1:36" x14ac:dyDescent="0.25">
      <c r="A681">
        <v>10680</v>
      </c>
      <c r="B681">
        <v>28</v>
      </c>
      <c r="C681" s="1" t="s">
        <v>60</v>
      </c>
      <c r="D681" s="1" t="s">
        <v>61</v>
      </c>
      <c r="E681" s="2">
        <v>44343</v>
      </c>
      <c r="F681" s="2">
        <v>44436</v>
      </c>
      <c r="G681" s="1" t="s">
        <v>62</v>
      </c>
      <c r="H681">
        <v>1112</v>
      </c>
      <c r="I681">
        <v>2</v>
      </c>
      <c r="J681">
        <v>2</v>
      </c>
      <c r="K681">
        <v>102.11</v>
      </c>
      <c r="L681">
        <v>5</v>
      </c>
      <c r="M681" s="1" t="s">
        <v>65</v>
      </c>
      <c r="N681" s="1" t="s">
        <v>40</v>
      </c>
      <c r="O681">
        <v>2168.4</v>
      </c>
      <c r="P681" t="b">
        <v>1</v>
      </c>
      <c r="Q681">
        <v>0.16666666666666666</v>
      </c>
      <c r="R681">
        <v>1084.2</v>
      </c>
      <c r="S681">
        <v>34.036666666666669</v>
      </c>
      <c r="T681" s="2">
        <v>44317</v>
      </c>
      <c r="U681" s="1" t="s">
        <v>57</v>
      </c>
      <c r="V681">
        <v>1</v>
      </c>
      <c r="W681" s="1" t="s">
        <v>56</v>
      </c>
      <c r="X681">
        <v>93</v>
      </c>
      <c r="Y681" s="1" t="s">
        <v>43</v>
      </c>
      <c r="Z681" s="1" t="s">
        <v>42</v>
      </c>
      <c r="AA681">
        <v>0.66666666666666663</v>
      </c>
      <c r="AB681" s="1" t="s">
        <v>42</v>
      </c>
      <c r="AC681">
        <v>2</v>
      </c>
      <c r="AD681" s="2">
        <v>44317</v>
      </c>
      <c r="AE681" s="1" t="s">
        <v>58</v>
      </c>
      <c r="AF681" s="1" t="s">
        <v>72</v>
      </c>
      <c r="AG681" s="1" t="s">
        <v>63</v>
      </c>
      <c r="AH681" s="1" t="s">
        <v>47</v>
      </c>
      <c r="AI681">
        <v>2224</v>
      </c>
      <c r="AJ681">
        <v>-55.599999999999909</v>
      </c>
    </row>
    <row r="682" spans="1:36" x14ac:dyDescent="0.25">
      <c r="A682">
        <v>10681</v>
      </c>
      <c r="B682">
        <v>29</v>
      </c>
      <c r="C682" s="1" t="s">
        <v>36</v>
      </c>
      <c r="D682" s="1" t="s">
        <v>61</v>
      </c>
      <c r="E682" s="2">
        <v>44963</v>
      </c>
      <c r="F682" s="2">
        <v>44555</v>
      </c>
      <c r="G682" s="1" t="s">
        <v>62</v>
      </c>
      <c r="H682">
        <v>1099</v>
      </c>
      <c r="I682">
        <v>34</v>
      </c>
      <c r="J682">
        <v>3</v>
      </c>
      <c r="K682">
        <v>13.37</v>
      </c>
      <c r="L682">
        <v>20</v>
      </c>
      <c r="M682" s="1" t="s">
        <v>50</v>
      </c>
      <c r="N682" s="1" t="s">
        <v>56</v>
      </c>
      <c r="O682">
        <v>37146.199999999997</v>
      </c>
      <c r="P682" t="b">
        <v>0</v>
      </c>
      <c r="Q682">
        <v>2.8333333333333335</v>
      </c>
      <c r="R682">
        <v>1092.535294117647</v>
      </c>
      <c r="S682">
        <v>3.3424999999999998</v>
      </c>
      <c r="T682" s="2">
        <v>44958</v>
      </c>
      <c r="U682" s="1" t="s">
        <v>57</v>
      </c>
      <c r="V682">
        <v>0</v>
      </c>
      <c r="W682" s="1" t="s">
        <v>40</v>
      </c>
      <c r="Y682" s="1" t="s">
        <v>42</v>
      </c>
      <c r="Z682" s="1" t="s">
        <v>52</v>
      </c>
      <c r="AA682">
        <v>8.5714285714285715E-2</v>
      </c>
      <c r="AB682" s="1" t="s">
        <v>43</v>
      </c>
      <c r="AC682">
        <v>2</v>
      </c>
      <c r="AD682" s="2">
        <v>44958</v>
      </c>
      <c r="AE682" s="1" t="s">
        <v>44</v>
      </c>
      <c r="AF682" s="1" t="s">
        <v>72</v>
      </c>
      <c r="AG682" s="1" t="s">
        <v>46</v>
      </c>
      <c r="AH682" s="1" t="s">
        <v>47</v>
      </c>
      <c r="AI682">
        <v>37366</v>
      </c>
      <c r="AJ682">
        <v>-219.80000000000291</v>
      </c>
    </row>
    <row r="683" spans="1:36" x14ac:dyDescent="0.25">
      <c r="A683">
        <v>10682</v>
      </c>
      <c r="B683">
        <v>27</v>
      </c>
      <c r="C683" s="1" t="s">
        <v>36</v>
      </c>
      <c r="D683" s="1" t="s">
        <v>48</v>
      </c>
      <c r="E683" s="2">
        <v>44480</v>
      </c>
      <c r="F683" s="2">
        <v>44560</v>
      </c>
      <c r="G683" s="1" t="s">
        <v>49</v>
      </c>
      <c r="H683">
        <v>687</v>
      </c>
      <c r="I683">
        <v>25</v>
      </c>
      <c r="J683">
        <v>2</v>
      </c>
      <c r="K683">
        <v>45.05</v>
      </c>
      <c r="L683">
        <v>20</v>
      </c>
      <c r="M683" s="1" t="s">
        <v>67</v>
      </c>
      <c r="N683" s="1" t="s">
        <v>56</v>
      </c>
      <c r="O683">
        <v>17037.599999999999</v>
      </c>
      <c r="P683" t="b">
        <v>1</v>
      </c>
      <c r="Q683">
        <v>2.0833333333333335</v>
      </c>
      <c r="R683">
        <v>681.50399999999991</v>
      </c>
      <c r="S683">
        <v>15.016666666666666</v>
      </c>
      <c r="T683" s="2">
        <v>44470</v>
      </c>
      <c r="U683" s="1" t="s">
        <v>57</v>
      </c>
      <c r="V683">
        <v>0</v>
      </c>
      <c r="W683" s="1" t="s">
        <v>40</v>
      </c>
      <c r="X683">
        <v>80</v>
      </c>
      <c r="Y683" s="1" t="s">
        <v>52</v>
      </c>
      <c r="Z683" s="1" t="s">
        <v>52</v>
      </c>
      <c r="AA683">
        <v>7.6923076923076927E-2</v>
      </c>
      <c r="AB683" s="1" t="s">
        <v>52</v>
      </c>
      <c r="AC683">
        <v>3</v>
      </c>
      <c r="AD683" s="2">
        <v>44470</v>
      </c>
      <c r="AE683" s="1" t="s">
        <v>44</v>
      </c>
      <c r="AF683" s="1" t="s">
        <v>72</v>
      </c>
      <c r="AG683" s="1" t="s">
        <v>63</v>
      </c>
      <c r="AH683" s="1" t="s">
        <v>64</v>
      </c>
      <c r="AI683">
        <v>17175</v>
      </c>
      <c r="AJ683">
        <v>-137.40000000000146</v>
      </c>
    </row>
    <row r="684" spans="1:36" x14ac:dyDescent="0.25">
      <c r="A684">
        <v>10683</v>
      </c>
      <c r="B684">
        <v>49</v>
      </c>
      <c r="C684" s="1" t="s">
        <v>60</v>
      </c>
      <c r="D684" s="1" t="s">
        <v>76</v>
      </c>
      <c r="E684" s="2">
        <v>44409</v>
      </c>
      <c r="F684" s="2">
        <v>45181</v>
      </c>
      <c r="G684" s="1" t="s">
        <v>38</v>
      </c>
      <c r="H684">
        <v>1056</v>
      </c>
      <c r="I684">
        <v>16</v>
      </c>
      <c r="J684">
        <v>0</v>
      </c>
      <c r="K684">
        <v>89.81</v>
      </c>
      <c r="L684">
        <v>15</v>
      </c>
      <c r="M684" s="1" t="s">
        <v>50</v>
      </c>
      <c r="N684" s="1" t="s">
        <v>56</v>
      </c>
      <c r="O684">
        <v>16737.599999999999</v>
      </c>
      <c r="P684" t="b">
        <v>1</v>
      </c>
      <c r="Q684">
        <v>1.3333333333333333</v>
      </c>
      <c r="R684">
        <v>1046.0999999999999</v>
      </c>
      <c r="S684">
        <v>89.81</v>
      </c>
      <c r="T684" s="2">
        <v>44409</v>
      </c>
      <c r="U684" s="1" t="s">
        <v>51</v>
      </c>
      <c r="V684">
        <v>0</v>
      </c>
      <c r="W684" s="1" t="s">
        <v>40</v>
      </c>
      <c r="X684">
        <v>772</v>
      </c>
      <c r="Y684" s="1" t="s">
        <v>43</v>
      </c>
      <c r="Z684" s="1" t="s">
        <v>42</v>
      </c>
      <c r="AA684">
        <v>0</v>
      </c>
      <c r="AB684" s="1" t="s">
        <v>52</v>
      </c>
      <c r="AC684">
        <v>1</v>
      </c>
      <c r="AD684" s="2">
        <v>44409</v>
      </c>
      <c r="AE684" s="1" t="s">
        <v>53</v>
      </c>
      <c r="AF684" s="1" t="s">
        <v>54</v>
      </c>
      <c r="AG684" s="1" t="s">
        <v>63</v>
      </c>
      <c r="AH684" s="1" t="s">
        <v>47</v>
      </c>
      <c r="AI684">
        <v>16896</v>
      </c>
      <c r="AJ684">
        <v>-158.40000000000146</v>
      </c>
    </row>
    <row r="685" spans="1:36" x14ac:dyDescent="0.25">
      <c r="A685">
        <v>10684</v>
      </c>
      <c r="B685">
        <v>33</v>
      </c>
      <c r="C685" s="1" t="s">
        <v>36</v>
      </c>
      <c r="D685" s="1" t="s">
        <v>71</v>
      </c>
      <c r="E685" s="2">
        <v>44831</v>
      </c>
      <c r="F685" s="2">
        <v>44613</v>
      </c>
      <c r="G685" s="1" t="s">
        <v>38</v>
      </c>
      <c r="H685">
        <v>754</v>
      </c>
      <c r="I685">
        <v>18</v>
      </c>
      <c r="J685">
        <v>1</v>
      </c>
      <c r="K685">
        <v>80.33</v>
      </c>
      <c r="L685">
        <v>0</v>
      </c>
      <c r="M685" s="1" t="s">
        <v>65</v>
      </c>
      <c r="N685" s="1" t="s">
        <v>56</v>
      </c>
      <c r="O685">
        <v>13572</v>
      </c>
      <c r="P685" t="b">
        <v>0</v>
      </c>
      <c r="Q685">
        <v>1.5</v>
      </c>
      <c r="R685">
        <v>754</v>
      </c>
      <c r="S685">
        <v>40.164999999999999</v>
      </c>
      <c r="T685" s="2">
        <v>44805</v>
      </c>
      <c r="U685" s="1" t="s">
        <v>57</v>
      </c>
      <c r="V685">
        <v>0</v>
      </c>
      <c r="W685" s="1" t="s">
        <v>40</v>
      </c>
      <c r="Y685" s="1" t="s">
        <v>43</v>
      </c>
      <c r="Z685" s="1" t="s">
        <v>42</v>
      </c>
      <c r="AA685">
        <v>5.2631578947368418E-2</v>
      </c>
      <c r="AB685" s="1" t="s">
        <v>52</v>
      </c>
      <c r="AC685">
        <v>1</v>
      </c>
      <c r="AD685" s="2">
        <v>44805</v>
      </c>
      <c r="AE685" s="1" t="s">
        <v>53</v>
      </c>
      <c r="AF685" s="1" t="s">
        <v>54</v>
      </c>
      <c r="AG685" s="1" t="s">
        <v>63</v>
      </c>
      <c r="AH685" s="1" t="s">
        <v>59</v>
      </c>
      <c r="AI685">
        <v>13572</v>
      </c>
      <c r="AJ685">
        <v>0</v>
      </c>
    </row>
    <row r="686" spans="1:36" x14ac:dyDescent="0.25">
      <c r="A686">
        <v>10685</v>
      </c>
      <c r="B686">
        <v>25</v>
      </c>
      <c r="C686" s="1" t="s">
        <v>60</v>
      </c>
      <c r="D686" s="1" t="s">
        <v>48</v>
      </c>
      <c r="E686" s="2">
        <v>44914</v>
      </c>
      <c r="F686" s="2">
        <v>44640</v>
      </c>
      <c r="G686" s="1" t="s">
        <v>38</v>
      </c>
      <c r="H686">
        <v>1012</v>
      </c>
      <c r="I686">
        <v>13</v>
      </c>
      <c r="J686">
        <v>4</v>
      </c>
      <c r="K686">
        <v>27.34</v>
      </c>
      <c r="L686">
        <v>5</v>
      </c>
      <c r="M686" s="1" t="s">
        <v>39</v>
      </c>
      <c r="N686" s="1" t="s">
        <v>56</v>
      </c>
      <c r="O686">
        <v>13105.4</v>
      </c>
      <c r="P686" t="b">
        <v>0</v>
      </c>
      <c r="Q686">
        <v>1.0833333333333333</v>
      </c>
      <c r="R686">
        <v>1008.1076923076923</v>
      </c>
      <c r="S686">
        <v>5.468</v>
      </c>
      <c r="T686" s="2">
        <v>44896</v>
      </c>
      <c r="U686" s="1" t="s">
        <v>66</v>
      </c>
      <c r="V686">
        <v>0</v>
      </c>
      <c r="W686" s="1" t="s">
        <v>56</v>
      </c>
      <c r="Y686" s="1" t="s">
        <v>52</v>
      </c>
      <c r="Z686" s="1" t="s">
        <v>42</v>
      </c>
      <c r="AA686">
        <v>0.2857142857142857</v>
      </c>
      <c r="AB686" s="1" t="s">
        <v>52</v>
      </c>
      <c r="AC686">
        <v>1</v>
      </c>
      <c r="AD686" s="2">
        <v>44896</v>
      </c>
      <c r="AE686" s="1" t="s">
        <v>53</v>
      </c>
      <c r="AF686" s="1" t="s">
        <v>45</v>
      </c>
      <c r="AG686" s="1" t="s">
        <v>70</v>
      </c>
      <c r="AH686" s="1" t="s">
        <v>47</v>
      </c>
      <c r="AI686">
        <v>13156</v>
      </c>
      <c r="AJ686">
        <v>-50.600000000000364</v>
      </c>
    </row>
    <row r="687" spans="1:36" x14ac:dyDescent="0.25">
      <c r="A687">
        <v>10686</v>
      </c>
      <c r="B687">
        <v>55</v>
      </c>
      <c r="C687" s="1" t="s">
        <v>60</v>
      </c>
      <c r="D687" s="1" t="s">
        <v>37</v>
      </c>
      <c r="E687" s="2">
        <v>44948</v>
      </c>
      <c r="F687" s="2">
        <v>44554</v>
      </c>
      <c r="G687" s="1" t="s">
        <v>62</v>
      </c>
      <c r="H687">
        <v>1004</v>
      </c>
      <c r="I687">
        <v>27</v>
      </c>
      <c r="J687">
        <v>2</v>
      </c>
      <c r="K687">
        <v>45.96</v>
      </c>
      <c r="L687">
        <v>15</v>
      </c>
      <c r="M687" s="1" t="s">
        <v>67</v>
      </c>
      <c r="N687" s="1" t="s">
        <v>56</v>
      </c>
      <c r="O687">
        <v>26957.4</v>
      </c>
      <c r="P687" t="b">
        <v>0</v>
      </c>
      <c r="Q687">
        <v>2.25</v>
      </c>
      <c r="R687">
        <v>998.42222222222233</v>
      </c>
      <c r="S687">
        <v>15.32</v>
      </c>
      <c r="T687" s="2">
        <v>44927</v>
      </c>
      <c r="U687" s="1" t="s">
        <v>41</v>
      </c>
      <c r="V687">
        <v>0</v>
      </c>
      <c r="W687" s="1" t="s">
        <v>40</v>
      </c>
      <c r="Y687" s="1" t="s">
        <v>52</v>
      </c>
      <c r="Z687" s="1" t="s">
        <v>42</v>
      </c>
      <c r="AA687">
        <v>7.1428571428571425E-2</v>
      </c>
      <c r="AB687" s="1" t="s">
        <v>43</v>
      </c>
      <c r="AC687">
        <v>2</v>
      </c>
      <c r="AD687" s="2">
        <v>44927</v>
      </c>
      <c r="AE687" s="1" t="s">
        <v>44</v>
      </c>
      <c r="AF687" s="1" t="s">
        <v>72</v>
      </c>
      <c r="AG687" s="1" t="s">
        <v>63</v>
      </c>
      <c r="AH687" s="1" t="s">
        <v>47</v>
      </c>
      <c r="AI687">
        <v>27108</v>
      </c>
      <c r="AJ687">
        <v>-150.59999999999854</v>
      </c>
    </row>
    <row r="688" spans="1:36" x14ac:dyDescent="0.25">
      <c r="A688">
        <v>10687</v>
      </c>
      <c r="B688">
        <v>29</v>
      </c>
      <c r="C688" s="1" t="s">
        <v>60</v>
      </c>
      <c r="D688" s="1" t="s">
        <v>69</v>
      </c>
      <c r="E688" s="2">
        <v>44590</v>
      </c>
      <c r="F688" s="2">
        <v>44680</v>
      </c>
      <c r="G688" s="1" t="s">
        <v>62</v>
      </c>
      <c r="H688">
        <v>1147</v>
      </c>
      <c r="I688">
        <v>34</v>
      </c>
      <c r="J688">
        <v>2</v>
      </c>
      <c r="K688">
        <v>35.299999999999997</v>
      </c>
      <c r="L688">
        <v>0</v>
      </c>
      <c r="M688" s="1" t="s">
        <v>50</v>
      </c>
      <c r="N688" s="1" t="s">
        <v>56</v>
      </c>
      <c r="O688">
        <v>38998</v>
      </c>
      <c r="P688" t="b">
        <v>1</v>
      </c>
      <c r="Q688">
        <v>2.8333333333333335</v>
      </c>
      <c r="R688">
        <v>1147</v>
      </c>
      <c r="S688">
        <v>11.766666666666666</v>
      </c>
      <c r="T688" s="2">
        <v>44562</v>
      </c>
      <c r="U688" s="1" t="s">
        <v>57</v>
      </c>
      <c r="V688">
        <v>0</v>
      </c>
      <c r="W688" s="1" t="s">
        <v>40</v>
      </c>
      <c r="X688">
        <v>90</v>
      </c>
      <c r="Y688" s="1" t="s">
        <v>52</v>
      </c>
      <c r="Z688" s="1" t="s">
        <v>42</v>
      </c>
      <c r="AA688">
        <v>5.7142857142857141E-2</v>
      </c>
      <c r="AB688" s="1" t="s">
        <v>43</v>
      </c>
      <c r="AC688">
        <v>2</v>
      </c>
      <c r="AD688" s="2">
        <v>44562</v>
      </c>
      <c r="AE688" s="1" t="s">
        <v>44</v>
      </c>
      <c r="AF688" s="1" t="s">
        <v>72</v>
      </c>
      <c r="AG688" s="1" t="s">
        <v>55</v>
      </c>
      <c r="AH688" s="1" t="s">
        <v>47</v>
      </c>
      <c r="AI688">
        <v>38998</v>
      </c>
      <c r="AJ688">
        <v>0</v>
      </c>
    </row>
    <row r="689" spans="1:36" x14ac:dyDescent="0.25">
      <c r="A689">
        <v>10688</v>
      </c>
      <c r="B689">
        <v>41</v>
      </c>
      <c r="C689" s="1" t="s">
        <v>60</v>
      </c>
      <c r="D689" s="1" t="s">
        <v>71</v>
      </c>
      <c r="E689" s="2">
        <v>44535</v>
      </c>
      <c r="F689" s="2">
        <v>44424</v>
      </c>
      <c r="G689" s="1" t="s">
        <v>49</v>
      </c>
      <c r="H689">
        <v>1450</v>
      </c>
      <c r="I689">
        <v>11</v>
      </c>
      <c r="J689">
        <v>1</v>
      </c>
      <c r="K689">
        <v>75.540000000000006</v>
      </c>
      <c r="L689">
        <v>15</v>
      </c>
      <c r="M689" s="1" t="s">
        <v>39</v>
      </c>
      <c r="N689" s="1" t="s">
        <v>56</v>
      </c>
      <c r="O689">
        <v>15732.5</v>
      </c>
      <c r="P689" t="b">
        <v>0</v>
      </c>
      <c r="Q689">
        <v>0.91666666666666663</v>
      </c>
      <c r="R689">
        <v>1430.2272727272727</v>
      </c>
      <c r="S689">
        <v>37.770000000000003</v>
      </c>
      <c r="T689" s="2">
        <v>44531</v>
      </c>
      <c r="U689" s="1" t="s">
        <v>51</v>
      </c>
      <c r="V689">
        <v>0</v>
      </c>
      <c r="W689" s="1" t="s">
        <v>40</v>
      </c>
      <c r="Y689" s="1" t="s">
        <v>43</v>
      </c>
      <c r="Z689" s="1" t="s">
        <v>42</v>
      </c>
      <c r="AA689">
        <v>8.3333333333333329E-2</v>
      </c>
      <c r="AB689" s="1" t="s">
        <v>52</v>
      </c>
      <c r="AC689">
        <v>3</v>
      </c>
      <c r="AD689" s="2">
        <v>44531</v>
      </c>
      <c r="AE689" s="1" t="s">
        <v>74</v>
      </c>
      <c r="AF689" s="1" t="s">
        <v>54</v>
      </c>
      <c r="AG689" s="1" t="s">
        <v>63</v>
      </c>
      <c r="AH689" s="1" t="s">
        <v>47</v>
      </c>
      <c r="AI689">
        <v>15950</v>
      </c>
      <c r="AJ689">
        <v>-217.5</v>
      </c>
    </row>
    <row r="690" spans="1:36" x14ac:dyDescent="0.25">
      <c r="A690">
        <v>10689</v>
      </c>
      <c r="B690">
        <v>45</v>
      </c>
      <c r="C690" s="1" t="s">
        <v>36</v>
      </c>
      <c r="D690" s="1" t="s">
        <v>61</v>
      </c>
      <c r="E690" s="2">
        <v>44994</v>
      </c>
      <c r="F690" s="2">
        <v>44635</v>
      </c>
      <c r="G690" s="1" t="s">
        <v>62</v>
      </c>
      <c r="H690">
        <v>474</v>
      </c>
      <c r="I690">
        <v>1</v>
      </c>
      <c r="J690">
        <v>1</v>
      </c>
      <c r="K690">
        <v>44.63</v>
      </c>
      <c r="L690">
        <v>15</v>
      </c>
      <c r="M690" s="1" t="s">
        <v>39</v>
      </c>
      <c r="N690" s="1" t="s">
        <v>40</v>
      </c>
      <c r="O690">
        <v>402.9</v>
      </c>
      <c r="P690" t="b">
        <v>0</v>
      </c>
      <c r="Q690">
        <v>8.3333333333333329E-2</v>
      </c>
      <c r="R690">
        <v>402.9</v>
      </c>
      <c r="S690">
        <v>22.315000000000001</v>
      </c>
      <c r="T690" s="2">
        <v>44986</v>
      </c>
      <c r="U690" s="1" t="s">
        <v>51</v>
      </c>
      <c r="V690">
        <v>1</v>
      </c>
      <c r="W690" s="1" t="s">
        <v>56</v>
      </c>
      <c r="Y690" s="1" t="s">
        <v>52</v>
      </c>
      <c r="Z690" s="1" t="s">
        <v>42</v>
      </c>
      <c r="AA690">
        <v>0.5</v>
      </c>
      <c r="AB690" s="1" t="s">
        <v>42</v>
      </c>
      <c r="AC690">
        <v>2</v>
      </c>
      <c r="AD690" s="2">
        <v>44986</v>
      </c>
      <c r="AE690" s="1" t="s">
        <v>58</v>
      </c>
      <c r="AF690" s="1" t="s">
        <v>54</v>
      </c>
      <c r="AG690" s="1" t="s">
        <v>55</v>
      </c>
      <c r="AH690" s="1" t="s">
        <v>68</v>
      </c>
      <c r="AI690">
        <v>474</v>
      </c>
      <c r="AJ690">
        <v>-71.100000000000023</v>
      </c>
    </row>
    <row r="691" spans="1:36" x14ac:dyDescent="0.25">
      <c r="A691">
        <v>10690</v>
      </c>
      <c r="B691">
        <v>25</v>
      </c>
      <c r="C691" s="1" t="s">
        <v>36</v>
      </c>
      <c r="D691" s="1" t="s">
        <v>71</v>
      </c>
      <c r="E691" s="2">
        <v>44218</v>
      </c>
      <c r="F691" s="2">
        <v>44394</v>
      </c>
      <c r="G691" s="1" t="s">
        <v>62</v>
      </c>
      <c r="H691">
        <v>1457</v>
      </c>
      <c r="I691">
        <v>13</v>
      </c>
      <c r="J691">
        <v>2</v>
      </c>
      <c r="K691">
        <v>40.54</v>
      </c>
      <c r="L691">
        <v>20</v>
      </c>
      <c r="M691" s="1" t="s">
        <v>67</v>
      </c>
      <c r="N691" s="1" t="s">
        <v>56</v>
      </c>
      <c r="O691">
        <v>18649.599999999999</v>
      </c>
      <c r="P691" t="b">
        <v>1</v>
      </c>
      <c r="Q691">
        <v>1.0833333333333333</v>
      </c>
      <c r="R691">
        <v>1434.5846153846153</v>
      </c>
      <c r="S691">
        <v>13.513333333333334</v>
      </c>
      <c r="T691" s="2">
        <v>44197</v>
      </c>
      <c r="U691" s="1" t="s">
        <v>66</v>
      </c>
      <c r="V691">
        <v>0</v>
      </c>
      <c r="W691" s="1" t="s">
        <v>40</v>
      </c>
      <c r="X691">
        <v>176</v>
      </c>
      <c r="Y691" s="1" t="s">
        <v>52</v>
      </c>
      <c r="Z691" s="1" t="s">
        <v>52</v>
      </c>
      <c r="AA691">
        <v>0.14285714285714285</v>
      </c>
      <c r="AB691" s="1" t="s">
        <v>52</v>
      </c>
      <c r="AC691">
        <v>2</v>
      </c>
      <c r="AD691" s="2">
        <v>44197</v>
      </c>
      <c r="AE691" s="1" t="s">
        <v>53</v>
      </c>
      <c r="AF691" s="1" t="s">
        <v>72</v>
      </c>
      <c r="AG691" s="1" t="s">
        <v>55</v>
      </c>
      <c r="AH691" s="1" t="s">
        <v>47</v>
      </c>
      <c r="AI691">
        <v>18941</v>
      </c>
      <c r="AJ691">
        <v>-291.40000000000146</v>
      </c>
    </row>
    <row r="692" spans="1:36" x14ac:dyDescent="0.25">
      <c r="A692">
        <v>10691</v>
      </c>
      <c r="B692">
        <v>41</v>
      </c>
      <c r="C692" s="1" t="s">
        <v>60</v>
      </c>
      <c r="D692" s="1" t="s">
        <v>61</v>
      </c>
      <c r="E692" s="2">
        <v>44967</v>
      </c>
      <c r="F692" s="2">
        <v>44969</v>
      </c>
      <c r="G692" s="1" t="s">
        <v>62</v>
      </c>
      <c r="H692">
        <v>1389</v>
      </c>
      <c r="I692">
        <v>30</v>
      </c>
      <c r="J692">
        <v>1</v>
      </c>
      <c r="K692">
        <v>28.85</v>
      </c>
      <c r="L692">
        <v>15</v>
      </c>
      <c r="M692" s="1" t="s">
        <v>50</v>
      </c>
      <c r="N692" s="1" t="s">
        <v>56</v>
      </c>
      <c r="O692">
        <v>41461.65</v>
      </c>
      <c r="P692" t="b">
        <v>1</v>
      </c>
      <c r="Q692">
        <v>2.5</v>
      </c>
      <c r="R692">
        <v>1382.0550000000001</v>
      </c>
      <c r="S692">
        <v>14.425000000000001</v>
      </c>
      <c r="T692" s="2">
        <v>44958</v>
      </c>
      <c r="U692" s="1" t="s">
        <v>51</v>
      </c>
      <c r="V692">
        <v>0</v>
      </c>
      <c r="W692" s="1" t="s">
        <v>40</v>
      </c>
      <c r="X692">
        <v>2</v>
      </c>
      <c r="Y692" s="1" t="s">
        <v>52</v>
      </c>
      <c r="Z692" s="1" t="s">
        <v>42</v>
      </c>
      <c r="AA692">
        <v>3.2258064516129031E-2</v>
      </c>
      <c r="AB692" s="1" t="s">
        <v>43</v>
      </c>
      <c r="AC692">
        <v>2</v>
      </c>
      <c r="AD692" s="2">
        <v>44958</v>
      </c>
      <c r="AE692" s="1" t="s">
        <v>44</v>
      </c>
      <c r="AF692" s="1" t="s">
        <v>54</v>
      </c>
      <c r="AG692" s="1" t="s">
        <v>70</v>
      </c>
      <c r="AH692" s="1" t="s">
        <v>47</v>
      </c>
      <c r="AI692">
        <v>41670</v>
      </c>
      <c r="AJ692">
        <v>-208.34999999999854</v>
      </c>
    </row>
    <row r="693" spans="1:36" x14ac:dyDescent="0.25">
      <c r="A693">
        <v>10692</v>
      </c>
      <c r="B693">
        <v>53</v>
      </c>
      <c r="C693" s="1" t="s">
        <v>36</v>
      </c>
      <c r="D693" s="1" t="s">
        <v>69</v>
      </c>
      <c r="E693" s="2">
        <v>45065</v>
      </c>
      <c r="F693" s="2">
        <v>44547</v>
      </c>
      <c r="G693" s="1" t="s">
        <v>38</v>
      </c>
      <c r="H693">
        <v>578</v>
      </c>
      <c r="I693">
        <v>5</v>
      </c>
      <c r="J693">
        <v>1</v>
      </c>
      <c r="K693">
        <v>52.04</v>
      </c>
      <c r="L693">
        <v>20</v>
      </c>
      <c r="M693" s="1" t="s">
        <v>67</v>
      </c>
      <c r="N693" s="1" t="s">
        <v>56</v>
      </c>
      <c r="O693">
        <v>2774.4</v>
      </c>
      <c r="P693" t="b">
        <v>0</v>
      </c>
      <c r="Q693">
        <v>0.41666666666666669</v>
      </c>
      <c r="R693">
        <v>554.88</v>
      </c>
      <c r="S693">
        <v>26.02</v>
      </c>
      <c r="T693" s="2">
        <v>45047</v>
      </c>
      <c r="U693" s="1" t="s">
        <v>41</v>
      </c>
      <c r="V693">
        <v>0</v>
      </c>
      <c r="W693" s="1" t="s">
        <v>56</v>
      </c>
      <c r="Y693" s="1" t="s">
        <v>52</v>
      </c>
      <c r="Z693" s="1" t="s">
        <v>52</v>
      </c>
      <c r="AA693">
        <v>0.16666666666666666</v>
      </c>
      <c r="AB693" s="1" t="s">
        <v>42</v>
      </c>
      <c r="AC693">
        <v>1</v>
      </c>
      <c r="AD693" s="2">
        <v>45047</v>
      </c>
      <c r="AE693" s="1" t="s">
        <v>58</v>
      </c>
      <c r="AF693" s="1" t="s">
        <v>54</v>
      </c>
      <c r="AG693" s="1" t="s">
        <v>63</v>
      </c>
      <c r="AH693" s="1" t="s">
        <v>64</v>
      </c>
      <c r="AI693">
        <v>2890</v>
      </c>
      <c r="AJ693">
        <v>-115.59999999999991</v>
      </c>
    </row>
    <row r="694" spans="1:36" x14ac:dyDescent="0.25">
      <c r="A694">
        <v>10693</v>
      </c>
      <c r="B694">
        <v>43</v>
      </c>
      <c r="C694" s="1" t="s">
        <v>60</v>
      </c>
      <c r="D694" s="1" t="s">
        <v>61</v>
      </c>
      <c r="E694" s="2">
        <v>44301</v>
      </c>
      <c r="F694" s="2">
        <v>44774</v>
      </c>
      <c r="G694" s="1" t="s">
        <v>38</v>
      </c>
      <c r="H694">
        <v>1057</v>
      </c>
      <c r="I694">
        <v>18</v>
      </c>
      <c r="J694">
        <v>3</v>
      </c>
      <c r="K694">
        <v>27.48</v>
      </c>
      <c r="L694">
        <v>0</v>
      </c>
      <c r="M694" s="1" t="s">
        <v>65</v>
      </c>
      <c r="N694" s="1" t="s">
        <v>40</v>
      </c>
      <c r="O694">
        <v>19026</v>
      </c>
      <c r="P694" t="b">
        <v>1</v>
      </c>
      <c r="Q694">
        <v>1.5</v>
      </c>
      <c r="R694">
        <v>1057</v>
      </c>
      <c r="S694">
        <v>6.87</v>
      </c>
      <c r="T694" s="2">
        <v>44287</v>
      </c>
      <c r="U694" s="1" t="s">
        <v>51</v>
      </c>
      <c r="V694">
        <v>1</v>
      </c>
      <c r="W694" s="1" t="s">
        <v>40</v>
      </c>
      <c r="X694">
        <v>473</v>
      </c>
      <c r="Y694" s="1" t="s">
        <v>52</v>
      </c>
      <c r="Z694" s="1" t="s">
        <v>42</v>
      </c>
      <c r="AA694">
        <v>0.15789473684210525</v>
      </c>
      <c r="AB694" s="1" t="s">
        <v>52</v>
      </c>
      <c r="AC694">
        <v>1</v>
      </c>
      <c r="AD694" s="2">
        <v>44287</v>
      </c>
      <c r="AE694" s="1" t="s">
        <v>53</v>
      </c>
      <c r="AF694" s="1" t="s">
        <v>72</v>
      </c>
      <c r="AG694" s="1" t="s">
        <v>70</v>
      </c>
      <c r="AH694" s="1" t="s">
        <v>47</v>
      </c>
      <c r="AI694">
        <v>19026</v>
      </c>
      <c r="AJ694">
        <v>0</v>
      </c>
    </row>
    <row r="695" spans="1:36" x14ac:dyDescent="0.25">
      <c r="A695">
        <v>10694</v>
      </c>
      <c r="B695">
        <v>25</v>
      </c>
      <c r="C695" s="1" t="s">
        <v>36</v>
      </c>
      <c r="D695" s="1" t="s">
        <v>37</v>
      </c>
      <c r="E695" s="2">
        <v>44662</v>
      </c>
      <c r="F695" s="2">
        <v>44557</v>
      </c>
      <c r="G695" s="1" t="s">
        <v>49</v>
      </c>
      <c r="H695">
        <v>662</v>
      </c>
      <c r="I695">
        <v>14</v>
      </c>
      <c r="J695">
        <v>3</v>
      </c>
      <c r="K695">
        <v>115.7</v>
      </c>
      <c r="L695">
        <v>0</v>
      </c>
      <c r="M695" s="1" t="s">
        <v>39</v>
      </c>
      <c r="N695" s="1" t="s">
        <v>56</v>
      </c>
      <c r="O695">
        <v>9268</v>
      </c>
      <c r="P695" t="b">
        <v>0</v>
      </c>
      <c r="Q695">
        <v>1.1666666666666667</v>
      </c>
      <c r="R695">
        <v>662</v>
      </c>
      <c r="S695">
        <v>28.925000000000001</v>
      </c>
      <c r="T695" s="2">
        <v>44652</v>
      </c>
      <c r="U695" s="1" t="s">
        <v>66</v>
      </c>
      <c r="V695">
        <v>0</v>
      </c>
      <c r="W695" s="1" t="s">
        <v>56</v>
      </c>
      <c r="Y695" s="1" t="s">
        <v>43</v>
      </c>
      <c r="Z695" s="1" t="s">
        <v>42</v>
      </c>
      <c r="AA695">
        <v>0.2</v>
      </c>
      <c r="AB695" s="1" t="s">
        <v>52</v>
      </c>
      <c r="AC695">
        <v>3</v>
      </c>
      <c r="AD695" s="2">
        <v>44652</v>
      </c>
      <c r="AE695" s="1" t="s">
        <v>53</v>
      </c>
      <c r="AF695" s="1" t="s">
        <v>72</v>
      </c>
      <c r="AG695" s="1" t="s">
        <v>63</v>
      </c>
      <c r="AH695" s="1" t="s">
        <v>64</v>
      </c>
      <c r="AI695">
        <v>9268</v>
      </c>
      <c r="AJ695">
        <v>0</v>
      </c>
    </row>
    <row r="696" spans="1:36" x14ac:dyDescent="0.25">
      <c r="A696">
        <v>10695</v>
      </c>
      <c r="B696">
        <v>45</v>
      </c>
      <c r="C696" s="1" t="s">
        <v>36</v>
      </c>
      <c r="D696" s="1" t="s">
        <v>73</v>
      </c>
      <c r="E696" s="2">
        <v>44655</v>
      </c>
      <c r="F696" s="2">
        <v>45235</v>
      </c>
      <c r="G696" s="1" t="s">
        <v>38</v>
      </c>
      <c r="H696">
        <v>470</v>
      </c>
      <c r="I696">
        <v>13</v>
      </c>
      <c r="J696">
        <v>1</v>
      </c>
      <c r="K696">
        <v>22.77</v>
      </c>
      <c r="L696">
        <v>20</v>
      </c>
      <c r="M696" s="1" t="s">
        <v>50</v>
      </c>
      <c r="N696" s="1" t="s">
        <v>56</v>
      </c>
      <c r="O696">
        <v>6016</v>
      </c>
      <c r="P696" t="b">
        <v>1</v>
      </c>
      <c r="Q696">
        <v>1.0833333333333333</v>
      </c>
      <c r="R696">
        <v>462.76923076923077</v>
      </c>
      <c r="S696">
        <v>11.385</v>
      </c>
      <c r="T696" s="2">
        <v>44652</v>
      </c>
      <c r="U696" s="1" t="s">
        <v>51</v>
      </c>
      <c r="V696">
        <v>0</v>
      </c>
      <c r="W696" s="1" t="s">
        <v>56</v>
      </c>
      <c r="X696">
        <v>580</v>
      </c>
      <c r="Y696" s="1" t="s">
        <v>52</v>
      </c>
      <c r="Z696" s="1" t="s">
        <v>52</v>
      </c>
      <c r="AA696">
        <v>7.1428571428571425E-2</v>
      </c>
      <c r="AB696" s="1" t="s">
        <v>42</v>
      </c>
      <c r="AC696">
        <v>1</v>
      </c>
      <c r="AD696" s="2">
        <v>44652</v>
      </c>
      <c r="AE696" s="1" t="s">
        <v>53</v>
      </c>
      <c r="AF696" s="1" t="s">
        <v>54</v>
      </c>
      <c r="AG696" s="1" t="s">
        <v>70</v>
      </c>
      <c r="AH696" s="1" t="s">
        <v>68</v>
      </c>
      <c r="AI696">
        <v>6110</v>
      </c>
      <c r="AJ696">
        <v>-94</v>
      </c>
    </row>
    <row r="697" spans="1:36" x14ac:dyDescent="0.25">
      <c r="A697">
        <v>10696</v>
      </c>
      <c r="B697">
        <v>45</v>
      </c>
      <c r="C697" s="1" t="s">
        <v>60</v>
      </c>
      <c r="D697" s="1" t="s">
        <v>61</v>
      </c>
      <c r="E697" s="2">
        <v>44628</v>
      </c>
      <c r="F697" s="2">
        <v>44767</v>
      </c>
      <c r="G697" s="1" t="s">
        <v>38</v>
      </c>
      <c r="H697">
        <v>1374</v>
      </c>
      <c r="I697">
        <v>32</v>
      </c>
      <c r="J697">
        <v>3</v>
      </c>
      <c r="K697">
        <v>110.03</v>
      </c>
      <c r="L697">
        <v>10</v>
      </c>
      <c r="M697" s="1" t="s">
        <v>67</v>
      </c>
      <c r="N697" s="1" t="s">
        <v>56</v>
      </c>
      <c r="O697">
        <v>43830.6</v>
      </c>
      <c r="P697" t="b">
        <v>1</v>
      </c>
      <c r="Q697">
        <v>2.6666666666666665</v>
      </c>
      <c r="R697">
        <v>1369.70625</v>
      </c>
      <c r="S697">
        <v>27.5075</v>
      </c>
      <c r="T697" s="2">
        <v>44621</v>
      </c>
      <c r="U697" s="1" t="s">
        <v>51</v>
      </c>
      <c r="V697">
        <v>0</v>
      </c>
      <c r="W697" s="1" t="s">
        <v>40</v>
      </c>
      <c r="X697">
        <v>139</v>
      </c>
      <c r="Y697" s="1" t="s">
        <v>43</v>
      </c>
      <c r="Z697" s="1" t="s">
        <v>42</v>
      </c>
      <c r="AA697">
        <v>9.0909090909090912E-2</v>
      </c>
      <c r="AB697" s="1" t="s">
        <v>43</v>
      </c>
      <c r="AC697">
        <v>1</v>
      </c>
      <c r="AD697" s="2">
        <v>44621</v>
      </c>
      <c r="AE697" s="1" t="s">
        <v>44</v>
      </c>
      <c r="AF697" s="1" t="s">
        <v>72</v>
      </c>
      <c r="AG697" s="1" t="s">
        <v>63</v>
      </c>
      <c r="AH697" s="1" t="s">
        <v>47</v>
      </c>
      <c r="AI697">
        <v>43968</v>
      </c>
      <c r="AJ697">
        <v>-137.40000000000146</v>
      </c>
    </row>
    <row r="698" spans="1:36" x14ac:dyDescent="0.25">
      <c r="A698">
        <v>10697</v>
      </c>
      <c r="B698">
        <v>54</v>
      </c>
      <c r="C698" s="1" t="s">
        <v>36</v>
      </c>
      <c r="D698" s="1" t="s">
        <v>37</v>
      </c>
      <c r="E698" s="2">
        <v>44966</v>
      </c>
      <c r="F698" s="2">
        <v>44501</v>
      </c>
      <c r="G698" s="1" t="s">
        <v>62</v>
      </c>
      <c r="H698">
        <v>964</v>
      </c>
      <c r="I698">
        <v>7</v>
      </c>
      <c r="J698">
        <v>3</v>
      </c>
      <c r="K698">
        <v>54.27</v>
      </c>
      <c r="L698">
        <v>15</v>
      </c>
      <c r="M698" s="1" t="s">
        <v>39</v>
      </c>
      <c r="N698" s="1" t="s">
        <v>56</v>
      </c>
      <c r="O698">
        <v>6603.4</v>
      </c>
      <c r="P698" t="b">
        <v>0</v>
      </c>
      <c r="Q698">
        <v>0.58333333333333337</v>
      </c>
      <c r="R698">
        <v>943.34285714285704</v>
      </c>
      <c r="S698">
        <v>13.567500000000001</v>
      </c>
      <c r="T698" s="2">
        <v>44958</v>
      </c>
      <c r="U698" s="1" t="s">
        <v>41</v>
      </c>
      <c r="V698">
        <v>0</v>
      </c>
      <c r="W698" s="1" t="s">
        <v>56</v>
      </c>
      <c r="Y698" s="1" t="s">
        <v>52</v>
      </c>
      <c r="Z698" s="1" t="s">
        <v>42</v>
      </c>
      <c r="AA698">
        <v>0.375</v>
      </c>
      <c r="AB698" s="1" t="s">
        <v>42</v>
      </c>
      <c r="AC698">
        <v>2</v>
      </c>
      <c r="AD698" s="2">
        <v>44958</v>
      </c>
      <c r="AE698" s="1" t="s">
        <v>74</v>
      </c>
      <c r="AF698" s="1" t="s">
        <v>72</v>
      </c>
      <c r="AG698" s="1" t="s">
        <v>63</v>
      </c>
      <c r="AH698" s="1" t="s">
        <v>59</v>
      </c>
      <c r="AI698">
        <v>6748</v>
      </c>
      <c r="AJ698">
        <v>-144.60000000000036</v>
      </c>
    </row>
    <row r="699" spans="1:36" x14ac:dyDescent="0.25">
      <c r="A699">
        <v>10698</v>
      </c>
      <c r="B699">
        <v>41</v>
      </c>
      <c r="C699" s="1" t="s">
        <v>60</v>
      </c>
      <c r="D699" s="1" t="s">
        <v>73</v>
      </c>
      <c r="E699" s="2">
        <v>44912</v>
      </c>
      <c r="F699" s="2">
        <v>44869</v>
      </c>
      <c r="G699" s="1" t="s">
        <v>38</v>
      </c>
      <c r="H699">
        <v>891</v>
      </c>
      <c r="I699">
        <v>8</v>
      </c>
      <c r="J699">
        <v>2</v>
      </c>
      <c r="K699">
        <v>48.45</v>
      </c>
      <c r="L699">
        <v>10</v>
      </c>
      <c r="M699" s="1" t="s">
        <v>67</v>
      </c>
      <c r="N699" s="1" t="s">
        <v>40</v>
      </c>
      <c r="O699">
        <v>7128</v>
      </c>
      <c r="P699" t="b">
        <v>0</v>
      </c>
      <c r="Q699">
        <v>0.66666666666666663</v>
      </c>
      <c r="R699">
        <v>891</v>
      </c>
      <c r="S699">
        <v>16.150000000000002</v>
      </c>
      <c r="T699" s="2">
        <v>44896</v>
      </c>
      <c r="U699" s="1" t="s">
        <v>51</v>
      </c>
      <c r="V699">
        <v>1</v>
      </c>
      <c r="W699" s="1" t="s">
        <v>56</v>
      </c>
      <c r="Y699" s="1" t="s">
        <v>52</v>
      </c>
      <c r="Z699" s="1" t="s">
        <v>42</v>
      </c>
      <c r="AA699">
        <v>0.22222222222222221</v>
      </c>
      <c r="AB699" s="1" t="s">
        <v>42</v>
      </c>
      <c r="AC699">
        <v>1</v>
      </c>
      <c r="AD699" s="2">
        <v>44896</v>
      </c>
      <c r="AE699" s="1" t="s">
        <v>74</v>
      </c>
      <c r="AF699" s="1" t="s">
        <v>72</v>
      </c>
      <c r="AG699" s="1" t="s">
        <v>63</v>
      </c>
      <c r="AH699" s="1" t="s">
        <v>59</v>
      </c>
      <c r="AI699">
        <v>7128</v>
      </c>
      <c r="AJ699">
        <v>0</v>
      </c>
    </row>
    <row r="700" spans="1:36" x14ac:dyDescent="0.25">
      <c r="A700">
        <v>10699</v>
      </c>
      <c r="B700">
        <v>53</v>
      </c>
      <c r="C700" s="1" t="s">
        <v>60</v>
      </c>
      <c r="D700" s="1" t="s">
        <v>69</v>
      </c>
      <c r="E700" s="2">
        <v>45018</v>
      </c>
      <c r="F700" s="2">
        <v>44762</v>
      </c>
      <c r="G700" s="1" t="s">
        <v>49</v>
      </c>
      <c r="H700">
        <v>1230</v>
      </c>
      <c r="I700">
        <v>7</v>
      </c>
      <c r="J700">
        <v>1</v>
      </c>
      <c r="K700">
        <v>31.6</v>
      </c>
      <c r="L700">
        <v>15</v>
      </c>
      <c r="M700" s="1" t="s">
        <v>50</v>
      </c>
      <c r="N700" s="1" t="s">
        <v>56</v>
      </c>
      <c r="O700">
        <v>8425.5</v>
      </c>
      <c r="P700" t="b">
        <v>0</v>
      </c>
      <c r="Q700">
        <v>0.58333333333333337</v>
      </c>
      <c r="R700">
        <v>1203.6428571428571</v>
      </c>
      <c r="S700">
        <v>15.8</v>
      </c>
      <c r="T700" s="2">
        <v>45017</v>
      </c>
      <c r="U700" s="1" t="s">
        <v>41</v>
      </c>
      <c r="V700">
        <v>0</v>
      </c>
      <c r="W700" s="1" t="s">
        <v>56</v>
      </c>
      <c r="Y700" s="1" t="s">
        <v>52</v>
      </c>
      <c r="Z700" s="1" t="s">
        <v>42</v>
      </c>
      <c r="AA700">
        <v>0.125</v>
      </c>
      <c r="AB700" s="1" t="s">
        <v>42</v>
      </c>
      <c r="AC700">
        <v>3</v>
      </c>
      <c r="AD700" s="2">
        <v>45017</v>
      </c>
      <c r="AE700" s="1" t="s">
        <v>74</v>
      </c>
      <c r="AF700" s="1" t="s">
        <v>54</v>
      </c>
      <c r="AG700" s="1" t="s">
        <v>55</v>
      </c>
      <c r="AH700" s="1" t="s">
        <v>47</v>
      </c>
      <c r="AI700">
        <v>8610</v>
      </c>
      <c r="AJ700">
        <v>-184.5</v>
      </c>
    </row>
    <row r="701" spans="1:36" x14ac:dyDescent="0.25">
      <c r="A701">
        <v>10700</v>
      </c>
      <c r="B701">
        <v>44</v>
      </c>
      <c r="C701" s="1" t="s">
        <v>60</v>
      </c>
      <c r="D701" s="1" t="s">
        <v>69</v>
      </c>
      <c r="E701" s="2">
        <v>44970</v>
      </c>
      <c r="F701" s="2">
        <v>44700</v>
      </c>
      <c r="G701" s="1" t="s">
        <v>38</v>
      </c>
      <c r="H701">
        <v>1468</v>
      </c>
      <c r="I701">
        <v>16</v>
      </c>
      <c r="J701">
        <v>3</v>
      </c>
      <c r="K701">
        <v>78.11</v>
      </c>
      <c r="L701">
        <v>10</v>
      </c>
      <c r="M701" s="1" t="s">
        <v>65</v>
      </c>
      <c r="N701" s="1" t="s">
        <v>40</v>
      </c>
      <c r="O701">
        <v>23341.200000000001</v>
      </c>
      <c r="P701" t="b">
        <v>0</v>
      </c>
      <c r="Q701">
        <v>1.3333333333333333</v>
      </c>
      <c r="R701">
        <v>1458.825</v>
      </c>
      <c r="S701">
        <v>19.5275</v>
      </c>
      <c r="T701" s="2">
        <v>44958</v>
      </c>
      <c r="U701" s="1" t="s">
        <v>51</v>
      </c>
      <c r="V701">
        <v>1</v>
      </c>
      <c r="W701" s="1" t="s">
        <v>40</v>
      </c>
      <c r="Y701" s="1" t="s">
        <v>43</v>
      </c>
      <c r="Z701" s="1" t="s">
        <v>42</v>
      </c>
      <c r="AA701">
        <v>0.17647058823529413</v>
      </c>
      <c r="AB701" s="1" t="s">
        <v>43</v>
      </c>
      <c r="AC701">
        <v>1</v>
      </c>
      <c r="AD701" s="2">
        <v>44958</v>
      </c>
      <c r="AE701" s="1" t="s">
        <v>53</v>
      </c>
      <c r="AF701" s="1" t="s">
        <v>72</v>
      </c>
      <c r="AG701" s="1" t="s">
        <v>63</v>
      </c>
      <c r="AH701" s="1" t="s">
        <v>47</v>
      </c>
      <c r="AI701">
        <v>23488</v>
      </c>
      <c r="AJ701">
        <v>-146.79999999999927</v>
      </c>
    </row>
    <row r="702" spans="1:36" x14ac:dyDescent="0.25">
      <c r="A702">
        <v>10701</v>
      </c>
      <c r="B702">
        <v>34</v>
      </c>
      <c r="C702" s="1" t="s">
        <v>36</v>
      </c>
      <c r="D702" s="1" t="s">
        <v>71</v>
      </c>
      <c r="E702" s="2">
        <v>44815</v>
      </c>
      <c r="F702" s="2">
        <v>44504</v>
      </c>
      <c r="G702" s="1" t="s">
        <v>38</v>
      </c>
      <c r="H702">
        <v>573</v>
      </c>
      <c r="I702">
        <v>31</v>
      </c>
      <c r="J702">
        <v>2</v>
      </c>
      <c r="K702">
        <v>83.84</v>
      </c>
      <c r="L702">
        <v>15</v>
      </c>
      <c r="M702" s="1" t="s">
        <v>65</v>
      </c>
      <c r="N702" s="1" t="s">
        <v>56</v>
      </c>
      <c r="O702">
        <v>17677.05</v>
      </c>
      <c r="P702" t="b">
        <v>0</v>
      </c>
      <c r="Q702">
        <v>2.5833333333333335</v>
      </c>
      <c r="R702">
        <v>570.22741935483873</v>
      </c>
      <c r="S702">
        <v>27.946666666666669</v>
      </c>
      <c r="T702" s="2">
        <v>44805</v>
      </c>
      <c r="U702" s="1" t="s">
        <v>57</v>
      </c>
      <c r="V702">
        <v>0</v>
      </c>
      <c r="W702" s="1" t="s">
        <v>40</v>
      </c>
      <c r="Y702" s="1" t="s">
        <v>43</v>
      </c>
      <c r="Z702" s="1" t="s">
        <v>42</v>
      </c>
      <c r="AA702">
        <v>6.25E-2</v>
      </c>
      <c r="AB702" s="1" t="s">
        <v>52</v>
      </c>
      <c r="AC702">
        <v>1</v>
      </c>
      <c r="AD702" s="2">
        <v>44805</v>
      </c>
      <c r="AE702" s="1" t="s">
        <v>44</v>
      </c>
      <c r="AF702" s="1" t="s">
        <v>72</v>
      </c>
      <c r="AG702" s="1" t="s">
        <v>63</v>
      </c>
      <c r="AH702" s="1" t="s">
        <v>64</v>
      </c>
      <c r="AI702">
        <v>17763</v>
      </c>
      <c r="AJ702">
        <v>-85.950000000000728</v>
      </c>
    </row>
    <row r="703" spans="1:36" x14ac:dyDescent="0.25">
      <c r="A703">
        <v>10702</v>
      </c>
      <c r="B703">
        <v>26</v>
      </c>
      <c r="C703" s="1" t="s">
        <v>36</v>
      </c>
      <c r="D703" s="1" t="s">
        <v>37</v>
      </c>
      <c r="E703" s="2">
        <v>44959</v>
      </c>
      <c r="F703" s="2">
        <v>44608</v>
      </c>
      <c r="G703" s="1" t="s">
        <v>38</v>
      </c>
      <c r="H703">
        <v>1478</v>
      </c>
      <c r="I703">
        <v>27</v>
      </c>
      <c r="J703">
        <v>2</v>
      </c>
      <c r="K703">
        <v>58.77</v>
      </c>
      <c r="L703">
        <v>10</v>
      </c>
      <c r="M703" s="1" t="s">
        <v>65</v>
      </c>
      <c r="N703" s="1" t="s">
        <v>56</v>
      </c>
      <c r="O703">
        <v>39758.199999999997</v>
      </c>
      <c r="P703" t="b">
        <v>0</v>
      </c>
      <c r="Q703">
        <v>2.25</v>
      </c>
      <c r="R703">
        <v>1472.5259259259258</v>
      </c>
      <c r="S703">
        <v>19.59</v>
      </c>
      <c r="T703" s="2">
        <v>44958</v>
      </c>
      <c r="U703" s="1" t="s">
        <v>57</v>
      </c>
      <c r="V703">
        <v>0</v>
      </c>
      <c r="W703" s="1" t="s">
        <v>40</v>
      </c>
      <c r="Y703" s="1" t="s">
        <v>52</v>
      </c>
      <c r="Z703" s="1" t="s">
        <v>42</v>
      </c>
      <c r="AA703">
        <v>7.1428571428571425E-2</v>
      </c>
      <c r="AB703" s="1" t="s">
        <v>43</v>
      </c>
      <c r="AC703">
        <v>1</v>
      </c>
      <c r="AD703" s="2">
        <v>44958</v>
      </c>
      <c r="AE703" s="1" t="s">
        <v>44</v>
      </c>
      <c r="AF703" s="1" t="s">
        <v>72</v>
      </c>
      <c r="AG703" s="1" t="s">
        <v>63</v>
      </c>
      <c r="AH703" s="1" t="s">
        <v>47</v>
      </c>
      <c r="AI703">
        <v>39906</v>
      </c>
      <c r="AJ703">
        <v>-147.80000000000291</v>
      </c>
    </row>
    <row r="704" spans="1:36" x14ac:dyDescent="0.25">
      <c r="A704">
        <v>10703</v>
      </c>
      <c r="B704">
        <v>50</v>
      </c>
      <c r="C704" s="1" t="s">
        <v>60</v>
      </c>
      <c r="D704" s="1" t="s">
        <v>37</v>
      </c>
      <c r="E704" s="2">
        <v>44417</v>
      </c>
      <c r="F704" s="2">
        <v>44424</v>
      </c>
      <c r="G704" s="1" t="s">
        <v>62</v>
      </c>
      <c r="H704">
        <v>807</v>
      </c>
      <c r="I704">
        <v>33</v>
      </c>
      <c r="J704">
        <v>2</v>
      </c>
      <c r="K704">
        <v>11.41</v>
      </c>
      <c r="L704">
        <v>5</v>
      </c>
      <c r="M704" s="1" t="s">
        <v>67</v>
      </c>
      <c r="N704" s="1" t="s">
        <v>56</v>
      </c>
      <c r="O704">
        <v>26590.65</v>
      </c>
      <c r="P704" t="b">
        <v>1</v>
      </c>
      <c r="Q704">
        <v>2.75</v>
      </c>
      <c r="R704">
        <v>805.77727272727282</v>
      </c>
      <c r="S704">
        <v>3.8033333333333332</v>
      </c>
      <c r="T704" s="2">
        <v>44409</v>
      </c>
      <c r="U704" s="1" t="s">
        <v>51</v>
      </c>
      <c r="V704">
        <v>0</v>
      </c>
      <c r="W704" s="1" t="s">
        <v>40</v>
      </c>
      <c r="X704">
        <v>7</v>
      </c>
      <c r="Y704" s="1" t="s">
        <v>42</v>
      </c>
      <c r="Z704" s="1" t="s">
        <v>42</v>
      </c>
      <c r="AA704">
        <v>5.8823529411764705E-2</v>
      </c>
      <c r="AB704" s="1" t="s">
        <v>43</v>
      </c>
      <c r="AC704">
        <v>2</v>
      </c>
      <c r="AD704" s="2">
        <v>44409</v>
      </c>
      <c r="AE704" s="1" t="s">
        <v>44</v>
      </c>
      <c r="AF704" s="1" t="s">
        <v>72</v>
      </c>
      <c r="AG704" s="1" t="s">
        <v>46</v>
      </c>
      <c r="AH704" s="1" t="s">
        <v>59</v>
      </c>
      <c r="AI704">
        <v>26631</v>
      </c>
      <c r="AJ704">
        <v>-40.349999999998545</v>
      </c>
    </row>
    <row r="705" spans="1:36" x14ac:dyDescent="0.25">
      <c r="A705">
        <v>10704</v>
      </c>
      <c r="B705">
        <v>37</v>
      </c>
      <c r="C705" s="1" t="s">
        <v>36</v>
      </c>
      <c r="D705" s="1" t="s">
        <v>48</v>
      </c>
      <c r="E705" s="2">
        <v>44575</v>
      </c>
      <c r="F705" s="2">
        <v>45116</v>
      </c>
      <c r="G705" s="1" t="s">
        <v>38</v>
      </c>
      <c r="H705">
        <v>662</v>
      </c>
      <c r="I705">
        <v>29</v>
      </c>
      <c r="J705">
        <v>3</v>
      </c>
      <c r="K705">
        <v>110.63</v>
      </c>
      <c r="L705">
        <v>10</v>
      </c>
      <c r="M705" s="1" t="s">
        <v>39</v>
      </c>
      <c r="N705" s="1" t="s">
        <v>40</v>
      </c>
      <c r="O705">
        <v>19131.8</v>
      </c>
      <c r="P705" t="b">
        <v>1</v>
      </c>
      <c r="Q705">
        <v>2.4166666666666665</v>
      </c>
      <c r="R705">
        <v>659.71724137931028</v>
      </c>
      <c r="S705">
        <v>27.657499999999999</v>
      </c>
      <c r="T705" s="2">
        <v>44562</v>
      </c>
      <c r="U705" s="1" t="s">
        <v>51</v>
      </c>
      <c r="V705">
        <v>1</v>
      </c>
      <c r="W705" s="1" t="s">
        <v>40</v>
      </c>
      <c r="X705">
        <v>541</v>
      </c>
      <c r="Y705" s="1" t="s">
        <v>43</v>
      </c>
      <c r="Z705" s="1" t="s">
        <v>42</v>
      </c>
      <c r="AA705">
        <v>0.1</v>
      </c>
      <c r="AB705" s="1" t="s">
        <v>52</v>
      </c>
      <c r="AC705">
        <v>1</v>
      </c>
      <c r="AD705" s="2">
        <v>44562</v>
      </c>
      <c r="AE705" s="1" t="s">
        <v>44</v>
      </c>
      <c r="AF705" s="1" t="s">
        <v>72</v>
      </c>
      <c r="AG705" s="1" t="s">
        <v>63</v>
      </c>
      <c r="AH705" s="1" t="s">
        <v>64</v>
      </c>
      <c r="AI705">
        <v>19198</v>
      </c>
      <c r="AJ705">
        <v>-66.200000000000728</v>
      </c>
    </row>
    <row r="706" spans="1:36" x14ac:dyDescent="0.25">
      <c r="A706">
        <v>10705</v>
      </c>
      <c r="B706">
        <v>30</v>
      </c>
      <c r="C706" s="1" t="s">
        <v>36</v>
      </c>
      <c r="D706" s="1" t="s">
        <v>48</v>
      </c>
      <c r="E706" s="2">
        <v>44418</v>
      </c>
      <c r="F706" s="2">
        <v>44835</v>
      </c>
      <c r="G706" s="1" t="s">
        <v>62</v>
      </c>
      <c r="H706">
        <v>1147</v>
      </c>
      <c r="I706">
        <v>8</v>
      </c>
      <c r="J706">
        <v>1</v>
      </c>
      <c r="K706">
        <v>117.74</v>
      </c>
      <c r="L706">
        <v>0</v>
      </c>
      <c r="M706" s="1" t="s">
        <v>65</v>
      </c>
      <c r="N706" s="1" t="s">
        <v>56</v>
      </c>
      <c r="O706">
        <v>9176</v>
      </c>
      <c r="P706" t="b">
        <v>1</v>
      </c>
      <c r="Q706">
        <v>0.66666666666666663</v>
      </c>
      <c r="R706">
        <v>1147</v>
      </c>
      <c r="S706">
        <v>58.87</v>
      </c>
      <c r="T706" s="2">
        <v>44409</v>
      </c>
      <c r="U706" s="1" t="s">
        <v>57</v>
      </c>
      <c r="V706">
        <v>0</v>
      </c>
      <c r="W706" s="1" t="s">
        <v>56</v>
      </c>
      <c r="X706">
        <v>417</v>
      </c>
      <c r="Y706" s="1" t="s">
        <v>43</v>
      </c>
      <c r="Z706" s="1" t="s">
        <v>42</v>
      </c>
      <c r="AA706">
        <v>0.1111111111111111</v>
      </c>
      <c r="AB706" s="1" t="s">
        <v>52</v>
      </c>
      <c r="AC706">
        <v>2</v>
      </c>
      <c r="AD706" s="2">
        <v>44409</v>
      </c>
      <c r="AE706" s="1" t="s">
        <v>74</v>
      </c>
      <c r="AF706" s="1" t="s">
        <v>54</v>
      </c>
      <c r="AG706" s="1" t="s">
        <v>63</v>
      </c>
      <c r="AH706" s="1" t="s">
        <v>47</v>
      </c>
      <c r="AI706">
        <v>9176</v>
      </c>
      <c r="AJ706">
        <v>0</v>
      </c>
    </row>
    <row r="707" spans="1:36" x14ac:dyDescent="0.25">
      <c r="A707">
        <v>10706</v>
      </c>
      <c r="B707">
        <v>45</v>
      </c>
      <c r="C707" s="1" t="s">
        <v>36</v>
      </c>
      <c r="D707" s="1" t="s">
        <v>73</v>
      </c>
      <c r="E707" s="2">
        <v>44454</v>
      </c>
      <c r="F707" s="2">
        <v>44478</v>
      </c>
      <c r="G707" s="1" t="s">
        <v>49</v>
      </c>
      <c r="H707">
        <v>954</v>
      </c>
      <c r="I707">
        <v>33</v>
      </c>
      <c r="J707">
        <v>3</v>
      </c>
      <c r="K707">
        <v>62.59</v>
      </c>
      <c r="L707">
        <v>20</v>
      </c>
      <c r="M707" s="1" t="s">
        <v>65</v>
      </c>
      <c r="N707" s="1" t="s">
        <v>56</v>
      </c>
      <c r="O707">
        <v>31291.200000000001</v>
      </c>
      <c r="P707" t="b">
        <v>1</v>
      </c>
      <c r="Q707">
        <v>2.75</v>
      </c>
      <c r="R707">
        <v>948.21818181818185</v>
      </c>
      <c r="S707">
        <v>15.647500000000001</v>
      </c>
      <c r="T707" s="2">
        <v>44440</v>
      </c>
      <c r="U707" s="1" t="s">
        <v>51</v>
      </c>
      <c r="V707">
        <v>0</v>
      </c>
      <c r="W707" s="1" t="s">
        <v>40</v>
      </c>
      <c r="X707">
        <v>24</v>
      </c>
      <c r="Y707" s="1" t="s">
        <v>43</v>
      </c>
      <c r="Z707" s="1" t="s">
        <v>52</v>
      </c>
      <c r="AA707">
        <v>8.8235294117647065E-2</v>
      </c>
      <c r="AB707" s="1" t="s">
        <v>43</v>
      </c>
      <c r="AC707">
        <v>3</v>
      </c>
      <c r="AD707" s="2">
        <v>44440</v>
      </c>
      <c r="AE707" s="1" t="s">
        <v>44</v>
      </c>
      <c r="AF707" s="1" t="s">
        <v>72</v>
      </c>
      <c r="AG707" s="1" t="s">
        <v>63</v>
      </c>
      <c r="AH707" s="1" t="s">
        <v>59</v>
      </c>
      <c r="AI707">
        <v>31482</v>
      </c>
      <c r="AJ707">
        <v>-190.79999999999927</v>
      </c>
    </row>
    <row r="708" spans="1:36" x14ac:dyDescent="0.25">
      <c r="A708">
        <v>10707</v>
      </c>
      <c r="B708">
        <v>41</v>
      </c>
      <c r="C708" s="1" t="s">
        <v>36</v>
      </c>
      <c r="D708" s="1" t="s">
        <v>73</v>
      </c>
      <c r="E708" s="2">
        <v>44909</v>
      </c>
      <c r="F708" s="2">
        <v>44926</v>
      </c>
      <c r="G708" s="1" t="s">
        <v>49</v>
      </c>
      <c r="H708">
        <v>597</v>
      </c>
      <c r="I708">
        <v>19</v>
      </c>
      <c r="J708">
        <v>1</v>
      </c>
      <c r="K708">
        <v>75.569999999999993</v>
      </c>
      <c r="L708">
        <v>20</v>
      </c>
      <c r="M708" s="1" t="s">
        <v>65</v>
      </c>
      <c r="N708" s="1" t="s">
        <v>56</v>
      </c>
      <c r="O708">
        <v>11223.6</v>
      </c>
      <c r="P708" t="b">
        <v>1</v>
      </c>
      <c r="Q708">
        <v>1.5833333333333333</v>
      </c>
      <c r="R708">
        <v>590.71578947368425</v>
      </c>
      <c r="S708">
        <v>37.784999999999997</v>
      </c>
      <c r="T708" s="2">
        <v>44896</v>
      </c>
      <c r="U708" s="1" t="s">
        <v>51</v>
      </c>
      <c r="V708">
        <v>0</v>
      </c>
      <c r="W708" s="1" t="s">
        <v>56</v>
      </c>
      <c r="X708">
        <v>17</v>
      </c>
      <c r="Y708" s="1" t="s">
        <v>43</v>
      </c>
      <c r="Z708" s="1" t="s">
        <v>52</v>
      </c>
      <c r="AA708">
        <v>0.05</v>
      </c>
      <c r="AB708" s="1" t="s">
        <v>52</v>
      </c>
      <c r="AC708">
        <v>3</v>
      </c>
      <c r="AD708" s="2">
        <v>44896</v>
      </c>
      <c r="AE708" s="1" t="s">
        <v>53</v>
      </c>
      <c r="AF708" s="1" t="s">
        <v>54</v>
      </c>
      <c r="AG708" s="1" t="s">
        <v>63</v>
      </c>
      <c r="AH708" s="1" t="s">
        <v>64</v>
      </c>
      <c r="AI708">
        <v>11343</v>
      </c>
      <c r="AJ708">
        <v>-119.39999999999964</v>
      </c>
    </row>
    <row r="709" spans="1:36" x14ac:dyDescent="0.25">
      <c r="A709">
        <v>10708</v>
      </c>
      <c r="B709">
        <v>30</v>
      </c>
      <c r="C709" s="1" t="s">
        <v>36</v>
      </c>
      <c r="D709" s="1" t="s">
        <v>48</v>
      </c>
      <c r="E709" s="2">
        <v>44563</v>
      </c>
      <c r="F709" s="2">
        <v>44802</v>
      </c>
      <c r="G709" s="1" t="s">
        <v>38</v>
      </c>
      <c r="H709">
        <v>793</v>
      </c>
      <c r="I709">
        <v>21</v>
      </c>
      <c r="J709">
        <v>5</v>
      </c>
      <c r="K709">
        <v>56.78</v>
      </c>
      <c r="L709">
        <v>15</v>
      </c>
      <c r="M709" s="1" t="s">
        <v>65</v>
      </c>
      <c r="N709" s="1" t="s">
        <v>56</v>
      </c>
      <c r="O709">
        <v>16534.05</v>
      </c>
      <c r="P709" t="b">
        <v>1</v>
      </c>
      <c r="Q709">
        <v>1.75</v>
      </c>
      <c r="R709">
        <v>787.33571428571429</v>
      </c>
      <c r="S709">
        <v>9.4633333333333329</v>
      </c>
      <c r="T709" s="2">
        <v>44562</v>
      </c>
      <c r="U709" s="1" t="s">
        <v>57</v>
      </c>
      <c r="V709">
        <v>0</v>
      </c>
      <c r="W709" s="1" t="s">
        <v>40</v>
      </c>
      <c r="X709">
        <v>239</v>
      </c>
      <c r="Y709" s="1" t="s">
        <v>52</v>
      </c>
      <c r="Z709" s="1" t="s">
        <v>42</v>
      </c>
      <c r="AA709">
        <v>0.22727272727272727</v>
      </c>
      <c r="AB709" s="1" t="s">
        <v>52</v>
      </c>
      <c r="AC709">
        <v>1</v>
      </c>
      <c r="AD709" s="2">
        <v>44562</v>
      </c>
      <c r="AE709" s="1" t="s">
        <v>53</v>
      </c>
      <c r="AF709" s="1" t="s">
        <v>45</v>
      </c>
      <c r="AG709" s="1" t="s">
        <v>63</v>
      </c>
      <c r="AH709" s="1" t="s">
        <v>59</v>
      </c>
      <c r="AI709">
        <v>16653</v>
      </c>
      <c r="AJ709">
        <v>-118.95000000000073</v>
      </c>
    </row>
    <row r="710" spans="1:36" x14ac:dyDescent="0.25">
      <c r="A710">
        <v>10709</v>
      </c>
      <c r="B710">
        <v>63</v>
      </c>
      <c r="C710" s="1" t="s">
        <v>60</v>
      </c>
      <c r="D710" s="1" t="s">
        <v>73</v>
      </c>
      <c r="E710" s="2">
        <v>44966</v>
      </c>
      <c r="F710" s="2">
        <v>45087</v>
      </c>
      <c r="G710" s="1" t="s">
        <v>62</v>
      </c>
      <c r="H710">
        <v>845</v>
      </c>
      <c r="I710">
        <v>21</v>
      </c>
      <c r="J710">
        <v>2</v>
      </c>
      <c r="K710">
        <v>42.02</v>
      </c>
      <c r="L710">
        <v>5</v>
      </c>
      <c r="M710" s="1" t="s">
        <v>50</v>
      </c>
      <c r="N710" s="1" t="s">
        <v>56</v>
      </c>
      <c r="O710">
        <v>17702.75</v>
      </c>
      <c r="P710" t="b">
        <v>1</v>
      </c>
      <c r="Q710">
        <v>1.75</v>
      </c>
      <c r="R710">
        <v>842.98809523809518</v>
      </c>
      <c r="S710">
        <v>14.006666666666668</v>
      </c>
      <c r="T710" s="2">
        <v>44958</v>
      </c>
      <c r="U710" s="1" t="s">
        <v>41</v>
      </c>
      <c r="V710">
        <v>0</v>
      </c>
      <c r="W710" s="1" t="s">
        <v>40</v>
      </c>
      <c r="X710">
        <v>121</v>
      </c>
      <c r="Y710" s="1" t="s">
        <v>52</v>
      </c>
      <c r="Z710" s="1" t="s">
        <v>42</v>
      </c>
      <c r="AA710">
        <v>9.0909090909090912E-2</v>
      </c>
      <c r="AB710" s="1" t="s">
        <v>52</v>
      </c>
      <c r="AC710">
        <v>2</v>
      </c>
      <c r="AD710" s="2">
        <v>44958</v>
      </c>
      <c r="AE710" s="1" t="s">
        <v>53</v>
      </c>
      <c r="AF710" s="1" t="s">
        <v>72</v>
      </c>
      <c r="AG710" s="1" t="s">
        <v>55</v>
      </c>
      <c r="AH710" s="1" t="s">
        <v>59</v>
      </c>
      <c r="AI710">
        <v>17745</v>
      </c>
      <c r="AJ710">
        <v>-42.25</v>
      </c>
    </row>
    <row r="711" spans="1:36" x14ac:dyDescent="0.25">
      <c r="A711">
        <v>10710</v>
      </c>
      <c r="B711">
        <v>52</v>
      </c>
      <c r="C711" s="1" t="s">
        <v>60</v>
      </c>
      <c r="D711" s="1" t="s">
        <v>61</v>
      </c>
      <c r="E711" s="2">
        <v>44545</v>
      </c>
      <c r="F711" s="2">
        <v>44510</v>
      </c>
      <c r="G711" s="1" t="s">
        <v>62</v>
      </c>
      <c r="H711">
        <v>603</v>
      </c>
      <c r="I711">
        <v>25</v>
      </c>
      <c r="J711">
        <v>1</v>
      </c>
      <c r="K711">
        <v>13.89</v>
      </c>
      <c r="L711">
        <v>15</v>
      </c>
      <c r="M711" s="1" t="s">
        <v>50</v>
      </c>
      <c r="N711" s="1" t="s">
        <v>56</v>
      </c>
      <c r="O711">
        <v>14984.55</v>
      </c>
      <c r="P711" t="b">
        <v>0</v>
      </c>
      <c r="Q711">
        <v>2.0833333333333335</v>
      </c>
      <c r="R711">
        <v>599.38199999999995</v>
      </c>
      <c r="S711">
        <v>6.9450000000000003</v>
      </c>
      <c r="T711" s="2">
        <v>44531</v>
      </c>
      <c r="U711" s="1" t="s">
        <v>41</v>
      </c>
      <c r="V711">
        <v>0</v>
      </c>
      <c r="W711" s="1" t="s">
        <v>40</v>
      </c>
      <c r="Y711" s="1" t="s">
        <v>42</v>
      </c>
      <c r="Z711" s="1" t="s">
        <v>42</v>
      </c>
      <c r="AA711">
        <v>3.8461538461538464E-2</v>
      </c>
      <c r="AB711" s="1" t="s">
        <v>52</v>
      </c>
      <c r="AC711">
        <v>2</v>
      </c>
      <c r="AD711" s="2">
        <v>44531</v>
      </c>
      <c r="AE711" s="1" t="s">
        <v>44</v>
      </c>
      <c r="AF711" s="1" t="s">
        <v>54</v>
      </c>
      <c r="AG711" s="1" t="s">
        <v>46</v>
      </c>
      <c r="AH711" s="1" t="s">
        <v>64</v>
      </c>
      <c r="AI711">
        <v>15075</v>
      </c>
      <c r="AJ711">
        <v>-90.450000000000728</v>
      </c>
    </row>
    <row r="712" spans="1:36" x14ac:dyDescent="0.25">
      <c r="A712">
        <v>10711</v>
      </c>
      <c r="B712">
        <v>23</v>
      </c>
      <c r="C712" s="1" t="s">
        <v>75</v>
      </c>
      <c r="D712" s="1" t="s">
        <v>48</v>
      </c>
      <c r="E712" s="2">
        <v>44421</v>
      </c>
      <c r="F712" s="2">
        <v>44362</v>
      </c>
      <c r="G712" s="1" t="s">
        <v>49</v>
      </c>
      <c r="H712">
        <v>1203</v>
      </c>
      <c r="I712">
        <v>23</v>
      </c>
      <c r="J712">
        <v>2</v>
      </c>
      <c r="K712">
        <v>57.45</v>
      </c>
      <c r="L712">
        <v>10</v>
      </c>
      <c r="M712" s="1" t="s">
        <v>39</v>
      </c>
      <c r="N712" s="1" t="s">
        <v>56</v>
      </c>
      <c r="O712">
        <v>27548.7</v>
      </c>
      <c r="P712" t="b">
        <v>0</v>
      </c>
      <c r="Q712">
        <v>1.9166666666666667</v>
      </c>
      <c r="R712">
        <v>1197.7695652173913</v>
      </c>
      <c r="S712">
        <v>19.150000000000002</v>
      </c>
      <c r="T712" s="2">
        <v>44409</v>
      </c>
      <c r="U712" s="1" t="s">
        <v>66</v>
      </c>
      <c r="V712">
        <v>0</v>
      </c>
      <c r="W712" s="1" t="s">
        <v>40</v>
      </c>
      <c r="Y712" s="1" t="s">
        <v>52</v>
      </c>
      <c r="Z712" s="1" t="s">
        <v>42</v>
      </c>
      <c r="AA712">
        <v>8.3333333333333329E-2</v>
      </c>
      <c r="AB712" s="1" t="s">
        <v>43</v>
      </c>
      <c r="AC712">
        <v>3</v>
      </c>
      <c r="AD712" s="2">
        <v>44409</v>
      </c>
      <c r="AE712" s="1" t="s">
        <v>53</v>
      </c>
      <c r="AF712" s="1" t="s">
        <v>72</v>
      </c>
      <c r="AG712" s="1" t="s">
        <v>63</v>
      </c>
      <c r="AH712" s="1" t="s">
        <v>47</v>
      </c>
      <c r="AI712">
        <v>27669</v>
      </c>
      <c r="AJ712">
        <v>-120.29999999999927</v>
      </c>
    </row>
    <row r="713" spans="1:36" x14ac:dyDescent="0.25">
      <c r="A713">
        <v>10712</v>
      </c>
      <c r="B713">
        <v>35</v>
      </c>
      <c r="C713" s="1" t="s">
        <v>60</v>
      </c>
      <c r="D713" s="1" t="s">
        <v>37</v>
      </c>
      <c r="E713" s="2">
        <v>44910</v>
      </c>
      <c r="F713" s="2">
        <v>44579</v>
      </c>
      <c r="G713" s="1" t="s">
        <v>49</v>
      </c>
      <c r="H713">
        <v>538</v>
      </c>
      <c r="I713">
        <v>11</v>
      </c>
      <c r="J713">
        <v>2</v>
      </c>
      <c r="K713">
        <v>99.11</v>
      </c>
      <c r="L713">
        <v>20</v>
      </c>
      <c r="M713" s="1" t="s">
        <v>50</v>
      </c>
      <c r="N713" s="1" t="s">
        <v>40</v>
      </c>
      <c r="O713">
        <v>5810.4</v>
      </c>
      <c r="P713" t="b">
        <v>0</v>
      </c>
      <c r="Q713">
        <v>0.91666666666666663</v>
      </c>
      <c r="R713">
        <v>528.21818181818173</v>
      </c>
      <c r="S713">
        <v>33.036666666666669</v>
      </c>
      <c r="T713" s="2">
        <v>44896</v>
      </c>
      <c r="U713" s="1" t="s">
        <v>57</v>
      </c>
      <c r="V713">
        <v>1</v>
      </c>
      <c r="W713" s="1" t="s">
        <v>56</v>
      </c>
      <c r="Y713" s="1" t="s">
        <v>43</v>
      </c>
      <c r="Z713" s="1" t="s">
        <v>52</v>
      </c>
      <c r="AA713">
        <v>0.16666666666666666</v>
      </c>
      <c r="AB713" s="1" t="s">
        <v>42</v>
      </c>
      <c r="AC713">
        <v>3</v>
      </c>
      <c r="AD713" s="2">
        <v>44896</v>
      </c>
      <c r="AE713" s="1" t="s">
        <v>74</v>
      </c>
      <c r="AF713" s="1" t="s">
        <v>72</v>
      </c>
      <c r="AG713" s="1" t="s">
        <v>63</v>
      </c>
      <c r="AH713" s="1" t="s">
        <v>64</v>
      </c>
      <c r="AI713">
        <v>5918</v>
      </c>
      <c r="AJ713">
        <v>-107.60000000000036</v>
      </c>
    </row>
    <row r="714" spans="1:36" x14ac:dyDescent="0.25">
      <c r="A714">
        <v>10713</v>
      </c>
      <c r="B714">
        <v>22</v>
      </c>
      <c r="C714" s="1" t="s">
        <v>75</v>
      </c>
      <c r="D714" s="1" t="s">
        <v>61</v>
      </c>
      <c r="E714" s="2">
        <v>44934</v>
      </c>
      <c r="F714" s="2">
        <v>44542</v>
      </c>
      <c r="G714" s="1" t="s">
        <v>38</v>
      </c>
      <c r="H714">
        <v>949</v>
      </c>
      <c r="I714">
        <v>33</v>
      </c>
      <c r="J714">
        <v>1</v>
      </c>
      <c r="K714">
        <v>6.96</v>
      </c>
      <c r="L714">
        <v>10</v>
      </c>
      <c r="M714" s="1" t="s">
        <v>50</v>
      </c>
      <c r="N714" s="1" t="s">
        <v>40</v>
      </c>
      <c r="O714">
        <v>31222.1</v>
      </c>
      <c r="P714" t="b">
        <v>0</v>
      </c>
      <c r="Q714">
        <v>2.75</v>
      </c>
      <c r="R714">
        <v>946.12424242424242</v>
      </c>
      <c r="S714">
        <v>3.48</v>
      </c>
      <c r="T714" s="2">
        <v>44927</v>
      </c>
      <c r="U714" s="1" t="s">
        <v>66</v>
      </c>
      <c r="V714">
        <v>1</v>
      </c>
      <c r="W714" s="1" t="s">
        <v>40</v>
      </c>
      <c r="Y714" s="1" t="s">
        <v>42</v>
      </c>
      <c r="Z714" s="1" t="s">
        <v>42</v>
      </c>
      <c r="AA714">
        <v>2.9411764705882353E-2</v>
      </c>
      <c r="AB714" s="1" t="s">
        <v>43</v>
      </c>
      <c r="AC714">
        <v>1</v>
      </c>
      <c r="AD714" s="2">
        <v>44927</v>
      </c>
      <c r="AE714" s="1" t="s">
        <v>44</v>
      </c>
      <c r="AF714" s="1" t="s">
        <v>54</v>
      </c>
      <c r="AG714" s="1" t="s">
        <v>77</v>
      </c>
      <c r="AH714" s="1" t="s">
        <v>59</v>
      </c>
      <c r="AI714">
        <v>31317</v>
      </c>
      <c r="AJ714">
        <v>-94.900000000001455</v>
      </c>
    </row>
    <row r="715" spans="1:36" x14ac:dyDescent="0.25">
      <c r="A715">
        <v>10714</v>
      </c>
      <c r="B715">
        <v>64</v>
      </c>
      <c r="C715" s="1" t="s">
        <v>36</v>
      </c>
      <c r="D715" s="1" t="s">
        <v>73</v>
      </c>
      <c r="E715" s="2">
        <v>44432</v>
      </c>
      <c r="F715" s="2">
        <v>45208</v>
      </c>
      <c r="G715" s="1" t="s">
        <v>62</v>
      </c>
      <c r="H715">
        <v>1183</v>
      </c>
      <c r="I715">
        <v>20</v>
      </c>
      <c r="J715">
        <v>0</v>
      </c>
      <c r="K715">
        <v>71.94</v>
      </c>
      <c r="L715">
        <v>20</v>
      </c>
      <c r="M715" s="1" t="s">
        <v>50</v>
      </c>
      <c r="N715" s="1" t="s">
        <v>56</v>
      </c>
      <c r="O715">
        <v>23423.4</v>
      </c>
      <c r="P715" t="b">
        <v>1</v>
      </c>
      <c r="Q715">
        <v>1.6666666666666667</v>
      </c>
      <c r="R715">
        <v>1171.17</v>
      </c>
      <c r="S715">
        <v>71.94</v>
      </c>
      <c r="T715" s="2">
        <v>44409</v>
      </c>
      <c r="U715" s="1" t="s">
        <v>41</v>
      </c>
      <c r="V715">
        <v>0</v>
      </c>
      <c r="W715" s="1" t="s">
        <v>40</v>
      </c>
      <c r="X715">
        <v>776</v>
      </c>
      <c r="Y715" s="1" t="s">
        <v>43</v>
      </c>
      <c r="Z715" s="1" t="s">
        <v>52</v>
      </c>
      <c r="AA715">
        <v>0</v>
      </c>
      <c r="AB715" s="1" t="s">
        <v>43</v>
      </c>
      <c r="AC715">
        <v>2</v>
      </c>
      <c r="AD715" s="2">
        <v>44409</v>
      </c>
      <c r="AE715" s="1" t="s">
        <v>53</v>
      </c>
      <c r="AF715" s="1" t="s">
        <v>54</v>
      </c>
      <c r="AG715" s="1" t="s">
        <v>63</v>
      </c>
      <c r="AH715" s="1" t="s">
        <v>47</v>
      </c>
      <c r="AI715">
        <v>23660</v>
      </c>
      <c r="AJ715">
        <v>-236.59999999999854</v>
      </c>
    </row>
    <row r="716" spans="1:36" x14ac:dyDescent="0.25">
      <c r="A716">
        <v>10715</v>
      </c>
      <c r="B716">
        <v>42</v>
      </c>
      <c r="C716" s="1" t="s">
        <v>60</v>
      </c>
      <c r="D716" s="1" t="s">
        <v>69</v>
      </c>
      <c r="E716" s="2">
        <v>44379</v>
      </c>
      <c r="F716" s="2">
        <v>44889</v>
      </c>
      <c r="G716" s="1" t="s">
        <v>38</v>
      </c>
      <c r="H716">
        <v>1499</v>
      </c>
      <c r="I716">
        <v>25</v>
      </c>
      <c r="J716">
        <v>2</v>
      </c>
      <c r="K716">
        <v>106.29</v>
      </c>
      <c r="L716">
        <v>20</v>
      </c>
      <c r="M716" s="1" t="s">
        <v>67</v>
      </c>
      <c r="N716" s="1" t="s">
        <v>56</v>
      </c>
      <c r="O716">
        <v>37175.199999999997</v>
      </c>
      <c r="P716" t="b">
        <v>1</v>
      </c>
      <c r="Q716">
        <v>2.0833333333333335</v>
      </c>
      <c r="R716">
        <v>1487.0079999999998</v>
      </c>
      <c r="S716">
        <v>35.43</v>
      </c>
      <c r="T716" s="2">
        <v>44378</v>
      </c>
      <c r="U716" s="1" t="s">
        <v>51</v>
      </c>
      <c r="V716">
        <v>0</v>
      </c>
      <c r="W716" s="1" t="s">
        <v>40</v>
      </c>
      <c r="X716">
        <v>510</v>
      </c>
      <c r="Y716" s="1" t="s">
        <v>43</v>
      </c>
      <c r="Z716" s="1" t="s">
        <v>52</v>
      </c>
      <c r="AA716">
        <v>7.6923076923076927E-2</v>
      </c>
      <c r="AB716" s="1" t="s">
        <v>43</v>
      </c>
      <c r="AC716">
        <v>1</v>
      </c>
      <c r="AD716" s="2">
        <v>44378</v>
      </c>
      <c r="AE716" s="1" t="s">
        <v>44</v>
      </c>
      <c r="AF716" s="1" t="s">
        <v>72</v>
      </c>
      <c r="AG716" s="1" t="s">
        <v>63</v>
      </c>
      <c r="AH716" s="1" t="s">
        <v>47</v>
      </c>
      <c r="AI716">
        <v>37475</v>
      </c>
      <c r="AJ716">
        <v>-299.80000000000291</v>
      </c>
    </row>
    <row r="717" spans="1:36" x14ac:dyDescent="0.25">
      <c r="A717">
        <v>10716</v>
      </c>
      <c r="B717">
        <v>19</v>
      </c>
      <c r="C717" s="1" t="s">
        <v>60</v>
      </c>
      <c r="D717" s="1" t="s">
        <v>71</v>
      </c>
      <c r="E717" s="2">
        <v>44908</v>
      </c>
      <c r="F717" s="2">
        <v>44706</v>
      </c>
      <c r="G717" s="1" t="s">
        <v>38</v>
      </c>
      <c r="H717">
        <v>709</v>
      </c>
      <c r="I717">
        <v>26</v>
      </c>
      <c r="J717">
        <v>3</v>
      </c>
      <c r="K717">
        <v>30.02</v>
      </c>
      <c r="L717">
        <v>20</v>
      </c>
      <c r="M717" s="1" t="s">
        <v>50</v>
      </c>
      <c r="N717" s="1" t="s">
        <v>56</v>
      </c>
      <c r="O717">
        <v>18292.2</v>
      </c>
      <c r="P717" t="b">
        <v>0</v>
      </c>
      <c r="Q717">
        <v>2.1666666666666665</v>
      </c>
      <c r="R717">
        <v>703.54615384615386</v>
      </c>
      <c r="S717">
        <v>7.5049999999999999</v>
      </c>
      <c r="T717" s="2">
        <v>44896</v>
      </c>
      <c r="U717" s="1" t="s">
        <v>66</v>
      </c>
      <c r="V717">
        <v>0</v>
      </c>
      <c r="W717" s="1" t="s">
        <v>40</v>
      </c>
      <c r="Y717" s="1" t="s">
        <v>52</v>
      </c>
      <c r="Z717" s="1" t="s">
        <v>52</v>
      </c>
      <c r="AA717">
        <v>0.1111111111111111</v>
      </c>
      <c r="AB717" s="1" t="s">
        <v>52</v>
      </c>
      <c r="AC717">
        <v>1</v>
      </c>
      <c r="AD717" s="2">
        <v>44896</v>
      </c>
      <c r="AE717" s="1" t="s">
        <v>44</v>
      </c>
      <c r="AF717" s="1" t="s">
        <v>72</v>
      </c>
      <c r="AG717" s="1" t="s">
        <v>55</v>
      </c>
      <c r="AH717" s="1" t="s">
        <v>59</v>
      </c>
      <c r="AI717">
        <v>18434</v>
      </c>
      <c r="AJ717">
        <v>-141.79999999999927</v>
      </c>
    </row>
    <row r="718" spans="1:36" x14ac:dyDescent="0.25">
      <c r="A718">
        <v>10717</v>
      </c>
      <c r="B718">
        <v>27</v>
      </c>
      <c r="C718" s="1" t="s">
        <v>60</v>
      </c>
      <c r="D718" s="1" t="s">
        <v>48</v>
      </c>
      <c r="E718" s="2">
        <v>45065</v>
      </c>
      <c r="F718" s="2">
        <v>45197</v>
      </c>
      <c r="G718" s="1" t="s">
        <v>38</v>
      </c>
      <c r="H718">
        <v>1025</v>
      </c>
      <c r="I718">
        <v>12</v>
      </c>
      <c r="J718">
        <v>1</v>
      </c>
      <c r="K718">
        <v>26.07</v>
      </c>
      <c r="L718">
        <v>0</v>
      </c>
      <c r="M718" s="1" t="s">
        <v>67</v>
      </c>
      <c r="N718" s="1" t="s">
        <v>56</v>
      </c>
      <c r="O718">
        <v>12300</v>
      </c>
      <c r="P718" t="b">
        <v>1</v>
      </c>
      <c r="Q718">
        <v>1</v>
      </c>
      <c r="R718">
        <v>1025</v>
      </c>
      <c r="S718">
        <v>13.035</v>
      </c>
      <c r="T718" s="2">
        <v>45047</v>
      </c>
      <c r="U718" s="1" t="s">
        <v>57</v>
      </c>
      <c r="V718">
        <v>0</v>
      </c>
      <c r="W718" s="1" t="s">
        <v>56</v>
      </c>
      <c r="X718">
        <v>132</v>
      </c>
      <c r="Y718" s="1" t="s">
        <v>52</v>
      </c>
      <c r="Z718" s="1" t="s">
        <v>42</v>
      </c>
      <c r="AA718">
        <v>7.6923076923076927E-2</v>
      </c>
      <c r="AB718" s="1" t="s">
        <v>52</v>
      </c>
      <c r="AC718">
        <v>1</v>
      </c>
      <c r="AD718" s="2">
        <v>45047</v>
      </c>
      <c r="AE718" s="1" t="s">
        <v>74</v>
      </c>
      <c r="AF718" s="1" t="s">
        <v>54</v>
      </c>
      <c r="AG718" s="1" t="s">
        <v>70</v>
      </c>
      <c r="AH718" s="1" t="s">
        <v>47</v>
      </c>
      <c r="AI718">
        <v>12300</v>
      </c>
      <c r="AJ718">
        <v>0</v>
      </c>
    </row>
    <row r="719" spans="1:36" x14ac:dyDescent="0.25">
      <c r="A719">
        <v>10718</v>
      </c>
      <c r="B719">
        <v>41</v>
      </c>
      <c r="C719" s="1" t="s">
        <v>36</v>
      </c>
      <c r="D719" s="1" t="s">
        <v>69</v>
      </c>
      <c r="E719" s="2">
        <v>44954</v>
      </c>
      <c r="F719" s="2">
        <v>44678</v>
      </c>
      <c r="G719" s="1" t="s">
        <v>62</v>
      </c>
      <c r="H719">
        <v>1346</v>
      </c>
      <c r="I719">
        <v>32</v>
      </c>
      <c r="J719">
        <v>2</v>
      </c>
      <c r="K719">
        <v>93.81</v>
      </c>
      <c r="L719">
        <v>10</v>
      </c>
      <c r="M719" s="1" t="s">
        <v>67</v>
      </c>
      <c r="N719" s="1" t="s">
        <v>40</v>
      </c>
      <c r="O719">
        <v>42937.4</v>
      </c>
      <c r="P719" t="b">
        <v>0</v>
      </c>
      <c r="Q719">
        <v>2.6666666666666665</v>
      </c>
      <c r="R719">
        <v>1341.79375</v>
      </c>
      <c r="S719">
        <v>31.27</v>
      </c>
      <c r="T719" s="2">
        <v>44927</v>
      </c>
      <c r="U719" s="1" t="s">
        <v>51</v>
      </c>
      <c r="V719">
        <v>1</v>
      </c>
      <c r="W719" s="1" t="s">
        <v>40</v>
      </c>
      <c r="Y719" s="1" t="s">
        <v>43</v>
      </c>
      <c r="Z719" s="1" t="s">
        <v>42</v>
      </c>
      <c r="AA719">
        <v>6.0606060606060608E-2</v>
      </c>
      <c r="AB719" s="1" t="s">
        <v>43</v>
      </c>
      <c r="AC719">
        <v>2</v>
      </c>
      <c r="AD719" s="2">
        <v>44927</v>
      </c>
      <c r="AE719" s="1" t="s">
        <v>44</v>
      </c>
      <c r="AF719" s="1" t="s">
        <v>72</v>
      </c>
      <c r="AG719" s="1" t="s">
        <v>63</v>
      </c>
      <c r="AH719" s="1" t="s">
        <v>47</v>
      </c>
      <c r="AI719">
        <v>43072</v>
      </c>
      <c r="AJ719">
        <v>-134.59999999999854</v>
      </c>
    </row>
    <row r="720" spans="1:36" x14ac:dyDescent="0.25">
      <c r="A720">
        <v>10719</v>
      </c>
      <c r="B720">
        <v>62</v>
      </c>
      <c r="C720" s="1" t="s">
        <v>60</v>
      </c>
      <c r="D720" s="1" t="s">
        <v>73</v>
      </c>
      <c r="E720" s="2">
        <v>44640</v>
      </c>
      <c r="F720" s="2">
        <v>44774</v>
      </c>
      <c r="G720" s="1" t="s">
        <v>62</v>
      </c>
      <c r="H720">
        <v>617</v>
      </c>
      <c r="I720">
        <v>33</v>
      </c>
      <c r="J720">
        <v>4</v>
      </c>
      <c r="K720">
        <v>34.33</v>
      </c>
      <c r="L720">
        <v>15</v>
      </c>
      <c r="M720" s="1" t="s">
        <v>50</v>
      </c>
      <c r="N720" s="1" t="s">
        <v>56</v>
      </c>
      <c r="O720">
        <v>20268.45</v>
      </c>
      <c r="P720" t="b">
        <v>1</v>
      </c>
      <c r="Q720">
        <v>2.75</v>
      </c>
      <c r="R720">
        <v>614.1954545454546</v>
      </c>
      <c r="S720">
        <v>6.8659999999999997</v>
      </c>
      <c r="T720" s="2">
        <v>44621</v>
      </c>
      <c r="U720" s="1" t="s">
        <v>41</v>
      </c>
      <c r="V720">
        <v>0</v>
      </c>
      <c r="W720" s="1" t="s">
        <v>40</v>
      </c>
      <c r="X720">
        <v>134</v>
      </c>
      <c r="Y720" s="1" t="s">
        <v>52</v>
      </c>
      <c r="Z720" s="1" t="s">
        <v>42</v>
      </c>
      <c r="AA720">
        <v>0.11764705882352941</v>
      </c>
      <c r="AB720" s="1" t="s">
        <v>43</v>
      </c>
      <c r="AC720">
        <v>2</v>
      </c>
      <c r="AD720" s="2">
        <v>44621</v>
      </c>
      <c r="AE720" s="1" t="s">
        <v>44</v>
      </c>
      <c r="AF720" s="1" t="s">
        <v>45</v>
      </c>
      <c r="AG720" s="1" t="s">
        <v>55</v>
      </c>
      <c r="AH720" s="1" t="s">
        <v>64</v>
      </c>
      <c r="AI720">
        <v>20361</v>
      </c>
      <c r="AJ720">
        <v>-92.549999999999272</v>
      </c>
    </row>
    <row r="721" spans="1:36" x14ac:dyDescent="0.25">
      <c r="A721">
        <v>10720</v>
      </c>
      <c r="B721">
        <v>22</v>
      </c>
      <c r="C721" s="1" t="s">
        <v>60</v>
      </c>
      <c r="D721" s="1" t="s">
        <v>37</v>
      </c>
      <c r="E721" s="2">
        <v>45061</v>
      </c>
      <c r="F721" s="2">
        <v>44844</v>
      </c>
      <c r="G721" s="1" t="s">
        <v>38</v>
      </c>
      <c r="H721">
        <v>824</v>
      </c>
      <c r="I721">
        <v>10</v>
      </c>
      <c r="J721">
        <v>2</v>
      </c>
      <c r="K721">
        <v>27.08</v>
      </c>
      <c r="L721">
        <v>5</v>
      </c>
      <c r="M721" s="1" t="s">
        <v>67</v>
      </c>
      <c r="N721" s="1" t="s">
        <v>56</v>
      </c>
      <c r="O721">
        <v>8198.7999999999993</v>
      </c>
      <c r="P721" t="b">
        <v>0</v>
      </c>
      <c r="Q721">
        <v>0.83333333333333337</v>
      </c>
      <c r="R721">
        <v>819.87999999999988</v>
      </c>
      <c r="S721">
        <v>9.0266666666666655</v>
      </c>
      <c r="T721" s="2">
        <v>45047</v>
      </c>
      <c r="U721" s="1" t="s">
        <v>66</v>
      </c>
      <c r="V721">
        <v>0</v>
      </c>
      <c r="W721" s="1" t="s">
        <v>56</v>
      </c>
      <c r="Y721" s="1" t="s">
        <v>52</v>
      </c>
      <c r="Z721" s="1" t="s">
        <v>42</v>
      </c>
      <c r="AA721">
        <v>0.18181818181818182</v>
      </c>
      <c r="AB721" s="1" t="s">
        <v>42</v>
      </c>
      <c r="AC721">
        <v>1</v>
      </c>
      <c r="AD721" s="2">
        <v>45047</v>
      </c>
      <c r="AE721" s="1" t="s">
        <v>74</v>
      </c>
      <c r="AF721" s="1" t="s">
        <v>72</v>
      </c>
      <c r="AG721" s="1" t="s">
        <v>70</v>
      </c>
      <c r="AH721" s="1" t="s">
        <v>59</v>
      </c>
      <c r="AI721">
        <v>8240</v>
      </c>
      <c r="AJ721">
        <v>-41.200000000000728</v>
      </c>
    </row>
    <row r="722" spans="1:36" x14ac:dyDescent="0.25">
      <c r="A722">
        <v>10721</v>
      </c>
      <c r="B722">
        <v>50</v>
      </c>
      <c r="C722" s="1" t="s">
        <v>60</v>
      </c>
      <c r="D722" s="1" t="s">
        <v>71</v>
      </c>
      <c r="E722" s="2">
        <v>44819</v>
      </c>
      <c r="F722" s="2">
        <v>45175</v>
      </c>
      <c r="G722" s="1" t="s">
        <v>62</v>
      </c>
      <c r="H722">
        <v>1204</v>
      </c>
      <c r="I722">
        <v>4</v>
      </c>
      <c r="J722">
        <v>2</v>
      </c>
      <c r="K722">
        <v>48.47</v>
      </c>
      <c r="L722">
        <v>15</v>
      </c>
      <c r="M722" s="1" t="s">
        <v>65</v>
      </c>
      <c r="N722" s="1" t="s">
        <v>56</v>
      </c>
      <c r="O722">
        <v>4635.3999999999996</v>
      </c>
      <c r="P722" t="b">
        <v>1</v>
      </c>
      <c r="Q722">
        <v>0.33333333333333331</v>
      </c>
      <c r="R722">
        <v>1158.8499999999999</v>
      </c>
      <c r="S722">
        <v>16.156666666666666</v>
      </c>
      <c r="T722" s="2">
        <v>44805</v>
      </c>
      <c r="U722" s="1" t="s">
        <v>51</v>
      </c>
      <c r="V722">
        <v>0</v>
      </c>
      <c r="W722" s="1" t="s">
        <v>56</v>
      </c>
      <c r="X722">
        <v>356</v>
      </c>
      <c r="Y722" s="1" t="s">
        <v>52</v>
      </c>
      <c r="Z722" s="1" t="s">
        <v>42</v>
      </c>
      <c r="AA722">
        <v>0.4</v>
      </c>
      <c r="AB722" s="1" t="s">
        <v>42</v>
      </c>
      <c r="AC722">
        <v>2</v>
      </c>
      <c r="AD722" s="2">
        <v>44805</v>
      </c>
      <c r="AE722" s="1" t="s">
        <v>58</v>
      </c>
      <c r="AF722" s="1" t="s">
        <v>72</v>
      </c>
      <c r="AG722" s="1" t="s">
        <v>63</v>
      </c>
      <c r="AH722" s="1" t="s">
        <v>47</v>
      </c>
      <c r="AI722">
        <v>4816</v>
      </c>
      <c r="AJ722">
        <v>-180.60000000000036</v>
      </c>
    </row>
    <row r="723" spans="1:36" x14ac:dyDescent="0.25">
      <c r="A723">
        <v>10722</v>
      </c>
      <c r="B723">
        <v>18</v>
      </c>
      <c r="C723" s="1" t="s">
        <v>60</v>
      </c>
      <c r="D723" s="1" t="s">
        <v>69</v>
      </c>
      <c r="E723" s="2">
        <v>44202</v>
      </c>
      <c r="F723" s="2">
        <v>44833</v>
      </c>
      <c r="G723" s="1" t="s">
        <v>38</v>
      </c>
      <c r="H723">
        <v>1323</v>
      </c>
      <c r="I723">
        <v>15</v>
      </c>
      <c r="J723">
        <v>2</v>
      </c>
      <c r="K723">
        <v>50.14</v>
      </c>
      <c r="L723">
        <v>10</v>
      </c>
      <c r="M723" s="1" t="s">
        <v>39</v>
      </c>
      <c r="N723" s="1" t="s">
        <v>56</v>
      </c>
      <c r="O723">
        <v>19712.7</v>
      </c>
      <c r="P723" t="b">
        <v>1</v>
      </c>
      <c r="Q723">
        <v>1.25</v>
      </c>
      <c r="R723">
        <v>1314.18</v>
      </c>
      <c r="S723">
        <v>16.713333333333335</v>
      </c>
      <c r="T723" s="2">
        <v>44197</v>
      </c>
      <c r="U723" s="1" t="s">
        <v>66</v>
      </c>
      <c r="V723">
        <v>0</v>
      </c>
      <c r="W723" s="1" t="s">
        <v>40</v>
      </c>
      <c r="X723">
        <v>631</v>
      </c>
      <c r="Y723" s="1" t="s">
        <v>52</v>
      </c>
      <c r="Z723" s="1" t="s">
        <v>42</v>
      </c>
      <c r="AA723">
        <v>0.125</v>
      </c>
      <c r="AB723" s="1" t="s">
        <v>43</v>
      </c>
      <c r="AC723">
        <v>1</v>
      </c>
      <c r="AD723" s="2">
        <v>44197</v>
      </c>
      <c r="AE723" s="1" t="s">
        <v>53</v>
      </c>
      <c r="AF723" s="1" t="s">
        <v>72</v>
      </c>
      <c r="AG723" s="1" t="s">
        <v>63</v>
      </c>
      <c r="AH723" s="1" t="s">
        <v>47</v>
      </c>
      <c r="AI723">
        <v>19845</v>
      </c>
      <c r="AJ723">
        <v>-132.29999999999927</v>
      </c>
    </row>
    <row r="724" spans="1:36" x14ac:dyDescent="0.25">
      <c r="A724">
        <v>10723</v>
      </c>
      <c r="B724">
        <v>35</v>
      </c>
      <c r="C724" s="1" t="s">
        <v>36</v>
      </c>
      <c r="D724" s="1" t="s">
        <v>71</v>
      </c>
      <c r="E724" s="2">
        <v>44432</v>
      </c>
      <c r="F724" s="2">
        <v>45155</v>
      </c>
      <c r="G724" s="1" t="s">
        <v>62</v>
      </c>
      <c r="H724">
        <v>919</v>
      </c>
      <c r="I724">
        <v>6</v>
      </c>
      <c r="J724">
        <v>2</v>
      </c>
      <c r="K724">
        <v>105.52</v>
      </c>
      <c r="L724">
        <v>5</v>
      </c>
      <c r="M724" s="1" t="s">
        <v>50</v>
      </c>
      <c r="N724" s="1" t="s">
        <v>56</v>
      </c>
      <c r="O724">
        <v>5468.05</v>
      </c>
      <c r="P724" t="b">
        <v>1</v>
      </c>
      <c r="Q724">
        <v>0.5</v>
      </c>
      <c r="R724">
        <v>911.3416666666667</v>
      </c>
      <c r="S724">
        <v>35.173333333333332</v>
      </c>
      <c r="T724" s="2">
        <v>44409</v>
      </c>
      <c r="U724" s="1" t="s">
        <v>57</v>
      </c>
      <c r="V724">
        <v>0</v>
      </c>
      <c r="W724" s="1" t="s">
        <v>56</v>
      </c>
      <c r="X724">
        <v>723</v>
      </c>
      <c r="Y724" s="1" t="s">
        <v>43</v>
      </c>
      <c r="Z724" s="1" t="s">
        <v>42</v>
      </c>
      <c r="AA724">
        <v>0.2857142857142857</v>
      </c>
      <c r="AB724" s="1" t="s">
        <v>42</v>
      </c>
      <c r="AC724">
        <v>2</v>
      </c>
      <c r="AD724" s="2">
        <v>44409</v>
      </c>
      <c r="AE724" s="1" t="s">
        <v>58</v>
      </c>
      <c r="AF724" s="1" t="s">
        <v>72</v>
      </c>
      <c r="AG724" s="1" t="s">
        <v>63</v>
      </c>
      <c r="AH724" s="1" t="s">
        <v>59</v>
      </c>
      <c r="AI724">
        <v>5514</v>
      </c>
      <c r="AJ724">
        <v>-45.949999999999818</v>
      </c>
    </row>
    <row r="725" spans="1:36" x14ac:dyDescent="0.25">
      <c r="A725">
        <v>10724</v>
      </c>
      <c r="B725">
        <v>49</v>
      </c>
      <c r="C725" s="1" t="s">
        <v>60</v>
      </c>
      <c r="D725" s="1" t="s">
        <v>48</v>
      </c>
      <c r="E725" s="2">
        <v>44323</v>
      </c>
      <c r="F725" s="2">
        <v>44796</v>
      </c>
      <c r="G725" s="1" t="s">
        <v>38</v>
      </c>
      <c r="H725">
        <v>1252</v>
      </c>
      <c r="I725">
        <v>27</v>
      </c>
      <c r="J725">
        <v>3</v>
      </c>
      <c r="K725">
        <v>76.12</v>
      </c>
      <c r="L725">
        <v>15</v>
      </c>
      <c r="M725" s="1" t="s">
        <v>50</v>
      </c>
      <c r="N725" s="1" t="s">
        <v>40</v>
      </c>
      <c r="O725">
        <v>33616.199999999997</v>
      </c>
      <c r="P725" t="b">
        <v>1</v>
      </c>
      <c r="Q725">
        <v>2.25</v>
      </c>
      <c r="R725">
        <v>1245.0444444444443</v>
      </c>
      <c r="S725">
        <v>19.03</v>
      </c>
      <c r="T725" s="2">
        <v>44317</v>
      </c>
      <c r="U725" s="1" t="s">
        <v>51</v>
      </c>
      <c r="V725">
        <v>1</v>
      </c>
      <c r="W725" s="1" t="s">
        <v>40</v>
      </c>
      <c r="X725">
        <v>473</v>
      </c>
      <c r="Y725" s="1" t="s">
        <v>43</v>
      </c>
      <c r="Z725" s="1" t="s">
        <v>42</v>
      </c>
      <c r="AA725">
        <v>0.10714285714285714</v>
      </c>
      <c r="AB725" s="1" t="s">
        <v>43</v>
      </c>
      <c r="AC725">
        <v>1</v>
      </c>
      <c r="AD725" s="2">
        <v>44317</v>
      </c>
      <c r="AE725" s="1" t="s">
        <v>44</v>
      </c>
      <c r="AF725" s="1" t="s">
        <v>72</v>
      </c>
      <c r="AG725" s="1" t="s">
        <v>63</v>
      </c>
      <c r="AH725" s="1" t="s">
        <v>47</v>
      </c>
      <c r="AI725">
        <v>33804</v>
      </c>
      <c r="AJ725">
        <v>-187.80000000000291</v>
      </c>
    </row>
    <row r="726" spans="1:36" x14ac:dyDescent="0.25">
      <c r="A726">
        <v>10725</v>
      </c>
      <c r="B726">
        <v>64</v>
      </c>
      <c r="C726" s="1" t="s">
        <v>36</v>
      </c>
      <c r="D726" s="1" t="s">
        <v>73</v>
      </c>
      <c r="E726" s="2">
        <v>44300</v>
      </c>
      <c r="F726" s="2">
        <v>44760</v>
      </c>
      <c r="G726" s="1" t="s">
        <v>38</v>
      </c>
      <c r="H726">
        <v>1431</v>
      </c>
      <c r="I726">
        <v>5</v>
      </c>
      <c r="J726">
        <v>2</v>
      </c>
      <c r="K726">
        <v>51.69</v>
      </c>
      <c r="L726">
        <v>5</v>
      </c>
      <c r="M726" s="1" t="s">
        <v>39</v>
      </c>
      <c r="N726" s="1" t="s">
        <v>56</v>
      </c>
      <c r="O726">
        <v>7083.45</v>
      </c>
      <c r="P726" t="b">
        <v>1</v>
      </c>
      <c r="Q726">
        <v>0.41666666666666669</v>
      </c>
      <c r="R726">
        <v>1416.69</v>
      </c>
      <c r="S726">
        <v>17.23</v>
      </c>
      <c r="T726" s="2">
        <v>44287</v>
      </c>
      <c r="U726" s="1" t="s">
        <v>41</v>
      </c>
      <c r="V726">
        <v>0</v>
      </c>
      <c r="W726" s="1" t="s">
        <v>56</v>
      </c>
      <c r="X726">
        <v>460</v>
      </c>
      <c r="Y726" s="1" t="s">
        <v>52</v>
      </c>
      <c r="Z726" s="1" t="s">
        <v>42</v>
      </c>
      <c r="AA726">
        <v>0.33333333333333331</v>
      </c>
      <c r="AB726" s="1" t="s">
        <v>42</v>
      </c>
      <c r="AC726">
        <v>1</v>
      </c>
      <c r="AD726" s="2">
        <v>44287</v>
      </c>
      <c r="AE726" s="1" t="s">
        <v>58</v>
      </c>
      <c r="AF726" s="1" t="s">
        <v>72</v>
      </c>
      <c r="AG726" s="1" t="s">
        <v>63</v>
      </c>
      <c r="AH726" s="1" t="s">
        <v>47</v>
      </c>
      <c r="AI726">
        <v>7155</v>
      </c>
      <c r="AJ726">
        <v>-71.550000000000182</v>
      </c>
    </row>
    <row r="727" spans="1:36" x14ac:dyDescent="0.25">
      <c r="A727">
        <v>10726</v>
      </c>
      <c r="B727">
        <v>28</v>
      </c>
      <c r="C727" s="1" t="s">
        <v>60</v>
      </c>
      <c r="D727" s="1" t="s">
        <v>37</v>
      </c>
      <c r="E727" s="2">
        <v>44945</v>
      </c>
      <c r="F727" s="2">
        <v>44677</v>
      </c>
      <c r="G727" s="1" t="s">
        <v>38</v>
      </c>
      <c r="H727">
        <v>1100</v>
      </c>
      <c r="I727">
        <v>5</v>
      </c>
      <c r="J727">
        <v>1</v>
      </c>
      <c r="K727">
        <v>66.45</v>
      </c>
      <c r="L727">
        <v>10</v>
      </c>
      <c r="M727" s="1" t="s">
        <v>50</v>
      </c>
      <c r="N727" s="1" t="s">
        <v>56</v>
      </c>
      <c r="O727">
        <v>5390</v>
      </c>
      <c r="P727" t="b">
        <v>0</v>
      </c>
      <c r="Q727">
        <v>0.41666666666666669</v>
      </c>
      <c r="R727">
        <v>1078</v>
      </c>
      <c r="S727">
        <v>33.225000000000001</v>
      </c>
      <c r="T727" s="2">
        <v>44927</v>
      </c>
      <c r="U727" s="1" t="s">
        <v>57</v>
      </c>
      <c r="V727">
        <v>0</v>
      </c>
      <c r="W727" s="1" t="s">
        <v>56</v>
      </c>
      <c r="Y727" s="1" t="s">
        <v>43</v>
      </c>
      <c r="Z727" s="1" t="s">
        <v>42</v>
      </c>
      <c r="AA727">
        <v>0.16666666666666666</v>
      </c>
      <c r="AB727" s="1" t="s">
        <v>42</v>
      </c>
      <c r="AC727">
        <v>1</v>
      </c>
      <c r="AD727" s="2">
        <v>44927</v>
      </c>
      <c r="AE727" s="1" t="s">
        <v>58</v>
      </c>
      <c r="AF727" s="1" t="s">
        <v>54</v>
      </c>
      <c r="AG727" s="1" t="s">
        <v>63</v>
      </c>
      <c r="AH727" s="1" t="s">
        <v>47</v>
      </c>
      <c r="AI727">
        <v>5500</v>
      </c>
      <c r="AJ727">
        <v>-110</v>
      </c>
    </row>
    <row r="728" spans="1:36" x14ac:dyDescent="0.25">
      <c r="A728">
        <v>10727</v>
      </c>
      <c r="B728">
        <v>38</v>
      </c>
      <c r="C728" s="1" t="s">
        <v>60</v>
      </c>
      <c r="D728" s="1" t="s">
        <v>73</v>
      </c>
      <c r="E728" s="2">
        <v>44676</v>
      </c>
      <c r="F728" s="2">
        <v>45079</v>
      </c>
      <c r="G728" s="1" t="s">
        <v>38</v>
      </c>
      <c r="H728">
        <v>1215</v>
      </c>
      <c r="I728">
        <v>18</v>
      </c>
      <c r="J728">
        <v>2</v>
      </c>
      <c r="K728">
        <v>114.71</v>
      </c>
      <c r="L728">
        <v>20</v>
      </c>
      <c r="M728" s="1" t="s">
        <v>50</v>
      </c>
      <c r="N728" s="1" t="s">
        <v>56</v>
      </c>
      <c r="O728">
        <v>21627</v>
      </c>
      <c r="P728" t="b">
        <v>1</v>
      </c>
      <c r="Q728">
        <v>1.5</v>
      </c>
      <c r="R728">
        <v>1201.5</v>
      </c>
      <c r="S728">
        <v>38.236666666666665</v>
      </c>
      <c r="T728" s="2">
        <v>44652</v>
      </c>
      <c r="U728" s="1" t="s">
        <v>51</v>
      </c>
      <c r="V728">
        <v>0</v>
      </c>
      <c r="W728" s="1" t="s">
        <v>40</v>
      </c>
      <c r="X728">
        <v>403</v>
      </c>
      <c r="Y728" s="1" t="s">
        <v>43</v>
      </c>
      <c r="Z728" s="1" t="s">
        <v>52</v>
      </c>
      <c r="AA728">
        <v>0.10526315789473684</v>
      </c>
      <c r="AB728" s="1" t="s">
        <v>43</v>
      </c>
      <c r="AC728">
        <v>1</v>
      </c>
      <c r="AD728" s="2">
        <v>44652</v>
      </c>
      <c r="AE728" s="1" t="s">
        <v>53</v>
      </c>
      <c r="AF728" s="1" t="s">
        <v>72</v>
      </c>
      <c r="AG728" s="1" t="s">
        <v>63</v>
      </c>
      <c r="AH728" s="1" t="s">
        <v>47</v>
      </c>
      <c r="AI728">
        <v>21870</v>
      </c>
      <c r="AJ728">
        <v>-243</v>
      </c>
    </row>
    <row r="729" spans="1:36" x14ac:dyDescent="0.25">
      <c r="A729">
        <v>10728</v>
      </c>
      <c r="B729">
        <v>43</v>
      </c>
      <c r="C729" s="1" t="s">
        <v>60</v>
      </c>
      <c r="D729" s="1" t="s">
        <v>71</v>
      </c>
      <c r="E729" s="2">
        <v>44351</v>
      </c>
      <c r="F729" s="2">
        <v>45236</v>
      </c>
      <c r="G729" s="1" t="s">
        <v>62</v>
      </c>
      <c r="H729">
        <v>1499</v>
      </c>
      <c r="I729">
        <v>28</v>
      </c>
      <c r="J729">
        <v>2</v>
      </c>
      <c r="K729">
        <v>18.02</v>
      </c>
      <c r="L729">
        <v>10</v>
      </c>
      <c r="M729" s="1" t="s">
        <v>39</v>
      </c>
      <c r="N729" s="1" t="s">
        <v>56</v>
      </c>
      <c r="O729">
        <v>41822.1</v>
      </c>
      <c r="P729" t="b">
        <v>1</v>
      </c>
      <c r="Q729">
        <v>2.3333333333333335</v>
      </c>
      <c r="R729">
        <v>1493.6464285714285</v>
      </c>
      <c r="S729">
        <v>6.0066666666666668</v>
      </c>
      <c r="T729" s="2">
        <v>44348</v>
      </c>
      <c r="U729" s="1" t="s">
        <v>51</v>
      </c>
      <c r="V729">
        <v>0</v>
      </c>
      <c r="W729" s="1" t="s">
        <v>40</v>
      </c>
      <c r="X729">
        <v>885</v>
      </c>
      <c r="Y729" s="1" t="s">
        <v>42</v>
      </c>
      <c r="Z729" s="1" t="s">
        <v>42</v>
      </c>
      <c r="AA729">
        <v>6.8965517241379309E-2</v>
      </c>
      <c r="AB729" s="1" t="s">
        <v>43</v>
      </c>
      <c r="AC729">
        <v>2</v>
      </c>
      <c r="AD729" s="2">
        <v>44348</v>
      </c>
      <c r="AE729" s="1" t="s">
        <v>44</v>
      </c>
      <c r="AF729" s="1" t="s">
        <v>72</v>
      </c>
      <c r="AG729" s="1" t="s">
        <v>46</v>
      </c>
      <c r="AH729" s="1" t="s">
        <v>47</v>
      </c>
      <c r="AI729">
        <v>41972</v>
      </c>
      <c r="AJ729">
        <v>-149.90000000000146</v>
      </c>
    </row>
    <row r="730" spans="1:36" x14ac:dyDescent="0.25">
      <c r="A730">
        <v>10729</v>
      </c>
      <c r="B730">
        <v>42</v>
      </c>
      <c r="C730" s="1" t="s">
        <v>60</v>
      </c>
      <c r="D730" s="1" t="s">
        <v>69</v>
      </c>
      <c r="E730" s="2">
        <v>44453</v>
      </c>
      <c r="F730" s="2">
        <v>44494</v>
      </c>
      <c r="G730" s="1" t="s">
        <v>38</v>
      </c>
      <c r="H730">
        <v>619</v>
      </c>
      <c r="I730">
        <v>35</v>
      </c>
      <c r="J730">
        <v>1</v>
      </c>
      <c r="K730">
        <v>28.89</v>
      </c>
      <c r="L730">
        <v>0</v>
      </c>
      <c r="M730" s="1" t="s">
        <v>67</v>
      </c>
      <c r="N730" s="1" t="s">
        <v>56</v>
      </c>
      <c r="O730">
        <v>21665</v>
      </c>
      <c r="P730" t="b">
        <v>1</v>
      </c>
      <c r="Q730">
        <v>2.9166666666666665</v>
      </c>
      <c r="R730">
        <v>619</v>
      </c>
      <c r="S730">
        <v>14.445</v>
      </c>
      <c r="T730" s="2">
        <v>44440</v>
      </c>
      <c r="U730" s="1" t="s">
        <v>51</v>
      </c>
      <c r="V730">
        <v>0</v>
      </c>
      <c r="W730" s="1" t="s">
        <v>40</v>
      </c>
      <c r="X730">
        <v>41</v>
      </c>
      <c r="Y730" s="1" t="s">
        <v>52</v>
      </c>
      <c r="Z730" s="1" t="s">
        <v>42</v>
      </c>
      <c r="AA730">
        <v>2.7777777777777776E-2</v>
      </c>
      <c r="AB730" s="1" t="s">
        <v>43</v>
      </c>
      <c r="AC730">
        <v>1</v>
      </c>
      <c r="AD730" s="2">
        <v>44440</v>
      </c>
      <c r="AE730" s="1" t="s">
        <v>44</v>
      </c>
      <c r="AF730" s="1" t="s">
        <v>54</v>
      </c>
      <c r="AG730" s="1" t="s">
        <v>70</v>
      </c>
      <c r="AH730" s="1" t="s">
        <v>64</v>
      </c>
      <c r="AI730">
        <v>21665</v>
      </c>
      <c r="AJ730">
        <v>0</v>
      </c>
    </row>
    <row r="731" spans="1:36" x14ac:dyDescent="0.25">
      <c r="A731">
        <v>10730</v>
      </c>
      <c r="B731">
        <v>39</v>
      </c>
      <c r="C731" s="1" t="s">
        <v>75</v>
      </c>
      <c r="D731" s="1" t="s">
        <v>48</v>
      </c>
      <c r="E731" s="2">
        <v>44431</v>
      </c>
      <c r="F731" s="2">
        <v>44606</v>
      </c>
      <c r="G731" s="1" t="s">
        <v>62</v>
      </c>
      <c r="H731">
        <v>1175</v>
      </c>
      <c r="I731">
        <v>22</v>
      </c>
      <c r="J731">
        <v>2</v>
      </c>
      <c r="K731">
        <v>115.69</v>
      </c>
      <c r="L731">
        <v>5</v>
      </c>
      <c r="M731" s="1" t="s">
        <v>65</v>
      </c>
      <c r="N731" s="1" t="s">
        <v>56</v>
      </c>
      <c r="O731">
        <v>25791.25</v>
      </c>
      <c r="P731" t="b">
        <v>1</v>
      </c>
      <c r="Q731">
        <v>1.8333333333333333</v>
      </c>
      <c r="R731">
        <v>1172.3295454545455</v>
      </c>
      <c r="S731">
        <v>38.563333333333333</v>
      </c>
      <c r="T731" s="2">
        <v>44409</v>
      </c>
      <c r="U731" s="1" t="s">
        <v>51</v>
      </c>
      <c r="V731">
        <v>0</v>
      </c>
      <c r="W731" s="1" t="s">
        <v>40</v>
      </c>
      <c r="X731">
        <v>175</v>
      </c>
      <c r="Y731" s="1" t="s">
        <v>43</v>
      </c>
      <c r="Z731" s="1" t="s">
        <v>42</v>
      </c>
      <c r="AA731">
        <v>8.6956521739130432E-2</v>
      </c>
      <c r="AB731" s="1" t="s">
        <v>43</v>
      </c>
      <c r="AC731">
        <v>2</v>
      </c>
      <c r="AD731" s="2">
        <v>44409</v>
      </c>
      <c r="AE731" s="1" t="s">
        <v>53</v>
      </c>
      <c r="AF731" s="1" t="s">
        <v>72</v>
      </c>
      <c r="AG731" s="1" t="s">
        <v>63</v>
      </c>
      <c r="AH731" s="1" t="s">
        <v>47</v>
      </c>
      <c r="AI731">
        <v>25850</v>
      </c>
      <c r="AJ731">
        <v>-58.75</v>
      </c>
    </row>
    <row r="732" spans="1:36" x14ac:dyDescent="0.25">
      <c r="A732">
        <v>10731</v>
      </c>
      <c r="B732">
        <v>44</v>
      </c>
      <c r="C732" s="1" t="s">
        <v>36</v>
      </c>
      <c r="D732" s="1" t="s">
        <v>48</v>
      </c>
      <c r="E732" s="2">
        <v>44696</v>
      </c>
      <c r="F732" s="2">
        <v>44639</v>
      </c>
      <c r="G732" s="1" t="s">
        <v>38</v>
      </c>
      <c r="H732">
        <v>628</v>
      </c>
      <c r="I732">
        <v>34</v>
      </c>
      <c r="J732">
        <v>0</v>
      </c>
      <c r="K732">
        <v>115.09</v>
      </c>
      <c r="L732">
        <v>10</v>
      </c>
      <c r="M732" s="1" t="s">
        <v>67</v>
      </c>
      <c r="N732" s="1" t="s">
        <v>56</v>
      </c>
      <c r="O732">
        <v>21289.200000000001</v>
      </c>
      <c r="P732" t="b">
        <v>0</v>
      </c>
      <c r="Q732">
        <v>2.8333333333333335</v>
      </c>
      <c r="R732">
        <v>626.15294117647056</v>
      </c>
      <c r="S732">
        <v>115.09</v>
      </c>
      <c r="T732" s="2">
        <v>44682</v>
      </c>
      <c r="U732" s="1" t="s">
        <v>51</v>
      </c>
      <c r="V732">
        <v>0</v>
      </c>
      <c r="W732" s="1" t="s">
        <v>40</v>
      </c>
      <c r="Y732" s="1" t="s">
        <v>43</v>
      </c>
      <c r="Z732" s="1" t="s">
        <v>42</v>
      </c>
      <c r="AA732">
        <v>0</v>
      </c>
      <c r="AB732" s="1" t="s">
        <v>43</v>
      </c>
      <c r="AC732">
        <v>1</v>
      </c>
      <c r="AD732" s="2">
        <v>44682</v>
      </c>
      <c r="AE732" s="1" t="s">
        <v>44</v>
      </c>
      <c r="AF732" s="1" t="s">
        <v>54</v>
      </c>
      <c r="AG732" s="1" t="s">
        <v>63</v>
      </c>
      <c r="AH732" s="1" t="s">
        <v>64</v>
      </c>
      <c r="AI732">
        <v>21352</v>
      </c>
      <c r="AJ732">
        <v>-62.799999999999272</v>
      </c>
    </row>
    <row r="733" spans="1:36" x14ac:dyDescent="0.25">
      <c r="A733">
        <v>10732</v>
      </c>
      <c r="B733">
        <v>30</v>
      </c>
      <c r="C733" s="1" t="s">
        <v>60</v>
      </c>
      <c r="D733" s="1" t="s">
        <v>73</v>
      </c>
      <c r="E733" s="2">
        <v>44485</v>
      </c>
      <c r="F733" s="2">
        <v>45158</v>
      </c>
      <c r="G733" s="1" t="s">
        <v>62</v>
      </c>
      <c r="H733">
        <v>1052</v>
      </c>
      <c r="I733">
        <v>4</v>
      </c>
      <c r="J733">
        <v>4</v>
      </c>
      <c r="K733">
        <v>25.37</v>
      </c>
      <c r="L733">
        <v>20</v>
      </c>
      <c r="M733" s="1" t="s">
        <v>65</v>
      </c>
      <c r="N733" s="1" t="s">
        <v>56</v>
      </c>
      <c r="O733">
        <v>3997.6</v>
      </c>
      <c r="P733" t="b">
        <v>1</v>
      </c>
      <c r="Q733">
        <v>0.33333333333333331</v>
      </c>
      <c r="R733">
        <v>999.4</v>
      </c>
      <c r="S733">
        <v>5.0739999999999998</v>
      </c>
      <c r="T733" s="2">
        <v>44470</v>
      </c>
      <c r="U733" s="1" t="s">
        <v>57</v>
      </c>
      <c r="V733">
        <v>0</v>
      </c>
      <c r="W733" s="1" t="s">
        <v>56</v>
      </c>
      <c r="X733">
        <v>673</v>
      </c>
      <c r="Y733" s="1" t="s">
        <v>52</v>
      </c>
      <c r="Z733" s="1" t="s">
        <v>52</v>
      </c>
      <c r="AA733">
        <v>0.8</v>
      </c>
      <c r="AB733" s="1" t="s">
        <v>42</v>
      </c>
      <c r="AC733">
        <v>2</v>
      </c>
      <c r="AD733" s="2">
        <v>44470</v>
      </c>
      <c r="AE733" s="1" t="s">
        <v>58</v>
      </c>
      <c r="AF733" s="1" t="s">
        <v>45</v>
      </c>
      <c r="AG733" s="1" t="s">
        <v>70</v>
      </c>
      <c r="AH733" s="1" t="s">
        <v>47</v>
      </c>
      <c r="AI733">
        <v>4208</v>
      </c>
      <c r="AJ733">
        <v>-210.40000000000009</v>
      </c>
    </row>
    <row r="734" spans="1:36" x14ac:dyDescent="0.25">
      <c r="A734">
        <v>10733</v>
      </c>
      <c r="B734">
        <v>50</v>
      </c>
      <c r="C734" s="1" t="s">
        <v>36</v>
      </c>
      <c r="D734" s="1" t="s">
        <v>69</v>
      </c>
      <c r="E734" s="2">
        <v>44706</v>
      </c>
      <c r="F734" s="2">
        <v>44490</v>
      </c>
      <c r="G734" s="1" t="s">
        <v>62</v>
      </c>
      <c r="H734">
        <v>956</v>
      </c>
      <c r="I734">
        <v>18</v>
      </c>
      <c r="J734">
        <v>3</v>
      </c>
      <c r="K734">
        <v>21.69</v>
      </c>
      <c r="L734">
        <v>20</v>
      </c>
      <c r="M734" s="1" t="s">
        <v>39</v>
      </c>
      <c r="N734" s="1" t="s">
        <v>40</v>
      </c>
      <c r="O734">
        <v>17016.8</v>
      </c>
      <c r="P734" t="b">
        <v>0</v>
      </c>
      <c r="Q734">
        <v>1.5</v>
      </c>
      <c r="R734">
        <v>945.37777777777774</v>
      </c>
      <c r="S734">
        <v>5.4225000000000003</v>
      </c>
      <c r="T734" s="2">
        <v>44682</v>
      </c>
      <c r="U734" s="1" t="s">
        <v>51</v>
      </c>
      <c r="V734">
        <v>1</v>
      </c>
      <c r="W734" s="1" t="s">
        <v>40</v>
      </c>
      <c r="Y734" s="1" t="s">
        <v>52</v>
      </c>
      <c r="Z734" s="1" t="s">
        <v>52</v>
      </c>
      <c r="AA734">
        <v>0.15789473684210525</v>
      </c>
      <c r="AB734" s="1" t="s">
        <v>52</v>
      </c>
      <c r="AC734">
        <v>2</v>
      </c>
      <c r="AD734" s="2">
        <v>44682</v>
      </c>
      <c r="AE734" s="1" t="s">
        <v>53</v>
      </c>
      <c r="AF734" s="1" t="s">
        <v>72</v>
      </c>
      <c r="AG734" s="1" t="s">
        <v>70</v>
      </c>
      <c r="AH734" s="1" t="s">
        <v>59</v>
      </c>
      <c r="AI734">
        <v>17208</v>
      </c>
      <c r="AJ734">
        <v>-191.20000000000073</v>
      </c>
    </row>
    <row r="735" spans="1:36" x14ac:dyDescent="0.25">
      <c r="A735">
        <v>10734</v>
      </c>
      <c r="B735">
        <v>51</v>
      </c>
      <c r="C735" s="1" t="s">
        <v>60</v>
      </c>
      <c r="D735" s="1" t="s">
        <v>69</v>
      </c>
      <c r="E735" s="2">
        <v>44748</v>
      </c>
      <c r="F735" s="2">
        <v>45094</v>
      </c>
      <c r="G735" s="1" t="s">
        <v>38</v>
      </c>
      <c r="H735">
        <v>1337</v>
      </c>
      <c r="I735">
        <v>26</v>
      </c>
      <c r="J735">
        <v>2</v>
      </c>
      <c r="K735">
        <v>62.59</v>
      </c>
      <c r="L735">
        <v>10</v>
      </c>
      <c r="M735" s="1" t="s">
        <v>67</v>
      </c>
      <c r="N735" s="1" t="s">
        <v>56</v>
      </c>
      <c r="O735">
        <v>34628.300000000003</v>
      </c>
      <c r="P735" t="b">
        <v>1</v>
      </c>
      <c r="Q735">
        <v>2.1666666666666665</v>
      </c>
      <c r="R735">
        <v>1331.8576923076923</v>
      </c>
      <c r="S735">
        <v>20.863333333333333</v>
      </c>
      <c r="T735" s="2">
        <v>44743</v>
      </c>
      <c r="U735" s="1" t="s">
        <v>41</v>
      </c>
      <c r="V735">
        <v>0</v>
      </c>
      <c r="W735" s="1" t="s">
        <v>40</v>
      </c>
      <c r="X735">
        <v>346</v>
      </c>
      <c r="Y735" s="1" t="s">
        <v>43</v>
      </c>
      <c r="Z735" s="1" t="s">
        <v>42</v>
      </c>
      <c r="AA735">
        <v>7.407407407407407E-2</v>
      </c>
      <c r="AB735" s="1" t="s">
        <v>43</v>
      </c>
      <c r="AC735">
        <v>1</v>
      </c>
      <c r="AD735" s="2">
        <v>44743</v>
      </c>
      <c r="AE735" s="1" t="s">
        <v>44</v>
      </c>
      <c r="AF735" s="1" t="s">
        <v>72</v>
      </c>
      <c r="AG735" s="1" t="s">
        <v>63</v>
      </c>
      <c r="AH735" s="1" t="s">
        <v>47</v>
      </c>
      <c r="AI735">
        <v>34762</v>
      </c>
      <c r="AJ735">
        <v>-133.69999999999709</v>
      </c>
    </row>
    <row r="736" spans="1:36" x14ac:dyDescent="0.25">
      <c r="A736">
        <v>10735</v>
      </c>
      <c r="B736">
        <v>58</v>
      </c>
      <c r="C736" s="1" t="s">
        <v>60</v>
      </c>
      <c r="D736" s="1" t="s">
        <v>71</v>
      </c>
      <c r="E736" s="2">
        <v>44996</v>
      </c>
      <c r="F736" s="2">
        <v>44974</v>
      </c>
      <c r="G736" s="1" t="s">
        <v>62</v>
      </c>
      <c r="H736">
        <v>370</v>
      </c>
      <c r="I736">
        <v>22</v>
      </c>
      <c r="J736">
        <v>5</v>
      </c>
      <c r="K736">
        <v>62.59</v>
      </c>
      <c r="L736">
        <v>15</v>
      </c>
      <c r="M736" s="1" t="s">
        <v>67</v>
      </c>
      <c r="N736" s="1" t="s">
        <v>56</v>
      </c>
      <c r="O736">
        <v>8084.5</v>
      </c>
      <c r="P736" t="b">
        <v>0</v>
      </c>
      <c r="Q736">
        <v>1.8333333333333333</v>
      </c>
      <c r="R736">
        <v>367.47727272727275</v>
      </c>
      <c r="S736">
        <v>10.431666666666667</v>
      </c>
      <c r="T736" s="2">
        <v>44986</v>
      </c>
      <c r="U736" s="1" t="s">
        <v>41</v>
      </c>
      <c r="V736">
        <v>0</v>
      </c>
      <c r="W736" s="1" t="s">
        <v>56</v>
      </c>
      <c r="Y736" s="1" t="s">
        <v>43</v>
      </c>
      <c r="Z736" s="1" t="s">
        <v>42</v>
      </c>
      <c r="AA736">
        <v>0.21739130434782608</v>
      </c>
      <c r="AB736" s="1" t="s">
        <v>42</v>
      </c>
      <c r="AC736">
        <v>2</v>
      </c>
      <c r="AD736" s="2">
        <v>44986</v>
      </c>
      <c r="AE736" s="1" t="s">
        <v>53</v>
      </c>
      <c r="AF736" s="1" t="s">
        <v>45</v>
      </c>
      <c r="AG736" s="1" t="s">
        <v>63</v>
      </c>
      <c r="AH736" s="1" t="s">
        <v>68</v>
      </c>
      <c r="AI736">
        <v>8140</v>
      </c>
      <c r="AJ736">
        <v>-55.5</v>
      </c>
    </row>
    <row r="737" spans="1:36" x14ac:dyDescent="0.25">
      <c r="A737">
        <v>10736</v>
      </c>
      <c r="B737">
        <v>52</v>
      </c>
      <c r="C737" s="1" t="s">
        <v>75</v>
      </c>
      <c r="D737" s="1" t="s">
        <v>73</v>
      </c>
      <c r="E737" s="2">
        <v>44905</v>
      </c>
      <c r="F737" s="2">
        <v>44712</v>
      </c>
      <c r="G737" s="1" t="s">
        <v>38</v>
      </c>
      <c r="H737">
        <v>1126</v>
      </c>
      <c r="I737">
        <v>33</v>
      </c>
      <c r="J737">
        <v>4</v>
      </c>
      <c r="K737">
        <v>80.31</v>
      </c>
      <c r="L737">
        <v>10</v>
      </c>
      <c r="M737" s="1" t="s">
        <v>65</v>
      </c>
      <c r="N737" s="1" t="s">
        <v>40</v>
      </c>
      <c r="O737">
        <v>37045.4</v>
      </c>
      <c r="P737" t="b">
        <v>0</v>
      </c>
      <c r="Q737">
        <v>2.75</v>
      </c>
      <c r="R737">
        <v>1122.5878787878789</v>
      </c>
      <c r="S737">
        <v>16.062000000000001</v>
      </c>
      <c r="T737" s="2">
        <v>44896</v>
      </c>
      <c r="U737" s="1" t="s">
        <v>41</v>
      </c>
      <c r="V737">
        <v>1</v>
      </c>
      <c r="W737" s="1" t="s">
        <v>40</v>
      </c>
      <c r="Y737" s="1" t="s">
        <v>43</v>
      </c>
      <c r="Z737" s="1" t="s">
        <v>42</v>
      </c>
      <c r="AA737">
        <v>0.11764705882352941</v>
      </c>
      <c r="AB737" s="1" t="s">
        <v>43</v>
      </c>
      <c r="AC737">
        <v>1</v>
      </c>
      <c r="AD737" s="2">
        <v>44896</v>
      </c>
      <c r="AE737" s="1" t="s">
        <v>44</v>
      </c>
      <c r="AF737" s="1" t="s">
        <v>45</v>
      </c>
      <c r="AG737" s="1" t="s">
        <v>63</v>
      </c>
      <c r="AH737" s="1" t="s">
        <v>47</v>
      </c>
      <c r="AI737">
        <v>37158</v>
      </c>
      <c r="AJ737">
        <v>-112.59999999999854</v>
      </c>
    </row>
    <row r="738" spans="1:36" x14ac:dyDescent="0.25">
      <c r="A738">
        <v>10737</v>
      </c>
      <c r="B738">
        <v>18</v>
      </c>
      <c r="C738" s="1" t="s">
        <v>36</v>
      </c>
      <c r="D738" s="1" t="s">
        <v>73</v>
      </c>
      <c r="E738" s="2">
        <v>44981</v>
      </c>
      <c r="F738" s="2">
        <v>44437</v>
      </c>
      <c r="G738" s="1" t="s">
        <v>62</v>
      </c>
      <c r="H738">
        <v>1164</v>
      </c>
      <c r="I738">
        <v>14</v>
      </c>
      <c r="J738">
        <v>2</v>
      </c>
      <c r="K738">
        <v>13.91</v>
      </c>
      <c r="L738">
        <v>20</v>
      </c>
      <c r="M738" s="1" t="s">
        <v>65</v>
      </c>
      <c r="N738" s="1" t="s">
        <v>56</v>
      </c>
      <c r="O738">
        <v>16063.2</v>
      </c>
      <c r="P738" t="b">
        <v>0</v>
      </c>
      <c r="Q738">
        <v>1.1666666666666667</v>
      </c>
      <c r="R738">
        <v>1147.3714285714286</v>
      </c>
      <c r="S738">
        <v>4.6366666666666667</v>
      </c>
      <c r="T738" s="2">
        <v>44958</v>
      </c>
      <c r="U738" s="1" t="s">
        <v>66</v>
      </c>
      <c r="V738">
        <v>0</v>
      </c>
      <c r="W738" s="1" t="s">
        <v>40</v>
      </c>
      <c r="Y738" s="1" t="s">
        <v>42</v>
      </c>
      <c r="Z738" s="1" t="s">
        <v>52</v>
      </c>
      <c r="AA738">
        <v>0.13333333333333333</v>
      </c>
      <c r="AB738" s="1" t="s">
        <v>52</v>
      </c>
      <c r="AC738">
        <v>2</v>
      </c>
      <c r="AD738" s="2">
        <v>44958</v>
      </c>
      <c r="AE738" s="1" t="s">
        <v>53</v>
      </c>
      <c r="AF738" s="1" t="s">
        <v>72</v>
      </c>
      <c r="AG738" s="1" t="s">
        <v>46</v>
      </c>
      <c r="AH738" s="1" t="s">
        <v>47</v>
      </c>
      <c r="AI738">
        <v>16296</v>
      </c>
      <c r="AJ738">
        <v>-232.79999999999927</v>
      </c>
    </row>
    <row r="739" spans="1:36" x14ac:dyDescent="0.25">
      <c r="A739">
        <v>10738</v>
      </c>
      <c r="B739">
        <v>38</v>
      </c>
      <c r="C739" s="1" t="s">
        <v>75</v>
      </c>
      <c r="D739" s="1" t="s">
        <v>61</v>
      </c>
      <c r="E739" s="2">
        <v>45090</v>
      </c>
      <c r="F739" s="2">
        <v>45067</v>
      </c>
      <c r="G739" s="1" t="s">
        <v>38</v>
      </c>
      <c r="H739">
        <v>1227</v>
      </c>
      <c r="I739">
        <v>31</v>
      </c>
      <c r="J739">
        <v>1</v>
      </c>
      <c r="K739">
        <v>11.67</v>
      </c>
      <c r="L739">
        <v>10</v>
      </c>
      <c r="M739" s="1" t="s">
        <v>65</v>
      </c>
      <c r="N739" s="1" t="s">
        <v>56</v>
      </c>
      <c r="O739">
        <v>37914.300000000003</v>
      </c>
      <c r="P739" t="b">
        <v>0</v>
      </c>
      <c r="Q739">
        <v>2.5833333333333335</v>
      </c>
      <c r="R739">
        <v>1223.0419354838712</v>
      </c>
      <c r="S739">
        <v>5.835</v>
      </c>
      <c r="T739" s="2">
        <v>45078</v>
      </c>
      <c r="U739" s="1" t="s">
        <v>51</v>
      </c>
      <c r="V739">
        <v>0</v>
      </c>
      <c r="W739" s="1" t="s">
        <v>40</v>
      </c>
      <c r="Y739" s="1" t="s">
        <v>42</v>
      </c>
      <c r="Z739" s="1" t="s">
        <v>42</v>
      </c>
      <c r="AA739">
        <v>3.125E-2</v>
      </c>
      <c r="AB739" s="1" t="s">
        <v>43</v>
      </c>
      <c r="AC739">
        <v>1</v>
      </c>
      <c r="AD739" s="2">
        <v>45078</v>
      </c>
      <c r="AE739" s="1" t="s">
        <v>44</v>
      </c>
      <c r="AF739" s="1" t="s">
        <v>54</v>
      </c>
      <c r="AG739" s="1" t="s">
        <v>46</v>
      </c>
      <c r="AH739" s="1" t="s">
        <v>47</v>
      </c>
      <c r="AI739">
        <v>38037</v>
      </c>
      <c r="AJ739">
        <v>-122.69999999999709</v>
      </c>
    </row>
    <row r="740" spans="1:36" x14ac:dyDescent="0.25">
      <c r="A740">
        <v>10739</v>
      </c>
      <c r="B740">
        <v>23</v>
      </c>
      <c r="C740" s="1" t="s">
        <v>60</v>
      </c>
      <c r="D740" s="1" t="s">
        <v>73</v>
      </c>
      <c r="E740" s="2">
        <v>44972</v>
      </c>
      <c r="F740" s="2">
        <v>44511</v>
      </c>
      <c r="G740" s="1" t="s">
        <v>62</v>
      </c>
      <c r="H740">
        <v>405</v>
      </c>
      <c r="I740">
        <v>10</v>
      </c>
      <c r="J740">
        <v>0</v>
      </c>
      <c r="K740">
        <v>60.8</v>
      </c>
      <c r="L740">
        <v>0</v>
      </c>
      <c r="M740" s="1" t="s">
        <v>65</v>
      </c>
      <c r="N740" s="1" t="s">
        <v>40</v>
      </c>
      <c r="O740">
        <v>4050</v>
      </c>
      <c r="P740" t="b">
        <v>0</v>
      </c>
      <c r="Q740">
        <v>0.83333333333333337</v>
      </c>
      <c r="R740">
        <v>405</v>
      </c>
      <c r="S740">
        <v>60.8</v>
      </c>
      <c r="T740" s="2">
        <v>44958</v>
      </c>
      <c r="U740" s="1" t="s">
        <v>66</v>
      </c>
      <c r="V740">
        <v>1</v>
      </c>
      <c r="W740" s="1" t="s">
        <v>56</v>
      </c>
      <c r="Y740" s="1" t="s">
        <v>43</v>
      </c>
      <c r="Z740" s="1" t="s">
        <v>42</v>
      </c>
      <c r="AA740">
        <v>0</v>
      </c>
      <c r="AB740" s="1" t="s">
        <v>42</v>
      </c>
      <c r="AC740">
        <v>2</v>
      </c>
      <c r="AD740" s="2">
        <v>44958</v>
      </c>
      <c r="AE740" s="1" t="s">
        <v>74</v>
      </c>
      <c r="AF740" s="1" t="s">
        <v>54</v>
      </c>
      <c r="AG740" s="1" t="s">
        <v>63</v>
      </c>
      <c r="AH740" s="1" t="s">
        <v>68</v>
      </c>
      <c r="AI740">
        <v>4050</v>
      </c>
      <c r="AJ740">
        <v>0</v>
      </c>
    </row>
    <row r="741" spans="1:36" x14ac:dyDescent="0.25">
      <c r="A741">
        <v>10740</v>
      </c>
      <c r="B741">
        <v>45</v>
      </c>
      <c r="C741" s="1" t="s">
        <v>36</v>
      </c>
      <c r="D741" s="1" t="s">
        <v>48</v>
      </c>
      <c r="E741" s="2">
        <v>44765</v>
      </c>
      <c r="F741" s="2">
        <v>44828</v>
      </c>
      <c r="G741" s="1" t="s">
        <v>62</v>
      </c>
      <c r="H741">
        <v>1069</v>
      </c>
      <c r="I741">
        <v>24</v>
      </c>
      <c r="J741">
        <v>0</v>
      </c>
      <c r="K741">
        <v>115.15</v>
      </c>
      <c r="L741">
        <v>15</v>
      </c>
      <c r="M741" s="1" t="s">
        <v>50</v>
      </c>
      <c r="N741" s="1" t="s">
        <v>56</v>
      </c>
      <c r="O741">
        <v>25495.65</v>
      </c>
      <c r="P741" t="b">
        <v>1</v>
      </c>
      <c r="Q741">
        <v>2</v>
      </c>
      <c r="R741">
        <v>1062.3187500000001</v>
      </c>
      <c r="S741">
        <v>115.15</v>
      </c>
      <c r="T741" s="2">
        <v>44743</v>
      </c>
      <c r="U741" s="1" t="s">
        <v>51</v>
      </c>
      <c r="V741">
        <v>0</v>
      </c>
      <c r="W741" s="1" t="s">
        <v>40</v>
      </c>
      <c r="X741">
        <v>63</v>
      </c>
      <c r="Y741" s="1" t="s">
        <v>43</v>
      </c>
      <c r="Z741" s="1" t="s">
        <v>42</v>
      </c>
      <c r="AA741">
        <v>0</v>
      </c>
      <c r="AB741" s="1" t="s">
        <v>43</v>
      </c>
      <c r="AC741">
        <v>2</v>
      </c>
      <c r="AD741" s="2">
        <v>44743</v>
      </c>
      <c r="AE741" s="1" t="s">
        <v>53</v>
      </c>
      <c r="AF741" s="1" t="s">
        <v>54</v>
      </c>
      <c r="AG741" s="1" t="s">
        <v>63</v>
      </c>
      <c r="AH741" s="1" t="s">
        <v>47</v>
      </c>
      <c r="AI741">
        <v>25656</v>
      </c>
      <c r="AJ741">
        <v>-160.34999999999854</v>
      </c>
    </row>
    <row r="742" spans="1:36" x14ac:dyDescent="0.25">
      <c r="A742">
        <v>10741</v>
      </c>
      <c r="B742">
        <v>34</v>
      </c>
      <c r="C742" s="1" t="s">
        <v>60</v>
      </c>
      <c r="D742" s="1" t="s">
        <v>71</v>
      </c>
      <c r="E742" s="2">
        <v>44494</v>
      </c>
      <c r="F742" s="2">
        <v>44431</v>
      </c>
      <c r="G742" s="1" t="s">
        <v>49</v>
      </c>
      <c r="H742">
        <v>1192</v>
      </c>
      <c r="I742">
        <v>21</v>
      </c>
      <c r="J742">
        <v>2</v>
      </c>
      <c r="K742">
        <v>54.08</v>
      </c>
      <c r="L742">
        <v>10</v>
      </c>
      <c r="M742" s="1" t="s">
        <v>39</v>
      </c>
      <c r="N742" s="1" t="s">
        <v>40</v>
      </c>
      <c r="O742">
        <v>24912.799999999999</v>
      </c>
      <c r="P742" t="b">
        <v>0</v>
      </c>
      <c r="Q742">
        <v>1.75</v>
      </c>
      <c r="R742">
        <v>1186.3238095238096</v>
      </c>
      <c r="S742">
        <v>18.026666666666667</v>
      </c>
      <c r="T742" s="2">
        <v>44470</v>
      </c>
      <c r="U742" s="1" t="s">
        <v>57</v>
      </c>
      <c r="V742">
        <v>1</v>
      </c>
      <c r="W742" s="1" t="s">
        <v>40</v>
      </c>
      <c r="Y742" s="1" t="s">
        <v>52</v>
      </c>
      <c r="Z742" s="1" t="s">
        <v>42</v>
      </c>
      <c r="AA742">
        <v>9.0909090909090912E-2</v>
      </c>
      <c r="AB742" s="1" t="s">
        <v>43</v>
      </c>
      <c r="AC742">
        <v>3</v>
      </c>
      <c r="AD742" s="2">
        <v>44470</v>
      </c>
      <c r="AE742" s="1" t="s">
        <v>53</v>
      </c>
      <c r="AF742" s="1" t="s">
        <v>72</v>
      </c>
      <c r="AG742" s="1" t="s">
        <v>63</v>
      </c>
      <c r="AH742" s="1" t="s">
        <v>47</v>
      </c>
      <c r="AI742">
        <v>25032</v>
      </c>
      <c r="AJ742">
        <v>-119.20000000000073</v>
      </c>
    </row>
    <row r="743" spans="1:36" x14ac:dyDescent="0.25">
      <c r="A743">
        <v>10742</v>
      </c>
      <c r="B743">
        <v>22</v>
      </c>
      <c r="C743" s="1" t="s">
        <v>60</v>
      </c>
      <c r="D743" s="1" t="s">
        <v>69</v>
      </c>
      <c r="E743" s="2">
        <v>44806</v>
      </c>
      <c r="F743" s="2">
        <v>44424</v>
      </c>
      <c r="G743" s="1" t="s">
        <v>62</v>
      </c>
      <c r="H743">
        <v>495</v>
      </c>
      <c r="I743">
        <v>8</v>
      </c>
      <c r="J743">
        <v>0</v>
      </c>
      <c r="K743">
        <v>46</v>
      </c>
      <c r="L743">
        <v>20</v>
      </c>
      <c r="M743" s="1" t="s">
        <v>65</v>
      </c>
      <c r="N743" s="1" t="s">
        <v>56</v>
      </c>
      <c r="O743">
        <v>3861</v>
      </c>
      <c r="P743" t="b">
        <v>0</v>
      </c>
      <c r="Q743">
        <v>0.66666666666666663</v>
      </c>
      <c r="R743">
        <v>482.625</v>
      </c>
      <c r="S743">
        <v>46</v>
      </c>
      <c r="T743" s="2">
        <v>44805</v>
      </c>
      <c r="U743" s="1" t="s">
        <v>66</v>
      </c>
      <c r="V743">
        <v>0</v>
      </c>
      <c r="W743" s="1" t="s">
        <v>56</v>
      </c>
      <c r="Y743" s="1" t="s">
        <v>52</v>
      </c>
      <c r="Z743" s="1" t="s">
        <v>52</v>
      </c>
      <c r="AA743">
        <v>0</v>
      </c>
      <c r="AB743" s="1" t="s">
        <v>42</v>
      </c>
      <c r="AC743">
        <v>2</v>
      </c>
      <c r="AD743" s="2">
        <v>44805</v>
      </c>
      <c r="AE743" s="1" t="s">
        <v>74</v>
      </c>
      <c r="AF743" s="1" t="s">
        <v>54</v>
      </c>
      <c r="AG743" s="1" t="s">
        <v>63</v>
      </c>
      <c r="AH743" s="1" t="s">
        <v>68</v>
      </c>
      <c r="AI743">
        <v>3960</v>
      </c>
      <c r="AJ743">
        <v>-99</v>
      </c>
    </row>
    <row r="744" spans="1:36" x14ac:dyDescent="0.25">
      <c r="A744">
        <v>10743</v>
      </c>
      <c r="B744">
        <v>48</v>
      </c>
      <c r="C744" s="1" t="s">
        <v>36</v>
      </c>
      <c r="D744" s="1" t="s">
        <v>73</v>
      </c>
      <c r="E744" s="2">
        <v>44333</v>
      </c>
      <c r="F744" s="2">
        <v>45020</v>
      </c>
      <c r="G744" s="1" t="s">
        <v>62</v>
      </c>
      <c r="H744">
        <v>444</v>
      </c>
      <c r="I744">
        <v>32</v>
      </c>
      <c r="J744">
        <v>4</v>
      </c>
      <c r="K744">
        <v>119.77</v>
      </c>
      <c r="L744">
        <v>10</v>
      </c>
      <c r="M744" s="1" t="s">
        <v>67</v>
      </c>
      <c r="N744" s="1" t="s">
        <v>56</v>
      </c>
      <c r="O744">
        <v>14163.6</v>
      </c>
      <c r="P744" t="b">
        <v>1</v>
      </c>
      <c r="Q744">
        <v>2.6666666666666665</v>
      </c>
      <c r="R744">
        <v>442.61250000000001</v>
      </c>
      <c r="S744">
        <v>23.954000000000001</v>
      </c>
      <c r="T744" s="2">
        <v>44317</v>
      </c>
      <c r="U744" s="1" t="s">
        <v>51</v>
      </c>
      <c r="V744">
        <v>0</v>
      </c>
      <c r="W744" s="1" t="s">
        <v>40</v>
      </c>
      <c r="X744">
        <v>687</v>
      </c>
      <c r="Y744" s="1" t="s">
        <v>43</v>
      </c>
      <c r="Z744" s="1" t="s">
        <v>42</v>
      </c>
      <c r="AA744">
        <v>0.12121212121212122</v>
      </c>
      <c r="AB744" s="1" t="s">
        <v>52</v>
      </c>
      <c r="AC744">
        <v>2</v>
      </c>
      <c r="AD744" s="2">
        <v>44317</v>
      </c>
      <c r="AE744" s="1" t="s">
        <v>44</v>
      </c>
      <c r="AF744" s="1" t="s">
        <v>45</v>
      </c>
      <c r="AG744" s="1" t="s">
        <v>63</v>
      </c>
      <c r="AH744" s="1" t="s">
        <v>68</v>
      </c>
      <c r="AI744">
        <v>14208</v>
      </c>
      <c r="AJ744">
        <v>-44.399999999999636</v>
      </c>
    </row>
    <row r="745" spans="1:36" x14ac:dyDescent="0.25">
      <c r="A745">
        <v>10744</v>
      </c>
      <c r="B745">
        <v>22</v>
      </c>
      <c r="C745" s="1" t="s">
        <v>60</v>
      </c>
      <c r="D745" s="1" t="s">
        <v>71</v>
      </c>
      <c r="E745" s="2">
        <v>44572</v>
      </c>
      <c r="F745" s="2">
        <v>44864</v>
      </c>
      <c r="G745" s="1" t="s">
        <v>38</v>
      </c>
      <c r="H745">
        <v>770</v>
      </c>
      <c r="I745">
        <v>31</v>
      </c>
      <c r="J745">
        <v>1</v>
      </c>
      <c r="K745">
        <v>66.180000000000007</v>
      </c>
      <c r="L745">
        <v>10</v>
      </c>
      <c r="M745" s="1" t="s">
        <v>67</v>
      </c>
      <c r="N745" s="1" t="s">
        <v>56</v>
      </c>
      <c r="O745">
        <v>23793</v>
      </c>
      <c r="P745" t="b">
        <v>1</v>
      </c>
      <c r="Q745">
        <v>2.5833333333333335</v>
      </c>
      <c r="R745">
        <v>767.51612903225805</v>
      </c>
      <c r="S745">
        <v>33.090000000000003</v>
      </c>
      <c r="T745" s="2">
        <v>44562</v>
      </c>
      <c r="U745" s="1" t="s">
        <v>66</v>
      </c>
      <c r="V745">
        <v>0</v>
      </c>
      <c r="W745" s="1" t="s">
        <v>40</v>
      </c>
      <c r="X745">
        <v>292</v>
      </c>
      <c r="Y745" s="1" t="s">
        <v>43</v>
      </c>
      <c r="Z745" s="1" t="s">
        <v>42</v>
      </c>
      <c r="AA745">
        <v>3.125E-2</v>
      </c>
      <c r="AB745" s="1" t="s">
        <v>43</v>
      </c>
      <c r="AC745">
        <v>1</v>
      </c>
      <c r="AD745" s="2">
        <v>44562</v>
      </c>
      <c r="AE745" s="1" t="s">
        <v>44</v>
      </c>
      <c r="AF745" s="1" t="s">
        <v>54</v>
      </c>
      <c r="AG745" s="1" t="s">
        <v>63</v>
      </c>
      <c r="AH745" s="1" t="s">
        <v>59</v>
      </c>
      <c r="AI745">
        <v>23870</v>
      </c>
      <c r="AJ745">
        <v>-77</v>
      </c>
    </row>
    <row r="746" spans="1:36" x14ac:dyDescent="0.25">
      <c r="A746">
        <v>10745</v>
      </c>
      <c r="B746">
        <v>55</v>
      </c>
      <c r="C746" s="1" t="s">
        <v>36</v>
      </c>
      <c r="D746" s="1" t="s">
        <v>73</v>
      </c>
      <c r="E746" s="2">
        <v>44283</v>
      </c>
      <c r="F746" s="2">
        <v>44832</v>
      </c>
      <c r="G746" s="1" t="s">
        <v>49</v>
      </c>
      <c r="H746">
        <v>515</v>
      </c>
      <c r="I746">
        <v>34</v>
      </c>
      <c r="J746">
        <v>2</v>
      </c>
      <c r="K746">
        <v>48.15</v>
      </c>
      <c r="L746">
        <v>5</v>
      </c>
      <c r="M746" s="1" t="s">
        <v>67</v>
      </c>
      <c r="N746" s="1" t="s">
        <v>56</v>
      </c>
      <c r="O746">
        <v>17484.25</v>
      </c>
      <c r="P746" t="b">
        <v>1</v>
      </c>
      <c r="Q746">
        <v>2.8333333333333335</v>
      </c>
      <c r="R746">
        <v>514.24264705882354</v>
      </c>
      <c r="S746">
        <v>16.05</v>
      </c>
      <c r="T746" s="2">
        <v>44256</v>
      </c>
      <c r="U746" s="1" t="s">
        <v>41</v>
      </c>
      <c r="V746">
        <v>0</v>
      </c>
      <c r="W746" s="1" t="s">
        <v>40</v>
      </c>
      <c r="X746">
        <v>549</v>
      </c>
      <c r="Y746" s="1" t="s">
        <v>52</v>
      </c>
      <c r="Z746" s="1" t="s">
        <v>42</v>
      </c>
      <c r="AA746">
        <v>5.7142857142857141E-2</v>
      </c>
      <c r="AB746" s="1" t="s">
        <v>52</v>
      </c>
      <c r="AC746">
        <v>3</v>
      </c>
      <c r="AD746" s="2">
        <v>44256</v>
      </c>
      <c r="AE746" s="1" t="s">
        <v>44</v>
      </c>
      <c r="AF746" s="1" t="s">
        <v>72</v>
      </c>
      <c r="AG746" s="1" t="s">
        <v>63</v>
      </c>
      <c r="AH746" s="1" t="s">
        <v>64</v>
      </c>
      <c r="AI746">
        <v>17510</v>
      </c>
      <c r="AJ746">
        <v>-25.75</v>
      </c>
    </row>
    <row r="747" spans="1:36" x14ac:dyDescent="0.25">
      <c r="A747">
        <v>10746</v>
      </c>
      <c r="B747">
        <v>20</v>
      </c>
      <c r="C747" s="1" t="s">
        <v>36</v>
      </c>
      <c r="D747" s="1" t="s">
        <v>69</v>
      </c>
      <c r="E747" s="2">
        <v>44615</v>
      </c>
      <c r="F747" s="2">
        <v>44937</v>
      </c>
      <c r="G747" s="1" t="s">
        <v>62</v>
      </c>
      <c r="H747">
        <v>1416</v>
      </c>
      <c r="I747">
        <v>23</v>
      </c>
      <c r="J747">
        <v>3</v>
      </c>
      <c r="K747">
        <v>49.37</v>
      </c>
      <c r="L747">
        <v>10</v>
      </c>
      <c r="M747" s="1" t="s">
        <v>65</v>
      </c>
      <c r="N747" s="1" t="s">
        <v>56</v>
      </c>
      <c r="O747">
        <v>32426.400000000001</v>
      </c>
      <c r="P747" t="b">
        <v>1</v>
      </c>
      <c r="Q747">
        <v>1.9166666666666667</v>
      </c>
      <c r="R747">
        <v>1409.8434782608697</v>
      </c>
      <c r="S747">
        <v>12.342499999999999</v>
      </c>
      <c r="T747" s="2">
        <v>44593</v>
      </c>
      <c r="U747" s="1" t="s">
        <v>66</v>
      </c>
      <c r="V747">
        <v>0</v>
      </c>
      <c r="W747" s="1" t="s">
        <v>40</v>
      </c>
      <c r="X747">
        <v>322</v>
      </c>
      <c r="Y747" s="1" t="s">
        <v>52</v>
      </c>
      <c r="Z747" s="1" t="s">
        <v>42</v>
      </c>
      <c r="AA747">
        <v>0.125</v>
      </c>
      <c r="AB747" s="1" t="s">
        <v>43</v>
      </c>
      <c r="AC747">
        <v>2</v>
      </c>
      <c r="AD747" s="2">
        <v>44593</v>
      </c>
      <c r="AE747" s="1" t="s">
        <v>53</v>
      </c>
      <c r="AF747" s="1" t="s">
        <v>72</v>
      </c>
      <c r="AG747" s="1" t="s">
        <v>63</v>
      </c>
      <c r="AH747" s="1" t="s">
        <v>47</v>
      </c>
      <c r="AI747">
        <v>32568</v>
      </c>
      <c r="AJ747">
        <v>-141.59999999999854</v>
      </c>
    </row>
    <row r="748" spans="1:36" x14ac:dyDescent="0.25">
      <c r="A748">
        <v>10747</v>
      </c>
      <c r="B748">
        <v>40</v>
      </c>
      <c r="C748" s="1" t="s">
        <v>60</v>
      </c>
      <c r="D748" s="1" t="s">
        <v>37</v>
      </c>
      <c r="E748" s="2">
        <v>44950</v>
      </c>
      <c r="F748" s="2">
        <v>44950</v>
      </c>
      <c r="G748" s="1" t="s">
        <v>38</v>
      </c>
      <c r="H748">
        <v>559</v>
      </c>
      <c r="I748">
        <v>25</v>
      </c>
      <c r="J748">
        <v>2</v>
      </c>
      <c r="K748">
        <v>27.42</v>
      </c>
      <c r="L748">
        <v>0</v>
      </c>
      <c r="M748" s="1" t="s">
        <v>39</v>
      </c>
      <c r="N748" s="1" t="s">
        <v>56</v>
      </c>
      <c r="O748">
        <v>13975</v>
      </c>
      <c r="P748" t="b">
        <v>1</v>
      </c>
      <c r="Q748">
        <v>2.0833333333333335</v>
      </c>
      <c r="R748">
        <v>559</v>
      </c>
      <c r="S748">
        <v>9.14</v>
      </c>
      <c r="T748" s="2">
        <v>44927</v>
      </c>
      <c r="U748" s="1" t="s">
        <v>51</v>
      </c>
      <c r="V748">
        <v>0</v>
      </c>
      <c r="W748" s="1" t="s">
        <v>40</v>
      </c>
      <c r="X748">
        <v>0</v>
      </c>
      <c r="Y748" s="1" t="s">
        <v>52</v>
      </c>
      <c r="Z748" s="1" t="s">
        <v>42</v>
      </c>
      <c r="AA748">
        <v>7.6923076923076927E-2</v>
      </c>
      <c r="AB748" s="1" t="s">
        <v>52</v>
      </c>
      <c r="AC748">
        <v>1</v>
      </c>
      <c r="AD748" s="2">
        <v>44927</v>
      </c>
      <c r="AE748" s="1" t="s">
        <v>44</v>
      </c>
      <c r="AF748" s="1" t="s">
        <v>72</v>
      </c>
      <c r="AG748" s="1" t="s">
        <v>70</v>
      </c>
      <c r="AH748" s="1" t="s">
        <v>64</v>
      </c>
      <c r="AI748">
        <v>13975</v>
      </c>
      <c r="AJ748">
        <v>0</v>
      </c>
    </row>
    <row r="749" spans="1:36" x14ac:dyDescent="0.25">
      <c r="A749">
        <v>10748</v>
      </c>
      <c r="B749">
        <v>54</v>
      </c>
      <c r="C749" s="1" t="s">
        <v>36</v>
      </c>
      <c r="D749" s="1" t="s">
        <v>69</v>
      </c>
      <c r="E749" s="2">
        <v>44395</v>
      </c>
      <c r="F749" s="2">
        <v>44946</v>
      </c>
      <c r="G749" s="1" t="s">
        <v>49</v>
      </c>
      <c r="H749">
        <v>1233</v>
      </c>
      <c r="I749">
        <v>7</v>
      </c>
      <c r="J749">
        <v>5</v>
      </c>
      <c r="K749">
        <v>63.91</v>
      </c>
      <c r="L749">
        <v>10</v>
      </c>
      <c r="M749" s="1" t="s">
        <v>50</v>
      </c>
      <c r="N749" s="1" t="s">
        <v>56</v>
      </c>
      <c r="O749">
        <v>8384.4</v>
      </c>
      <c r="P749" t="b">
        <v>1</v>
      </c>
      <c r="Q749">
        <v>0.58333333333333337</v>
      </c>
      <c r="R749">
        <v>1197.7714285714285</v>
      </c>
      <c r="S749">
        <v>10.651666666666666</v>
      </c>
      <c r="T749" s="2">
        <v>44378</v>
      </c>
      <c r="U749" s="1" t="s">
        <v>41</v>
      </c>
      <c r="V749">
        <v>0</v>
      </c>
      <c r="W749" s="1" t="s">
        <v>56</v>
      </c>
      <c r="X749">
        <v>551</v>
      </c>
      <c r="Y749" s="1" t="s">
        <v>43</v>
      </c>
      <c r="Z749" s="1" t="s">
        <v>42</v>
      </c>
      <c r="AA749">
        <v>0.625</v>
      </c>
      <c r="AB749" s="1" t="s">
        <v>42</v>
      </c>
      <c r="AC749">
        <v>3</v>
      </c>
      <c r="AD749" s="2">
        <v>44378</v>
      </c>
      <c r="AE749" s="1" t="s">
        <v>74</v>
      </c>
      <c r="AF749" s="1" t="s">
        <v>45</v>
      </c>
      <c r="AG749" s="1" t="s">
        <v>63</v>
      </c>
      <c r="AH749" s="1" t="s">
        <v>47</v>
      </c>
      <c r="AI749">
        <v>8631</v>
      </c>
      <c r="AJ749">
        <v>-246.60000000000036</v>
      </c>
    </row>
    <row r="750" spans="1:36" x14ac:dyDescent="0.25">
      <c r="A750">
        <v>10749</v>
      </c>
      <c r="B750">
        <v>54</v>
      </c>
      <c r="C750" s="1" t="s">
        <v>36</v>
      </c>
      <c r="D750" s="1" t="s">
        <v>69</v>
      </c>
      <c r="E750" s="2">
        <v>44659</v>
      </c>
      <c r="F750" s="2">
        <v>45129</v>
      </c>
      <c r="G750" s="1" t="s">
        <v>38</v>
      </c>
      <c r="H750">
        <v>874</v>
      </c>
      <c r="I750">
        <v>19</v>
      </c>
      <c r="J750">
        <v>1</v>
      </c>
      <c r="K750">
        <v>55.47</v>
      </c>
      <c r="L750">
        <v>5</v>
      </c>
      <c r="M750" s="1" t="s">
        <v>65</v>
      </c>
      <c r="N750" s="1" t="s">
        <v>56</v>
      </c>
      <c r="O750">
        <v>16562.3</v>
      </c>
      <c r="P750" t="b">
        <v>1</v>
      </c>
      <c r="Q750">
        <v>1.5833333333333333</v>
      </c>
      <c r="R750">
        <v>871.69999999999993</v>
      </c>
      <c r="S750">
        <v>27.734999999999999</v>
      </c>
      <c r="T750" s="2">
        <v>44652</v>
      </c>
      <c r="U750" s="1" t="s">
        <v>41</v>
      </c>
      <c r="V750">
        <v>0</v>
      </c>
      <c r="W750" s="1" t="s">
        <v>40</v>
      </c>
      <c r="X750">
        <v>470</v>
      </c>
      <c r="Y750" s="1" t="s">
        <v>52</v>
      </c>
      <c r="Z750" s="1" t="s">
        <v>42</v>
      </c>
      <c r="AA750">
        <v>0.05</v>
      </c>
      <c r="AB750" s="1" t="s">
        <v>52</v>
      </c>
      <c r="AC750">
        <v>1</v>
      </c>
      <c r="AD750" s="2">
        <v>44652</v>
      </c>
      <c r="AE750" s="1" t="s">
        <v>53</v>
      </c>
      <c r="AF750" s="1" t="s">
        <v>54</v>
      </c>
      <c r="AG750" s="1" t="s">
        <v>63</v>
      </c>
      <c r="AH750" s="1" t="s">
        <v>59</v>
      </c>
      <c r="AI750">
        <v>16606</v>
      </c>
      <c r="AJ750">
        <v>-43.700000000000728</v>
      </c>
    </row>
    <row r="751" spans="1:36" x14ac:dyDescent="0.25">
      <c r="A751">
        <v>10750</v>
      </c>
      <c r="B751">
        <v>27</v>
      </c>
      <c r="C751" s="1" t="s">
        <v>60</v>
      </c>
      <c r="D751" s="1" t="s">
        <v>69</v>
      </c>
      <c r="E751" s="2">
        <v>44633</v>
      </c>
      <c r="F751" s="2">
        <v>44451</v>
      </c>
      <c r="G751" s="1" t="s">
        <v>49</v>
      </c>
      <c r="H751">
        <v>584</v>
      </c>
      <c r="I751">
        <v>7</v>
      </c>
      <c r="J751">
        <v>0</v>
      </c>
      <c r="K751">
        <v>36.14</v>
      </c>
      <c r="L751">
        <v>10</v>
      </c>
      <c r="M751" s="1" t="s">
        <v>65</v>
      </c>
      <c r="N751" s="1" t="s">
        <v>56</v>
      </c>
      <c r="O751">
        <v>4029.6</v>
      </c>
      <c r="P751" t="b">
        <v>0</v>
      </c>
      <c r="Q751">
        <v>0.58333333333333337</v>
      </c>
      <c r="R751">
        <v>575.65714285714284</v>
      </c>
      <c r="S751">
        <v>36.14</v>
      </c>
      <c r="T751" s="2">
        <v>44621</v>
      </c>
      <c r="U751" s="1" t="s">
        <v>57</v>
      </c>
      <c r="V751">
        <v>0</v>
      </c>
      <c r="W751" s="1" t="s">
        <v>56</v>
      </c>
      <c r="Y751" s="1" t="s">
        <v>52</v>
      </c>
      <c r="Z751" s="1" t="s">
        <v>42</v>
      </c>
      <c r="AA751">
        <v>0</v>
      </c>
      <c r="AB751" s="1" t="s">
        <v>42</v>
      </c>
      <c r="AC751">
        <v>3</v>
      </c>
      <c r="AD751" s="2">
        <v>44621</v>
      </c>
      <c r="AE751" s="1" t="s">
        <v>74</v>
      </c>
      <c r="AF751" s="1" t="s">
        <v>54</v>
      </c>
      <c r="AG751" s="1" t="s">
        <v>55</v>
      </c>
      <c r="AH751" s="1" t="s">
        <v>64</v>
      </c>
      <c r="AI751">
        <v>4088</v>
      </c>
      <c r="AJ751">
        <v>-58.400000000000091</v>
      </c>
    </row>
    <row r="752" spans="1:36" x14ac:dyDescent="0.25">
      <c r="A752">
        <v>10751</v>
      </c>
      <c r="B752">
        <v>27</v>
      </c>
      <c r="C752" s="1" t="s">
        <v>36</v>
      </c>
      <c r="D752" s="1" t="s">
        <v>73</v>
      </c>
      <c r="E752" s="2">
        <v>44506</v>
      </c>
      <c r="F752" s="2">
        <v>44799</v>
      </c>
      <c r="G752" s="1" t="s">
        <v>49</v>
      </c>
      <c r="H752">
        <v>783</v>
      </c>
      <c r="I752">
        <v>8</v>
      </c>
      <c r="J752">
        <v>3</v>
      </c>
      <c r="K752">
        <v>23.46</v>
      </c>
      <c r="L752">
        <v>15</v>
      </c>
      <c r="M752" s="1" t="s">
        <v>50</v>
      </c>
      <c r="N752" s="1" t="s">
        <v>56</v>
      </c>
      <c r="O752">
        <v>6146.55</v>
      </c>
      <c r="P752" t="b">
        <v>1</v>
      </c>
      <c r="Q752">
        <v>0.66666666666666663</v>
      </c>
      <c r="R752">
        <v>768.31875000000002</v>
      </c>
      <c r="S752">
        <v>5.8650000000000002</v>
      </c>
      <c r="T752" s="2">
        <v>44501</v>
      </c>
      <c r="U752" s="1" t="s">
        <v>57</v>
      </c>
      <c r="V752">
        <v>0</v>
      </c>
      <c r="W752" s="1" t="s">
        <v>56</v>
      </c>
      <c r="X752">
        <v>293</v>
      </c>
      <c r="Y752" s="1" t="s">
        <v>52</v>
      </c>
      <c r="Z752" s="1" t="s">
        <v>42</v>
      </c>
      <c r="AA752">
        <v>0.33333333333333331</v>
      </c>
      <c r="AB752" s="1" t="s">
        <v>42</v>
      </c>
      <c r="AC752">
        <v>3</v>
      </c>
      <c r="AD752" s="2">
        <v>44501</v>
      </c>
      <c r="AE752" s="1" t="s">
        <v>74</v>
      </c>
      <c r="AF752" s="1" t="s">
        <v>72</v>
      </c>
      <c r="AG752" s="1" t="s">
        <v>70</v>
      </c>
      <c r="AH752" s="1" t="s">
        <v>59</v>
      </c>
      <c r="AI752">
        <v>6264</v>
      </c>
      <c r="AJ752">
        <v>-117.44999999999982</v>
      </c>
    </row>
    <row r="753" spans="1:36" x14ac:dyDescent="0.25">
      <c r="A753">
        <v>10752</v>
      </c>
      <c r="B753">
        <v>36</v>
      </c>
      <c r="C753" s="1" t="s">
        <v>36</v>
      </c>
      <c r="D753" s="1" t="s">
        <v>61</v>
      </c>
      <c r="E753" s="2">
        <v>44792</v>
      </c>
      <c r="F753" s="2">
        <v>44834</v>
      </c>
      <c r="G753" s="1" t="s">
        <v>38</v>
      </c>
      <c r="H753">
        <v>671</v>
      </c>
      <c r="I753">
        <v>14</v>
      </c>
      <c r="J753">
        <v>2</v>
      </c>
      <c r="K753">
        <v>40.79</v>
      </c>
      <c r="L753">
        <v>0</v>
      </c>
      <c r="M753" s="1" t="s">
        <v>39</v>
      </c>
      <c r="N753" s="1" t="s">
        <v>56</v>
      </c>
      <c r="O753">
        <v>9394</v>
      </c>
      <c r="P753" t="b">
        <v>1</v>
      </c>
      <c r="Q753">
        <v>1.1666666666666667</v>
      </c>
      <c r="R753">
        <v>671</v>
      </c>
      <c r="S753">
        <v>13.596666666666666</v>
      </c>
      <c r="T753" s="2">
        <v>44774</v>
      </c>
      <c r="U753" s="1" t="s">
        <v>51</v>
      </c>
      <c r="V753">
        <v>0</v>
      </c>
      <c r="W753" s="1" t="s">
        <v>56</v>
      </c>
      <c r="X753">
        <v>42</v>
      </c>
      <c r="Y753" s="1" t="s">
        <v>52</v>
      </c>
      <c r="Z753" s="1" t="s">
        <v>42</v>
      </c>
      <c r="AA753">
        <v>0.13333333333333333</v>
      </c>
      <c r="AB753" s="1" t="s">
        <v>52</v>
      </c>
      <c r="AC753">
        <v>1</v>
      </c>
      <c r="AD753" s="2">
        <v>44774</v>
      </c>
      <c r="AE753" s="1" t="s">
        <v>53</v>
      </c>
      <c r="AF753" s="1" t="s">
        <v>72</v>
      </c>
      <c r="AG753" s="1" t="s">
        <v>55</v>
      </c>
      <c r="AH753" s="1" t="s">
        <v>64</v>
      </c>
      <c r="AI753">
        <v>9394</v>
      </c>
      <c r="AJ753">
        <v>0</v>
      </c>
    </row>
    <row r="754" spans="1:36" x14ac:dyDescent="0.25">
      <c r="A754">
        <v>10753</v>
      </c>
      <c r="B754">
        <v>34</v>
      </c>
      <c r="C754" s="1" t="s">
        <v>60</v>
      </c>
      <c r="D754" s="1" t="s">
        <v>69</v>
      </c>
      <c r="E754" s="2">
        <v>44950</v>
      </c>
      <c r="F754" s="2">
        <v>44686</v>
      </c>
      <c r="G754" s="1" t="s">
        <v>62</v>
      </c>
      <c r="H754">
        <v>369</v>
      </c>
      <c r="I754">
        <v>1</v>
      </c>
      <c r="J754">
        <v>3</v>
      </c>
      <c r="K754">
        <v>63.5</v>
      </c>
      <c r="L754">
        <v>0</v>
      </c>
      <c r="M754" s="1" t="s">
        <v>65</v>
      </c>
      <c r="N754" s="1" t="s">
        <v>56</v>
      </c>
      <c r="O754">
        <v>369</v>
      </c>
      <c r="P754" t="b">
        <v>0</v>
      </c>
      <c r="Q754">
        <v>8.3333333333333329E-2</v>
      </c>
      <c r="R754">
        <v>369</v>
      </c>
      <c r="S754">
        <v>15.875</v>
      </c>
      <c r="T754" s="2">
        <v>44927</v>
      </c>
      <c r="U754" s="1" t="s">
        <v>57</v>
      </c>
      <c r="V754">
        <v>0</v>
      </c>
      <c r="W754" s="1" t="s">
        <v>56</v>
      </c>
      <c r="Y754" s="1" t="s">
        <v>43</v>
      </c>
      <c r="Z754" s="1" t="s">
        <v>42</v>
      </c>
      <c r="AA754">
        <v>1.5</v>
      </c>
      <c r="AB754" s="1" t="s">
        <v>42</v>
      </c>
      <c r="AC754">
        <v>2</v>
      </c>
      <c r="AD754" s="2">
        <v>44927</v>
      </c>
      <c r="AE754" s="1" t="s">
        <v>58</v>
      </c>
      <c r="AF754" s="1" t="s">
        <v>72</v>
      </c>
      <c r="AG754" s="1" t="s">
        <v>63</v>
      </c>
      <c r="AH754" s="1" t="s">
        <v>68</v>
      </c>
      <c r="AI754">
        <v>369</v>
      </c>
      <c r="AJ754">
        <v>0</v>
      </c>
    </row>
    <row r="755" spans="1:36" x14ac:dyDescent="0.25">
      <c r="A755">
        <v>10754</v>
      </c>
      <c r="B755">
        <v>38</v>
      </c>
      <c r="C755" s="1" t="s">
        <v>36</v>
      </c>
      <c r="D755" s="1" t="s">
        <v>48</v>
      </c>
      <c r="E755" s="2">
        <v>44477</v>
      </c>
      <c r="F755" s="2">
        <v>45034</v>
      </c>
      <c r="G755" s="1" t="s">
        <v>38</v>
      </c>
      <c r="H755">
        <v>678</v>
      </c>
      <c r="I755">
        <v>13</v>
      </c>
      <c r="J755">
        <v>2</v>
      </c>
      <c r="K755">
        <v>11.71</v>
      </c>
      <c r="L755">
        <v>0</v>
      </c>
      <c r="M755" s="1" t="s">
        <v>67</v>
      </c>
      <c r="N755" s="1" t="s">
        <v>56</v>
      </c>
      <c r="O755">
        <v>8814</v>
      </c>
      <c r="P755" t="b">
        <v>1</v>
      </c>
      <c r="Q755">
        <v>1.0833333333333333</v>
      </c>
      <c r="R755">
        <v>678</v>
      </c>
      <c r="S755">
        <v>3.9033333333333338</v>
      </c>
      <c r="T755" s="2">
        <v>44470</v>
      </c>
      <c r="U755" s="1" t="s">
        <v>51</v>
      </c>
      <c r="V755">
        <v>0</v>
      </c>
      <c r="W755" s="1" t="s">
        <v>56</v>
      </c>
      <c r="X755">
        <v>557</v>
      </c>
      <c r="Y755" s="1" t="s">
        <v>42</v>
      </c>
      <c r="Z755" s="1" t="s">
        <v>42</v>
      </c>
      <c r="AA755">
        <v>0.14285714285714285</v>
      </c>
      <c r="AB755" s="1" t="s">
        <v>42</v>
      </c>
      <c r="AC755">
        <v>1</v>
      </c>
      <c r="AD755" s="2">
        <v>44470</v>
      </c>
      <c r="AE755" s="1" t="s">
        <v>53</v>
      </c>
      <c r="AF755" s="1" t="s">
        <v>72</v>
      </c>
      <c r="AG755" s="1" t="s">
        <v>46</v>
      </c>
      <c r="AH755" s="1" t="s">
        <v>64</v>
      </c>
      <c r="AI755">
        <v>8814</v>
      </c>
      <c r="AJ755">
        <v>0</v>
      </c>
    </row>
    <row r="756" spans="1:36" x14ac:dyDescent="0.25">
      <c r="A756">
        <v>10755</v>
      </c>
      <c r="B756">
        <v>31</v>
      </c>
      <c r="C756" s="1" t="s">
        <v>75</v>
      </c>
      <c r="D756" s="1" t="s">
        <v>48</v>
      </c>
      <c r="E756" s="2">
        <v>44519</v>
      </c>
      <c r="F756" s="2">
        <v>44913</v>
      </c>
      <c r="G756" s="1" t="s">
        <v>38</v>
      </c>
      <c r="H756">
        <v>601</v>
      </c>
      <c r="I756">
        <v>3</v>
      </c>
      <c r="J756">
        <v>0</v>
      </c>
      <c r="K756">
        <v>22.68</v>
      </c>
      <c r="L756">
        <v>5</v>
      </c>
      <c r="M756" s="1" t="s">
        <v>67</v>
      </c>
      <c r="N756" s="1" t="s">
        <v>56</v>
      </c>
      <c r="O756">
        <v>1772.95</v>
      </c>
      <c r="P756" t="b">
        <v>1</v>
      </c>
      <c r="Q756">
        <v>0.25</v>
      </c>
      <c r="R756">
        <v>590.98333333333335</v>
      </c>
      <c r="S756">
        <v>22.68</v>
      </c>
      <c r="T756" s="2">
        <v>44501</v>
      </c>
      <c r="U756" s="1" t="s">
        <v>57</v>
      </c>
      <c r="V756">
        <v>0</v>
      </c>
      <c r="W756" s="1" t="s">
        <v>56</v>
      </c>
      <c r="X756">
        <v>394</v>
      </c>
      <c r="Y756" s="1" t="s">
        <v>52</v>
      </c>
      <c r="Z756" s="1" t="s">
        <v>42</v>
      </c>
      <c r="AA756">
        <v>0</v>
      </c>
      <c r="AB756" s="1" t="s">
        <v>42</v>
      </c>
      <c r="AC756">
        <v>1</v>
      </c>
      <c r="AD756" s="2">
        <v>44501</v>
      </c>
      <c r="AE756" s="1" t="s">
        <v>58</v>
      </c>
      <c r="AF756" s="1" t="s">
        <v>54</v>
      </c>
      <c r="AG756" s="1" t="s">
        <v>70</v>
      </c>
      <c r="AH756" s="1" t="s">
        <v>64</v>
      </c>
      <c r="AI756">
        <v>1803</v>
      </c>
      <c r="AJ756">
        <v>-30.049999999999955</v>
      </c>
    </row>
    <row r="757" spans="1:36" x14ac:dyDescent="0.25">
      <c r="A757">
        <v>10756</v>
      </c>
      <c r="B757">
        <v>26</v>
      </c>
      <c r="C757" s="1" t="s">
        <v>60</v>
      </c>
      <c r="D757" s="1" t="s">
        <v>71</v>
      </c>
      <c r="E757" s="2">
        <v>44960</v>
      </c>
      <c r="F757" s="2">
        <v>45247</v>
      </c>
      <c r="G757" s="1" t="s">
        <v>38</v>
      </c>
      <c r="H757">
        <v>554</v>
      </c>
      <c r="I757">
        <v>28</v>
      </c>
      <c r="J757">
        <v>2</v>
      </c>
      <c r="K757">
        <v>113.98</v>
      </c>
      <c r="L757">
        <v>10</v>
      </c>
      <c r="M757" s="1" t="s">
        <v>65</v>
      </c>
      <c r="N757" s="1" t="s">
        <v>56</v>
      </c>
      <c r="O757">
        <v>15456.6</v>
      </c>
      <c r="P757" t="b">
        <v>1</v>
      </c>
      <c r="Q757">
        <v>2.3333333333333335</v>
      </c>
      <c r="R757">
        <v>552.0214285714286</v>
      </c>
      <c r="S757">
        <v>37.993333333333332</v>
      </c>
      <c r="T757" s="2">
        <v>44958</v>
      </c>
      <c r="U757" s="1" t="s">
        <v>57</v>
      </c>
      <c r="V757">
        <v>0</v>
      </c>
      <c r="W757" s="1" t="s">
        <v>40</v>
      </c>
      <c r="X757">
        <v>287</v>
      </c>
      <c r="Y757" s="1" t="s">
        <v>43</v>
      </c>
      <c r="Z757" s="1" t="s">
        <v>42</v>
      </c>
      <c r="AA757">
        <v>6.8965517241379309E-2</v>
      </c>
      <c r="AB757" s="1" t="s">
        <v>52</v>
      </c>
      <c r="AC757">
        <v>1</v>
      </c>
      <c r="AD757" s="2">
        <v>44958</v>
      </c>
      <c r="AE757" s="1" t="s">
        <v>44</v>
      </c>
      <c r="AF757" s="1" t="s">
        <v>72</v>
      </c>
      <c r="AG757" s="1" t="s">
        <v>63</v>
      </c>
      <c r="AH757" s="1" t="s">
        <v>64</v>
      </c>
      <c r="AI757">
        <v>15512</v>
      </c>
      <c r="AJ757">
        <v>-55.399999999999636</v>
      </c>
    </row>
    <row r="758" spans="1:36" x14ac:dyDescent="0.25">
      <c r="A758">
        <v>10757</v>
      </c>
      <c r="B758">
        <v>63</v>
      </c>
      <c r="C758" s="1" t="s">
        <v>36</v>
      </c>
      <c r="D758" s="1" t="s">
        <v>61</v>
      </c>
      <c r="E758" s="2">
        <v>44898</v>
      </c>
      <c r="F758" s="2">
        <v>44825</v>
      </c>
      <c r="G758" s="1" t="s">
        <v>62</v>
      </c>
      <c r="H758">
        <v>1243</v>
      </c>
      <c r="I758">
        <v>15</v>
      </c>
      <c r="J758">
        <v>1</v>
      </c>
      <c r="K758">
        <v>67.430000000000007</v>
      </c>
      <c r="L758">
        <v>0</v>
      </c>
      <c r="M758" s="1" t="s">
        <v>39</v>
      </c>
      <c r="N758" s="1" t="s">
        <v>56</v>
      </c>
      <c r="O758">
        <v>18645</v>
      </c>
      <c r="P758" t="b">
        <v>0</v>
      </c>
      <c r="Q758">
        <v>1.25</v>
      </c>
      <c r="R758">
        <v>1243</v>
      </c>
      <c r="S758">
        <v>33.715000000000003</v>
      </c>
      <c r="T758" s="2">
        <v>44896</v>
      </c>
      <c r="U758" s="1" t="s">
        <v>41</v>
      </c>
      <c r="V758">
        <v>0</v>
      </c>
      <c r="W758" s="1" t="s">
        <v>40</v>
      </c>
      <c r="Y758" s="1" t="s">
        <v>43</v>
      </c>
      <c r="Z758" s="1" t="s">
        <v>42</v>
      </c>
      <c r="AA758">
        <v>6.25E-2</v>
      </c>
      <c r="AB758" s="1" t="s">
        <v>52</v>
      </c>
      <c r="AC758">
        <v>2</v>
      </c>
      <c r="AD758" s="2">
        <v>44896</v>
      </c>
      <c r="AE758" s="1" t="s">
        <v>53</v>
      </c>
      <c r="AF758" s="1" t="s">
        <v>54</v>
      </c>
      <c r="AG758" s="1" t="s">
        <v>63</v>
      </c>
      <c r="AH758" s="1" t="s">
        <v>47</v>
      </c>
      <c r="AI758">
        <v>18645</v>
      </c>
      <c r="AJ758">
        <v>0</v>
      </c>
    </row>
    <row r="759" spans="1:36" x14ac:dyDescent="0.25">
      <c r="A759">
        <v>10758</v>
      </c>
      <c r="B759">
        <v>18</v>
      </c>
      <c r="C759" s="1" t="s">
        <v>60</v>
      </c>
      <c r="D759" s="1" t="s">
        <v>71</v>
      </c>
      <c r="E759" s="2">
        <v>44348</v>
      </c>
      <c r="F759" s="2">
        <v>45070</v>
      </c>
      <c r="G759" s="1" t="s">
        <v>38</v>
      </c>
      <c r="H759">
        <v>991</v>
      </c>
      <c r="I759">
        <v>3</v>
      </c>
      <c r="J759">
        <v>3</v>
      </c>
      <c r="K759">
        <v>12.3</v>
      </c>
      <c r="L759">
        <v>10</v>
      </c>
      <c r="M759" s="1" t="s">
        <v>67</v>
      </c>
      <c r="N759" s="1" t="s">
        <v>56</v>
      </c>
      <c r="O759">
        <v>2873.9</v>
      </c>
      <c r="P759" t="b">
        <v>1</v>
      </c>
      <c r="Q759">
        <v>0.25</v>
      </c>
      <c r="R759">
        <v>957.9666666666667</v>
      </c>
      <c r="S759">
        <v>3.0750000000000002</v>
      </c>
      <c r="T759" s="2">
        <v>44348</v>
      </c>
      <c r="U759" s="1" t="s">
        <v>66</v>
      </c>
      <c r="V759">
        <v>0</v>
      </c>
      <c r="W759" s="1" t="s">
        <v>56</v>
      </c>
      <c r="X759">
        <v>722</v>
      </c>
      <c r="Y759" s="1" t="s">
        <v>42</v>
      </c>
      <c r="Z759" s="1" t="s">
        <v>42</v>
      </c>
      <c r="AA759">
        <v>0.75</v>
      </c>
      <c r="AB759" s="1" t="s">
        <v>42</v>
      </c>
      <c r="AC759">
        <v>1</v>
      </c>
      <c r="AD759" s="2">
        <v>44348</v>
      </c>
      <c r="AE759" s="1" t="s">
        <v>58</v>
      </c>
      <c r="AF759" s="1" t="s">
        <v>72</v>
      </c>
      <c r="AG759" s="1" t="s">
        <v>46</v>
      </c>
      <c r="AH759" s="1" t="s">
        <v>59</v>
      </c>
      <c r="AI759">
        <v>2973</v>
      </c>
      <c r="AJ759">
        <v>-99.099999999999909</v>
      </c>
    </row>
    <row r="760" spans="1:36" x14ac:dyDescent="0.25">
      <c r="A760">
        <v>10759</v>
      </c>
      <c r="B760">
        <v>62</v>
      </c>
      <c r="C760" s="1" t="s">
        <v>36</v>
      </c>
      <c r="D760" s="1" t="s">
        <v>48</v>
      </c>
      <c r="E760" s="2">
        <v>44498</v>
      </c>
      <c r="F760" s="2">
        <v>44954</v>
      </c>
      <c r="G760" s="1" t="s">
        <v>38</v>
      </c>
      <c r="H760">
        <v>1133</v>
      </c>
      <c r="I760">
        <v>4</v>
      </c>
      <c r="J760">
        <v>3</v>
      </c>
      <c r="K760">
        <v>84.71</v>
      </c>
      <c r="L760">
        <v>15</v>
      </c>
      <c r="M760" s="1" t="s">
        <v>67</v>
      </c>
      <c r="N760" s="1" t="s">
        <v>56</v>
      </c>
      <c r="O760">
        <v>4362.05</v>
      </c>
      <c r="P760" t="b">
        <v>1</v>
      </c>
      <c r="Q760">
        <v>0.33333333333333331</v>
      </c>
      <c r="R760">
        <v>1090.5125</v>
      </c>
      <c r="S760">
        <v>21.177499999999998</v>
      </c>
      <c r="T760" s="2">
        <v>44470</v>
      </c>
      <c r="U760" s="1" t="s">
        <v>41</v>
      </c>
      <c r="V760">
        <v>0</v>
      </c>
      <c r="W760" s="1" t="s">
        <v>56</v>
      </c>
      <c r="X760">
        <v>456</v>
      </c>
      <c r="Y760" s="1" t="s">
        <v>43</v>
      </c>
      <c r="Z760" s="1" t="s">
        <v>42</v>
      </c>
      <c r="AA760">
        <v>0.6</v>
      </c>
      <c r="AB760" s="1" t="s">
        <v>42</v>
      </c>
      <c r="AC760">
        <v>1</v>
      </c>
      <c r="AD760" s="2">
        <v>44470</v>
      </c>
      <c r="AE760" s="1" t="s">
        <v>58</v>
      </c>
      <c r="AF760" s="1" t="s">
        <v>72</v>
      </c>
      <c r="AG760" s="1" t="s">
        <v>63</v>
      </c>
      <c r="AH760" s="1" t="s">
        <v>47</v>
      </c>
      <c r="AI760">
        <v>4532</v>
      </c>
      <c r="AJ760">
        <v>-169.94999999999982</v>
      </c>
    </row>
    <row r="761" spans="1:36" x14ac:dyDescent="0.25">
      <c r="A761">
        <v>10760</v>
      </c>
      <c r="B761">
        <v>30</v>
      </c>
      <c r="C761" s="1" t="s">
        <v>36</v>
      </c>
      <c r="D761" s="1" t="s">
        <v>48</v>
      </c>
      <c r="E761" s="2">
        <v>44474</v>
      </c>
      <c r="F761" s="2">
        <v>44570</v>
      </c>
      <c r="G761" s="1" t="s">
        <v>62</v>
      </c>
      <c r="H761">
        <v>1016</v>
      </c>
      <c r="I761">
        <v>5</v>
      </c>
      <c r="J761">
        <v>1</v>
      </c>
      <c r="K761">
        <v>12.11</v>
      </c>
      <c r="L761">
        <v>10</v>
      </c>
      <c r="M761" s="1" t="s">
        <v>50</v>
      </c>
      <c r="N761" s="1" t="s">
        <v>40</v>
      </c>
      <c r="O761">
        <v>4978.3999999999996</v>
      </c>
      <c r="P761" t="b">
        <v>1</v>
      </c>
      <c r="Q761">
        <v>0.41666666666666669</v>
      </c>
      <c r="R761">
        <v>995.68</v>
      </c>
      <c r="S761">
        <v>6.0549999999999997</v>
      </c>
      <c r="T761" s="2">
        <v>44470</v>
      </c>
      <c r="U761" s="1" t="s">
        <v>57</v>
      </c>
      <c r="V761">
        <v>1</v>
      </c>
      <c r="W761" s="1" t="s">
        <v>56</v>
      </c>
      <c r="X761">
        <v>96</v>
      </c>
      <c r="Y761" s="1" t="s">
        <v>42</v>
      </c>
      <c r="Z761" s="1" t="s">
        <v>42</v>
      </c>
      <c r="AA761">
        <v>0.16666666666666666</v>
      </c>
      <c r="AB761" s="1" t="s">
        <v>42</v>
      </c>
      <c r="AC761">
        <v>2</v>
      </c>
      <c r="AD761" s="2">
        <v>44470</v>
      </c>
      <c r="AE761" s="1" t="s">
        <v>58</v>
      </c>
      <c r="AF761" s="1" t="s">
        <v>54</v>
      </c>
      <c r="AG761" s="1" t="s">
        <v>46</v>
      </c>
      <c r="AH761" s="1" t="s">
        <v>47</v>
      </c>
      <c r="AI761">
        <v>5080</v>
      </c>
      <c r="AJ761">
        <v>-101.60000000000036</v>
      </c>
    </row>
    <row r="762" spans="1:36" x14ac:dyDescent="0.25">
      <c r="A762">
        <v>10761</v>
      </c>
      <c r="B762">
        <v>21</v>
      </c>
      <c r="C762" s="1" t="s">
        <v>60</v>
      </c>
      <c r="D762" s="1" t="s">
        <v>37</v>
      </c>
      <c r="E762" s="2">
        <v>44847</v>
      </c>
      <c r="F762" s="2">
        <v>44356</v>
      </c>
      <c r="G762" s="1" t="s">
        <v>38</v>
      </c>
      <c r="H762">
        <v>723</v>
      </c>
      <c r="I762">
        <v>26</v>
      </c>
      <c r="J762">
        <v>0</v>
      </c>
      <c r="K762">
        <v>89.97</v>
      </c>
      <c r="L762">
        <v>10</v>
      </c>
      <c r="M762" s="1" t="s">
        <v>39</v>
      </c>
      <c r="N762" s="1" t="s">
        <v>56</v>
      </c>
      <c r="O762">
        <v>18725.7</v>
      </c>
      <c r="P762" t="b">
        <v>0</v>
      </c>
      <c r="Q762">
        <v>2.1666666666666665</v>
      </c>
      <c r="R762">
        <v>720.21923076923076</v>
      </c>
      <c r="S762">
        <v>89.97</v>
      </c>
      <c r="T762" s="2">
        <v>44835</v>
      </c>
      <c r="U762" s="1" t="s">
        <v>66</v>
      </c>
      <c r="V762">
        <v>0</v>
      </c>
      <c r="W762" s="1" t="s">
        <v>40</v>
      </c>
      <c r="Y762" s="1" t="s">
        <v>43</v>
      </c>
      <c r="Z762" s="1" t="s">
        <v>42</v>
      </c>
      <c r="AA762">
        <v>0</v>
      </c>
      <c r="AB762" s="1" t="s">
        <v>52</v>
      </c>
      <c r="AC762">
        <v>1</v>
      </c>
      <c r="AD762" s="2">
        <v>44835</v>
      </c>
      <c r="AE762" s="1" t="s">
        <v>44</v>
      </c>
      <c r="AF762" s="1" t="s">
        <v>54</v>
      </c>
      <c r="AG762" s="1" t="s">
        <v>63</v>
      </c>
      <c r="AH762" s="1" t="s">
        <v>59</v>
      </c>
      <c r="AI762">
        <v>18798</v>
      </c>
      <c r="AJ762">
        <v>-72.299999999999272</v>
      </c>
    </row>
    <row r="763" spans="1:36" x14ac:dyDescent="0.25">
      <c r="A763">
        <v>10762</v>
      </c>
      <c r="B763">
        <v>18</v>
      </c>
      <c r="C763" s="1" t="s">
        <v>60</v>
      </c>
      <c r="D763" s="1" t="s">
        <v>69</v>
      </c>
      <c r="E763" s="2">
        <v>44884</v>
      </c>
      <c r="F763" s="2">
        <v>44400</v>
      </c>
      <c r="G763" s="1" t="s">
        <v>38</v>
      </c>
      <c r="H763">
        <v>512</v>
      </c>
      <c r="I763">
        <v>25</v>
      </c>
      <c r="J763">
        <v>3</v>
      </c>
      <c r="K763">
        <v>91.25</v>
      </c>
      <c r="L763">
        <v>10</v>
      </c>
      <c r="M763" s="1" t="s">
        <v>65</v>
      </c>
      <c r="N763" s="1" t="s">
        <v>40</v>
      </c>
      <c r="O763">
        <v>12748.8</v>
      </c>
      <c r="P763" t="b">
        <v>0</v>
      </c>
      <c r="Q763">
        <v>2.0833333333333335</v>
      </c>
      <c r="R763">
        <v>509.952</v>
      </c>
      <c r="S763">
        <v>22.8125</v>
      </c>
      <c r="T763" s="2">
        <v>44866</v>
      </c>
      <c r="U763" s="1" t="s">
        <v>66</v>
      </c>
      <c r="V763">
        <v>1</v>
      </c>
      <c r="W763" s="1" t="s">
        <v>56</v>
      </c>
      <c r="Y763" s="1" t="s">
        <v>43</v>
      </c>
      <c r="Z763" s="1" t="s">
        <v>42</v>
      </c>
      <c r="AA763">
        <v>0.11538461538461539</v>
      </c>
      <c r="AB763" s="1" t="s">
        <v>52</v>
      </c>
      <c r="AC763">
        <v>1</v>
      </c>
      <c r="AD763" s="2">
        <v>44866</v>
      </c>
      <c r="AE763" s="1" t="s">
        <v>44</v>
      </c>
      <c r="AF763" s="1" t="s">
        <v>72</v>
      </c>
      <c r="AG763" s="1" t="s">
        <v>63</v>
      </c>
      <c r="AH763" s="1" t="s">
        <v>64</v>
      </c>
      <c r="AI763">
        <v>12800</v>
      </c>
      <c r="AJ763">
        <v>-51.200000000000728</v>
      </c>
    </row>
    <row r="764" spans="1:36" x14ac:dyDescent="0.25">
      <c r="A764">
        <v>10763</v>
      </c>
      <c r="B764">
        <v>57</v>
      </c>
      <c r="C764" s="1" t="s">
        <v>36</v>
      </c>
      <c r="D764" s="1" t="s">
        <v>48</v>
      </c>
      <c r="E764" s="2">
        <v>44204</v>
      </c>
      <c r="F764" s="2">
        <v>44424</v>
      </c>
      <c r="G764" s="1" t="s">
        <v>38</v>
      </c>
      <c r="H764">
        <v>399</v>
      </c>
      <c r="I764">
        <v>10</v>
      </c>
      <c r="J764">
        <v>1</v>
      </c>
      <c r="K764">
        <v>79.87</v>
      </c>
      <c r="L764">
        <v>20</v>
      </c>
      <c r="M764" s="1" t="s">
        <v>50</v>
      </c>
      <c r="N764" s="1" t="s">
        <v>40</v>
      </c>
      <c r="O764">
        <v>3910.2</v>
      </c>
      <c r="P764" t="b">
        <v>1</v>
      </c>
      <c r="Q764">
        <v>0.83333333333333337</v>
      </c>
      <c r="R764">
        <v>391.02</v>
      </c>
      <c r="S764">
        <v>39.935000000000002</v>
      </c>
      <c r="T764" s="2">
        <v>44197</v>
      </c>
      <c r="U764" s="1" t="s">
        <v>41</v>
      </c>
      <c r="V764">
        <v>1</v>
      </c>
      <c r="W764" s="1" t="s">
        <v>56</v>
      </c>
      <c r="X764">
        <v>220</v>
      </c>
      <c r="Y764" s="1" t="s">
        <v>43</v>
      </c>
      <c r="Z764" s="1" t="s">
        <v>52</v>
      </c>
      <c r="AA764">
        <v>9.0909090909090912E-2</v>
      </c>
      <c r="AB764" s="1" t="s">
        <v>42</v>
      </c>
      <c r="AC764">
        <v>1</v>
      </c>
      <c r="AD764" s="2">
        <v>44197</v>
      </c>
      <c r="AE764" s="1" t="s">
        <v>74</v>
      </c>
      <c r="AF764" s="1" t="s">
        <v>54</v>
      </c>
      <c r="AG764" s="1" t="s">
        <v>63</v>
      </c>
      <c r="AH764" s="1" t="s">
        <v>68</v>
      </c>
      <c r="AI764">
        <v>3990</v>
      </c>
      <c r="AJ764">
        <v>-79.800000000000182</v>
      </c>
    </row>
    <row r="765" spans="1:36" x14ac:dyDescent="0.25">
      <c r="A765">
        <v>10764</v>
      </c>
      <c r="B765">
        <v>49</v>
      </c>
      <c r="C765" s="1" t="s">
        <v>60</v>
      </c>
      <c r="D765" s="1" t="s">
        <v>73</v>
      </c>
      <c r="E765" s="2">
        <v>45003</v>
      </c>
      <c r="F765" s="2">
        <v>45065</v>
      </c>
      <c r="G765" s="1" t="s">
        <v>38</v>
      </c>
      <c r="H765">
        <v>1435</v>
      </c>
      <c r="I765">
        <v>8</v>
      </c>
      <c r="J765">
        <v>6</v>
      </c>
      <c r="K765">
        <v>89.2</v>
      </c>
      <c r="L765">
        <v>5</v>
      </c>
      <c r="M765" s="1" t="s">
        <v>50</v>
      </c>
      <c r="N765" s="1" t="s">
        <v>56</v>
      </c>
      <c r="O765">
        <v>11408.25</v>
      </c>
      <c r="P765" t="b">
        <v>1</v>
      </c>
      <c r="Q765">
        <v>0.66666666666666663</v>
      </c>
      <c r="R765">
        <v>1426.03125</v>
      </c>
      <c r="S765">
        <v>12.742857142857144</v>
      </c>
      <c r="T765" s="2">
        <v>44986</v>
      </c>
      <c r="U765" s="1" t="s">
        <v>51</v>
      </c>
      <c r="V765">
        <v>0</v>
      </c>
      <c r="W765" s="1" t="s">
        <v>56</v>
      </c>
      <c r="X765">
        <v>62</v>
      </c>
      <c r="Y765" s="1" t="s">
        <v>43</v>
      </c>
      <c r="Z765" s="1" t="s">
        <v>42</v>
      </c>
      <c r="AA765">
        <v>0.66666666666666663</v>
      </c>
      <c r="AB765" s="1" t="s">
        <v>52</v>
      </c>
      <c r="AC765">
        <v>1</v>
      </c>
      <c r="AD765" s="2">
        <v>44986</v>
      </c>
      <c r="AE765" s="1" t="s">
        <v>74</v>
      </c>
      <c r="AF765" s="1" t="s">
        <v>78</v>
      </c>
      <c r="AG765" s="1" t="s">
        <v>63</v>
      </c>
      <c r="AH765" s="1" t="s">
        <v>47</v>
      </c>
      <c r="AI765">
        <v>11480</v>
      </c>
      <c r="AJ765">
        <v>-71.75</v>
      </c>
    </row>
    <row r="766" spans="1:36" x14ac:dyDescent="0.25">
      <c r="A766">
        <v>10765</v>
      </c>
      <c r="B766">
        <v>51</v>
      </c>
      <c r="C766" s="1" t="s">
        <v>36</v>
      </c>
      <c r="D766" s="1" t="s">
        <v>73</v>
      </c>
      <c r="E766" s="2">
        <v>44431</v>
      </c>
      <c r="F766" s="2">
        <v>44850</v>
      </c>
      <c r="G766" s="1" t="s">
        <v>62</v>
      </c>
      <c r="H766">
        <v>607</v>
      </c>
      <c r="I766">
        <v>12</v>
      </c>
      <c r="J766">
        <v>2</v>
      </c>
      <c r="K766">
        <v>15.12</v>
      </c>
      <c r="L766">
        <v>10</v>
      </c>
      <c r="M766" s="1" t="s">
        <v>50</v>
      </c>
      <c r="N766" s="1" t="s">
        <v>40</v>
      </c>
      <c r="O766">
        <v>7223.3</v>
      </c>
      <c r="P766" t="b">
        <v>1</v>
      </c>
      <c r="Q766">
        <v>1</v>
      </c>
      <c r="R766">
        <v>601.94166666666672</v>
      </c>
      <c r="S766">
        <v>5.04</v>
      </c>
      <c r="T766" s="2">
        <v>44409</v>
      </c>
      <c r="U766" s="1" t="s">
        <v>41</v>
      </c>
      <c r="V766">
        <v>1</v>
      </c>
      <c r="W766" s="1" t="s">
        <v>56</v>
      </c>
      <c r="X766">
        <v>419</v>
      </c>
      <c r="Y766" s="1" t="s">
        <v>42</v>
      </c>
      <c r="Z766" s="1" t="s">
        <v>42</v>
      </c>
      <c r="AA766">
        <v>0.15384615384615385</v>
      </c>
      <c r="AB766" s="1" t="s">
        <v>42</v>
      </c>
      <c r="AC766">
        <v>2</v>
      </c>
      <c r="AD766" s="2">
        <v>44409</v>
      </c>
      <c r="AE766" s="1" t="s">
        <v>74</v>
      </c>
      <c r="AF766" s="1" t="s">
        <v>72</v>
      </c>
      <c r="AG766" s="1" t="s">
        <v>46</v>
      </c>
      <c r="AH766" s="1" t="s">
        <v>64</v>
      </c>
      <c r="AI766">
        <v>7284</v>
      </c>
      <c r="AJ766">
        <v>-60.699999999999818</v>
      </c>
    </row>
    <row r="767" spans="1:36" x14ac:dyDescent="0.25">
      <c r="A767">
        <v>10766</v>
      </c>
      <c r="B767">
        <v>45</v>
      </c>
      <c r="C767" s="1" t="s">
        <v>60</v>
      </c>
      <c r="D767" s="1" t="s">
        <v>71</v>
      </c>
      <c r="E767" s="2">
        <v>44871</v>
      </c>
      <c r="F767" s="2">
        <v>44663</v>
      </c>
      <c r="G767" s="1" t="s">
        <v>38</v>
      </c>
      <c r="H767">
        <v>977</v>
      </c>
      <c r="I767">
        <v>3</v>
      </c>
      <c r="J767">
        <v>1</v>
      </c>
      <c r="K767">
        <v>88.58</v>
      </c>
      <c r="L767">
        <v>0</v>
      </c>
      <c r="M767" s="1" t="s">
        <v>39</v>
      </c>
      <c r="N767" s="1" t="s">
        <v>40</v>
      </c>
      <c r="O767">
        <v>2931</v>
      </c>
      <c r="P767" t="b">
        <v>0</v>
      </c>
      <c r="Q767">
        <v>0.25</v>
      </c>
      <c r="R767">
        <v>977</v>
      </c>
      <c r="S767">
        <v>44.29</v>
      </c>
      <c r="T767" s="2">
        <v>44866</v>
      </c>
      <c r="U767" s="1" t="s">
        <v>51</v>
      </c>
      <c r="V767">
        <v>1</v>
      </c>
      <c r="W767" s="1" t="s">
        <v>56</v>
      </c>
      <c r="Y767" s="1" t="s">
        <v>43</v>
      </c>
      <c r="Z767" s="1" t="s">
        <v>42</v>
      </c>
      <c r="AA767">
        <v>0.25</v>
      </c>
      <c r="AB767" s="1" t="s">
        <v>42</v>
      </c>
      <c r="AC767">
        <v>1</v>
      </c>
      <c r="AD767" s="2">
        <v>44866</v>
      </c>
      <c r="AE767" s="1" t="s">
        <v>58</v>
      </c>
      <c r="AF767" s="1" t="s">
        <v>54</v>
      </c>
      <c r="AG767" s="1" t="s">
        <v>63</v>
      </c>
      <c r="AH767" s="1" t="s">
        <v>59</v>
      </c>
      <c r="AI767">
        <v>2931</v>
      </c>
      <c r="AJ767">
        <v>0</v>
      </c>
    </row>
    <row r="768" spans="1:36" x14ac:dyDescent="0.25">
      <c r="A768">
        <v>10767</v>
      </c>
      <c r="B768">
        <v>48</v>
      </c>
      <c r="C768" s="1" t="s">
        <v>36</v>
      </c>
      <c r="D768" s="1" t="s">
        <v>71</v>
      </c>
      <c r="E768" s="2">
        <v>44757</v>
      </c>
      <c r="F768" s="2">
        <v>45161</v>
      </c>
      <c r="G768" s="1" t="s">
        <v>49</v>
      </c>
      <c r="H768">
        <v>774</v>
      </c>
      <c r="I768">
        <v>27</v>
      </c>
      <c r="J768">
        <v>2</v>
      </c>
      <c r="K768">
        <v>20.72</v>
      </c>
      <c r="L768">
        <v>10</v>
      </c>
      <c r="M768" s="1" t="s">
        <v>39</v>
      </c>
      <c r="N768" s="1" t="s">
        <v>56</v>
      </c>
      <c r="O768">
        <v>20743.2</v>
      </c>
      <c r="P768" t="b">
        <v>1</v>
      </c>
      <c r="Q768">
        <v>2.25</v>
      </c>
      <c r="R768">
        <v>768.26666666666665</v>
      </c>
      <c r="S768">
        <v>6.9066666666666663</v>
      </c>
      <c r="T768" s="2">
        <v>44743</v>
      </c>
      <c r="U768" s="1" t="s">
        <v>51</v>
      </c>
      <c r="V768">
        <v>0</v>
      </c>
      <c r="W768" s="1" t="s">
        <v>40</v>
      </c>
      <c r="X768">
        <v>404</v>
      </c>
      <c r="Y768" s="1" t="s">
        <v>52</v>
      </c>
      <c r="Z768" s="1" t="s">
        <v>42</v>
      </c>
      <c r="AA768">
        <v>7.1428571428571425E-2</v>
      </c>
      <c r="AB768" s="1" t="s">
        <v>43</v>
      </c>
      <c r="AC768">
        <v>3</v>
      </c>
      <c r="AD768" s="2">
        <v>44743</v>
      </c>
      <c r="AE768" s="1" t="s">
        <v>44</v>
      </c>
      <c r="AF768" s="1" t="s">
        <v>72</v>
      </c>
      <c r="AG768" s="1" t="s">
        <v>70</v>
      </c>
      <c r="AH768" s="1" t="s">
        <v>59</v>
      </c>
      <c r="AI768">
        <v>20898</v>
      </c>
      <c r="AJ768">
        <v>-154.79999999999927</v>
      </c>
    </row>
    <row r="769" spans="1:36" x14ac:dyDescent="0.25">
      <c r="A769">
        <v>10768</v>
      </c>
      <c r="B769">
        <v>25</v>
      </c>
      <c r="C769" s="1" t="s">
        <v>36</v>
      </c>
      <c r="D769" s="1" t="s">
        <v>69</v>
      </c>
      <c r="E769" s="2">
        <v>44498</v>
      </c>
      <c r="F769" s="2">
        <v>45169</v>
      </c>
      <c r="G769" s="1" t="s">
        <v>62</v>
      </c>
      <c r="H769">
        <v>411</v>
      </c>
      <c r="I769">
        <v>23</v>
      </c>
      <c r="J769">
        <v>2</v>
      </c>
      <c r="K769">
        <v>44.04</v>
      </c>
      <c r="L769">
        <v>10</v>
      </c>
      <c r="M769" s="1" t="s">
        <v>39</v>
      </c>
      <c r="N769" s="1" t="s">
        <v>56</v>
      </c>
      <c r="O769">
        <v>9411.9</v>
      </c>
      <c r="P769" t="b">
        <v>1</v>
      </c>
      <c r="Q769">
        <v>1.9166666666666667</v>
      </c>
      <c r="R769">
        <v>409.21304347826083</v>
      </c>
      <c r="S769">
        <v>14.68</v>
      </c>
      <c r="T769" s="2">
        <v>44470</v>
      </c>
      <c r="U769" s="1" t="s">
        <v>66</v>
      </c>
      <c r="V769">
        <v>0</v>
      </c>
      <c r="W769" s="1" t="s">
        <v>56</v>
      </c>
      <c r="X769">
        <v>671</v>
      </c>
      <c r="Y769" s="1" t="s">
        <v>52</v>
      </c>
      <c r="Z769" s="1" t="s">
        <v>42</v>
      </c>
      <c r="AA769">
        <v>8.3333333333333329E-2</v>
      </c>
      <c r="AB769" s="1" t="s">
        <v>52</v>
      </c>
      <c r="AC769">
        <v>2</v>
      </c>
      <c r="AD769" s="2">
        <v>44470</v>
      </c>
      <c r="AE769" s="1" t="s">
        <v>53</v>
      </c>
      <c r="AF769" s="1" t="s">
        <v>72</v>
      </c>
      <c r="AG769" s="1" t="s">
        <v>55</v>
      </c>
      <c r="AH769" s="1" t="s">
        <v>68</v>
      </c>
      <c r="AI769">
        <v>9453</v>
      </c>
      <c r="AJ769">
        <v>-41.100000000000364</v>
      </c>
    </row>
    <row r="770" spans="1:36" x14ac:dyDescent="0.25">
      <c r="A770">
        <v>10769</v>
      </c>
      <c r="B770">
        <v>56</v>
      </c>
      <c r="C770" s="1" t="s">
        <v>36</v>
      </c>
      <c r="D770" s="1" t="s">
        <v>69</v>
      </c>
      <c r="E770" s="2">
        <v>44234</v>
      </c>
      <c r="F770" s="2">
        <v>45189</v>
      </c>
      <c r="G770" s="1" t="s">
        <v>38</v>
      </c>
      <c r="H770">
        <v>1410</v>
      </c>
      <c r="I770">
        <v>33</v>
      </c>
      <c r="J770">
        <v>0</v>
      </c>
      <c r="K770">
        <v>113.42</v>
      </c>
      <c r="L770">
        <v>20</v>
      </c>
      <c r="M770" s="1" t="s">
        <v>65</v>
      </c>
      <c r="N770" s="1" t="s">
        <v>40</v>
      </c>
      <c r="O770">
        <v>46248</v>
      </c>
      <c r="P770" t="b">
        <v>1</v>
      </c>
      <c r="Q770">
        <v>2.75</v>
      </c>
      <c r="R770">
        <v>1401.4545454545455</v>
      </c>
      <c r="S770">
        <v>113.42</v>
      </c>
      <c r="T770" s="2">
        <v>44228</v>
      </c>
      <c r="U770" s="1" t="s">
        <v>41</v>
      </c>
      <c r="V770">
        <v>1</v>
      </c>
      <c r="W770" s="1" t="s">
        <v>40</v>
      </c>
      <c r="X770">
        <v>955</v>
      </c>
      <c r="Y770" s="1" t="s">
        <v>43</v>
      </c>
      <c r="Z770" s="1" t="s">
        <v>52</v>
      </c>
      <c r="AA770">
        <v>0</v>
      </c>
      <c r="AB770" s="1" t="s">
        <v>43</v>
      </c>
      <c r="AC770">
        <v>1</v>
      </c>
      <c r="AD770" s="2">
        <v>44228</v>
      </c>
      <c r="AE770" s="1" t="s">
        <v>44</v>
      </c>
      <c r="AF770" s="1" t="s">
        <v>54</v>
      </c>
      <c r="AG770" s="1" t="s">
        <v>63</v>
      </c>
      <c r="AH770" s="1" t="s">
        <v>47</v>
      </c>
      <c r="AI770">
        <v>46530</v>
      </c>
      <c r="AJ770">
        <v>-282</v>
      </c>
    </row>
    <row r="771" spans="1:36" x14ac:dyDescent="0.25">
      <c r="A771">
        <v>10770</v>
      </c>
      <c r="B771">
        <v>43</v>
      </c>
      <c r="C771" s="1" t="s">
        <v>60</v>
      </c>
      <c r="D771" s="1" t="s">
        <v>37</v>
      </c>
      <c r="E771" s="2">
        <v>44332</v>
      </c>
      <c r="F771" s="2">
        <v>44971</v>
      </c>
      <c r="G771" s="1" t="s">
        <v>38</v>
      </c>
      <c r="H771">
        <v>482</v>
      </c>
      <c r="I771">
        <v>14</v>
      </c>
      <c r="J771">
        <v>3</v>
      </c>
      <c r="K771">
        <v>62.83</v>
      </c>
      <c r="L771">
        <v>5</v>
      </c>
      <c r="M771" s="1" t="s">
        <v>39</v>
      </c>
      <c r="N771" s="1" t="s">
        <v>56</v>
      </c>
      <c r="O771">
        <v>6723.9</v>
      </c>
      <c r="P771" t="b">
        <v>1</v>
      </c>
      <c r="Q771">
        <v>1.1666666666666667</v>
      </c>
      <c r="R771">
        <v>480.27857142857141</v>
      </c>
      <c r="S771">
        <v>15.7075</v>
      </c>
      <c r="T771" s="2">
        <v>44317</v>
      </c>
      <c r="U771" s="1" t="s">
        <v>51</v>
      </c>
      <c r="V771">
        <v>0</v>
      </c>
      <c r="W771" s="1" t="s">
        <v>56</v>
      </c>
      <c r="X771">
        <v>639</v>
      </c>
      <c r="Y771" s="1" t="s">
        <v>43</v>
      </c>
      <c r="Z771" s="1" t="s">
        <v>42</v>
      </c>
      <c r="AA771">
        <v>0.2</v>
      </c>
      <c r="AB771" s="1" t="s">
        <v>42</v>
      </c>
      <c r="AC771">
        <v>1</v>
      </c>
      <c r="AD771" s="2">
        <v>44317</v>
      </c>
      <c r="AE771" s="1" t="s">
        <v>53</v>
      </c>
      <c r="AF771" s="1" t="s">
        <v>72</v>
      </c>
      <c r="AG771" s="1" t="s">
        <v>63</v>
      </c>
      <c r="AH771" s="1" t="s">
        <v>68</v>
      </c>
      <c r="AI771">
        <v>6748</v>
      </c>
      <c r="AJ771">
        <v>-24.100000000000364</v>
      </c>
    </row>
    <row r="772" spans="1:36" x14ac:dyDescent="0.25">
      <c r="A772">
        <v>10771</v>
      </c>
      <c r="B772">
        <v>51</v>
      </c>
      <c r="C772" s="1" t="s">
        <v>36</v>
      </c>
      <c r="D772" s="1" t="s">
        <v>61</v>
      </c>
      <c r="E772" s="2">
        <v>45018</v>
      </c>
      <c r="F772" s="2">
        <v>45210</v>
      </c>
      <c r="G772" s="1" t="s">
        <v>38</v>
      </c>
      <c r="H772">
        <v>896</v>
      </c>
      <c r="I772">
        <v>23</v>
      </c>
      <c r="J772">
        <v>1</v>
      </c>
      <c r="K772">
        <v>116.25</v>
      </c>
      <c r="L772">
        <v>20</v>
      </c>
      <c r="M772" s="1" t="s">
        <v>50</v>
      </c>
      <c r="N772" s="1" t="s">
        <v>56</v>
      </c>
      <c r="O772">
        <v>20428.8</v>
      </c>
      <c r="P772" t="b">
        <v>1</v>
      </c>
      <c r="Q772">
        <v>1.9166666666666667</v>
      </c>
      <c r="R772">
        <v>888.2086956521739</v>
      </c>
      <c r="S772">
        <v>58.125</v>
      </c>
      <c r="T772" s="2">
        <v>45017</v>
      </c>
      <c r="U772" s="1" t="s">
        <v>41</v>
      </c>
      <c r="V772">
        <v>0</v>
      </c>
      <c r="W772" s="1" t="s">
        <v>40</v>
      </c>
      <c r="X772">
        <v>192</v>
      </c>
      <c r="Y772" s="1" t="s">
        <v>43</v>
      </c>
      <c r="Z772" s="1" t="s">
        <v>52</v>
      </c>
      <c r="AA772">
        <v>4.1666666666666664E-2</v>
      </c>
      <c r="AB772" s="1" t="s">
        <v>43</v>
      </c>
      <c r="AC772">
        <v>1</v>
      </c>
      <c r="AD772" s="2">
        <v>45017</v>
      </c>
      <c r="AE772" s="1" t="s">
        <v>53</v>
      </c>
      <c r="AF772" s="1" t="s">
        <v>54</v>
      </c>
      <c r="AG772" s="1" t="s">
        <v>63</v>
      </c>
      <c r="AH772" s="1" t="s">
        <v>59</v>
      </c>
      <c r="AI772">
        <v>20608</v>
      </c>
      <c r="AJ772">
        <v>-179.20000000000073</v>
      </c>
    </row>
    <row r="773" spans="1:36" x14ac:dyDescent="0.25">
      <c r="A773">
        <v>10772</v>
      </c>
      <c r="B773">
        <v>20</v>
      </c>
      <c r="C773" s="1" t="s">
        <v>36</v>
      </c>
      <c r="D773" s="1" t="s">
        <v>71</v>
      </c>
      <c r="E773" s="2">
        <v>44617</v>
      </c>
      <c r="F773" s="2">
        <v>44512</v>
      </c>
      <c r="G773" s="1" t="s">
        <v>62</v>
      </c>
      <c r="H773">
        <v>464</v>
      </c>
      <c r="I773">
        <v>31</v>
      </c>
      <c r="J773">
        <v>2</v>
      </c>
      <c r="K773">
        <v>15.23</v>
      </c>
      <c r="L773">
        <v>0</v>
      </c>
      <c r="M773" s="1" t="s">
        <v>67</v>
      </c>
      <c r="N773" s="1" t="s">
        <v>56</v>
      </c>
      <c r="O773">
        <v>14384</v>
      </c>
      <c r="P773" t="b">
        <v>0</v>
      </c>
      <c r="Q773">
        <v>2.5833333333333335</v>
      </c>
      <c r="R773">
        <v>464</v>
      </c>
      <c r="S773">
        <v>5.0766666666666671</v>
      </c>
      <c r="T773" s="2">
        <v>44593</v>
      </c>
      <c r="U773" s="1" t="s">
        <v>66</v>
      </c>
      <c r="V773">
        <v>0</v>
      </c>
      <c r="W773" s="1" t="s">
        <v>40</v>
      </c>
      <c r="Y773" s="1" t="s">
        <v>42</v>
      </c>
      <c r="Z773" s="1" t="s">
        <v>42</v>
      </c>
      <c r="AA773">
        <v>6.25E-2</v>
      </c>
      <c r="AB773" s="1" t="s">
        <v>52</v>
      </c>
      <c r="AC773">
        <v>2</v>
      </c>
      <c r="AD773" s="2">
        <v>44593</v>
      </c>
      <c r="AE773" s="1" t="s">
        <v>44</v>
      </c>
      <c r="AF773" s="1" t="s">
        <v>72</v>
      </c>
      <c r="AG773" s="1" t="s">
        <v>46</v>
      </c>
      <c r="AH773" s="1" t="s">
        <v>68</v>
      </c>
      <c r="AI773">
        <v>14384</v>
      </c>
      <c r="AJ773">
        <v>0</v>
      </c>
    </row>
    <row r="774" spans="1:36" x14ac:dyDescent="0.25">
      <c r="A774">
        <v>10773</v>
      </c>
      <c r="B774">
        <v>29</v>
      </c>
      <c r="C774" s="1" t="s">
        <v>60</v>
      </c>
      <c r="D774" s="1" t="s">
        <v>69</v>
      </c>
      <c r="E774" s="2">
        <v>44415</v>
      </c>
      <c r="F774" s="2">
        <v>44626</v>
      </c>
      <c r="G774" s="1" t="s">
        <v>38</v>
      </c>
      <c r="H774">
        <v>1114</v>
      </c>
      <c r="I774">
        <v>13</v>
      </c>
      <c r="J774">
        <v>2</v>
      </c>
      <c r="K774">
        <v>59.92</v>
      </c>
      <c r="L774">
        <v>10</v>
      </c>
      <c r="M774" s="1" t="s">
        <v>65</v>
      </c>
      <c r="N774" s="1" t="s">
        <v>56</v>
      </c>
      <c r="O774">
        <v>14370.6</v>
      </c>
      <c r="P774" t="b">
        <v>1</v>
      </c>
      <c r="Q774">
        <v>1.0833333333333333</v>
      </c>
      <c r="R774">
        <v>1105.4307692307693</v>
      </c>
      <c r="S774">
        <v>19.973333333333333</v>
      </c>
      <c r="T774" s="2">
        <v>44409</v>
      </c>
      <c r="U774" s="1" t="s">
        <v>57</v>
      </c>
      <c r="V774">
        <v>0</v>
      </c>
      <c r="W774" s="1" t="s">
        <v>40</v>
      </c>
      <c r="X774">
        <v>211</v>
      </c>
      <c r="Y774" s="1" t="s">
        <v>52</v>
      </c>
      <c r="Z774" s="1" t="s">
        <v>42</v>
      </c>
      <c r="AA774">
        <v>0.14285714285714285</v>
      </c>
      <c r="AB774" s="1" t="s">
        <v>52</v>
      </c>
      <c r="AC774">
        <v>1</v>
      </c>
      <c r="AD774" s="2">
        <v>44409</v>
      </c>
      <c r="AE774" s="1" t="s">
        <v>53</v>
      </c>
      <c r="AF774" s="1" t="s">
        <v>72</v>
      </c>
      <c r="AG774" s="1" t="s">
        <v>63</v>
      </c>
      <c r="AH774" s="1" t="s">
        <v>47</v>
      </c>
      <c r="AI774">
        <v>14482</v>
      </c>
      <c r="AJ774">
        <v>-111.39999999999964</v>
      </c>
    </row>
    <row r="775" spans="1:36" x14ac:dyDescent="0.25">
      <c r="A775">
        <v>10774</v>
      </c>
      <c r="B775">
        <v>18</v>
      </c>
      <c r="C775" s="1" t="s">
        <v>60</v>
      </c>
      <c r="D775" s="1" t="s">
        <v>71</v>
      </c>
      <c r="E775" s="2">
        <v>44544</v>
      </c>
      <c r="F775" s="2">
        <v>44374</v>
      </c>
      <c r="G775" s="1" t="s">
        <v>38</v>
      </c>
      <c r="H775">
        <v>389</v>
      </c>
      <c r="I775">
        <v>12</v>
      </c>
      <c r="J775">
        <v>3</v>
      </c>
      <c r="K775">
        <v>62.59</v>
      </c>
      <c r="L775">
        <v>0</v>
      </c>
      <c r="M775" s="1" t="s">
        <v>65</v>
      </c>
      <c r="N775" s="1" t="s">
        <v>40</v>
      </c>
      <c r="O775">
        <v>4668</v>
      </c>
      <c r="P775" t="b">
        <v>0</v>
      </c>
      <c r="Q775">
        <v>1</v>
      </c>
      <c r="R775">
        <v>389</v>
      </c>
      <c r="S775">
        <v>15.647500000000001</v>
      </c>
      <c r="T775" s="2">
        <v>44531</v>
      </c>
      <c r="U775" s="1" t="s">
        <v>66</v>
      </c>
      <c r="V775">
        <v>1</v>
      </c>
      <c r="W775" s="1" t="s">
        <v>56</v>
      </c>
      <c r="Y775" s="1" t="s">
        <v>43</v>
      </c>
      <c r="Z775" s="1" t="s">
        <v>42</v>
      </c>
      <c r="AA775">
        <v>0.23076923076923078</v>
      </c>
      <c r="AB775" s="1" t="s">
        <v>42</v>
      </c>
      <c r="AC775">
        <v>1</v>
      </c>
      <c r="AD775" s="2">
        <v>44531</v>
      </c>
      <c r="AE775" s="1" t="s">
        <v>74</v>
      </c>
      <c r="AF775" s="1" t="s">
        <v>72</v>
      </c>
      <c r="AG775" s="1" t="s">
        <v>63</v>
      </c>
      <c r="AH775" s="1" t="s">
        <v>68</v>
      </c>
      <c r="AI775">
        <v>4668</v>
      </c>
      <c r="AJ775">
        <v>0</v>
      </c>
    </row>
    <row r="776" spans="1:36" x14ac:dyDescent="0.25">
      <c r="A776">
        <v>10775</v>
      </c>
      <c r="B776">
        <v>61</v>
      </c>
      <c r="C776" s="1" t="s">
        <v>60</v>
      </c>
      <c r="D776" s="1" t="s">
        <v>69</v>
      </c>
      <c r="E776" s="2">
        <v>45004</v>
      </c>
      <c r="F776" s="2">
        <v>44417</v>
      </c>
      <c r="G776" s="1" t="s">
        <v>49</v>
      </c>
      <c r="H776">
        <v>754</v>
      </c>
      <c r="I776">
        <v>35</v>
      </c>
      <c r="J776">
        <v>1</v>
      </c>
      <c r="K776">
        <v>77.47</v>
      </c>
      <c r="L776">
        <v>15</v>
      </c>
      <c r="M776" s="1" t="s">
        <v>65</v>
      </c>
      <c r="N776" s="1" t="s">
        <v>56</v>
      </c>
      <c r="O776">
        <v>26276.9</v>
      </c>
      <c r="P776" t="b">
        <v>0</v>
      </c>
      <c r="Q776">
        <v>2.9166666666666665</v>
      </c>
      <c r="R776">
        <v>750.76857142857148</v>
      </c>
      <c r="S776">
        <v>38.734999999999999</v>
      </c>
      <c r="T776" s="2">
        <v>44986</v>
      </c>
      <c r="U776" s="1" t="s">
        <v>41</v>
      </c>
      <c r="V776">
        <v>0</v>
      </c>
      <c r="W776" s="1" t="s">
        <v>40</v>
      </c>
      <c r="Y776" s="1" t="s">
        <v>43</v>
      </c>
      <c r="Z776" s="1" t="s">
        <v>42</v>
      </c>
      <c r="AA776">
        <v>2.7777777777777776E-2</v>
      </c>
      <c r="AB776" s="1" t="s">
        <v>43</v>
      </c>
      <c r="AC776">
        <v>3</v>
      </c>
      <c r="AD776" s="2">
        <v>44986</v>
      </c>
      <c r="AE776" s="1" t="s">
        <v>44</v>
      </c>
      <c r="AF776" s="1" t="s">
        <v>54</v>
      </c>
      <c r="AG776" s="1" t="s">
        <v>63</v>
      </c>
      <c r="AH776" s="1" t="s">
        <v>59</v>
      </c>
      <c r="AI776">
        <v>26390</v>
      </c>
      <c r="AJ776">
        <v>-113.09999999999854</v>
      </c>
    </row>
    <row r="777" spans="1:36" x14ac:dyDescent="0.25">
      <c r="A777">
        <v>10776</v>
      </c>
      <c r="B777">
        <v>22</v>
      </c>
      <c r="C777" s="1" t="s">
        <v>36</v>
      </c>
      <c r="D777" s="1" t="s">
        <v>48</v>
      </c>
      <c r="E777" s="2">
        <v>44742</v>
      </c>
      <c r="F777" s="2">
        <v>44565</v>
      </c>
      <c r="G777" s="1" t="s">
        <v>38</v>
      </c>
      <c r="H777">
        <v>537</v>
      </c>
      <c r="I777">
        <v>18</v>
      </c>
      <c r="J777">
        <v>1</v>
      </c>
      <c r="K777">
        <v>14.05</v>
      </c>
      <c r="L777">
        <v>20</v>
      </c>
      <c r="M777" s="1" t="s">
        <v>50</v>
      </c>
      <c r="N777" s="1" t="s">
        <v>40</v>
      </c>
      <c r="O777">
        <v>9558.6</v>
      </c>
      <c r="P777" t="b">
        <v>0</v>
      </c>
      <c r="Q777">
        <v>1.5</v>
      </c>
      <c r="R777">
        <v>531.0333333333333</v>
      </c>
      <c r="S777">
        <v>7.0250000000000004</v>
      </c>
      <c r="T777" s="2">
        <v>44713</v>
      </c>
      <c r="U777" s="1" t="s">
        <v>66</v>
      </c>
      <c r="V777">
        <v>1</v>
      </c>
      <c r="W777" s="1" t="s">
        <v>56</v>
      </c>
      <c r="Y777" s="1" t="s">
        <v>42</v>
      </c>
      <c r="Z777" s="1" t="s">
        <v>52</v>
      </c>
      <c r="AA777">
        <v>5.2631578947368418E-2</v>
      </c>
      <c r="AB777" s="1" t="s">
        <v>52</v>
      </c>
      <c r="AC777">
        <v>1</v>
      </c>
      <c r="AD777" s="2">
        <v>44713</v>
      </c>
      <c r="AE777" s="1" t="s">
        <v>53</v>
      </c>
      <c r="AF777" s="1" t="s">
        <v>54</v>
      </c>
      <c r="AG777" s="1" t="s">
        <v>46</v>
      </c>
      <c r="AH777" s="1" t="s">
        <v>64</v>
      </c>
      <c r="AI777">
        <v>9666</v>
      </c>
      <c r="AJ777">
        <v>-107.39999999999964</v>
      </c>
    </row>
    <row r="778" spans="1:36" x14ac:dyDescent="0.25">
      <c r="A778">
        <v>10777</v>
      </c>
      <c r="B778">
        <v>47</v>
      </c>
      <c r="C778" s="1" t="s">
        <v>36</v>
      </c>
      <c r="D778" s="1" t="s">
        <v>71</v>
      </c>
      <c r="E778" s="2">
        <v>45060</v>
      </c>
      <c r="F778" s="2">
        <v>44712</v>
      </c>
      <c r="G778" s="1" t="s">
        <v>38</v>
      </c>
      <c r="H778">
        <v>833</v>
      </c>
      <c r="I778">
        <v>21</v>
      </c>
      <c r="J778">
        <v>2</v>
      </c>
      <c r="K778">
        <v>25.17</v>
      </c>
      <c r="L778">
        <v>20</v>
      </c>
      <c r="M778" s="1" t="s">
        <v>39</v>
      </c>
      <c r="N778" s="1" t="s">
        <v>56</v>
      </c>
      <c r="O778">
        <v>17326.400000000001</v>
      </c>
      <c r="P778" t="b">
        <v>0</v>
      </c>
      <c r="Q778">
        <v>1.75</v>
      </c>
      <c r="R778">
        <v>825.06666666666672</v>
      </c>
      <c r="S778">
        <v>8.39</v>
      </c>
      <c r="T778" s="2">
        <v>45047</v>
      </c>
      <c r="U778" s="1" t="s">
        <v>51</v>
      </c>
      <c r="V778">
        <v>0</v>
      </c>
      <c r="W778" s="1" t="s">
        <v>40</v>
      </c>
      <c r="Y778" s="1" t="s">
        <v>52</v>
      </c>
      <c r="Z778" s="1" t="s">
        <v>52</v>
      </c>
      <c r="AA778">
        <v>9.0909090909090912E-2</v>
      </c>
      <c r="AB778" s="1" t="s">
        <v>52</v>
      </c>
      <c r="AC778">
        <v>1</v>
      </c>
      <c r="AD778" s="2">
        <v>45047</v>
      </c>
      <c r="AE778" s="1" t="s">
        <v>53</v>
      </c>
      <c r="AF778" s="1" t="s">
        <v>72</v>
      </c>
      <c r="AG778" s="1" t="s">
        <v>70</v>
      </c>
      <c r="AH778" s="1" t="s">
        <v>59</v>
      </c>
      <c r="AI778">
        <v>17493</v>
      </c>
      <c r="AJ778">
        <v>-166.59999999999854</v>
      </c>
    </row>
    <row r="779" spans="1:36" x14ac:dyDescent="0.25">
      <c r="A779">
        <v>10778</v>
      </c>
      <c r="B779">
        <v>47</v>
      </c>
      <c r="C779" s="1" t="s">
        <v>60</v>
      </c>
      <c r="D779" s="1" t="s">
        <v>48</v>
      </c>
      <c r="E779" s="2">
        <v>44275</v>
      </c>
      <c r="F779" s="2">
        <v>45048</v>
      </c>
      <c r="G779" s="1" t="s">
        <v>49</v>
      </c>
      <c r="H779">
        <v>1026</v>
      </c>
      <c r="I779">
        <v>1</v>
      </c>
      <c r="J779">
        <v>1</v>
      </c>
      <c r="K779">
        <v>34.770000000000003</v>
      </c>
      <c r="L779">
        <v>20</v>
      </c>
      <c r="M779" s="1" t="s">
        <v>50</v>
      </c>
      <c r="N779" s="1" t="s">
        <v>56</v>
      </c>
      <c r="O779">
        <v>820.8</v>
      </c>
      <c r="P779" t="b">
        <v>1</v>
      </c>
      <c r="Q779">
        <v>8.3333333333333329E-2</v>
      </c>
      <c r="R779">
        <v>820.8</v>
      </c>
      <c r="S779">
        <v>17.385000000000002</v>
      </c>
      <c r="T779" s="2">
        <v>44256</v>
      </c>
      <c r="U779" s="1" t="s">
        <v>51</v>
      </c>
      <c r="V779">
        <v>0</v>
      </c>
      <c r="W779" s="1" t="s">
        <v>56</v>
      </c>
      <c r="X779">
        <v>773</v>
      </c>
      <c r="Y779" s="1" t="s">
        <v>52</v>
      </c>
      <c r="Z779" s="1" t="s">
        <v>52</v>
      </c>
      <c r="AA779">
        <v>0.5</v>
      </c>
      <c r="AB779" s="1" t="s">
        <v>42</v>
      </c>
      <c r="AC779">
        <v>3</v>
      </c>
      <c r="AD779" s="2">
        <v>44256</v>
      </c>
      <c r="AE779" s="1" t="s">
        <v>58</v>
      </c>
      <c r="AF779" s="1" t="s">
        <v>54</v>
      </c>
      <c r="AG779" s="1" t="s">
        <v>55</v>
      </c>
      <c r="AH779" s="1" t="s">
        <v>47</v>
      </c>
      <c r="AI779">
        <v>1026</v>
      </c>
      <c r="AJ779">
        <v>-205.20000000000005</v>
      </c>
    </row>
    <row r="780" spans="1:36" x14ac:dyDescent="0.25">
      <c r="A780">
        <v>10779</v>
      </c>
      <c r="B780">
        <v>34</v>
      </c>
      <c r="C780" s="1" t="s">
        <v>36</v>
      </c>
      <c r="D780" s="1" t="s">
        <v>71</v>
      </c>
      <c r="E780" s="2">
        <v>44944</v>
      </c>
      <c r="F780" s="2">
        <v>45192</v>
      </c>
      <c r="G780" s="1" t="s">
        <v>62</v>
      </c>
      <c r="H780">
        <v>357</v>
      </c>
      <c r="I780">
        <v>9</v>
      </c>
      <c r="J780">
        <v>3</v>
      </c>
      <c r="K780">
        <v>91.11</v>
      </c>
      <c r="L780">
        <v>5</v>
      </c>
      <c r="M780" s="1" t="s">
        <v>67</v>
      </c>
      <c r="N780" s="1" t="s">
        <v>56</v>
      </c>
      <c r="O780">
        <v>3195.15</v>
      </c>
      <c r="P780" t="b">
        <v>1</v>
      </c>
      <c r="Q780">
        <v>0.75</v>
      </c>
      <c r="R780">
        <v>355.01666666666665</v>
      </c>
      <c r="S780">
        <v>22.7775</v>
      </c>
      <c r="T780" s="2">
        <v>44927</v>
      </c>
      <c r="U780" s="1" t="s">
        <v>57</v>
      </c>
      <c r="V780">
        <v>0</v>
      </c>
      <c r="W780" s="1" t="s">
        <v>56</v>
      </c>
      <c r="X780">
        <v>248</v>
      </c>
      <c r="Y780" s="1" t="s">
        <v>43</v>
      </c>
      <c r="Z780" s="1" t="s">
        <v>42</v>
      </c>
      <c r="AA780">
        <v>0.3</v>
      </c>
      <c r="AB780" s="1" t="s">
        <v>42</v>
      </c>
      <c r="AC780">
        <v>2</v>
      </c>
      <c r="AD780" s="2">
        <v>44927</v>
      </c>
      <c r="AE780" s="1" t="s">
        <v>74</v>
      </c>
      <c r="AF780" s="1" t="s">
        <v>72</v>
      </c>
      <c r="AG780" s="1" t="s">
        <v>63</v>
      </c>
      <c r="AH780" s="1" t="s">
        <v>68</v>
      </c>
      <c r="AI780">
        <v>3213</v>
      </c>
      <c r="AJ780">
        <v>-17.849999999999909</v>
      </c>
    </row>
    <row r="781" spans="1:36" x14ac:dyDescent="0.25">
      <c r="A781">
        <v>10780</v>
      </c>
      <c r="B781">
        <v>64</v>
      </c>
      <c r="C781" s="1" t="s">
        <v>60</v>
      </c>
      <c r="D781" s="1" t="s">
        <v>61</v>
      </c>
      <c r="E781" s="2">
        <v>45091</v>
      </c>
      <c r="F781" s="2">
        <v>44653</v>
      </c>
      <c r="G781" s="1" t="s">
        <v>38</v>
      </c>
      <c r="H781">
        <v>841</v>
      </c>
      <c r="I781">
        <v>23</v>
      </c>
      <c r="J781">
        <v>1</v>
      </c>
      <c r="K781">
        <v>62.59</v>
      </c>
      <c r="L781">
        <v>0</v>
      </c>
      <c r="M781" s="1" t="s">
        <v>39</v>
      </c>
      <c r="N781" s="1" t="s">
        <v>56</v>
      </c>
      <c r="O781">
        <v>19343</v>
      </c>
      <c r="P781" t="b">
        <v>0</v>
      </c>
      <c r="Q781">
        <v>1.9166666666666667</v>
      </c>
      <c r="R781">
        <v>841</v>
      </c>
      <c r="S781">
        <v>31.295000000000002</v>
      </c>
      <c r="T781" s="2">
        <v>45078</v>
      </c>
      <c r="U781" s="1" t="s">
        <v>41</v>
      </c>
      <c r="V781">
        <v>0</v>
      </c>
      <c r="W781" s="1" t="s">
        <v>40</v>
      </c>
      <c r="Y781" s="1" t="s">
        <v>43</v>
      </c>
      <c r="Z781" s="1" t="s">
        <v>42</v>
      </c>
      <c r="AA781">
        <v>4.1666666666666664E-2</v>
      </c>
      <c r="AB781" s="1" t="s">
        <v>52</v>
      </c>
      <c r="AC781">
        <v>1</v>
      </c>
      <c r="AD781" s="2">
        <v>45078</v>
      </c>
      <c r="AE781" s="1" t="s">
        <v>53</v>
      </c>
      <c r="AF781" s="1" t="s">
        <v>54</v>
      </c>
      <c r="AG781" s="1" t="s">
        <v>63</v>
      </c>
      <c r="AH781" s="1" t="s">
        <v>59</v>
      </c>
      <c r="AI781">
        <v>19343</v>
      </c>
      <c r="AJ781">
        <v>0</v>
      </c>
    </row>
    <row r="782" spans="1:36" x14ac:dyDescent="0.25">
      <c r="A782">
        <v>10781</v>
      </c>
      <c r="B782">
        <v>40</v>
      </c>
      <c r="C782" s="1" t="s">
        <v>60</v>
      </c>
      <c r="D782" s="1" t="s">
        <v>37</v>
      </c>
      <c r="E782" s="2">
        <v>44469</v>
      </c>
      <c r="F782" s="2">
        <v>44471</v>
      </c>
      <c r="G782" s="1" t="s">
        <v>62</v>
      </c>
      <c r="H782">
        <v>1321</v>
      </c>
      <c r="I782">
        <v>14</v>
      </c>
      <c r="J782">
        <v>4</v>
      </c>
      <c r="K782">
        <v>102.36</v>
      </c>
      <c r="L782">
        <v>15</v>
      </c>
      <c r="M782" s="1" t="s">
        <v>67</v>
      </c>
      <c r="N782" s="1" t="s">
        <v>56</v>
      </c>
      <c r="O782">
        <v>18295.849999999999</v>
      </c>
      <c r="P782" t="b">
        <v>1</v>
      </c>
      <c r="Q782">
        <v>1.1666666666666667</v>
      </c>
      <c r="R782">
        <v>1306.8464285714285</v>
      </c>
      <c r="S782">
        <v>20.472000000000001</v>
      </c>
      <c r="T782" s="2">
        <v>44440</v>
      </c>
      <c r="U782" s="1" t="s">
        <v>51</v>
      </c>
      <c r="V782">
        <v>0</v>
      </c>
      <c r="W782" s="1" t="s">
        <v>40</v>
      </c>
      <c r="X782">
        <v>2</v>
      </c>
      <c r="Y782" s="1" t="s">
        <v>43</v>
      </c>
      <c r="Z782" s="1" t="s">
        <v>42</v>
      </c>
      <c r="AA782">
        <v>0.26666666666666666</v>
      </c>
      <c r="AB782" s="1" t="s">
        <v>52</v>
      </c>
      <c r="AC782">
        <v>2</v>
      </c>
      <c r="AD782" s="2">
        <v>44440</v>
      </c>
      <c r="AE782" s="1" t="s">
        <v>53</v>
      </c>
      <c r="AF782" s="1" t="s">
        <v>45</v>
      </c>
      <c r="AG782" s="1" t="s">
        <v>63</v>
      </c>
      <c r="AH782" s="1" t="s">
        <v>47</v>
      </c>
      <c r="AI782">
        <v>18494</v>
      </c>
      <c r="AJ782">
        <v>-198.15000000000146</v>
      </c>
    </row>
    <row r="783" spans="1:36" x14ac:dyDescent="0.25">
      <c r="A783">
        <v>10782</v>
      </c>
      <c r="B783">
        <v>32</v>
      </c>
      <c r="C783" s="1" t="s">
        <v>75</v>
      </c>
      <c r="D783" s="1" t="s">
        <v>73</v>
      </c>
      <c r="E783" s="2">
        <v>44357</v>
      </c>
      <c r="F783" s="2">
        <v>44366</v>
      </c>
      <c r="G783" s="1" t="s">
        <v>38</v>
      </c>
      <c r="H783">
        <v>917</v>
      </c>
      <c r="I783">
        <v>11</v>
      </c>
      <c r="J783">
        <v>0</v>
      </c>
      <c r="K783">
        <v>20.170000000000002</v>
      </c>
      <c r="L783">
        <v>5</v>
      </c>
      <c r="M783" s="1" t="s">
        <v>65</v>
      </c>
      <c r="N783" s="1" t="s">
        <v>56</v>
      </c>
      <c r="O783">
        <v>10041.15</v>
      </c>
      <c r="P783" t="b">
        <v>1</v>
      </c>
      <c r="Q783">
        <v>0.91666666666666663</v>
      </c>
      <c r="R783">
        <v>912.83181818181811</v>
      </c>
      <c r="S783">
        <v>20.170000000000002</v>
      </c>
      <c r="T783" s="2">
        <v>44348</v>
      </c>
      <c r="U783" s="1" t="s">
        <v>57</v>
      </c>
      <c r="V783">
        <v>0</v>
      </c>
      <c r="W783" s="1" t="s">
        <v>56</v>
      </c>
      <c r="X783">
        <v>9</v>
      </c>
      <c r="Y783" s="1" t="s">
        <v>52</v>
      </c>
      <c r="Z783" s="1" t="s">
        <v>42</v>
      </c>
      <c r="AA783">
        <v>0</v>
      </c>
      <c r="AB783" s="1" t="s">
        <v>52</v>
      </c>
      <c r="AC783">
        <v>1</v>
      </c>
      <c r="AD783" s="2">
        <v>44348</v>
      </c>
      <c r="AE783" s="1" t="s">
        <v>74</v>
      </c>
      <c r="AF783" s="1" t="s">
        <v>54</v>
      </c>
      <c r="AG783" s="1" t="s">
        <v>70</v>
      </c>
      <c r="AH783" s="1" t="s">
        <v>59</v>
      </c>
      <c r="AI783">
        <v>10087</v>
      </c>
      <c r="AJ783">
        <v>-45.850000000000364</v>
      </c>
    </row>
    <row r="784" spans="1:36" x14ac:dyDescent="0.25">
      <c r="A784">
        <v>10783</v>
      </c>
      <c r="B784">
        <v>54</v>
      </c>
      <c r="C784" s="1" t="s">
        <v>36</v>
      </c>
      <c r="D784" s="1" t="s">
        <v>73</v>
      </c>
      <c r="E784" s="2">
        <v>44883</v>
      </c>
      <c r="F784" s="2">
        <v>44604</v>
      </c>
      <c r="G784" s="1" t="s">
        <v>62</v>
      </c>
      <c r="H784">
        <v>701</v>
      </c>
      <c r="I784">
        <v>7</v>
      </c>
      <c r="J784">
        <v>2</v>
      </c>
      <c r="K784">
        <v>9.0500000000000007</v>
      </c>
      <c r="L784">
        <v>5</v>
      </c>
      <c r="M784" s="1" t="s">
        <v>65</v>
      </c>
      <c r="N784" s="1" t="s">
        <v>56</v>
      </c>
      <c r="O784">
        <v>4871.95</v>
      </c>
      <c r="P784" t="b">
        <v>0</v>
      </c>
      <c r="Q784">
        <v>0.58333333333333337</v>
      </c>
      <c r="R784">
        <v>695.99285714285713</v>
      </c>
      <c r="S784">
        <v>3.0166666666666671</v>
      </c>
      <c r="T784" s="2">
        <v>44866</v>
      </c>
      <c r="U784" s="1" t="s">
        <v>41</v>
      </c>
      <c r="V784">
        <v>0</v>
      </c>
      <c r="W784" s="1" t="s">
        <v>56</v>
      </c>
      <c r="Y784" s="1" t="s">
        <v>42</v>
      </c>
      <c r="Z784" s="1" t="s">
        <v>42</v>
      </c>
      <c r="AA784">
        <v>0.25</v>
      </c>
      <c r="AB784" s="1" t="s">
        <v>42</v>
      </c>
      <c r="AC784">
        <v>2</v>
      </c>
      <c r="AD784" s="2">
        <v>44866</v>
      </c>
      <c r="AE784" s="1" t="s">
        <v>74</v>
      </c>
      <c r="AF784" s="1" t="s">
        <v>72</v>
      </c>
      <c r="AG784" s="1" t="s">
        <v>77</v>
      </c>
      <c r="AH784" s="1" t="s">
        <v>59</v>
      </c>
      <c r="AI784">
        <v>4907</v>
      </c>
      <c r="AJ784">
        <v>-35.050000000000182</v>
      </c>
    </row>
    <row r="785" spans="1:36" x14ac:dyDescent="0.25">
      <c r="A785">
        <v>10784</v>
      </c>
      <c r="B785">
        <v>38</v>
      </c>
      <c r="C785" s="1" t="s">
        <v>36</v>
      </c>
      <c r="D785" s="1" t="s">
        <v>73</v>
      </c>
      <c r="E785" s="2">
        <v>45074</v>
      </c>
      <c r="F785" s="2">
        <v>44643</v>
      </c>
      <c r="G785" s="1" t="s">
        <v>62</v>
      </c>
      <c r="H785">
        <v>1305</v>
      </c>
      <c r="I785">
        <v>31</v>
      </c>
      <c r="J785">
        <v>5</v>
      </c>
      <c r="K785">
        <v>50.43</v>
      </c>
      <c r="L785">
        <v>10</v>
      </c>
      <c r="M785" s="1" t="s">
        <v>50</v>
      </c>
      <c r="N785" s="1" t="s">
        <v>56</v>
      </c>
      <c r="O785">
        <v>40324.5</v>
      </c>
      <c r="P785" t="b">
        <v>0</v>
      </c>
      <c r="Q785">
        <v>2.5833333333333335</v>
      </c>
      <c r="R785">
        <v>1300.7903225806451</v>
      </c>
      <c r="S785">
        <v>8.4049999999999994</v>
      </c>
      <c r="T785" s="2">
        <v>45047</v>
      </c>
      <c r="U785" s="1" t="s">
        <v>51</v>
      </c>
      <c r="V785">
        <v>0</v>
      </c>
      <c r="W785" s="1" t="s">
        <v>40</v>
      </c>
      <c r="Y785" s="1" t="s">
        <v>52</v>
      </c>
      <c r="Z785" s="1" t="s">
        <v>42</v>
      </c>
      <c r="AA785">
        <v>0.15625</v>
      </c>
      <c r="AB785" s="1" t="s">
        <v>43</v>
      </c>
      <c r="AC785">
        <v>2</v>
      </c>
      <c r="AD785" s="2">
        <v>45047</v>
      </c>
      <c r="AE785" s="1" t="s">
        <v>44</v>
      </c>
      <c r="AF785" s="1" t="s">
        <v>45</v>
      </c>
      <c r="AG785" s="1" t="s">
        <v>63</v>
      </c>
      <c r="AH785" s="1" t="s">
        <v>47</v>
      </c>
      <c r="AI785">
        <v>40455</v>
      </c>
      <c r="AJ785">
        <v>-130.5</v>
      </c>
    </row>
    <row r="786" spans="1:36" x14ac:dyDescent="0.25">
      <c r="A786">
        <v>10785</v>
      </c>
      <c r="B786">
        <v>31</v>
      </c>
      <c r="C786" s="1" t="s">
        <v>60</v>
      </c>
      <c r="D786" s="1" t="s">
        <v>48</v>
      </c>
      <c r="E786" s="2">
        <v>44504</v>
      </c>
      <c r="F786" s="2">
        <v>44369</v>
      </c>
      <c r="G786" s="1" t="s">
        <v>49</v>
      </c>
      <c r="H786">
        <v>1141</v>
      </c>
      <c r="I786">
        <v>24</v>
      </c>
      <c r="J786">
        <v>3</v>
      </c>
      <c r="K786">
        <v>117.64</v>
      </c>
      <c r="L786">
        <v>15</v>
      </c>
      <c r="M786" s="1" t="s">
        <v>39</v>
      </c>
      <c r="N786" s="1" t="s">
        <v>56</v>
      </c>
      <c r="O786">
        <v>27212.85</v>
      </c>
      <c r="P786" t="b">
        <v>0</v>
      </c>
      <c r="Q786">
        <v>2</v>
      </c>
      <c r="R786">
        <v>1133.8687499999999</v>
      </c>
      <c r="S786">
        <v>29.41</v>
      </c>
      <c r="T786" s="2">
        <v>44501</v>
      </c>
      <c r="U786" s="1" t="s">
        <v>57</v>
      </c>
      <c r="V786">
        <v>0</v>
      </c>
      <c r="W786" s="1" t="s">
        <v>40</v>
      </c>
      <c r="Y786" s="1" t="s">
        <v>43</v>
      </c>
      <c r="Z786" s="1" t="s">
        <v>42</v>
      </c>
      <c r="AA786">
        <v>0.12</v>
      </c>
      <c r="AB786" s="1" t="s">
        <v>43</v>
      </c>
      <c r="AC786">
        <v>3</v>
      </c>
      <c r="AD786" s="2">
        <v>44501</v>
      </c>
      <c r="AE786" s="1" t="s">
        <v>53</v>
      </c>
      <c r="AF786" s="1" t="s">
        <v>72</v>
      </c>
      <c r="AG786" s="1" t="s">
        <v>63</v>
      </c>
      <c r="AH786" s="1" t="s">
        <v>47</v>
      </c>
      <c r="AI786">
        <v>27384</v>
      </c>
      <c r="AJ786">
        <v>-171.15000000000146</v>
      </c>
    </row>
    <row r="787" spans="1:36" x14ac:dyDescent="0.25">
      <c r="A787">
        <v>10786</v>
      </c>
      <c r="B787">
        <v>19</v>
      </c>
      <c r="C787" s="1" t="s">
        <v>36</v>
      </c>
      <c r="D787" s="1" t="s">
        <v>76</v>
      </c>
      <c r="E787" s="2">
        <v>44570</v>
      </c>
      <c r="F787" s="2">
        <v>45227</v>
      </c>
      <c r="G787" s="1" t="s">
        <v>49</v>
      </c>
      <c r="H787">
        <v>1138</v>
      </c>
      <c r="I787">
        <v>26</v>
      </c>
      <c r="J787">
        <v>3</v>
      </c>
      <c r="K787">
        <v>17.690000000000001</v>
      </c>
      <c r="L787">
        <v>20</v>
      </c>
      <c r="M787" s="1" t="s">
        <v>65</v>
      </c>
      <c r="N787" s="1" t="s">
        <v>40</v>
      </c>
      <c r="O787">
        <v>29360.400000000001</v>
      </c>
      <c r="P787" t="b">
        <v>1</v>
      </c>
      <c r="Q787">
        <v>2.1666666666666665</v>
      </c>
      <c r="R787">
        <v>1129.2461538461539</v>
      </c>
      <c r="S787">
        <v>4.4225000000000003</v>
      </c>
      <c r="T787" s="2">
        <v>44562</v>
      </c>
      <c r="U787" s="1" t="s">
        <v>66</v>
      </c>
      <c r="V787">
        <v>1</v>
      </c>
      <c r="W787" s="1" t="s">
        <v>40</v>
      </c>
      <c r="X787">
        <v>657</v>
      </c>
      <c r="Y787" s="1" t="s">
        <v>42</v>
      </c>
      <c r="Z787" s="1" t="s">
        <v>52</v>
      </c>
      <c r="AA787">
        <v>0.1111111111111111</v>
      </c>
      <c r="AB787" s="1" t="s">
        <v>43</v>
      </c>
      <c r="AC787">
        <v>3</v>
      </c>
      <c r="AD787" s="2">
        <v>44562</v>
      </c>
      <c r="AE787" s="1" t="s">
        <v>44</v>
      </c>
      <c r="AF787" s="1" t="s">
        <v>72</v>
      </c>
      <c r="AG787" s="1" t="s">
        <v>46</v>
      </c>
      <c r="AH787" s="1" t="s">
        <v>47</v>
      </c>
      <c r="AI787">
        <v>29588</v>
      </c>
      <c r="AJ787">
        <v>-227.59999999999854</v>
      </c>
    </row>
    <row r="788" spans="1:36" x14ac:dyDescent="0.25">
      <c r="A788">
        <v>10787</v>
      </c>
      <c r="B788">
        <v>28</v>
      </c>
      <c r="C788" s="1" t="s">
        <v>36</v>
      </c>
      <c r="D788" s="1" t="s">
        <v>73</v>
      </c>
      <c r="E788" s="2">
        <v>44929</v>
      </c>
      <c r="F788" s="2">
        <v>44797</v>
      </c>
      <c r="G788" s="1" t="s">
        <v>49</v>
      </c>
      <c r="H788">
        <v>818</v>
      </c>
      <c r="I788">
        <v>30</v>
      </c>
      <c r="J788">
        <v>2</v>
      </c>
      <c r="K788">
        <v>16.7</v>
      </c>
      <c r="L788">
        <v>20</v>
      </c>
      <c r="M788" s="1" t="s">
        <v>50</v>
      </c>
      <c r="N788" s="1" t="s">
        <v>56</v>
      </c>
      <c r="O788">
        <v>24376.400000000001</v>
      </c>
      <c r="P788" t="b">
        <v>0</v>
      </c>
      <c r="Q788">
        <v>2.5</v>
      </c>
      <c r="R788">
        <v>812.54666666666674</v>
      </c>
      <c r="S788">
        <v>5.5666666666666664</v>
      </c>
      <c r="T788" s="2">
        <v>44927</v>
      </c>
      <c r="U788" s="1" t="s">
        <v>57</v>
      </c>
      <c r="V788">
        <v>0</v>
      </c>
      <c r="W788" s="1" t="s">
        <v>40</v>
      </c>
      <c r="Y788" s="1" t="s">
        <v>42</v>
      </c>
      <c r="Z788" s="1" t="s">
        <v>52</v>
      </c>
      <c r="AA788">
        <v>6.4516129032258063E-2</v>
      </c>
      <c r="AB788" s="1" t="s">
        <v>43</v>
      </c>
      <c r="AC788">
        <v>3</v>
      </c>
      <c r="AD788" s="2">
        <v>44927</v>
      </c>
      <c r="AE788" s="1" t="s">
        <v>44</v>
      </c>
      <c r="AF788" s="1" t="s">
        <v>72</v>
      </c>
      <c r="AG788" s="1" t="s">
        <v>46</v>
      </c>
      <c r="AH788" s="1" t="s">
        <v>59</v>
      </c>
      <c r="AI788">
        <v>24540</v>
      </c>
      <c r="AJ788">
        <v>-163.59999999999854</v>
      </c>
    </row>
    <row r="789" spans="1:36" x14ac:dyDescent="0.25">
      <c r="A789">
        <v>10788</v>
      </c>
      <c r="B789">
        <v>56</v>
      </c>
      <c r="C789" s="1" t="s">
        <v>60</v>
      </c>
      <c r="D789" s="1" t="s">
        <v>61</v>
      </c>
      <c r="E789" s="2">
        <v>44205</v>
      </c>
      <c r="F789" s="2">
        <v>44899</v>
      </c>
      <c r="G789" s="1" t="s">
        <v>49</v>
      </c>
      <c r="H789">
        <v>496</v>
      </c>
      <c r="I789">
        <v>34</v>
      </c>
      <c r="J789">
        <v>4</v>
      </c>
      <c r="K789">
        <v>91.38</v>
      </c>
      <c r="L789">
        <v>10</v>
      </c>
      <c r="M789" s="1" t="s">
        <v>67</v>
      </c>
      <c r="N789" s="1" t="s">
        <v>56</v>
      </c>
      <c r="O789">
        <v>16814.400000000001</v>
      </c>
      <c r="P789" t="b">
        <v>1</v>
      </c>
      <c r="Q789">
        <v>2.8333333333333335</v>
      </c>
      <c r="R789">
        <v>494.54117647058825</v>
      </c>
      <c r="S789">
        <v>18.276</v>
      </c>
      <c r="T789" s="2">
        <v>44197</v>
      </c>
      <c r="U789" s="1" t="s">
        <v>41</v>
      </c>
      <c r="V789">
        <v>0</v>
      </c>
      <c r="W789" s="1" t="s">
        <v>40</v>
      </c>
      <c r="X789">
        <v>694</v>
      </c>
      <c r="Y789" s="1" t="s">
        <v>43</v>
      </c>
      <c r="Z789" s="1" t="s">
        <v>42</v>
      </c>
      <c r="AA789">
        <v>0.11428571428571428</v>
      </c>
      <c r="AB789" s="1" t="s">
        <v>52</v>
      </c>
      <c r="AC789">
        <v>3</v>
      </c>
      <c r="AD789" s="2">
        <v>44197</v>
      </c>
      <c r="AE789" s="1" t="s">
        <v>44</v>
      </c>
      <c r="AF789" s="1" t="s">
        <v>45</v>
      </c>
      <c r="AG789" s="1" t="s">
        <v>63</v>
      </c>
      <c r="AH789" s="1" t="s">
        <v>68</v>
      </c>
      <c r="AI789">
        <v>16864</v>
      </c>
      <c r="AJ789">
        <v>-49.599999999998545</v>
      </c>
    </row>
    <row r="790" spans="1:36" x14ac:dyDescent="0.25">
      <c r="A790">
        <v>10789</v>
      </c>
      <c r="B790">
        <v>55</v>
      </c>
      <c r="C790" s="1" t="s">
        <v>36</v>
      </c>
      <c r="D790" s="1" t="s">
        <v>73</v>
      </c>
      <c r="E790" s="2">
        <v>44997</v>
      </c>
      <c r="F790" s="2">
        <v>44897</v>
      </c>
      <c r="G790" s="1" t="s">
        <v>62</v>
      </c>
      <c r="H790">
        <v>345</v>
      </c>
      <c r="I790">
        <v>5</v>
      </c>
      <c r="J790">
        <v>3</v>
      </c>
      <c r="K790">
        <v>40.9</v>
      </c>
      <c r="L790">
        <v>20</v>
      </c>
      <c r="M790" s="1" t="s">
        <v>50</v>
      </c>
      <c r="N790" s="1" t="s">
        <v>40</v>
      </c>
      <c r="O790">
        <v>1656</v>
      </c>
      <c r="P790" t="b">
        <v>0</v>
      </c>
      <c r="Q790">
        <v>0.41666666666666669</v>
      </c>
      <c r="R790">
        <v>331.2</v>
      </c>
      <c r="S790">
        <v>10.225</v>
      </c>
      <c r="T790" s="2">
        <v>44986</v>
      </c>
      <c r="U790" s="1" t="s">
        <v>41</v>
      </c>
      <c r="V790">
        <v>1</v>
      </c>
      <c r="W790" s="1" t="s">
        <v>56</v>
      </c>
      <c r="Y790" s="1" t="s">
        <v>52</v>
      </c>
      <c r="Z790" s="1" t="s">
        <v>52</v>
      </c>
      <c r="AA790">
        <v>0.5</v>
      </c>
      <c r="AB790" s="1" t="s">
        <v>42</v>
      </c>
      <c r="AC790">
        <v>2</v>
      </c>
      <c r="AD790" s="2">
        <v>44986</v>
      </c>
      <c r="AE790" s="1" t="s">
        <v>58</v>
      </c>
      <c r="AF790" s="1" t="s">
        <v>72</v>
      </c>
      <c r="AG790" s="1" t="s">
        <v>55</v>
      </c>
      <c r="AH790" s="1" t="s">
        <v>68</v>
      </c>
      <c r="AI790">
        <v>1725</v>
      </c>
      <c r="AJ790">
        <v>-69</v>
      </c>
    </row>
    <row r="791" spans="1:36" x14ac:dyDescent="0.25">
      <c r="A791">
        <v>10790</v>
      </c>
      <c r="B791">
        <v>51</v>
      </c>
      <c r="C791" s="1" t="s">
        <v>36</v>
      </c>
      <c r="D791" s="1" t="s">
        <v>71</v>
      </c>
      <c r="E791" s="2">
        <v>44640</v>
      </c>
      <c r="F791" s="2">
        <v>44395</v>
      </c>
      <c r="G791" s="1" t="s">
        <v>38</v>
      </c>
      <c r="H791">
        <v>829</v>
      </c>
      <c r="I791">
        <v>5</v>
      </c>
      <c r="J791">
        <v>0</v>
      </c>
      <c r="K791">
        <v>87.49</v>
      </c>
      <c r="L791">
        <v>0</v>
      </c>
      <c r="M791" s="1" t="s">
        <v>39</v>
      </c>
      <c r="N791" s="1" t="s">
        <v>40</v>
      </c>
      <c r="O791">
        <v>4145</v>
      </c>
      <c r="P791" t="b">
        <v>0</v>
      </c>
      <c r="Q791">
        <v>0.41666666666666669</v>
      </c>
      <c r="R791">
        <v>829</v>
      </c>
      <c r="S791">
        <v>87.49</v>
      </c>
      <c r="T791" s="2">
        <v>44621</v>
      </c>
      <c r="U791" s="1" t="s">
        <v>41</v>
      </c>
      <c r="V791">
        <v>1</v>
      </c>
      <c r="W791" s="1" t="s">
        <v>56</v>
      </c>
      <c r="Y791" s="1" t="s">
        <v>43</v>
      </c>
      <c r="Z791" s="1" t="s">
        <v>42</v>
      </c>
      <c r="AA791">
        <v>0</v>
      </c>
      <c r="AB791" s="1" t="s">
        <v>42</v>
      </c>
      <c r="AC791">
        <v>1</v>
      </c>
      <c r="AD791" s="2">
        <v>44621</v>
      </c>
      <c r="AE791" s="1" t="s">
        <v>58</v>
      </c>
      <c r="AF791" s="1" t="s">
        <v>54</v>
      </c>
      <c r="AG791" s="1" t="s">
        <v>63</v>
      </c>
      <c r="AH791" s="1" t="s">
        <v>59</v>
      </c>
      <c r="AI791">
        <v>4145</v>
      </c>
      <c r="AJ791">
        <v>0</v>
      </c>
    </row>
    <row r="792" spans="1:36" x14ac:dyDescent="0.25">
      <c r="A792">
        <v>10791</v>
      </c>
      <c r="B792">
        <v>55</v>
      </c>
      <c r="C792" s="1" t="s">
        <v>36</v>
      </c>
      <c r="D792" s="1" t="s">
        <v>48</v>
      </c>
      <c r="E792" s="2">
        <v>44309</v>
      </c>
      <c r="F792" s="2">
        <v>45042</v>
      </c>
      <c r="G792" s="1" t="s">
        <v>62</v>
      </c>
      <c r="H792">
        <v>1299</v>
      </c>
      <c r="I792">
        <v>19</v>
      </c>
      <c r="J792">
        <v>1</v>
      </c>
      <c r="K792">
        <v>28</v>
      </c>
      <c r="L792">
        <v>20</v>
      </c>
      <c r="M792" s="1" t="s">
        <v>39</v>
      </c>
      <c r="N792" s="1" t="s">
        <v>56</v>
      </c>
      <c r="O792">
        <v>24421.200000000001</v>
      </c>
      <c r="P792" t="b">
        <v>1</v>
      </c>
      <c r="Q792">
        <v>1.5833333333333333</v>
      </c>
      <c r="R792">
        <v>1285.3263157894737</v>
      </c>
      <c r="S792">
        <v>14</v>
      </c>
      <c r="T792" s="2">
        <v>44287</v>
      </c>
      <c r="U792" s="1" t="s">
        <v>41</v>
      </c>
      <c r="V792">
        <v>0</v>
      </c>
      <c r="W792" s="1" t="s">
        <v>40</v>
      </c>
      <c r="X792">
        <v>733</v>
      </c>
      <c r="Y792" s="1" t="s">
        <v>52</v>
      </c>
      <c r="Z792" s="1" t="s">
        <v>52</v>
      </c>
      <c r="AA792">
        <v>0.05</v>
      </c>
      <c r="AB792" s="1" t="s">
        <v>43</v>
      </c>
      <c r="AC792">
        <v>2</v>
      </c>
      <c r="AD792" s="2">
        <v>44287</v>
      </c>
      <c r="AE792" s="1" t="s">
        <v>53</v>
      </c>
      <c r="AF792" s="1" t="s">
        <v>54</v>
      </c>
      <c r="AG792" s="1" t="s">
        <v>70</v>
      </c>
      <c r="AH792" s="1" t="s">
        <v>47</v>
      </c>
      <c r="AI792">
        <v>24681</v>
      </c>
      <c r="AJ792">
        <v>-259.79999999999927</v>
      </c>
    </row>
    <row r="793" spans="1:36" x14ac:dyDescent="0.25">
      <c r="A793">
        <v>10792</v>
      </c>
      <c r="B793">
        <v>51</v>
      </c>
      <c r="C793" s="1" t="s">
        <v>60</v>
      </c>
      <c r="D793" s="1" t="s">
        <v>71</v>
      </c>
      <c r="E793" s="2">
        <v>44401</v>
      </c>
      <c r="F793" s="2">
        <v>44934</v>
      </c>
      <c r="G793" s="1" t="s">
        <v>62</v>
      </c>
      <c r="H793">
        <v>1075</v>
      </c>
      <c r="I793">
        <v>28</v>
      </c>
      <c r="J793">
        <v>6</v>
      </c>
      <c r="K793">
        <v>57.91</v>
      </c>
      <c r="L793">
        <v>0</v>
      </c>
      <c r="M793" s="1" t="s">
        <v>39</v>
      </c>
      <c r="N793" s="1" t="s">
        <v>56</v>
      </c>
      <c r="O793">
        <v>30100</v>
      </c>
      <c r="P793" t="b">
        <v>1</v>
      </c>
      <c r="Q793">
        <v>2.3333333333333335</v>
      </c>
      <c r="R793">
        <v>1075</v>
      </c>
      <c r="S793">
        <v>8.2728571428571431</v>
      </c>
      <c r="T793" s="2">
        <v>44378</v>
      </c>
      <c r="U793" s="1" t="s">
        <v>41</v>
      </c>
      <c r="V793">
        <v>0</v>
      </c>
      <c r="W793" s="1" t="s">
        <v>40</v>
      </c>
      <c r="X793">
        <v>533</v>
      </c>
      <c r="Y793" s="1" t="s">
        <v>52</v>
      </c>
      <c r="Z793" s="1" t="s">
        <v>42</v>
      </c>
      <c r="AA793">
        <v>0.20689655172413793</v>
      </c>
      <c r="AB793" s="1" t="s">
        <v>43</v>
      </c>
      <c r="AC793">
        <v>2</v>
      </c>
      <c r="AD793" s="2">
        <v>44378</v>
      </c>
      <c r="AE793" s="1" t="s">
        <v>44</v>
      </c>
      <c r="AF793" s="1" t="s">
        <v>78</v>
      </c>
      <c r="AG793" s="1" t="s">
        <v>63</v>
      </c>
      <c r="AH793" s="1" t="s">
        <v>47</v>
      </c>
      <c r="AI793">
        <v>30100</v>
      </c>
      <c r="AJ793">
        <v>0</v>
      </c>
    </row>
    <row r="794" spans="1:36" x14ac:dyDescent="0.25">
      <c r="A794">
        <v>10793</v>
      </c>
      <c r="B794">
        <v>35</v>
      </c>
      <c r="C794" s="1" t="s">
        <v>36</v>
      </c>
      <c r="D794" s="1" t="s">
        <v>71</v>
      </c>
      <c r="E794" s="2">
        <v>44601</v>
      </c>
      <c r="F794" s="2">
        <v>45068</v>
      </c>
      <c r="G794" s="1" t="s">
        <v>49</v>
      </c>
      <c r="H794">
        <v>373</v>
      </c>
      <c r="I794">
        <v>26</v>
      </c>
      <c r="J794">
        <v>4</v>
      </c>
      <c r="K794">
        <v>35.51</v>
      </c>
      <c r="L794">
        <v>10</v>
      </c>
      <c r="M794" s="1" t="s">
        <v>65</v>
      </c>
      <c r="N794" s="1" t="s">
        <v>40</v>
      </c>
      <c r="O794">
        <v>9660.7000000000007</v>
      </c>
      <c r="P794" t="b">
        <v>1</v>
      </c>
      <c r="Q794">
        <v>2.1666666666666665</v>
      </c>
      <c r="R794">
        <v>371.56538461538463</v>
      </c>
      <c r="S794">
        <v>7.1019999999999994</v>
      </c>
      <c r="T794" s="2">
        <v>44593</v>
      </c>
      <c r="U794" s="1" t="s">
        <v>57</v>
      </c>
      <c r="V794">
        <v>1</v>
      </c>
      <c r="W794" s="1" t="s">
        <v>56</v>
      </c>
      <c r="X794">
        <v>467</v>
      </c>
      <c r="Y794" s="1" t="s">
        <v>52</v>
      </c>
      <c r="Z794" s="1" t="s">
        <v>42</v>
      </c>
      <c r="AA794">
        <v>0.14814814814814814</v>
      </c>
      <c r="AB794" s="1" t="s">
        <v>52</v>
      </c>
      <c r="AC794">
        <v>3</v>
      </c>
      <c r="AD794" s="2">
        <v>44593</v>
      </c>
      <c r="AE794" s="1" t="s">
        <v>44</v>
      </c>
      <c r="AF794" s="1" t="s">
        <v>45</v>
      </c>
      <c r="AG794" s="1" t="s">
        <v>55</v>
      </c>
      <c r="AH794" s="1" t="s">
        <v>68</v>
      </c>
      <c r="AI794">
        <v>9698</v>
      </c>
      <c r="AJ794">
        <v>-37.299999999999272</v>
      </c>
    </row>
    <row r="795" spans="1:36" x14ac:dyDescent="0.25">
      <c r="A795">
        <v>10794</v>
      </c>
      <c r="B795">
        <v>47</v>
      </c>
      <c r="C795" s="1" t="s">
        <v>36</v>
      </c>
      <c r="D795" s="1" t="s">
        <v>71</v>
      </c>
      <c r="E795" s="2">
        <v>44894</v>
      </c>
      <c r="F795" s="2">
        <v>44530</v>
      </c>
      <c r="G795" s="1" t="s">
        <v>38</v>
      </c>
      <c r="H795">
        <v>634</v>
      </c>
      <c r="I795">
        <v>23</v>
      </c>
      <c r="J795">
        <v>5</v>
      </c>
      <c r="K795">
        <v>56.93</v>
      </c>
      <c r="L795">
        <v>10</v>
      </c>
      <c r="M795" s="1" t="s">
        <v>50</v>
      </c>
      <c r="N795" s="1" t="s">
        <v>40</v>
      </c>
      <c r="O795">
        <v>14518.6</v>
      </c>
      <c r="P795" t="b">
        <v>0</v>
      </c>
      <c r="Q795">
        <v>1.9166666666666667</v>
      </c>
      <c r="R795">
        <v>631.24347826086955</v>
      </c>
      <c r="S795">
        <v>9.4883333333333333</v>
      </c>
      <c r="T795" s="2">
        <v>44866</v>
      </c>
      <c r="U795" s="1" t="s">
        <v>51</v>
      </c>
      <c r="V795">
        <v>1</v>
      </c>
      <c r="W795" s="1" t="s">
        <v>40</v>
      </c>
      <c r="Y795" s="1" t="s">
        <v>52</v>
      </c>
      <c r="Z795" s="1" t="s">
        <v>42</v>
      </c>
      <c r="AA795">
        <v>0.20833333333333334</v>
      </c>
      <c r="AB795" s="1" t="s">
        <v>52</v>
      </c>
      <c r="AC795">
        <v>1</v>
      </c>
      <c r="AD795" s="2">
        <v>44866</v>
      </c>
      <c r="AE795" s="1" t="s">
        <v>53</v>
      </c>
      <c r="AF795" s="1" t="s">
        <v>45</v>
      </c>
      <c r="AG795" s="1" t="s">
        <v>63</v>
      </c>
      <c r="AH795" s="1" t="s">
        <v>64</v>
      </c>
      <c r="AI795">
        <v>14582</v>
      </c>
      <c r="AJ795">
        <v>-63.399999999999636</v>
      </c>
    </row>
    <row r="796" spans="1:36" x14ac:dyDescent="0.25">
      <c r="A796">
        <v>10795</v>
      </c>
      <c r="B796">
        <v>32</v>
      </c>
      <c r="C796" s="1" t="s">
        <v>60</v>
      </c>
      <c r="D796" s="1" t="s">
        <v>37</v>
      </c>
      <c r="E796" s="2">
        <v>45049</v>
      </c>
      <c r="F796" s="2">
        <v>44782</v>
      </c>
      <c r="G796" s="1" t="s">
        <v>49</v>
      </c>
      <c r="H796">
        <v>932</v>
      </c>
      <c r="I796">
        <v>30</v>
      </c>
      <c r="J796">
        <v>3</v>
      </c>
      <c r="K796">
        <v>93.45</v>
      </c>
      <c r="L796">
        <v>0</v>
      </c>
      <c r="M796" s="1" t="s">
        <v>67</v>
      </c>
      <c r="N796" s="1" t="s">
        <v>56</v>
      </c>
      <c r="O796">
        <v>27960</v>
      </c>
      <c r="P796" t="b">
        <v>0</v>
      </c>
      <c r="Q796">
        <v>2.5</v>
      </c>
      <c r="R796">
        <v>932</v>
      </c>
      <c r="S796">
        <v>23.362500000000001</v>
      </c>
      <c r="T796" s="2">
        <v>45047</v>
      </c>
      <c r="U796" s="1" t="s">
        <v>57</v>
      </c>
      <c r="V796">
        <v>0</v>
      </c>
      <c r="W796" s="1" t="s">
        <v>40</v>
      </c>
      <c r="Y796" s="1" t="s">
        <v>43</v>
      </c>
      <c r="Z796" s="1" t="s">
        <v>42</v>
      </c>
      <c r="AA796">
        <v>9.6774193548387094E-2</v>
      </c>
      <c r="AB796" s="1" t="s">
        <v>43</v>
      </c>
      <c r="AC796">
        <v>3</v>
      </c>
      <c r="AD796" s="2">
        <v>45047</v>
      </c>
      <c r="AE796" s="1" t="s">
        <v>44</v>
      </c>
      <c r="AF796" s="1" t="s">
        <v>72</v>
      </c>
      <c r="AG796" s="1" t="s">
        <v>63</v>
      </c>
      <c r="AH796" s="1" t="s">
        <v>59</v>
      </c>
      <c r="AI796">
        <v>27960</v>
      </c>
      <c r="AJ796">
        <v>0</v>
      </c>
    </row>
    <row r="797" spans="1:36" x14ac:dyDescent="0.25">
      <c r="A797">
        <v>10796</v>
      </c>
      <c r="B797">
        <v>44</v>
      </c>
      <c r="C797" s="1" t="s">
        <v>36</v>
      </c>
      <c r="D797" s="1" t="s">
        <v>37</v>
      </c>
      <c r="E797" s="2">
        <v>44393</v>
      </c>
      <c r="F797" s="2">
        <v>44454</v>
      </c>
      <c r="G797" s="1" t="s">
        <v>49</v>
      </c>
      <c r="H797">
        <v>987</v>
      </c>
      <c r="I797">
        <v>3</v>
      </c>
      <c r="J797">
        <v>3</v>
      </c>
      <c r="K797">
        <v>92.63</v>
      </c>
      <c r="L797">
        <v>20</v>
      </c>
      <c r="M797" s="1" t="s">
        <v>39</v>
      </c>
      <c r="N797" s="1" t="s">
        <v>40</v>
      </c>
      <c r="O797">
        <v>2763.6</v>
      </c>
      <c r="P797" t="b">
        <v>1</v>
      </c>
      <c r="Q797">
        <v>0.25</v>
      </c>
      <c r="R797">
        <v>921.19999999999993</v>
      </c>
      <c r="S797">
        <v>23.157499999999999</v>
      </c>
      <c r="T797" s="2">
        <v>44378</v>
      </c>
      <c r="U797" s="1" t="s">
        <v>51</v>
      </c>
      <c r="V797">
        <v>1</v>
      </c>
      <c r="W797" s="1" t="s">
        <v>56</v>
      </c>
      <c r="X797">
        <v>61</v>
      </c>
      <c r="Y797" s="1" t="s">
        <v>43</v>
      </c>
      <c r="Z797" s="1" t="s">
        <v>52</v>
      </c>
      <c r="AA797">
        <v>0.75</v>
      </c>
      <c r="AB797" s="1" t="s">
        <v>42</v>
      </c>
      <c r="AC797">
        <v>3</v>
      </c>
      <c r="AD797" s="2">
        <v>44378</v>
      </c>
      <c r="AE797" s="1" t="s">
        <v>58</v>
      </c>
      <c r="AF797" s="1" t="s">
        <v>72</v>
      </c>
      <c r="AG797" s="1" t="s">
        <v>63</v>
      </c>
      <c r="AH797" s="1" t="s">
        <v>59</v>
      </c>
      <c r="AI797">
        <v>2961</v>
      </c>
      <c r="AJ797">
        <v>-197.40000000000009</v>
      </c>
    </row>
    <row r="798" spans="1:36" x14ac:dyDescent="0.25">
      <c r="A798">
        <v>10797</v>
      </c>
      <c r="B798">
        <v>51</v>
      </c>
      <c r="C798" s="1" t="s">
        <v>36</v>
      </c>
      <c r="D798" s="1" t="s">
        <v>69</v>
      </c>
      <c r="E798" s="2">
        <v>44974</v>
      </c>
      <c r="F798" s="2">
        <v>44535</v>
      </c>
      <c r="G798" s="1" t="s">
        <v>49</v>
      </c>
      <c r="H798">
        <v>874</v>
      </c>
      <c r="I798">
        <v>28</v>
      </c>
      <c r="J798">
        <v>0</v>
      </c>
      <c r="K798">
        <v>64.31</v>
      </c>
      <c r="L798">
        <v>10</v>
      </c>
      <c r="M798" s="1" t="s">
        <v>50</v>
      </c>
      <c r="N798" s="1" t="s">
        <v>56</v>
      </c>
      <c r="O798">
        <v>24384.6</v>
      </c>
      <c r="P798" t="b">
        <v>0</v>
      </c>
      <c r="Q798">
        <v>2.3333333333333335</v>
      </c>
      <c r="R798">
        <v>870.87857142857138</v>
      </c>
      <c r="S798">
        <v>64.31</v>
      </c>
      <c r="T798" s="2">
        <v>44958</v>
      </c>
      <c r="U798" s="1" t="s">
        <v>41</v>
      </c>
      <c r="V798">
        <v>0</v>
      </c>
      <c r="W798" s="1" t="s">
        <v>40</v>
      </c>
      <c r="Y798" s="1" t="s">
        <v>43</v>
      </c>
      <c r="Z798" s="1" t="s">
        <v>42</v>
      </c>
      <c r="AA798">
        <v>0</v>
      </c>
      <c r="AB798" s="1" t="s">
        <v>43</v>
      </c>
      <c r="AC798">
        <v>3</v>
      </c>
      <c r="AD798" s="2">
        <v>44958</v>
      </c>
      <c r="AE798" s="1" t="s">
        <v>44</v>
      </c>
      <c r="AF798" s="1" t="s">
        <v>54</v>
      </c>
      <c r="AG798" s="1" t="s">
        <v>63</v>
      </c>
      <c r="AH798" s="1" t="s">
        <v>59</v>
      </c>
      <c r="AI798">
        <v>24472</v>
      </c>
      <c r="AJ798">
        <v>-87.400000000001455</v>
      </c>
    </row>
    <row r="799" spans="1:36" x14ac:dyDescent="0.25">
      <c r="A799">
        <v>10798</v>
      </c>
      <c r="B799">
        <v>55</v>
      </c>
      <c r="C799" s="1" t="s">
        <v>60</v>
      </c>
      <c r="D799" s="1" t="s">
        <v>48</v>
      </c>
      <c r="E799" s="2">
        <v>44970</v>
      </c>
      <c r="F799" s="2">
        <v>45123</v>
      </c>
      <c r="G799" s="1" t="s">
        <v>49</v>
      </c>
      <c r="H799">
        <v>595</v>
      </c>
      <c r="I799">
        <v>33</v>
      </c>
      <c r="J799">
        <v>2</v>
      </c>
      <c r="K799">
        <v>111.76</v>
      </c>
      <c r="L799">
        <v>10</v>
      </c>
      <c r="M799" s="1" t="s">
        <v>65</v>
      </c>
      <c r="N799" s="1" t="s">
        <v>56</v>
      </c>
      <c r="O799">
        <v>19575.5</v>
      </c>
      <c r="P799" t="b">
        <v>1</v>
      </c>
      <c r="Q799">
        <v>2.75</v>
      </c>
      <c r="R799">
        <v>593.19696969696975</v>
      </c>
      <c r="S799">
        <v>37.253333333333337</v>
      </c>
      <c r="T799" s="2">
        <v>44958</v>
      </c>
      <c r="U799" s="1" t="s">
        <v>41</v>
      </c>
      <c r="V799">
        <v>0</v>
      </c>
      <c r="W799" s="1" t="s">
        <v>40</v>
      </c>
      <c r="X799">
        <v>153</v>
      </c>
      <c r="Y799" s="1" t="s">
        <v>43</v>
      </c>
      <c r="Z799" s="1" t="s">
        <v>42</v>
      </c>
      <c r="AA799">
        <v>5.8823529411764705E-2</v>
      </c>
      <c r="AB799" s="1" t="s">
        <v>43</v>
      </c>
      <c r="AC799">
        <v>3</v>
      </c>
      <c r="AD799" s="2">
        <v>44958</v>
      </c>
      <c r="AE799" s="1" t="s">
        <v>44</v>
      </c>
      <c r="AF799" s="1" t="s">
        <v>72</v>
      </c>
      <c r="AG799" s="1" t="s">
        <v>63</v>
      </c>
      <c r="AH799" s="1" t="s">
        <v>64</v>
      </c>
      <c r="AI799">
        <v>19635</v>
      </c>
      <c r="AJ799">
        <v>-59.5</v>
      </c>
    </row>
    <row r="800" spans="1:36" x14ac:dyDescent="0.25">
      <c r="A800">
        <v>10799</v>
      </c>
      <c r="B800">
        <v>50</v>
      </c>
      <c r="C800" s="1" t="s">
        <v>60</v>
      </c>
      <c r="D800" s="1" t="s">
        <v>61</v>
      </c>
      <c r="E800" s="2">
        <v>44956</v>
      </c>
      <c r="F800" s="2">
        <v>44433</v>
      </c>
      <c r="G800" s="1" t="s">
        <v>38</v>
      </c>
      <c r="H800">
        <v>1407</v>
      </c>
      <c r="I800">
        <v>3</v>
      </c>
      <c r="J800">
        <v>2</v>
      </c>
      <c r="K800">
        <v>35.340000000000003</v>
      </c>
      <c r="L800">
        <v>0</v>
      </c>
      <c r="M800" s="1" t="s">
        <v>67</v>
      </c>
      <c r="N800" s="1" t="s">
        <v>56</v>
      </c>
      <c r="O800">
        <v>4221</v>
      </c>
      <c r="P800" t="b">
        <v>0</v>
      </c>
      <c r="Q800">
        <v>0.25</v>
      </c>
      <c r="R800">
        <v>1407</v>
      </c>
      <c r="S800">
        <v>11.780000000000001</v>
      </c>
      <c r="T800" s="2">
        <v>44927</v>
      </c>
      <c r="U800" s="1" t="s">
        <v>51</v>
      </c>
      <c r="V800">
        <v>0</v>
      </c>
      <c r="W800" s="1" t="s">
        <v>56</v>
      </c>
      <c r="Y800" s="1" t="s">
        <v>52</v>
      </c>
      <c r="Z800" s="1" t="s">
        <v>42</v>
      </c>
      <c r="AA800">
        <v>0.5</v>
      </c>
      <c r="AB800" s="1" t="s">
        <v>42</v>
      </c>
      <c r="AC800">
        <v>1</v>
      </c>
      <c r="AD800" s="2">
        <v>44927</v>
      </c>
      <c r="AE800" s="1" t="s">
        <v>58</v>
      </c>
      <c r="AF800" s="1" t="s">
        <v>72</v>
      </c>
      <c r="AG800" s="1" t="s">
        <v>55</v>
      </c>
      <c r="AH800" s="1" t="s">
        <v>47</v>
      </c>
      <c r="AI800">
        <v>4221</v>
      </c>
      <c r="AJ800">
        <v>0</v>
      </c>
    </row>
    <row r="801" spans="1:36" x14ac:dyDescent="0.25">
      <c r="A801">
        <v>10800</v>
      </c>
      <c r="B801">
        <v>41</v>
      </c>
      <c r="C801" s="1" t="s">
        <v>36</v>
      </c>
      <c r="D801" s="1" t="s">
        <v>76</v>
      </c>
      <c r="E801" s="2">
        <v>44311</v>
      </c>
      <c r="F801" s="2">
        <v>45183</v>
      </c>
      <c r="G801" s="1" t="s">
        <v>38</v>
      </c>
      <c r="H801">
        <v>1338</v>
      </c>
      <c r="I801">
        <v>5</v>
      </c>
      <c r="J801">
        <v>3</v>
      </c>
      <c r="K801">
        <v>32.64</v>
      </c>
      <c r="L801">
        <v>10</v>
      </c>
      <c r="M801" s="1" t="s">
        <v>67</v>
      </c>
      <c r="N801" s="1" t="s">
        <v>56</v>
      </c>
      <c r="O801">
        <v>6556.2</v>
      </c>
      <c r="P801" t="b">
        <v>1</v>
      </c>
      <c r="Q801">
        <v>0.41666666666666669</v>
      </c>
      <c r="R801">
        <v>1311.24</v>
      </c>
      <c r="S801">
        <v>8.16</v>
      </c>
      <c r="T801" s="2">
        <v>44287</v>
      </c>
      <c r="U801" s="1" t="s">
        <v>51</v>
      </c>
      <c r="V801">
        <v>0</v>
      </c>
      <c r="W801" s="1" t="s">
        <v>56</v>
      </c>
      <c r="X801">
        <v>872</v>
      </c>
      <c r="Y801" s="1" t="s">
        <v>52</v>
      </c>
      <c r="Z801" s="1" t="s">
        <v>42</v>
      </c>
      <c r="AA801">
        <v>0.5</v>
      </c>
      <c r="AB801" s="1" t="s">
        <v>42</v>
      </c>
      <c r="AC801">
        <v>1</v>
      </c>
      <c r="AD801" s="2">
        <v>44287</v>
      </c>
      <c r="AE801" s="1" t="s">
        <v>58</v>
      </c>
      <c r="AF801" s="1" t="s">
        <v>72</v>
      </c>
      <c r="AG801" s="1" t="s">
        <v>55</v>
      </c>
      <c r="AH801" s="1" t="s">
        <v>47</v>
      </c>
      <c r="AI801">
        <v>6690</v>
      </c>
      <c r="AJ801">
        <v>-133.80000000000018</v>
      </c>
    </row>
    <row r="802" spans="1:36" x14ac:dyDescent="0.25">
      <c r="A802">
        <v>10801</v>
      </c>
      <c r="B802">
        <v>32</v>
      </c>
      <c r="C802" s="1" t="s">
        <v>36</v>
      </c>
      <c r="D802" s="1" t="s">
        <v>61</v>
      </c>
      <c r="E802" s="2">
        <v>44317</v>
      </c>
      <c r="F802" s="2">
        <v>45190</v>
      </c>
      <c r="G802" s="1" t="s">
        <v>38</v>
      </c>
      <c r="H802">
        <v>1457</v>
      </c>
      <c r="I802">
        <v>19</v>
      </c>
      <c r="J802">
        <v>1</v>
      </c>
      <c r="K802">
        <v>75.59</v>
      </c>
      <c r="L802">
        <v>20</v>
      </c>
      <c r="M802" s="1" t="s">
        <v>67</v>
      </c>
      <c r="N802" s="1" t="s">
        <v>40</v>
      </c>
      <c r="O802">
        <v>27391.599999999999</v>
      </c>
      <c r="P802" t="b">
        <v>1</v>
      </c>
      <c r="Q802">
        <v>1.5833333333333333</v>
      </c>
      <c r="R802">
        <v>1441.6631578947367</v>
      </c>
      <c r="S802">
        <v>37.795000000000002</v>
      </c>
      <c r="T802" s="2">
        <v>44317</v>
      </c>
      <c r="U802" s="1" t="s">
        <v>57</v>
      </c>
      <c r="V802">
        <v>1</v>
      </c>
      <c r="W802" s="1" t="s">
        <v>40</v>
      </c>
      <c r="X802">
        <v>873</v>
      </c>
      <c r="Y802" s="1" t="s">
        <v>43</v>
      </c>
      <c r="Z802" s="1" t="s">
        <v>52</v>
      </c>
      <c r="AA802">
        <v>0.05</v>
      </c>
      <c r="AB802" s="1" t="s">
        <v>43</v>
      </c>
      <c r="AC802">
        <v>1</v>
      </c>
      <c r="AD802" s="2">
        <v>44317</v>
      </c>
      <c r="AE802" s="1" t="s">
        <v>53</v>
      </c>
      <c r="AF802" s="1" t="s">
        <v>54</v>
      </c>
      <c r="AG802" s="1" t="s">
        <v>63</v>
      </c>
      <c r="AH802" s="1" t="s">
        <v>47</v>
      </c>
      <c r="AI802">
        <v>27683</v>
      </c>
      <c r="AJ802">
        <v>-291.40000000000146</v>
      </c>
    </row>
    <row r="803" spans="1:36" x14ac:dyDescent="0.25">
      <c r="A803">
        <v>10802</v>
      </c>
      <c r="B803">
        <v>47</v>
      </c>
      <c r="C803" s="1" t="s">
        <v>36</v>
      </c>
      <c r="D803" s="1" t="s">
        <v>71</v>
      </c>
      <c r="E803" s="2">
        <v>44849</v>
      </c>
      <c r="F803" s="2">
        <v>44803</v>
      </c>
      <c r="G803" s="1" t="s">
        <v>38</v>
      </c>
      <c r="H803">
        <v>777</v>
      </c>
      <c r="I803">
        <v>1</v>
      </c>
      <c r="J803">
        <v>5</v>
      </c>
      <c r="K803">
        <v>76.45</v>
      </c>
      <c r="L803">
        <v>10</v>
      </c>
      <c r="M803" s="1" t="s">
        <v>65</v>
      </c>
      <c r="N803" s="1" t="s">
        <v>56</v>
      </c>
      <c r="O803">
        <v>699.3</v>
      </c>
      <c r="P803" t="b">
        <v>0</v>
      </c>
      <c r="Q803">
        <v>8.3333333333333329E-2</v>
      </c>
      <c r="R803">
        <v>699.3</v>
      </c>
      <c r="S803">
        <v>12.741666666666667</v>
      </c>
      <c r="T803" s="2">
        <v>44835</v>
      </c>
      <c r="U803" s="1" t="s">
        <v>51</v>
      </c>
      <c r="V803">
        <v>0</v>
      </c>
      <c r="W803" s="1" t="s">
        <v>56</v>
      </c>
      <c r="Y803" s="1" t="s">
        <v>43</v>
      </c>
      <c r="Z803" s="1" t="s">
        <v>42</v>
      </c>
      <c r="AA803">
        <v>2.5</v>
      </c>
      <c r="AB803" s="1" t="s">
        <v>42</v>
      </c>
      <c r="AC803">
        <v>1</v>
      </c>
      <c r="AD803" s="2">
        <v>44835</v>
      </c>
      <c r="AE803" s="1" t="s">
        <v>58</v>
      </c>
      <c r="AF803" s="1" t="s">
        <v>45</v>
      </c>
      <c r="AG803" s="1" t="s">
        <v>63</v>
      </c>
      <c r="AH803" s="1" t="s">
        <v>59</v>
      </c>
      <c r="AI803">
        <v>777</v>
      </c>
      <c r="AJ803">
        <v>-77.700000000000045</v>
      </c>
    </row>
    <row r="804" spans="1:36" x14ac:dyDescent="0.25">
      <c r="A804">
        <v>10803</v>
      </c>
      <c r="B804">
        <v>59</v>
      </c>
      <c r="C804" s="1" t="s">
        <v>60</v>
      </c>
      <c r="D804" s="1" t="s">
        <v>37</v>
      </c>
      <c r="E804" s="2">
        <v>44261</v>
      </c>
      <c r="F804" s="2">
        <v>44484</v>
      </c>
      <c r="G804" s="1" t="s">
        <v>62</v>
      </c>
      <c r="H804">
        <v>932</v>
      </c>
      <c r="I804">
        <v>9</v>
      </c>
      <c r="J804">
        <v>7</v>
      </c>
      <c r="K804">
        <v>10.35</v>
      </c>
      <c r="L804">
        <v>0</v>
      </c>
      <c r="M804" s="1" t="s">
        <v>39</v>
      </c>
      <c r="N804" s="1" t="s">
        <v>56</v>
      </c>
      <c r="O804">
        <v>8388</v>
      </c>
      <c r="P804" t="b">
        <v>1</v>
      </c>
      <c r="Q804">
        <v>0.75</v>
      </c>
      <c r="R804">
        <v>932</v>
      </c>
      <c r="S804">
        <v>1.29375</v>
      </c>
      <c r="T804" s="2">
        <v>44256</v>
      </c>
      <c r="U804" s="1" t="s">
        <v>41</v>
      </c>
      <c r="V804">
        <v>0</v>
      </c>
      <c r="W804" s="1" t="s">
        <v>56</v>
      </c>
      <c r="X804">
        <v>223</v>
      </c>
      <c r="Y804" s="1" t="s">
        <v>42</v>
      </c>
      <c r="Z804" s="1" t="s">
        <v>42</v>
      </c>
      <c r="AA804">
        <v>0.7</v>
      </c>
      <c r="AB804" s="1" t="s">
        <v>42</v>
      </c>
      <c r="AC804">
        <v>2</v>
      </c>
      <c r="AD804" s="2">
        <v>44256</v>
      </c>
      <c r="AE804" s="1" t="s">
        <v>74</v>
      </c>
      <c r="AF804" s="1" t="s">
        <v>78</v>
      </c>
      <c r="AG804" s="1" t="s">
        <v>46</v>
      </c>
      <c r="AH804" s="1" t="s">
        <v>59</v>
      </c>
      <c r="AI804">
        <v>8388</v>
      </c>
      <c r="AJ804">
        <v>0</v>
      </c>
    </row>
    <row r="805" spans="1:36" x14ac:dyDescent="0.25">
      <c r="A805">
        <v>10804</v>
      </c>
      <c r="B805">
        <v>34</v>
      </c>
      <c r="C805" s="1" t="s">
        <v>75</v>
      </c>
      <c r="D805" s="1" t="s">
        <v>48</v>
      </c>
      <c r="E805" s="2">
        <v>44472</v>
      </c>
      <c r="F805" s="2">
        <v>45205</v>
      </c>
      <c r="G805" s="1" t="s">
        <v>49</v>
      </c>
      <c r="H805">
        <v>618</v>
      </c>
      <c r="I805">
        <v>5</v>
      </c>
      <c r="J805">
        <v>3</v>
      </c>
      <c r="K805">
        <v>74.89</v>
      </c>
      <c r="L805">
        <v>20</v>
      </c>
      <c r="M805" s="1" t="s">
        <v>65</v>
      </c>
      <c r="N805" s="1" t="s">
        <v>56</v>
      </c>
      <c r="O805">
        <v>2966.4</v>
      </c>
      <c r="P805" t="b">
        <v>1</v>
      </c>
      <c r="Q805">
        <v>0.41666666666666669</v>
      </c>
      <c r="R805">
        <v>593.28</v>
      </c>
      <c r="S805">
        <v>18.7225</v>
      </c>
      <c r="T805" s="2">
        <v>44470</v>
      </c>
      <c r="U805" s="1" t="s">
        <v>57</v>
      </c>
      <c r="V805">
        <v>0</v>
      </c>
      <c r="W805" s="1" t="s">
        <v>56</v>
      </c>
      <c r="X805">
        <v>733</v>
      </c>
      <c r="Y805" s="1" t="s">
        <v>43</v>
      </c>
      <c r="Z805" s="1" t="s">
        <v>52</v>
      </c>
      <c r="AA805">
        <v>0.5</v>
      </c>
      <c r="AB805" s="1" t="s">
        <v>42</v>
      </c>
      <c r="AC805">
        <v>3</v>
      </c>
      <c r="AD805" s="2">
        <v>44470</v>
      </c>
      <c r="AE805" s="1" t="s">
        <v>58</v>
      </c>
      <c r="AF805" s="1" t="s">
        <v>72</v>
      </c>
      <c r="AG805" s="1" t="s">
        <v>63</v>
      </c>
      <c r="AH805" s="1" t="s">
        <v>64</v>
      </c>
      <c r="AI805">
        <v>3090</v>
      </c>
      <c r="AJ805">
        <v>-123.59999999999991</v>
      </c>
    </row>
    <row r="806" spans="1:36" x14ac:dyDescent="0.25">
      <c r="A806">
        <v>10805</v>
      </c>
      <c r="B806">
        <v>22</v>
      </c>
      <c r="C806" s="1" t="s">
        <v>60</v>
      </c>
      <c r="D806" s="1" t="s">
        <v>71</v>
      </c>
      <c r="E806" s="2">
        <v>45021</v>
      </c>
      <c r="F806" s="2">
        <v>45245</v>
      </c>
      <c r="G806" s="1" t="s">
        <v>49</v>
      </c>
      <c r="H806">
        <v>778</v>
      </c>
      <c r="I806">
        <v>34</v>
      </c>
      <c r="J806">
        <v>2</v>
      </c>
      <c r="K806">
        <v>48.06</v>
      </c>
      <c r="L806">
        <v>15</v>
      </c>
      <c r="M806" s="1" t="s">
        <v>67</v>
      </c>
      <c r="N806" s="1" t="s">
        <v>40</v>
      </c>
      <c r="O806">
        <v>26335.3</v>
      </c>
      <c r="P806" t="b">
        <v>1</v>
      </c>
      <c r="Q806">
        <v>2.8333333333333335</v>
      </c>
      <c r="R806">
        <v>774.56764705882347</v>
      </c>
      <c r="S806">
        <v>16.02</v>
      </c>
      <c r="T806" s="2">
        <v>45017</v>
      </c>
      <c r="U806" s="1" t="s">
        <v>66</v>
      </c>
      <c r="V806">
        <v>1</v>
      </c>
      <c r="W806" s="1" t="s">
        <v>40</v>
      </c>
      <c r="X806">
        <v>224</v>
      </c>
      <c r="Y806" s="1" t="s">
        <v>52</v>
      </c>
      <c r="Z806" s="1" t="s">
        <v>42</v>
      </c>
      <c r="AA806">
        <v>5.7142857142857141E-2</v>
      </c>
      <c r="AB806" s="1" t="s">
        <v>43</v>
      </c>
      <c r="AC806">
        <v>3</v>
      </c>
      <c r="AD806" s="2">
        <v>45017</v>
      </c>
      <c r="AE806" s="1" t="s">
        <v>44</v>
      </c>
      <c r="AF806" s="1" t="s">
        <v>72</v>
      </c>
      <c r="AG806" s="1" t="s">
        <v>63</v>
      </c>
      <c r="AH806" s="1" t="s">
        <v>59</v>
      </c>
      <c r="AI806">
        <v>26452</v>
      </c>
      <c r="AJ806">
        <v>-116.70000000000073</v>
      </c>
    </row>
    <row r="807" spans="1:36" x14ac:dyDescent="0.25">
      <c r="A807">
        <v>10806</v>
      </c>
      <c r="B807">
        <v>46</v>
      </c>
      <c r="C807" s="1" t="s">
        <v>60</v>
      </c>
      <c r="D807" s="1" t="s">
        <v>37</v>
      </c>
      <c r="E807" s="2">
        <v>44435</v>
      </c>
      <c r="F807" s="2">
        <v>44683</v>
      </c>
      <c r="G807" s="1" t="s">
        <v>62</v>
      </c>
      <c r="H807">
        <v>667</v>
      </c>
      <c r="I807">
        <v>33</v>
      </c>
      <c r="J807">
        <v>4</v>
      </c>
      <c r="K807">
        <v>90.96</v>
      </c>
      <c r="L807">
        <v>0</v>
      </c>
      <c r="M807" s="1" t="s">
        <v>50</v>
      </c>
      <c r="N807" s="1" t="s">
        <v>56</v>
      </c>
      <c r="O807">
        <v>22011</v>
      </c>
      <c r="P807" t="b">
        <v>1</v>
      </c>
      <c r="Q807">
        <v>2.75</v>
      </c>
      <c r="R807">
        <v>667</v>
      </c>
      <c r="S807">
        <v>18.192</v>
      </c>
      <c r="T807" s="2">
        <v>44409</v>
      </c>
      <c r="U807" s="1" t="s">
        <v>51</v>
      </c>
      <c r="V807">
        <v>0</v>
      </c>
      <c r="W807" s="1" t="s">
        <v>40</v>
      </c>
      <c r="X807">
        <v>248</v>
      </c>
      <c r="Y807" s="1" t="s">
        <v>43</v>
      </c>
      <c r="Z807" s="1" t="s">
        <v>42</v>
      </c>
      <c r="AA807">
        <v>0.11764705882352941</v>
      </c>
      <c r="AB807" s="1" t="s">
        <v>43</v>
      </c>
      <c r="AC807">
        <v>2</v>
      </c>
      <c r="AD807" s="2">
        <v>44409</v>
      </c>
      <c r="AE807" s="1" t="s">
        <v>44</v>
      </c>
      <c r="AF807" s="1" t="s">
        <v>45</v>
      </c>
      <c r="AG807" s="1" t="s">
        <v>63</v>
      </c>
      <c r="AH807" s="1" t="s">
        <v>64</v>
      </c>
      <c r="AI807">
        <v>22011</v>
      </c>
      <c r="AJ807">
        <v>0</v>
      </c>
    </row>
    <row r="808" spans="1:36" x14ac:dyDescent="0.25">
      <c r="A808">
        <v>10807</v>
      </c>
      <c r="B808">
        <v>41</v>
      </c>
      <c r="C808" s="1" t="s">
        <v>36</v>
      </c>
      <c r="D808" s="1" t="s">
        <v>37</v>
      </c>
      <c r="E808" s="2">
        <v>44498</v>
      </c>
      <c r="F808" s="2">
        <v>44954</v>
      </c>
      <c r="G808" s="1" t="s">
        <v>38</v>
      </c>
      <c r="H808">
        <v>666</v>
      </c>
      <c r="I808">
        <v>25</v>
      </c>
      <c r="J808">
        <v>1</v>
      </c>
      <c r="K808">
        <v>97.93</v>
      </c>
      <c r="L808">
        <v>15</v>
      </c>
      <c r="M808" s="1" t="s">
        <v>67</v>
      </c>
      <c r="N808" s="1" t="s">
        <v>56</v>
      </c>
      <c r="O808">
        <v>16550.099999999999</v>
      </c>
      <c r="P808" t="b">
        <v>1</v>
      </c>
      <c r="Q808">
        <v>2.0833333333333335</v>
      </c>
      <c r="R808">
        <v>662.00399999999991</v>
      </c>
      <c r="S808">
        <v>48.965000000000003</v>
      </c>
      <c r="T808" s="2">
        <v>44470</v>
      </c>
      <c r="U808" s="1" t="s">
        <v>51</v>
      </c>
      <c r="V808">
        <v>0</v>
      </c>
      <c r="W808" s="1" t="s">
        <v>40</v>
      </c>
      <c r="X808">
        <v>456</v>
      </c>
      <c r="Y808" s="1" t="s">
        <v>43</v>
      </c>
      <c r="Z808" s="1" t="s">
        <v>42</v>
      </c>
      <c r="AA808">
        <v>3.8461538461538464E-2</v>
      </c>
      <c r="AB808" s="1" t="s">
        <v>52</v>
      </c>
      <c r="AC808">
        <v>1</v>
      </c>
      <c r="AD808" s="2">
        <v>44470</v>
      </c>
      <c r="AE808" s="1" t="s">
        <v>44</v>
      </c>
      <c r="AF808" s="1" t="s">
        <v>54</v>
      </c>
      <c r="AG808" s="1" t="s">
        <v>63</v>
      </c>
      <c r="AH808" s="1" t="s">
        <v>64</v>
      </c>
      <c r="AI808">
        <v>16650</v>
      </c>
      <c r="AJ808">
        <v>-99.900000000001455</v>
      </c>
    </row>
    <row r="809" spans="1:36" x14ac:dyDescent="0.25">
      <c r="A809">
        <v>10808</v>
      </c>
      <c r="B809">
        <v>27</v>
      </c>
      <c r="C809" s="1" t="s">
        <v>60</v>
      </c>
      <c r="D809" s="1" t="s">
        <v>76</v>
      </c>
      <c r="E809" s="2">
        <v>44588</v>
      </c>
      <c r="F809" s="2">
        <v>45185</v>
      </c>
      <c r="G809" s="1" t="s">
        <v>38</v>
      </c>
      <c r="H809">
        <v>677</v>
      </c>
      <c r="I809">
        <v>29</v>
      </c>
      <c r="J809">
        <v>0</v>
      </c>
      <c r="K809">
        <v>68.5</v>
      </c>
      <c r="L809">
        <v>10</v>
      </c>
      <c r="M809" s="1" t="s">
        <v>50</v>
      </c>
      <c r="N809" s="1" t="s">
        <v>56</v>
      </c>
      <c r="O809">
        <v>19565.3</v>
      </c>
      <c r="P809" t="b">
        <v>1</v>
      </c>
      <c r="Q809">
        <v>2.4166666666666665</v>
      </c>
      <c r="R809">
        <v>674.66551724137923</v>
      </c>
      <c r="S809">
        <v>68.5</v>
      </c>
      <c r="T809" s="2">
        <v>44562</v>
      </c>
      <c r="U809" s="1" t="s">
        <v>57</v>
      </c>
      <c r="V809">
        <v>0</v>
      </c>
      <c r="W809" s="1" t="s">
        <v>40</v>
      </c>
      <c r="X809">
        <v>597</v>
      </c>
      <c r="Y809" s="1" t="s">
        <v>43</v>
      </c>
      <c r="Z809" s="1" t="s">
        <v>42</v>
      </c>
      <c r="AA809">
        <v>0</v>
      </c>
      <c r="AB809" s="1" t="s">
        <v>43</v>
      </c>
      <c r="AC809">
        <v>1</v>
      </c>
      <c r="AD809" s="2">
        <v>44562</v>
      </c>
      <c r="AE809" s="1" t="s">
        <v>44</v>
      </c>
      <c r="AF809" s="1" t="s">
        <v>54</v>
      </c>
      <c r="AG809" s="1" t="s">
        <v>63</v>
      </c>
      <c r="AH809" s="1" t="s">
        <v>64</v>
      </c>
      <c r="AI809">
        <v>19633</v>
      </c>
      <c r="AJ809">
        <v>-67.700000000000728</v>
      </c>
    </row>
    <row r="810" spans="1:36" x14ac:dyDescent="0.25">
      <c r="A810">
        <v>10809</v>
      </c>
      <c r="B810">
        <v>34</v>
      </c>
      <c r="C810" s="1" t="s">
        <v>60</v>
      </c>
      <c r="D810" s="1" t="s">
        <v>73</v>
      </c>
      <c r="E810" s="2">
        <v>44718</v>
      </c>
      <c r="F810" s="2">
        <v>45104</v>
      </c>
      <c r="G810" s="1" t="s">
        <v>38</v>
      </c>
      <c r="H810">
        <v>762</v>
      </c>
      <c r="I810">
        <v>25</v>
      </c>
      <c r="J810">
        <v>2</v>
      </c>
      <c r="K810">
        <v>5.2</v>
      </c>
      <c r="L810">
        <v>20</v>
      </c>
      <c r="M810" s="1" t="s">
        <v>65</v>
      </c>
      <c r="N810" s="1" t="s">
        <v>56</v>
      </c>
      <c r="O810">
        <v>18897.599999999999</v>
      </c>
      <c r="P810" t="b">
        <v>1</v>
      </c>
      <c r="Q810">
        <v>2.0833333333333335</v>
      </c>
      <c r="R810">
        <v>755.904</v>
      </c>
      <c r="S810">
        <v>1.7333333333333334</v>
      </c>
      <c r="T810" s="2">
        <v>44713</v>
      </c>
      <c r="U810" s="1" t="s">
        <v>57</v>
      </c>
      <c r="V810">
        <v>0</v>
      </c>
      <c r="W810" s="1" t="s">
        <v>40</v>
      </c>
      <c r="X810">
        <v>386</v>
      </c>
      <c r="Y810" s="1" t="s">
        <v>42</v>
      </c>
      <c r="Z810" s="1" t="s">
        <v>52</v>
      </c>
      <c r="AA810">
        <v>7.6923076923076927E-2</v>
      </c>
      <c r="AB810" s="1" t="s">
        <v>52</v>
      </c>
      <c r="AC810">
        <v>1</v>
      </c>
      <c r="AD810" s="2">
        <v>44713</v>
      </c>
      <c r="AE810" s="1" t="s">
        <v>44</v>
      </c>
      <c r="AF810" s="1" t="s">
        <v>72</v>
      </c>
      <c r="AG810" s="1" t="s">
        <v>77</v>
      </c>
      <c r="AH810" s="1" t="s">
        <v>59</v>
      </c>
      <c r="AI810">
        <v>19050</v>
      </c>
      <c r="AJ810">
        <v>-152.40000000000146</v>
      </c>
    </row>
    <row r="811" spans="1:36" x14ac:dyDescent="0.25">
      <c r="A811">
        <v>10810</v>
      </c>
      <c r="B811">
        <v>27</v>
      </c>
      <c r="C811" s="1" t="s">
        <v>60</v>
      </c>
      <c r="D811" s="1" t="s">
        <v>48</v>
      </c>
      <c r="E811" s="2">
        <v>44565</v>
      </c>
      <c r="F811" s="2">
        <v>44816</v>
      </c>
      <c r="G811" s="1" t="s">
        <v>38</v>
      </c>
      <c r="H811">
        <v>312</v>
      </c>
      <c r="I811">
        <v>9</v>
      </c>
      <c r="J811">
        <v>2</v>
      </c>
      <c r="K811">
        <v>78.180000000000007</v>
      </c>
      <c r="L811">
        <v>10</v>
      </c>
      <c r="M811" s="1" t="s">
        <v>65</v>
      </c>
      <c r="N811" s="1" t="s">
        <v>56</v>
      </c>
      <c r="O811">
        <v>2776.8</v>
      </c>
      <c r="P811" t="b">
        <v>1</v>
      </c>
      <c r="Q811">
        <v>0.75</v>
      </c>
      <c r="R811">
        <v>308.53333333333336</v>
      </c>
      <c r="S811">
        <v>26.060000000000002</v>
      </c>
      <c r="T811" s="2">
        <v>44562</v>
      </c>
      <c r="U811" s="1" t="s">
        <v>57</v>
      </c>
      <c r="V811">
        <v>0</v>
      </c>
      <c r="W811" s="1" t="s">
        <v>56</v>
      </c>
      <c r="X811">
        <v>251</v>
      </c>
      <c r="Y811" s="1" t="s">
        <v>43</v>
      </c>
      <c r="Z811" s="1" t="s">
        <v>42</v>
      </c>
      <c r="AA811">
        <v>0.2</v>
      </c>
      <c r="AB811" s="1" t="s">
        <v>42</v>
      </c>
      <c r="AC811">
        <v>1</v>
      </c>
      <c r="AD811" s="2">
        <v>44562</v>
      </c>
      <c r="AE811" s="1" t="s">
        <v>74</v>
      </c>
      <c r="AF811" s="1" t="s">
        <v>72</v>
      </c>
      <c r="AG811" s="1" t="s">
        <v>63</v>
      </c>
      <c r="AH811" s="1" t="s">
        <v>68</v>
      </c>
      <c r="AI811">
        <v>2808</v>
      </c>
      <c r="AJ811">
        <v>-31.199999999999818</v>
      </c>
    </row>
    <row r="812" spans="1:36" x14ac:dyDescent="0.25">
      <c r="A812">
        <v>10811</v>
      </c>
      <c r="B812">
        <v>34</v>
      </c>
      <c r="C812" s="1" t="s">
        <v>60</v>
      </c>
      <c r="D812" s="1" t="s">
        <v>48</v>
      </c>
      <c r="E812" s="2">
        <v>44429</v>
      </c>
      <c r="F812" s="2">
        <v>44949</v>
      </c>
      <c r="G812" s="1" t="s">
        <v>62</v>
      </c>
      <c r="H812">
        <v>835</v>
      </c>
      <c r="I812">
        <v>3</v>
      </c>
      <c r="J812">
        <v>0</v>
      </c>
      <c r="K812">
        <v>91.12</v>
      </c>
      <c r="L812">
        <v>20</v>
      </c>
      <c r="M812" s="1" t="s">
        <v>65</v>
      </c>
      <c r="N812" s="1" t="s">
        <v>40</v>
      </c>
      <c r="O812">
        <v>2338</v>
      </c>
      <c r="P812" t="b">
        <v>1</v>
      </c>
      <c r="Q812">
        <v>0.25</v>
      </c>
      <c r="R812">
        <v>779.33333333333337</v>
      </c>
      <c r="S812">
        <v>91.12</v>
      </c>
      <c r="T812" s="2">
        <v>44409</v>
      </c>
      <c r="U812" s="1" t="s">
        <v>57</v>
      </c>
      <c r="V812">
        <v>1</v>
      </c>
      <c r="W812" s="1" t="s">
        <v>56</v>
      </c>
      <c r="X812">
        <v>520</v>
      </c>
      <c r="Y812" s="1" t="s">
        <v>43</v>
      </c>
      <c r="Z812" s="1" t="s">
        <v>52</v>
      </c>
      <c r="AA812">
        <v>0</v>
      </c>
      <c r="AB812" s="1" t="s">
        <v>42</v>
      </c>
      <c r="AC812">
        <v>2</v>
      </c>
      <c r="AD812" s="2">
        <v>44409</v>
      </c>
      <c r="AE812" s="1" t="s">
        <v>58</v>
      </c>
      <c r="AF812" s="1" t="s">
        <v>54</v>
      </c>
      <c r="AG812" s="1" t="s">
        <v>63</v>
      </c>
      <c r="AH812" s="1" t="s">
        <v>59</v>
      </c>
      <c r="AI812">
        <v>2505</v>
      </c>
      <c r="AJ812">
        <v>-167</v>
      </c>
    </row>
    <row r="813" spans="1:36" x14ac:dyDescent="0.25">
      <c r="A813">
        <v>10812</v>
      </c>
      <c r="B813">
        <v>37</v>
      </c>
      <c r="C813" s="1" t="s">
        <v>60</v>
      </c>
      <c r="D813" s="1" t="s">
        <v>48</v>
      </c>
      <c r="E813" s="2">
        <v>44391</v>
      </c>
      <c r="F813" s="2">
        <v>44918</v>
      </c>
      <c r="G813" s="1" t="s">
        <v>38</v>
      </c>
      <c r="H813">
        <v>1491</v>
      </c>
      <c r="I813">
        <v>15</v>
      </c>
      <c r="J813">
        <v>2</v>
      </c>
      <c r="K813">
        <v>33.630000000000003</v>
      </c>
      <c r="L813">
        <v>5</v>
      </c>
      <c r="M813" s="1" t="s">
        <v>50</v>
      </c>
      <c r="N813" s="1" t="s">
        <v>56</v>
      </c>
      <c r="O813">
        <v>22290.45</v>
      </c>
      <c r="P813" t="b">
        <v>1</v>
      </c>
      <c r="Q813">
        <v>1.25</v>
      </c>
      <c r="R813">
        <v>1486.03</v>
      </c>
      <c r="S813">
        <v>11.21</v>
      </c>
      <c r="T813" s="2">
        <v>44378</v>
      </c>
      <c r="U813" s="1" t="s">
        <v>51</v>
      </c>
      <c r="V813">
        <v>0</v>
      </c>
      <c r="W813" s="1" t="s">
        <v>40</v>
      </c>
      <c r="X813">
        <v>527</v>
      </c>
      <c r="Y813" s="1" t="s">
        <v>52</v>
      </c>
      <c r="Z813" s="1" t="s">
        <v>42</v>
      </c>
      <c r="AA813">
        <v>0.125</v>
      </c>
      <c r="AB813" s="1" t="s">
        <v>43</v>
      </c>
      <c r="AC813">
        <v>1</v>
      </c>
      <c r="AD813" s="2">
        <v>44378</v>
      </c>
      <c r="AE813" s="1" t="s">
        <v>53</v>
      </c>
      <c r="AF813" s="1" t="s">
        <v>72</v>
      </c>
      <c r="AG813" s="1" t="s">
        <v>55</v>
      </c>
      <c r="AH813" s="1" t="s">
        <v>47</v>
      </c>
      <c r="AI813">
        <v>22365</v>
      </c>
      <c r="AJ813">
        <v>-74.549999999999272</v>
      </c>
    </row>
    <row r="814" spans="1:36" x14ac:dyDescent="0.25">
      <c r="A814">
        <v>10813</v>
      </c>
      <c r="B814">
        <v>41</v>
      </c>
      <c r="C814" s="1" t="s">
        <v>75</v>
      </c>
      <c r="D814" s="1" t="s">
        <v>71</v>
      </c>
      <c r="E814" s="2">
        <v>44208</v>
      </c>
      <c r="F814" s="2">
        <v>44750</v>
      </c>
      <c r="G814" s="1" t="s">
        <v>38</v>
      </c>
      <c r="H814">
        <v>569</v>
      </c>
      <c r="I814">
        <v>4</v>
      </c>
      <c r="J814">
        <v>0</v>
      </c>
      <c r="K814">
        <v>58.43</v>
      </c>
      <c r="L814">
        <v>10</v>
      </c>
      <c r="M814" s="1" t="s">
        <v>65</v>
      </c>
      <c r="N814" s="1" t="s">
        <v>56</v>
      </c>
      <c r="O814">
        <v>2219.1</v>
      </c>
      <c r="P814" t="b">
        <v>1</v>
      </c>
      <c r="Q814">
        <v>0.33333333333333331</v>
      </c>
      <c r="R814">
        <v>554.77499999999998</v>
      </c>
      <c r="S814">
        <v>58.43</v>
      </c>
      <c r="T814" s="2">
        <v>44197</v>
      </c>
      <c r="U814" s="1" t="s">
        <v>51</v>
      </c>
      <c r="V814">
        <v>0</v>
      </c>
      <c r="W814" s="1" t="s">
        <v>56</v>
      </c>
      <c r="X814">
        <v>542</v>
      </c>
      <c r="Y814" s="1" t="s">
        <v>52</v>
      </c>
      <c r="Z814" s="1" t="s">
        <v>42</v>
      </c>
      <c r="AA814">
        <v>0</v>
      </c>
      <c r="AB814" s="1" t="s">
        <v>42</v>
      </c>
      <c r="AC814">
        <v>1</v>
      </c>
      <c r="AD814" s="2">
        <v>44197</v>
      </c>
      <c r="AE814" s="1" t="s">
        <v>58</v>
      </c>
      <c r="AF814" s="1" t="s">
        <v>54</v>
      </c>
      <c r="AG814" s="1" t="s">
        <v>63</v>
      </c>
      <c r="AH814" s="1" t="s">
        <v>64</v>
      </c>
      <c r="AI814">
        <v>2276</v>
      </c>
      <c r="AJ814">
        <v>-56.900000000000091</v>
      </c>
    </row>
    <row r="815" spans="1:36" x14ac:dyDescent="0.25">
      <c r="A815">
        <v>10814</v>
      </c>
      <c r="B815">
        <v>22</v>
      </c>
      <c r="C815" s="1" t="s">
        <v>60</v>
      </c>
      <c r="D815" s="1" t="s">
        <v>69</v>
      </c>
      <c r="E815" s="2">
        <v>44885</v>
      </c>
      <c r="F815" s="2">
        <v>44887</v>
      </c>
      <c r="G815" s="1" t="s">
        <v>38</v>
      </c>
      <c r="H815">
        <v>1393</v>
      </c>
      <c r="I815">
        <v>20</v>
      </c>
      <c r="J815">
        <v>1</v>
      </c>
      <c r="K815">
        <v>62.59</v>
      </c>
      <c r="L815">
        <v>10</v>
      </c>
      <c r="M815" s="1" t="s">
        <v>39</v>
      </c>
      <c r="N815" s="1" t="s">
        <v>40</v>
      </c>
      <c r="O815">
        <v>27720.7</v>
      </c>
      <c r="P815" t="b">
        <v>1</v>
      </c>
      <c r="Q815">
        <v>1.6666666666666667</v>
      </c>
      <c r="R815">
        <v>1386.0350000000001</v>
      </c>
      <c r="S815">
        <v>31.295000000000002</v>
      </c>
      <c r="T815" s="2">
        <v>44866</v>
      </c>
      <c r="U815" s="1" t="s">
        <v>66</v>
      </c>
      <c r="V815">
        <v>1</v>
      </c>
      <c r="W815" s="1" t="s">
        <v>40</v>
      </c>
      <c r="X815">
        <v>2</v>
      </c>
      <c r="Y815" s="1" t="s">
        <v>43</v>
      </c>
      <c r="Z815" s="1" t="s">
        <v>42</v>
      </c>
      <c r="AA815">
        <v>4.7619047619047616E-2</v>
      </c>
      <c r="AB815" s="1" t="s">
        <v>43</v>
      </c>
      <c r="AC815">
        <v>1</v>
      </c>
      <c r="AD815" s="2">
        <v>44866</v>
      </c>
      <c r="AE815" s="1" t="s">
        <v>53</v>
      </c>
      <c r="AF815" s="1" t="s">
        <v>54</v>
      </c>
      <c r="AG815" s="1" t="s">
        <v>63</v>
      </c>
      <c r="AH815" s="1" t="s">
        <v>47</v>
      </c>
      <c r="AI815">
        <v>27860</v>
      </c>
      <c r="AJ815">
        <v>-139.29999999999927</v>
      </c>
    </row>
    <row r="816" spans="1:36" x14ac:dyDescent="0.25">
      <c r="A816">
        <v>10815</v>
      </c>
      <c r="B816">
        <v>51</v>
      </c>
      <c r="C816" s="1" t="s">
        <v>36</v>
      </c>
      <c r="D816" s="1" t="s">
        <v>48</v>
      </c>
      <c r="E816" s="2">
        <v>44373</v>
      </c>
      <c r="F816" s="2">
        <v>44419</v>
      </c>
      <c r="G816" s="1" t="s">
        <v>62</v>
      </c>
      <c r="H816">
        <v>675</v>
      </c>
      <c r="I816">
        <v>23</v>
      </c>
      <c r="J816">
        <v>0</v>
      </c>
      <c r="K816">
        <v>39.28</v>
      </c>
      <c r="L816">
        <v>10</v>
      </c>
      <c r="M816" s="1" t="s">
        <v>67</v>
      </c>
      <c r="N816" s="1" t="s">
        <v>56</v>
      </c>
      <c r="O816">
        <v>15457.5</v>
      </c>
      <c r="P816" t="b">
        <v>1</v>
      </c>
      <c r="Q816">
        <v>1.9166666666666667</v>
      </c>
      <c r="R816">
        <v>672.06521739130437</v>
      </c>
      <c r="S816">
        <v>39.28</v>
      </c>
      <c r="T816" s="2">
        <v>44348</v>
      </c>
      <c r="U816" s="1" t="s">
        <v>41</v>
      </c>
      <c r="V816">
        <v>0</v>
      </c>
      <c r="W816" s="1" t="s">
        <v>40</v>
      </c>
      <c r="X816">
        <v>46</v>
      </c>
      <c r="Y816" s="1" t="s">
        <v>52</v>
      </c>
      <c r="Z816" s="1" t="s">
        <v>42</v>
      </c>
      <c r="AA816">
        <v>0</v>
      </c>
      <c r="AB816" s="1" t="s">
        <v>52</v>
      </c>
      <c r="AC816">
        <v>2</v>
      </c>
      <c r="AD816" s="2">
        <v>44348</v>
      </c>
      <c r="AE816" s="1" t="s">
        <v>53</v>
      </c>
      <c r="AF816" s="1" t="s">
        <v>54</v>
      </c>
      <c r="AG816" s="1" t="s">
        <v>55</v>
      </c>
      <c r="AH816" s="1" t="s">
        <v>64</v>
      </c>
      <c r="AI816">
        <v>15525</v>
      </c>
      <c r="AJ816">
        <v>-67.5</v>
      </c>
    </row>
    <row r="817" spans="1:36" x14ac:dyDescent="0.25">
      <c r="A817">
        <v>10816</v>
      </c>
      <c r="B817">
        <v>23</v>
      </c>
      <c r="C817" s="1" t="s">
        <v>36</v>
      </c>
      <c r="D817" s="1" t="s">
        <v>73</v>
      </c>
      <c r="E817" s="2">
        <v>44413</v>
      </c>
      <c r="F817" s="2">
        <v>45129</v>
      </c>
      <c r="G817" s="1" t="s">
        <v>62</v>
      </c>
      <c r="H817">
        <v>1412</v>
      </c>
      <c r="I817">
        <v>8</v>
      </c>
      <c r="J817">
        <v>2</v>
      </c>
      <c r="K817">
        <v>30.66</v>
      </c>
      <c r="L817">
        <v>0</v>
      </c>
      <c r="M817" s="1" t="s">
        <v>39</v>
      </c>
      <c r="N817" s="1" t="s">
        <v>56</v>
      </c>
      <c r="O817">
        <v>11296</v>
      </c>
      <c r="P817" t="b">
        <v>1</v>
      </c>
      <c r="Q817">
        <v>0.66666666666666663</v>
      </c>
      <c r="R817">
        <v>1412</v>
      </c>
      <c r="S817">
        <v>10.220000000000001</v>
      </c>
      <c r="T817" s="2">
        <v>44409</v>
      </c>
      <c r="U817" s="1" t="s">
        <v>66</v>
      </c>
      <c r="V817">
        <v>0</v>
      </c>
      <c r="W817" s="1" t="s">
        <v>56</v>
      </c>
      <c r="X817">
        <v>716</v>
      </c>
      <c r="Y817" s="1" t="s">
        <v>52</v>
      </c>
      <c r="Z817" s="1" t="s">
        <v>42</v>
      </c>
      <c r="AA817">
        <v>0.22222222222222221</v>
      </c>
      <c r="AB817" s="1" t="s">
        <v>52</v>
      </c>
      <c r="AC817">
        <v>2</v>
      </c>
      <c r="AD817" s="2">
        <v>44409</v>
      </c>
      <c r="AE817" s="1" t="s">
        <v>74</v>
      </c>
      <c r="AF817" s="1" t="s">
        <v>72</v>
      </c>
      <c r="AG817" s="1" t="s">
        <v>55</v>
      </c>
      <c r="AH817" s="1" t="s">
        <v>47</v>
      </c>
      <c r="AI817">
        <v>11296</v>
      </c>
      <c r="AJ817">
        <v>0</v>
      </c>
    </row>
    <row r="818" spans="1:36" x14ac:dyDescent="0.25">
      <c r="A818">
        <v>10817</v>
      </c>
      <c r="B818">
        <v>19</v>
      </c>
      <c r="C818" s="1" t="s">
        <v>36</v>
      </c>
      <c r="D818" s="1" t="s">
        <v>69</v>
      </c>
      <c r="E818" s="2">
        <v>44207</v>
      </c>
      <c r="F818" s="2">
        <v>44371</v>
      </c>
      <c r="G818" s="1" t="s">
        <v>62</v>
      </c>
      <c r="H818">
        <v>556</v>
      </c>
      <c r="I818">
        <v>33</v>
      </c>
      <c r="J818">
        <v>1</v>
      </c>
      <c r="K818">
        <v>29.25</v>
      </c>
      <c r="L818">
        <v>20</v>
      </c>
      <c r="M818" s="1" t="s">
        <v>50</v>
      </c>
      <c r="N818" s="1" t="s">
        <v>56</v>
      </c>
      <c r="O818">
        <v>18236.8</v>
      </c>
      <c r="P818" t="b">
        <v>1</v>
      </c>
      <c r="Q818">
        <v>2.75</v>
      </c>
      <c r="R818">
        <v>552.63030303030303</v>
      </c>
      <c r="S818">
        <v>14.625</v>
      </c>
      <c r="T818" s="2">
        <v>44197</v>
      </c>
      <c r="U818" s="1" t="s">
        <v>66</v>
      </c>
      <c r="V818">
        <v>0</v>
      </c>
      <c r="W818" s="1" t="s">
        <v>40</v>
      </c>
      <c r="X818">
        <v>164</v>
      </c>
      <c r="Y818" s="1" t="s">
        <v>52</v>
      </c>
      <c r="Z818" s="1" t="s">
        <v>52</v>
      </c>
      <c r="AA818">
        <v>2.9411764705882353E-2</v>
      </c>
      <c r="AB818" s="1" t="s">
        <v>52</v>
      </c>
      <c r="AC818">
        <v>2</v>
      </c>
      <c r="AD818" s="2">
        <v>44197</v>
      </c>
      <c r="AE818" s="1" t="s">
        <v>44</v>
      </c>
      <c r="AF818" s="1" t="s">
        <v>54</v>
      </c>
      <c r="AG818" s="1" t="s">
        <v>70</v>
      </c>
      <c r="AH818" s="1" t="s">
        <v>64</v>
      </c>
      <c r="AI818">
        <v>18348</v>
      </c>
      <c r="AJ818">
        <v>-111.20000000000073</v>
      </c>
    </row>
    <row r="819" spans="1:36" x14ac:dyDescent="0.25">
      <c r="A819">
        <v>10818</v>
      </c>
      <c r="B819">
        <v>30</v>
      </c>
      <c r="C819" s="1" t="s">
        <v>60</v>
      </c>
      <c r="D819" s="1" t="s">
        <v>71</v>
      </c>
      <c r="E819" s="2">
        <v>44642</v>
      </c>
      <c r="F819" s="2">
        <v>44971</v>
      </c>
      <c r="G819" s="1" t="s">
        <v>38</v>
      </c>
      <c r="H819">
        <v>516</v>
      </c>
      <c r="I819">
        <v>33</v>
      </c>
      <c r="J819">
        <v>1</v>
      </c>
      <c r="K819">
        <v>69.260000000000005</v>
      </c>
      <c r="L819">
        <v>20</v>
      </c>
      <c r="M819" s="1" t="s">
        <v>65</v>
      </c>
      <c r="N819" s="1" t="s">
        <v>40</v>
      </c>
      <c r="O819">
        <v>16924.8</v>
      </c>
      <c r="P819" t="b">
        <v>1</v>
      </c>
      <c r="Q819">
        <v>2.75</v>
      </c>
      <c r="R819">
        <v>512.87272727272727</v>
      </c>
      <c r="S819">
        <v>34.630000000000003</v>
      </c>
      <c r="T819" s="2">
        <v>44621</v>
      </c>
      <c r="U819" s="1" t="s">
        <v>57</v>
      </c>
      <c r="V819">
        <v>1</v>
      </c>
      <c r="W819" s="1" t="s">
        <v>40</v>
      </c>
      <c r="X819">
        <v>329</v>
      </c>
      <c r="Y819" s="1" t="s">
        <v>43</v>
      </c>
      <c r="Z819" s="1" t="s">
        <v>52</v>
      </c>
      <c r="AA819">
        <v>2.9411764705882353E-2</v>
      </c>
      <c r="AB819" s="1" t="s">
        <v>52</v>
      </c>
      <c r="AC819">
        <v>1</v>
      </c>
      <c r="AD819" s="2">
        <v>44621</v>
      </c>
      <c r="AE819" s="1" t="s">
        <v>44</v>
      </c>
      <c r="AF819" s="1" t="s">
        <v>54</v>
      </c>
      <c r="AG819" s="1" t="s">
        <v>63</v>
      </c>
      <c r="AH819" s="1" t="s">
        <v>64</v>
      </c>
      <c r="AI819">
        <v>17028</v>
      </c>
      <c r="AJ819">
        <v>-103.20000000000073</v>
      </c>
    </row>
    <row r="820" spans="1:36" x14ac:dyDescent="0.25">
      <c r="A820">
        <v>10819</v>
      </c>
      <c r="B820">
        <v>60</v>
      </c>
      <c r="C820" s="1" t="s">
        <v>36</v>
      </c>
      <c r="D820" s="1" t="s">
        <v>69</v>
      </c>
      <c r="E820" s="2">
        <v>44826</v>
      </c>
      <c r="F820" s="2">
        <v>45159</v>
      </c>
      <c r="G820" s="1" t="s">
        <v>49</v>
      </c>
      <c r="H820">
        <v>749</v>
      </c>
      <c r="I820">
        <v>7</v>
      </c>
      <c r="J820">
        <v>0</v>
      </c>
      <c r="K820">
        <v>114.23</v>
      </c>
      <c r="L820">
        <v>20</v>
      </c>
      <c r="M820" s="1" t="s">
        <v>67</v>
      </c>
      <c r="N820" s="1" t="s">
        <v>56</v>
      </c>
      <c r="O820">
        <v>5093.2</v>
      </c>
      <c r="P820" t="b">
        <v>1</v>
      </c>
      <c r="Q820">
        <v>0.58333333333333337</v>
      </c>
      <c r="R820">
        <v>727.6</v>
      </c>
      <c r="S820">
        <v>114.23</v>
      </c>
      <c r="T820" s="2">
        <v>44805</v>
      </c>
      <c r="U820" s="1" t="s">
        <v>41</v>
      </c>
      <c r="V820">
        <v>0</v>
      </c>
      <c r="W820" s="1" t="s">
        <v>56</v>
      </c>
      <c r="X820">
        <v>333</v>
      </c>
      <c r="Y820" s="1" t="s">
        <v>43</v>
      </c>
      <c r="Z820" s="1" t="s">
        <v>52</v>
      </c>
      <c r="AA820">
        <v>0</v>
      </c>
      <c r="AB820" s="1" t="s">
        <v>42</v>
      </c>
      <c r="AC820">
        <v>3</v>
      </c>
      <c r="AD820" s="2">
        <v>44805</v>
      </c>
      <c r="AE820" s="1" t="s">
        <v>74</v>
      </c>
      <c r="AF820" s="1" t="s">
        <v>54</v>
      </c>
      <c r="AG820" s="1" t="s">
        <v>63</v>
      </c>
      <c r="AH820" s="1" t="s">
        <v>59</v>
      </c>
      <c r="AI820">
        <v>5243</v>
      </c>
      <c r="AJ820">
        <v>-149.80000000000018</v>
      </c>
    </row>
    <row r="821" spans="1:36" x14ac:dyDescent="0.25">
      <c r="A821">
        <v>10820</v>
      </c>
      <c r="B821">
        <v>60</v>
      </c>
      <c r="C821" s="1" t="s">
        <v>36</v>
      </c>
      <c r="D821" s="1" t="s">
        <v>61</v>
      </c>
      <c r="E821" s="2">
        <v>44360</v>
      </c>
      <c r="F821" s="2">
        <v>44832</v>
      </c>
      <c r="G821" s="1" t="s">
        <v>38</v>
      </c>
      <c r="H821">
        <v>1193</v>
      </c>
      <c r="I821">
        <v>22</v>
      </c>
      <c r="J821">
        <v>0</v>
      </c>
      <c r="K821">
        <v>75</v>
      </c>
      <c r="L821">
        <v>0</v>
      </c>
      <c r="M821" s="1" t="s">
        <v>65</v>
      </c>
      <c r="N821" s="1" t="s">
        <v>56</v>
      </c>
      <c r="O821">
        <v>26246</v>
      </c>
      <c r="P821" t="b">
        <v>1</v>
      </c>
      <c r="Q821">
        <v>1.8333333333333333</v>
      </c>
      <c r="R821">
        <v>1193</v>
      </c>
      <c r="S821">
        <v>75</v>
      </c>
      <c r="T821" s="2">
        <v>44348</v>
      </c>
      <c r="U821" s="1" t="s">
        <v>41</v>
      </c>
      <c r="V821">
        <v>0</v>
      </c>
      <c r="W821" s="1" t="s">
        <v>40</v>
      </c>
      <c r="X821">
        <v>472</v>
      </c>
      <c r="Y821" s="1" t="s">
        <v>43</v>
      </c>
      <c r="Z821" s="1" t="s">
        <v>42</v>
      </c>
      <c r="AA821">
        <v>0</v>
      </c>
      <c r="AB821" s="1" t="s">
        <v>43</v>
      </c>
      <c r="AC821">
        <v>1</v>
      </c>
      <c r="AD821" s="2">
        <v>44348</v>
      </c>
      <c r="AE821" s="1" t="s">
        <v>53</v>
      </c>
      <c r="AF821" s="1" t="s">
        <v>54</v>
      </c>
      <c r="AG821" s="1" t="s">
        <v>63</v>
      </c>
      <c r="AH821" s="1" t="s">
        <v>47</v>
      </c>
      <c r="AI821">
        <v>26246</v>
      </c>
      <c r="AJ821">
        <v>0</v>
      </c>
    </row>
    <row r="822" spans="1:36" x14ac:dyDescent="0.25">
      <c r="A822">
        <v>10821</v>
      </c>
      <c r="B822">
        <v>28</v>
      </c>
      <c r="C822" s="1" t="s">
        <v>36</v>
      </c>
      <c r="D822" s="1" t="s">
        <v>69</v>
      </c>
      <c r="E822" s="2">
        <v>44747</v>
      </c>
      <c r="F822" s="2">
        <v>44403</v>
      </c>
      <c r="G822" s="1" t="s">
        <v>62</v>
      </c>
      <c r="H822">
        <v>1464</v>
      </c>
      <c r="I822">
        <v>5</v>
      </c>
      <c r="J822">
        <v>1</v>
      </c>
      <c r="K822">
        <v>39.880000000000003</v>
      </c>
      <c r="L822">
        <v>20</v>
      </c>
      <c r="M822" s="1" t="s">
        <v>65</v>
      </c>
      <c r="N822" s="1" t="s">
        <v>40</v>
      </c>
      <c r="O822">
        <v>7027.2</v>
      </c>
      <c r="P822" t="b">
        <v>0</v>
      </c>
      <c r="Q822">
        <v>0.41666666666666669</v>
      </c>
      <c r="R822">
        <v>1405.44</v>
      </c>
      <c r="S822">
        <v>19.940000000000001</v>
      </c>
      <c r="T822" s="2">
        <v>44743</v>
      </c>
      <c r="U822" s="1" t="s">
        <v>57</v>
      </c>
      <c r="V822">
        <v>1</v>
      </c>
      <c r="W822" s="1" t="s">
        <v>56</v>
      </c>
      <c r="Y822" s="1" t="s">
        <v>52</v>
      </c>
      <c r="Z822" s="1" t="s">
        <v>52</v>
      </c>
      <c r="AA822">
        <v>0.16666666666666666</v>
      </c>
      <c r="AB822" s="1" t="s">
        <v>42</v>
      </c>
      <c r="AC822">
        <v>2</v>
      </c>
      <c r="AD822" s="2">
        <v>44743</v>
      </c>
      <c r="AE822" s="1" t="s">
        <v>58</v>
      </c>
      <c r="AF822" s="1" t="s">
        <v>54</v>
      </c>
      <c r="AG822" s="1" t="s">
        <v>55</v>
      </c>
      <c r="AH822" s="1" t="s">
        <v>47</v>
      </c>
      <c r="AI822">
        <v>7320</v>
      </c>
      <c r="AJ822">
        <v>-292.80000000000018</v>
      </c>
    </row>
    <row r="823" spans="1:36" x14ac:dyDescent="0.25">
      <c r="A823">
        <v>10822</v>
      </c>
      <c r="B823">
        <v>64</v>
      </c>
      <c r="C823" s="1" t="s">
        <v>36</v>
      </c>
      <c r="D823" s="1" t="s">
        <v>76</v>
      </c>
      <c r="E823" s="2">
        <v>44249</v>
      </c>
      <c r="F823" s="2">
        <v>44570</v>
      </c>
      <c r="G823" s="1" t="s">
        <v>62</v>
      </c>
      <c r="H823">
        <v>1484</v>
      </c>
      <c r="I823">
        <v>15</v>
      </c>
      <c r="J823">
        <v>0</v>
      </c>
      <c r="K823">
        <v>78.44</v>
      </c>
      <c r="L823">
        <v>10</v>
      </c>
      <c r="M823" s="1" t="s">
        <v>67</v>
      </c>
      <c r="N823" s="1" t="s">
        <v>40</v>
      </c>
      <c r="O823">
        <v>22111.599999999999</v>
      </c>
      <c r="P823" t="b">
        <v>1</v>
      </c>
      <c r="Q823">
        <v>1.25</v>
      </c>
      <c r="R823">
        <v>1474.1066666666666</v>
      </c>
      <c r="S823">
        <v>78.44</v>
      </c>
      <c r="T823" s="2">
        <v>44228</v>
      </c>
      <c r="U823" s="1" t="s">
        <v>41</v>
      </c>
      <c r="V823">
        <v>1</v>
      </c>
      <c r="W823" s="1" t="s">
        <v>40</v>
      </c>
      <c r="X823">
        <v>321</v>
      </c>
      <c r="Y823" s="1" t="s">
        <v>43</v>
      </c>
      <c r="Z823" s="1" t="s">
        <v>42</v>
      </c>
      <c r="AA823">
        <v>0</v>
      </c>
      <c r="AB823" s="1" t="s">
        <v>43</v>
      </c>
      <c r="AC823">
        <v>2</v>
      </c>
      <c r="AD823" s="2">
        <v>44228</v>
      </c>
      <c r="AE823" s="1" t="s">
        <v>53</v>
      </c>
      <c r="AF823" s="1" t="s">
        <v>54</v>
      </c>
      <c r="AG823" s="1" t="s">
        <v>63</v>
      </c>
      <c r="AH823" s="1" t="s">
        <v>47</v>
      </c>
      <c r="AI823">
        <v>22260</v>
      </c>
      <c r="AJ823">
        <v>-148.40000000000146</v>
      </c>
    </row>
    <row r="824" spans="1:36" x14ac:dyDescent="0.25">
      <c r="A824">
        <v>10823</v>
      </c>
      <c r="B824">
        <v>40</v>
      </c>
      <c r="C824" s="1" t="s">
        <v>36</v>
      </c>
      <c r="D824" s="1" t="s">
        <v>71</v>
      </c>
      <c r="E824" s="2">
        <v>44414</v>
      </c>
      <c r="F824" s="2">
        <v>44979</v>
      </c>
      <c r="G824" s="1" t="s">
        <v>62</v>
      </c>
      <c r="H824">
        <v>331</v>
      </c>
      <c r="I824">
        <v>21</v>
      </c>
      <c r="J824">
        <v>7</v>
      </c>
      <c r="K824">
        <v>76.86</v>
      </c>
      <c r="L824">
        <v>15</v>
      </c>
      <c r="M824" s="1" t="s">
        <v>67</v>
      </c>
      <c r="N824" s="1" t="s">
        <v>56</v>
      </c>
      <c r="O824">
        <v>6901.35</v>
      </c>
      <c r="P824" t="b">
        <v>1</v>
      </c>
      <c r="Q824">
        <v>1.75</v>
      </c>
      <c r="R824">
        <v>328.6357142857143</v>
      </c>
      <c r="S824">
        <v>9.6074999999999999</v>
      </c>
      <c r="T824" s="2">
        <v>44409</v>
      </c>
      <c r="U824" s="1" t="s">
        <v>51</v>
      </c>
      <c r="V824">
        <v>0</v>
      </c>
      <c r="W824" s="1" t="s">
        <v>56</v>
      </c>
      <c r="X824">
        <v>565</v>
      </c>
      <c r="Y824" s="1" t="s">
        <v>43</v>
      </c>
      <c r="Z824" s="1" t="s">
        <v>42</v>
      </c>
      <c r="AA824">
        <v>0.31818181818181818</v>
      </c>
      <c r="AB824" s="1" t="s">
        <v>42</v>
      </c>
      <c r="AC824">
        <v>2</v>
      </c>
      <c r="AD824" s="2">
        <v>44409</v>
      </c>
      <c r="AE824" s="1" t="s">
        <v>53</v>
      </c>
      <c r="AF824" s="1" t="s">
        <v>78</v>
      </c>
      <c r="AG824" s="1" t="s">
        <v>63</v>
      </c>
      <c r="AH824" s="1" t="s">
        <v>68</v>
      </c>
      <c r="AI824">
        <v>6951</v>
      </c>
      <c r="AJ824">
        <v>-49.649999999999636</v>
      </c>
    </row>
    <row r="825" spans="1:36" x14ac:dyDescent="0.25">
      <c r="A825">
        <v>10824</v>
      </c>
      <c r="B825">
        <v>33</v>
      </c>
      <c r="C825" s="1" t="s">
        <v>60</v>
      </c>
      <c r="D825" s="1" t="s">
        <v>48</v>
      </c>
      <c r="E825" s="2">
        <v>44914</v>
      </c>
      <c r="F825" s="2">
        <v>44526</v>
      </c>
      <c r="G825" s="1" t="s">
        <v>49</v>
      </c>
      <c r="H825">
        <v>1475</v>
      </c>
      <c r="I825">
        <v>25</v>
      </c>
      <c r="J825">
        <v>1</v>
      </c>
      <c r="K825">
        <v>73.650000000000006</v>
      </c>
      <c r="L825">
        <v>5</v>
      </c>
      <c r="M825" s="1" t="s">
        <v>39</v>
      </c>
      <c r="N825" s="1" t="s">
        <v>40</v>
      </c>
      <c r="O825">
        <v>36801.25</v>
      </c>
      <c r="P825" t="b">
        <v>0</v>
      </c>
      <c r="Q825">
        <v>2.0833333333333335</v>
      </c>
      <c r="R825">
        <v>1472.05</v>
      </c>
      <c r="S825">
        <v>36.825000000000003</v>
      </c>
      <c r="T825" s="2">
        <v>44896</v>
      </c>
      <c r="U825" s="1" t="s">
        <v>57</v>
      </c>
      <c r="V825">
        <v>1</v>
      </c>
      <c r="W825" s="1" t="s">
        <v>40</v>
      </c>
      <c r="Y825" s="1" t="s">
        <v>43</v>
      </c>
      <c r="Z825" s="1" t="s">
        <v>42</v>
      </c>
      <c r="AA825">
        <v>3.8461538461538464E-2</v>
      </c>
      <c r="AB825" s="1" t="s">
        <v>43</v>
      </c>
      <c r="AC825">
        <v>3</v>
      </c>
      <c r="AD825" s="2">
        <v>44896</v>
      </c>
      <c r="AE825" s="1" t="s">
        <v>44</v>
      </c>
      <c r="AF825" s="1" t="s">
        <v>54</v>
      </c>
      <c r="AG825" s="1" t="s">
        <v>63</v>
      </c>
      <c r="AH825" s="1" t="s">
        <v>47</v>
      </c>
      <c r="AI825">
        <v>36875</v>
      </c>
      <c r="AJ825">
        <v>-73.75</v>
      </c>
    </row>
    <row r="826" spans="1:36" x14ac:dyDescent="0.25">
      <c r="A826">
        <v>10825</v>
      </c>
      <c r="B826">
        <v>48</v>
      </c>
      <c r="C826" s="1" t="s">
        <v>36</v>
      </c>
      <c r="D826" s="1" t="s">
        <v>73</v>
      </c>
      <c r="E826" s="2">
        <v>45020</v>
      </c>
      <c r="F826" s="2">
        <v>45147</v>
      </c>
      <c r="G826" s="1" t="s">
        <v>38</v>
      </c>
      <c r="H826">
        <v>909</v>
      </c>
      <c r="I826">
        <v>17</v>
      </c>
      <c r="J826">
        <v>4</v>
      </c>
      <c r="K826">
        <v>23.33</v>
      </c>
      <c r="L826">
        <v>20</v>
      </c>
      <c r="M826" s="1" t="s">
        <v>39</v>
      </c>
      <c r="N826" s="1" t="s">
        <v>40</v>
      </c>
      <c r="O826">
        <v>15271.2</v>
      </c>
      <c r="P826" t="b">
        <v>1</v>
      </c>
      <c r="Q826">
        <v>1.4166666666666667</v>
      </c>
      <c r="R826">
        <v>898.30588235294124</v>
      </c>
      <c r="S826">
        <v>4.6659999999999995</v>
      </c>
      <c r="T826" s="2">
        <v>45017</v>
      </c>
      <c r="U826" s="1" t="s">
        <v>51</v>
      </c>
      <c r="V826">
        <v>1</v>
      </c>
      <c r="W826" s="1" t="s">
        <v>40</v>
      </c>
      <c r="X826">
        <v>127</v>
      </c>
      <c r="Y826" s="1" t="s">
        <v>52</v>
      </c>
      <c r="Z826" s="1" t="s">
        <v>52</v>
      </c>
      <c r="AA826">
        <v>0.22222222222222221</v>
      </c>
      <c r="AB826" s="1" t="s">
        <v>52</v>
      </c>
      <c r="AC826">
        <v>1</v>
      </c>
      <c r="AD826" s="2">
        <v>45017</v>
      </c>
      <c r="AE826" s="1" t="s">
        <v>53</v>
      </c>
      <c r="AF826" s="1" t="s">
        <v>45</v>
      </c>
      <c r="AG826" s="1" t="s">
        <v>70</v>
      </c>
      <c r="AH826" s="1" t="s">
        <v>59</v>
      </c>
      <c r="AI826">
        <v>15453</v>
      </c>
      <c r="AJ826">
        <v>-181.79999999999927</v>
      </c>
    </row>
    <row r="827" spans="1:36" x14ac:dyDescent="0.25">
      <c r="A827">
        <v>10826</v>
      </c>
      <c r="B827">
        <v>28</v>
      </c>
      <c r="C827" s="1" t="s">
        <v>36</v>
      </c>
      <c r="D827" s="1" t="s">
        <v>61</v>
      </c>
      <c r="E827" s="2">
        <v>44556</v>
      </c>
      <c r="F827" s="2">
        <v>44781</v>
      </c>
      <c r="G827" s="1" t="s">
        <v>62</v>
      </c>
      <c r="H827">
        <v>1216</v>
      </c>
      <c r="I827">
        <v>7</v>
      </c>
      <c r="J827">
        <v>2</v>
      </c>
      <c r="K827">
        <v>77.98</v>
      </c>
      <c r="L827">
        <v>0</v>
      </c>
      <c r="M827" s="1" t="s">
        <v>39</v>
      </c>
      <c r="N827" s="1" t="s">
        <v>56</v>
      </c>
      <c r="O827">
        <v>8512</v>
      </c>
      <c r="P827" t="b">
        <v>1</v>
      </c>
      <c r="Q827">
        <v>0.58333333333333337</v>
      </c>
      <c r="R827">
        <v>1216</v>
      </c>
      <c r="S827">
        <v>25.993333333333336</v>
      </c>
      <c r="T827" s="2">
        <v>44531</v>
      </c>
      <c r="U827" s="1" t="s">
        <v>57</v>
      </c>
      <c r="V827">
        <v>0</v>
      </c>
      <c r="W827" s="1" t="s">
        <v>56</v>
      </c>
      <c r="X827">
        <v>225</v>
      </c>
      <c r="Y827" s="1" t="s">
        <v>43</v>
      </c>
      <c r="Z827" s="1" t="s">
        <v>42</v>
      </c>
      <c r="AA827">
        <v>0.25</v>
      </c>
      <c r="AB827" s="1" t="s">
        <v>42</v>
      </c>
      <c r="AC827">
        <v>2</v>
      </c>
      <c r="AD827" s="2">
        <v>44531</v>
      </c>
      <c r="AE827" s="1" t="s">
        <v>74</v>
      </c>
      <c r="AF827" s="1" t="s">
        <v>72</v>
      </c>
      <c r="AG827" s="1" t="s">
        <v>63</v>
      </c>
      <c r="AH827" s="1" t="s">
        <v>47</v>
      </c>
      <c r="AI827">
        <v>8512</v>
      </c>
      <c r="AJ827">
        <v>0</v>
      </c>
    </row>
    <row r="828" spans="1:36" x14ac:dyDescent="0.25">
      <c r="A828">
        <v>10827</v>
      </c>
      <c r="B828">
        <v>33</v>
      </c>
      <c r="C828" s="1" t="s">
        <v>36</v>
      </c>
      <c r="D828" s="1" t="s">
        <v>73</v>
      </c>
      <c r="E828" s="2">
        <v>44581</v>
      </c>
      <c r="F828" s="2">
        <v>44797</v>
      </c>
      <c r="G828" s="1" t="s">
        <v>38</v>
      </c>
      <c r="H828">
        <v>841</v>
      </c>
      <c r="I828">
        <v>19</v>
      </c>
      <c r="J828">
        <v>4</v>
      </c>
      <c r="K828">
        <v>54.47</v>
      </c>
      <c r="L828">
        <v>0</v>
      </c>
      <c r="M828" s="1" t="s">
        <v>39</v>
      </c>
      <c r="N828" s="1" t="s">
        <v>56</v>
      </c>
      <c r="O828">
        <v>15979</v>
      </c>
      <c r="P828" t="b">
        <v>1</v>
      </c>
      <c r="Q828">
        <v>1.5833333333333333</v>
      </c>
      <c r="R828">
        <v>841</v>
      </c>
      <c r="S828">
        <v>10.894</v>
      </c>
      <c r="T828" s="2">
        <v>44562</v>
      </c>
      <c r="U828" s="1" t="s">
        <v>57</v>
      </c>
      <c r="V828">
        <v>0</v>
      </c>
      <c r="W828" s="1" t="s">
        <v>40</v>
      </c>
      <c r="X828">
        <v>216</v>
      </c>
      <c r="Y828" s="1" t="s">
        <v>52</v>
      </c>
      <c r="Z828" s="1" t="s">
        <v>42</v>
      </c>
      <c r="AA828">
        <v>0.2</v>
      </c>
      <c r="AB828" s="1" t="s">
        <v>52</v>
      </c>
      <c r="AC828">
        <v>1</v>
      </c>
      <c r="AD828" s="2">
        <v>44562</v>
      </c>
      <c r="AE828" s="1" t="s">
        <v>53</v>
      </c>
      <c r="AF828" s="1" t="s">
        <v>45</v>
      </c>
      <c r="AG828" s="1" t="s">
        <v>63</v>
      </c>
      <c r="AH828" s="1" t="s">
        <v>59</v>
      </c>
      <c r="AI828">
        <v>15979</v>
      </c>
      <c r="AJ828">
        <v>0</v>
      </c>
    </row>
    <row r="829" spans="1:36" x14ac:dyDescent="0.25">
      <c r="A829">
        <v>10828</v>
      </c>
      <c r="B829">
        <v>25</v>
      </c>
      <c r="C829" s="1" t="s">
        <v>75</v>
      </c>
      <c r="D829" s="1" t="s">
        <v>48</v>
      </c>
      <c r="E829" s="2">
        <v>44252</v>
      </c>
      <c r="F829" s="2">
        <v>45140</v>
      </c>
      <c r="G829" s="1" t="s">
        <v>62</v>
      </c>
      <c r="H829">
        <v>447</v>
      </c>
      <c r="I829">
        <v>7</v>
      </c>
      <c r="J829">
        <v>2</v>
      </c>
      <c r="K829">
        <v>7.14</v>
      </c>
      <c r="L829">
        <v>20</v>
      </c>
      <c r="M829" s="1" t="s">
        <v>39</v>
      </c>
      <c r="N829" s="1" t="s">
        <v>56</v>
      </c>
      <c r="O829">
        <v>3039.6</v>
      </c>
      <c r="P829" t="b">
        <v>1</v>
      </c>
      <c r="Q829">
        <v>0.58333333333333337</v>
      </c>
      <c r="R829">
        <v>434.2285714285714</v>
      </c>
      <c r="S829">
        <v>2.38</v>
      </c>
      <c r="T829" s="2">
        <v>44228</v>
      </c>
      <c r="U829" s="1" t="s">
        <v>66</v>
      </c>
      <c r="V829">
        <v>0</v>
      </c>
      <c r="W829" s="1" t="s">
        <v>56</v>
      </c>
      <c r="X829">
        <v>888</v>
      </c>
      <c r="Y829" s="1" t="s">
        <v>42</v>
      </c>
      <c r="Z829" s="1" t="s">
        <v>52</v>
      </c>
      <c r="AA829">
        <v>0.25</v>
      </c>
      <c r="AB829" s="1" t="s">
        <v>42</v>
      </c>
      <c r="AC829">
        <v>2</v>
      </c>
      <c r="AD829" s="2">
        <v>44228</v>
      </c>
      <c r="AE829" s="1" t="s">
        <v>74</v>
      </c>
      <c r="AF829" s="1" t="s">
        <v>72</v>
      </c>
      <c r="AG829" s="1" t="s">
        <v>77</v>
      </c>
      <c r="AH829" s="1" t="s">
        <v>68</v>
      </c>
      <c r="AI829">
        <v>3129</v>
      </c>
      <c r="AJ829">
        <v>-89.400000000000091</v>
      </c>
    </row>
    <row r="830" spans="1:36" x14ac:dyDescent="0.25">
      <c r="A830">
        <v>10829</v>
      </c>
      <c r="B830">
        <v>21</v>
      </c>
      <c r="C830" s="1" t="s">
        <v>60</v>
      </c>
      <c r="D830" s="1" t="s">
        <v>48</v>
      </c>
      <c r="E830" s="2">
        <v>44314</v>
      </c>
      <c r="F830" s="2">
        <v>45231</v>
      </c>
      <c r="G830" s="1" t="s">
        <v>38</v>
      </c>
      <c r="H830">
        <v>955</v>
      </c>
      <c r="I830">
        <v>24</v>
      </c>
      <c r="J830">
        <v>2</v>
      </c>
      <c r="K830">
        <v>67.069999999999993</v>
      </c>
      <c r="L830">
        <v>15</v>
      </c>
      <c r="M830" s="1" t="s">
        <v>50</v>
      </c>
      <c r="N830" s="1" t="s">
        <v>56</v>
      </c>
      <c r="O830">
        <v>22776.75</v>
      </c>
      <c r="P830" t="b">
        <v>1</v>
      </c>
      <c r="Q830">
        <v>2</v>
      </c>
      <c r="R830">
        <v>949.03125</v>
      </c>
      <c r="S830">
        <v>22.356666666666666</v>
      </c>
      <c r="T830" s="2">
        <v>44287</v>
      </c>
      <c r="U830" s="1" t="s">
        <v>66</v>
      </c>
      <c r="V830">
        <v>0</v>
      </c>
      <c r="W830" s="1" t="s">
        <v>40</v>
      </c>
      <c r="X830">
        <v>917</v>
      </c>
      <c r="Y830" s="1" t="s">
        <v>43</v>
      </c>
      <c r="Z830" s="1" t="s">
        <v>42</v>
      </c>
      <c r="AA830">
        <v>0.08</v>
      </c>
      <c r="AB830" s="1" t="s">
        <v>43</v>
      </c>
      <c r="AC830">
        <v>1</v>
      </c>
      <c r="AD830" s="2">
        <v>44287</v>
      </c>
      <c r="AE830" s="1" t="s">
        <v>53</v>
      </c>
      <c r="AF830" s="1" t="s">
        <v>72</v>
      </c>
      <c r="AG830" s="1" t="s">
        <v>63</v>
      </c>
      <c r="AH830" s="1" t="s">
        <v>59</v>
      </c>
      <c r="AI830">
        <v>22920</v>
      </c>
      <c r="AJ830">
        <v>-143.25</v>
      </c>
    </row>
    <row r="831" spans="1:36" x14ac:dyDescent="0.25">
      <c r="A831">
        <v>10830</v>
      </c>
      <c r="B831">
        <v>57</v>
      </c>
      <c r="C831" s="1" t="s">
        <v>75</v>
      </c>
      <c r="D831" s="1" t="s">
        <v>48</v>
      </c>
      <c r="E831" s="2">
        <v>45096</v>
      </c>
      <c r="F831" s="2">
        <v>44839</v>
      </c>
      <c r="G831" s="1" t="s">
        <v>38</v>
      </c>
      <c r="H831">
        <v>366</v>
      </c>
      <c r="I831">
        <v>11</v>
      </c>
      <c r="J831">
        <v>2</v>
      </c>
      <c r="K831">
        <v>118.77</v>
      </c>
      <c r="L831">
        <v>20</v>
      </c>
      <c r="M831" s="1" t="s">
        <v>50</v>
      </c>
      <c r="N831" s="1" t="s">
        <v>56</v>
      </c>
      <c r="O831">
        <v>3952.8</v>
      </c>
      <c r="P831" t="b">
        <v>0</v>
      </c>
      <c r="Q831">
        <v>0.91666666666666663</v>
      </c>
      <c r="R831">
        <v>359.34545454545457</v>
      </c>
      <c r="S831">
        <v>39.589999999999996</v>
      </c>
      <c r="T831" s="2">
        <v>45078</v>
      </c>
      <c r="U831" s="1" t="s">
        <v>41</v>
      </c>
      <c r="V831">
        <v>0</v>
      </c>
      <c r="W831" s="1" t="s">
        <v>56</v>
      </c>
      <c r="Y831" s="1" t="s">
        <v>43</v>
      </c>
      <c r="Z831" s="1" t="s">
        <v>52</v>
      </c>
      <c r="AA831">
        <v>0.16666666666666666</v>
      </c>
      <c r="AB831" s="1" t="s">
        <v>42</v>
      </c>
      <c r="AC831">
        <v>1</v>
      </c>
      <c r="AD831" s="2">
        <v>45078</v>
      </c>
      <c r="AE831" s="1" t="s">
        <v>74</v>
      </c>
      <c r="AF831" s="1" t="s">
        <v>72</v>
      </c>
      <c r="AG831" s="1" t="s">
        <v>63</v>
      </c>
      <c r="AH831" s="1" t="s">
        <v>68</v>
      </c>
      <c r="AI831">
        <v>4026</v>
      </c>
      <c r="AJ831">
        <v>-73.199999999999818</v>
      </c>
    </row>
    <row r="832" spans="1:36" x14ac:dyDescent="0.25">
      <c r="A832">
        <v>10831</v>
      </c>
      <c r="B832">
        <v>21</v>
      </c>
      <c r="C832" s="1" t="s">
        <v>60</v>
      </c>
      <c r="D832" s="1" t="s">
        <v>37</v>
      </c>
      <c r="E832" s="2">
        <v>44449</v>
      </c>
      <c r="F832" s="2">
        <v>44536</v>
      </c>
      <c r="G832" s="1" t="s">
        <v>62</v>
      </c>
      <c r="H832">
        <v>869</v>
      </c>
      <c r="I832">
        <v>1</v>
      </c>
      <c r="J832">
        <v>4</v>
      </c>
      <c r="K832">
        <v>45.22</v>
      </c>
      <c r="L832">
        <v>0</v>
      </c>
      <c r="M832" s="1" t="s">
        <v>65</v>
      </c>
      <c r="N832" s="1" t="s">
        <v>56</v>
      </c>
      <c r="O832">
        <v>869</v>
      </c>
      <c r="P832" t="b">
        <v>1</v>
      </c>
      <c r="Q832">
        <v>8.3333333333333329E-2</v>
      </c>
      <c r="R832">
        <v>869</v>
      </c>
      <c r="S832">
        <v>9.0440000000000005</v>
      </c>
      <c r="T832" s="2">
        <v>44440</v>
      </c>
      <c r="U832" s="1" t="s">
        <v>66</v>
      </c>
      <c r="V832">
        <v>0</v>
      </c>
      <c r="W832" s="1" t="s">
        <v>56</v>
      </c>
      <c r="X832">
        <v>87</v>
      </c>
      <c r="Y832" s="1" t="s">
        <v>52</v>
      </c>
      <c r="Z832" s="1" t="s">
        <v>42</v>
      </c>
      <c r="AA832">
        <v>2</v>
      </c>
      <c r="AB832" s="1" t="s">
        <v>42</v>
      </c>
      <c r="AC832">
        <v>2</v>
      </c>
      <c r="AD832" s="2">
        <v>44440</v>
      </c>
      <c r="AE832" s="1" t="s">
        <v>58</v>
      </c>
      <c r="AF832" s="1" t="s">
        <v>45</v>
      </c>
      <c r="AG832" s="1" t="s">
        <v>63</v>
      </c>
      <c r="AH832" s="1" t="s">
        <v>59</v>
      </c>
      <c r="AI832">
        <v>869</v>
      </c>
      <c r="AJ832">
        <v>0</v>
      </c>
    </row>
    <row r="833" spans="1:36" x14ac:dyDescent="0.25">
      <c r="A833">
        <v>10832</v>
      </c>
      <c r="B833">
        <v>42</v>
      </c>
      <c r="C833" s="1" t="s">
        <v>60</v>
      </c>
      <c r="D833" s="1" t="s">
        <v>61</v>
      </c>
      <c r="E833" s="2">
        <v>44994</v>
      </c>
      <c r="F833" s="2">
        <v>44925</v>
      </c>
      <c r="G833" s="1" t="s">
        <v>62</v>
      </c>
      <c r="H833">
        <v>1047</v>
      </c>
      <c r="I833">
        <v>32</v>
      </c>
      <c r="J833">
        <v>1</v>
      </c>
      <c r="K833">
        <v>116.04</v>
      </c>
      <c r="L833">
        <v>5</v>
      </c>
      <c r="M833" s="1" t="s">
        <v>65</v>
      </c>
      <c r="N833" s="1" t="s">
        <v>56</v>
      </c>
      <c r="O833">
        <v>33451.65</v>
      </c>
      <c r="P833" t="b">
        <v>0</v>
      </c>
      <c r="Q833">
        <v>2.6666666666666665</v>
      </c>
      <c r="R833">
        <v>1045.3640625</v>
      </c>
      <c r="S833">
        <v>58.02</v>
      </c>
      <c r="T833" s="2">
        <v>44986</v>
      </c>
      <c r="U833" s="1" t="s">
        <v>51</v>
      </c>
      <c r="V833">
        <v>0</v>
      </c>
      <c r="W833" s="1" t="s">
        <v>40</v>
      </c>
      <c r="Y833" s="1" t="s">
        <v>43</v>
      </c>
      <c r="Z833" s="1" t="s">
        <v>42</v>
      </c>
      <c r="AA833">
        <v>3.0303030303030304E-2</v>
      </c>
      <c r="AB833" s="1" t="s">
        <v>43</v>
      </c>
      <c r="AC833">
        <v>2</v>
      </c>
      <c r="AD833" s="2">
        <v>44986</v>
      </c>
      <c r="AE833" s="1" t="s">
        <v>44</v>
      </c>
      <c r="AF833" s="1" t="s">
        <v>54</v>
      </c>
      <c r="AG833" s="1" t="s">
        <v>63</v>
      </c>
      <c r="AH833" s="1" t="s">
        <v>47</v>
      </c>
      <c r="AI833">
        <v>33504</v>
      </c>
      <c r="AJ833">
        <v>-52.349999999998545</v>
      </c>
    </row>
    <row r="834" spans="1:36" x14ac:dyDescent="0.25">
      <c r="A834">
        <v>10833</v>
      </c>
      <c r="B834">
        <v>20</v>
      </c>
      <c r="C834" s="1" t="s">
        <v>60</v>
      </c>
      <c r="D834" s="1" t="s">
        <v>48</v>
      </c>
      <c r="E834" s="2">
        <v>44976</v>
      </c>
      <c r="F834" s="2">
        <v>45157</v>
      </c>
      <c r="G834" s="1" t="s">
        <v>38</v>
      </c>
      <c r="H834">
        <v>742</v>
      </c>
      <c r="I834">
        <v>2</v>
      </c>
      <c r="J834">
        <v>2</v>
      </c>
      <c r="K834">
        <v>16.059999999999999</v>
      </c>
      <c r="L834">
        <v>15</v>
      </c>
      <c r="M834" s="1" t="s">
        <v>39</v>
      </c>
      <c r="N834" s="1" t="s">
        <v>56</v>
      </c>
      <c r="O834">
        <v>1372.7</v>
      </c>
      <c r="P834" t="b">
        <v>1</v>
      </c>
      <c r="Q834">
        <v>0.16666666666666666</v>
      </c>
      <c r="R834">
        <v>686.35</v>
      </c>
      <c r="S834">
        <v>5.3533333333333326</v>
      </c>
      <c r="T834" s="2">
        <v>44958</v>
      </c>
      <c r="U834" s="1" t="s">
        <v>66</v>
      </c>
      <c r="V834">
        <v>0</v>
      </c>
      <c r="W834" s="1" t="s">
        <v>56</v>
      </c>
      <c r="X834">
        <v>181</v>
      </c>
      <c r="Y834" s="1" t="s">
        <v>42</v>
      </c>
      <c r="Z834" s="1" t="s">
        <v>42</v>
      </c>
      <c r="AA834">
        <v>0.66666666666666663</v>
      </c>
      <c r="AB834" s="1" t="s">
        <v>42</v>
      </c>
      <c r="AC834">
        <v>1</v>
      </c>
      <c r="AD834" s="2">
        <v>44958</v>
      </c>
      <c r="AE834" s="1" t="s">
        <v>58</v>
      </c>
      <c r="AF834" s="1" t="s">
        <v>72</v>
      </c>
      <c r="AG834" s="1" t="s">
        <v>46</v>
      </c>
      <c r="AH834" s="1" t="s">
        <v>59</v>
      </c>
      <c r="AI834">
        <v>1484</v>
      </c>
      <c r="AJ834">
        <v>-111.29999999999995</v>
      </c>
    </row>
    <row r="835" spans="1:36" x14ac:dyDescent="0.25">
      <c r="A835">
        <v>10834</v>
      </c>
      <c r="B835">
        <v>49</v>
      </c>
      <c r="C835" s="1" t="s">
        <v>60</v>
      </c>
      <c r="D835" s="1" t="s">
        <v>48</v>
      </c>
      <c r="E835" s="2">
        <v>44999</v>
      </c>
      <c r="F835" s="2">
        <v>44767</v>
      </c>
      <c r="G835" s="1" t="s">
        <v>62</v>
      </c>
      <c r="H835">
        <v>1196</v>
      </c>
      <c r="I835">
        <v>15</v>
      </c>
      <c r="J835">
        <v>3</v>
      </c>
      <c r="K835">
        <v>89.23</v>
      </c>
      <c r="L835">
        <v>20</v>
      </c>
      <c r="M835" s="1" t="s">
        <v>65</v>
      </c>
      <c r="N835" s="1" t="s">
        <v>56</v>
      </c>
      <c r="O835">
        <v>17700.8</v>
      </c>
      <c r="P835" t="b">
        <v>0</v>
      </c>
      <c r="Q835">
        <v>1.25</v>
      </c>
      <c r="R835">
        <v>1180.0533333333333</v>
      </c>
      <c r="S835">
        <v>22.307500000000001</v>
      </c>
      <c r="T835" s="2">
        <v>44986</v>
      </c>
      <c r="U835" s="1" t="s">
        <v>51</v>
      </c>
      <c r="V835">
        <v>0</v>
      </c>
      <c r="W835" s="1" t="s">
        <v>40</v>
      </c>
      <c r="Y835" s="1" t="s">
        <v>43</v>
      </c>
      <c r="Z835" s="1" t="s">
        <v>52</v>
      </c>
      <c r="AA835">
        <v>0.1875</v>
      </c>
      <c r="AB835" s="1" t="s">
        <v>52</v>
      </c>
      <c r="AC835">
        <v>2</v>
      </c>
      <c r="AD835" s="2">
        <v>44986</v>
      </c>
      <c r="AE835" s="1" t="s">
        <v>53</v>
      </c>
      <c r="AF835" s="1" t="s">
        <v>72</v>
      </c>
      <c r="AG835" s="1" t="s">
        <v>63</v>
      </c>
      <c r="AH835" s="1" t="s">
        <v>47</v>
      </c>
      <c r="AI835">
        <v>17940</v>
      </c>
      <c r="AJ835">
        <v>-239.20000000000073</v>
      </c>
    </row>
    <row r="836" spans="1:36" x14ac:dyDescent="0.25">
      <c r="A836">
        <v>10835</v>
      </c>
      <c r="B836">
        <v>20</v>
      </c>
      <c r="C836" s="1" t="s">
        <v>36</v>
      </c>
      <c r="D836" s="1" t="s">
        <v>73</v>
      </c>
      <c r="E836" s="2">
        <v>45041</v>
      </c>
      <c r="F836" s="2">
        <v>44596</v>
      </c>
      <c r="G836" s="1" t="s">
        <v>62</v>
      </c>
      <c r="H836">
        <v>698</v>
      </c>
      <c r="I836">
        <v>21</v>
      </c>
      <c r="J836">
        <v>5</v>
      </c>
      <c r="K836">
        <v>18.149999999999999</v>
      </c>
      <c r="L836">
        <v>5</v>
      </c>
      <c r="M836" s="1" t="s">
        <v>50</v>
      </c>
      <c r="N836" s="1" t="s">
        <v>56</v>
      </c>
      <c r="O836">
        <v>14623.1</v>
      </c>
      <c r="P836" t="b">
        <v>0</v>
      </c>
      <c r="Q836">
        <v>1.75</v>
      </c>
      <c r="R836">
        <v>696.33809523809521</v>
      </c>
      <c r="S836">
        <v>3.0249999999999999</v>
      </c>
      <c r="T836" s="2">
        <v>45017</v>
      </c>
      <c r="U836" s="1" t="s">
        <v>66</v>
      </c>
      <c r="V836">
        <v>0</v>
      </c>
      <c r="W836" s="1" t="s">
        <v>40</v>
      </c>
      <c r="Y836" s="1" t="s">
        <v>42</v>
      </c>
      <c r="Z836" s="1" t="s">
        <v>42</v>
      </c>
      <c r="AA836">
        <v>0.22727272727272727</v>
      </c>
      <c r="AB836" s="1" t="s">
        <v>52</v>
      </c>
      <c r="AC836">
        <v>2</v>
      </c>
      <c r="AD836" s="2">
        <v>45017</v>
      </c>
      <c r="AE836" s="1" t="s">
        <v>53</v>
      </c>
      <c r="AF836" s="1" t="s">
        <v>45</v>
      </c>
      <c r="AG836" s="1" t="s">
        <v>46</v>
      </c>
      <c r="AH836" s="1" t="s">
        <v>64</v>
      </c>
      <c r="AI836">
        <v>14658</v>
      </c>
      <c r="AJ836">
        <v>-34.899999999999636</v>
      </c>
    </row>
    <row r="837" spans="1:36" x14ac:dyDescent="0.25">
      <c r="A837">
        <v>10836</v>
      </c>
      <c r="B837">
        <v>44</v>
      </c>
      <c r="C837" s="1" t="s">
        <v>60</v>
      </c>
      <c r="D837" s="1" t="s">
        <v>76</v>
      </c>
      <c r="E837" s="2">
        <v>44376</v>
      </c>
      <c r="F837" s="2">
        <v>44935</v>
      </c>
      <c r="G837" s="1" t="s">
        <v>38</v>
      </c>
      <c r="H837">
        <v>1451</v>
      </c>
      <c r="I837">
        <v>24</v>
      </c>
      <c r="J837">
        <v>1</v>
      </c>
      <c r="K837">
        <v>36.46</v>
      </c>
      <c r="L837">
        <v>20</v>
      </c>
      <c r="M837" s="1" t="s">
        <v>50</v>
      </c>
      <c r="N837" s="1" t="s">
        <v>56</v>
      </c>
      <c r="O837">
        <v>34533.800000000003</v>
      </c>
      <c r="P837" t="b">
        <v>1</v>
      </c>
      <c r="Q837">
        <v>2</v>
      </c>
      <c r="R837">
        <v>1438.9083333333335</v>
      </c>
      <c r="S837">
        <v>18.23</v>
      </c>
      <c r="T837" s="2">
        <v>44348</v>
      </c>
      <c r="U837" s="1" t="s">
        <v>51</v>
      </c>
      <c r="V837">
        <v>0</v>
      </c>
      <c r="W837" s="1" t="s">
        <v>40</v>
      </c>
      <c r="X837">
        <v>559</v>
      </c>
      <c r="Y837" s="1" t="s">
        <v>52</v>
      </c>
      <c r="Z837" s="1" t="s">
        <v>52</v>
      </c>
      <c r="AA837">
        <v>0.04</v>
      </c>
      <c r="AB837" s="1" t="s">
        <v>43</v>
      </c>
      <c r="AC837">
        <v>1</v>
      </c>
      <c r="AD837" s="2">
        <v>44348</v>
      </c>
      <c r="AE837" s="1" t="s">
        <v>53</v>
      </c>
      <c r="AF837" s="1" t="s">
        <v>54</v>
      </c>
      <c r="AG837" s="1" t="s">
        <v>55</v>
      </c>
      <c r="AH837" s="1" t="s">
        <v>47</v>
      </c>
      <c r="AI837">
        <v>34824</v>
      </c>
      <c r="AJ837">
        <v>-290.19999999999709</v>
      </c>
    </row>
    <row r="838" spans="1:36" x14ac:dyDescent="0.25">
      <c r="A838">
        <v>10837</v>
      </c>
      <c r="B838">
        <v>46</v>
      </c>
      <c r="C838" s="1" t="s">
        <v>60</v>
      </c>
      <c r="D838" s="1" t="s">
        <v>48</v>
      </c>
      <c r="E838" s="2">
        <v>44611</v>
      </c>
      <c r="F838" s="2">
        <v>44996</v>
      </c>
      <c r="G838" s="1" t="s">
        <v>62</v>
      </c>
      <c r="H838">
        <v>781</v>
      </c>
      <c r="I838">
        <v>17</v>
      </c>
      <c r="J838">
        <v>2</v>
      </c>
      <c r="K838">
        <v>70.650000000000006</v>
      </c>
      <c r="L838">
        <v>15</v>
      </c>
      <c r="M838" s="1" t="s">
        <v>65</v>
      </c>
      <c r="N838" s="1" t="s">
        <v>40</v>
      </c>
      <c r="O838">
        <v>13159.85</v>
      </c>
      <c r="P838" t="b">
        <v>1</v>
      </c>
      <c r="Q838">
        <v>1.4166666666666667</v>
      </c>
      <c r="R838">
        <v>774.10882352941178</v>
      </c>
      <c r="S838">
        <v>23.55</v>
      </c>
      <c r="T838" s="2">
        <v>44593</v>
      </c>
      <c r="U838" s="1" t="s">
        <v>51</v>
      </c>
      <c r="V838">
        <v>1</v>
      </c>
      <c r="W838" s="1" t="s">
        <v>56</v>
      </c>
      <c r="X838">
        <v>385</v>
      </c>
      <c r="Y838" s="1" t="s">
        <v>43</v>
      </c>
      <c r="Z838" s="1" t="s">
        <v>42</v>
      </c>
      <c r="AA838">
        <v>0.1111111111111111</v>
      </c>
      <c r="AB838" s="1" t="s">
        <v>52</v>
      </c>
      <c r="AC838">
        <v>2</v>
      </c>
      <c r="AD838" s="2">
        <v>44593</v>
      </c>
      <c r="AE838" s="1" t="s">
        <v>53</v>
      </c>
      <c r="AF838" s="1" t="s">
        <v>72</v>
      </c>
      <c r="AG838" s="1" t="s">
        <v>63</v>
      </c>
      <c r="AH838" s="1" t="s">
        <v>59</v>
      </c>
      <c r="AI838">
        <v>13277</v>
      </c>
      <c r="AJ838">
        <v>-117.14999999999964</v>
      </c>
    </row>
    <row r="839" spans="1:36" x14ac:dyDescent="0.25">
      <c r="A839">
        <v>10838</v>
      </c>
      <c r="B839">
        <v>49</v>
      </c>
      <c r="C839" s="1" t="s">
        <v>36</v>
      </c>
      <c r="D839" s="1" t="s">
        <v>71</v>
      </c>
      <c r="E839" s="2">
        <v>45066</v>
      </c>
      <c r="F839" s="2">
        <v>44511</v>
      </c>
      <c r="G839" s="1" t="s">
        <v>62</v>
      </c>
      <c r="H839">
        <v>1247</v>
      </c>
      <c r="I839">
        <v>9</v>
      </c>
      <c r="J839">
        <v>0</v>
      </c>
      <c r="K839">
        <v>73.17</v>
      </c>
      <c r="L839">
        <v>0</v>
      </c>
      <c r="M839" s="1" t="s">
        <v>39</v>
      </c>
      <c r="N839" s="1" t="s">
        <v>56</v>
      </c>
      <c r="O839">
        <v>11223</v>
      </c>
      <c r="P839" t="b">
        <v>0</v>
      </c>
      <c r="Q839">
        <v>0.75</v>
      </c>
      <c r="R839">
        <v>1247</v>
      </c>
      <c r="S839">
        <v>73.17</v>
      </c>
      <c r="T839" s="2">
        <v>45047</v>
      </c>
      <c r="U839" s="1" t="s">
        <v>51</v>
      </c>
      <c r="V839">
        <v>0</v>
      </c>
      <c r="W839" s="1" t="s">
        <v>56</v>
      </c>
      <c r="Y839" s="1" t="s">
        <v>43</v>
      </c>
      <c r="Z839" s="1" t="s">
        <v>42</v>
      </c>
      <c r="AA839">
        <v>0</v>
      </c>
      <c r="AB839" s="1" t="s">
        <v>52</v>
      </c>
      <c r="AC839">
        <v>2</v>
      </c>
      <c r="AD839" s="2">
        <v>45047</v>
      </c>
      <c r="AE839" s="1" t="s">
        <v>74</v>
      </c>
      <c r="AF839" s="1" t="s">
        <v>54</v>
      </c>
      <c r="AG839" s="1" t="s">
        <v>63</v>
      </c>
      <c r="AH839" s="1" t="s">
        <v>47</v>
      </c>
      <c r="AI839">
        <v>11223</v>
      </c>
      <c r="AJ839">
        <v>0</v>
      </c>
    </row>
    <row r="840" spans="1:36" x14ac:dyDescent="0.25">
      <c r="A840">
        <v>10839</v>
      </c>
      <c r="B840">
        <v>36</v>
      </c>
      <c r="C840" s="1" t="s">
        <v>36</v>
      </c>
      <c r="D840" s="1" t="s">
        <v>37</v>
      </c>
      <c r="E840" s="2">
        <v>44431</v>
      </c>
      <c r="F840" s="2">
        <v>45092</v>
      </c>
      <c r="G840" s="1" t="s">
        <v>62</v>
      </c>
      <c r="H840">
        <v>485</v>
      </c>
      <c r="I840">
        <v>35</v>
      </c>
      <c r="J840">
        <v>3</v>
      </c>
      <c r="K840">
        <v>94.15</v>
      </c>
      <c r="L840">
        <v>15</v>
      </c>
      <c r="M840" s="1" t="s">
        <v>50</v>
      </c>
      <c r="N840" s="1" t="s">
        <v>56</v>
      </c>
      <c r="O840">
        <v>16902.25</v>
      </c>
      <c r="P840" t="b">
        <v>1</v>
      </c>
      <c r="Q840">
        <v>2.9166666666666665</v>
      </c>
      <c r="R840">
        <v>482.92142857142858</v>
      </c>
      <c r="S840">
        <v>23.537500000000001</v>
      </c>
      <c r="T840" s="2">
        <v>44409</v>
      </c>
      <c r="U840" s="1" t="s">
        <v>51</v>
      </c>
      <c r="V840">
        <v>0</v>
      </c>
      <c r="W840" s="1" t="s">
        <v>40</v>
      </c>
      <c r="X840">
        <v>661</v>
      </c>
      <c r="Y840" s="1" t="s">
        <v>43</v>
      </c>
      <c r="Z840" s="1" t="s">
        <v>42</v>
      </c>
      <c r="AA840">
        <v>8.3333333333333329E-2</v>
      </c>
      <c r="AB840" s="1" t="s">
        <v>52</v>
      </c>
      <c r="AC840">
        <v>2</v>
      </c>
      <c r="AD840" s="2">
        <v>44409</v>
      </c>
      <c r="AE840" s="1" t="s">
        <v>44</v>
      </c>
      <c r="AF840" s="1" t="s">
        <v>72</v>
      </c>
      <c r="AG840" s="1" t="s">
        <v>63</v>
      </c>
      <c r="AH840" s="1" t="s">
        <v>68</v>
      </c>
      <c r="AI840">
        <v>16975</v>
      </c>
      <c r="AJ840">
        <v>-72.75</v>
      </c>
    </row>
    <row r="841" spans="1:36" x14ac:dyDescent="0.25">
      <c r="A841">
        <v>10840</v>
      </c>
      <c r="B841">
        <v>38</v>
      </c>
      <c r="C841" s="1" t="s">
        <v>36</v>
      </c>
      <c r="D841" s="1" t="s">
        <v>73</v>
      </c>
      <c r="E841" s="2">
        <v>45051</v>
      </c>
      <c r="F841" s="2">
        <v>44602</v>
      </c>
      <c r="G841" s="1" t="s">
        <v>38</v>
      </c>
      <c r="H841">
        <v>468</v>
      </c>
      <c r="I841">
        <v>20</v>
      </c>
      <c r="J841">
        <v>3</v>
      </c>
      <c r="K841">
        <v>75.760000000000005</v>
      </c>
      <c r="L841">
        <v>10</v>
      </c>
      <c r="M841" s="1" t="s">
        <v>67</v>
      </c>
      <c r="N841" s="1" t="s">
        <v>56</v>
      </c>
      <c r="O841">
        <v>9313.2000000000007</v>
      </c>
      <c r="P841" t="b">
        <v>0</v>
      </c>
      <c r="Q841">
        <v>1.6666666666666667</v>
      </c>
      <c r="R841">
        <v>465.66</v>
      </c>
      <c r="S841">
        <v>18.940000000000001</v>
      </c>
      <c r="T841" s="2">
        <v>45047</v>
      </c>
      <c r="U841" s="1" t="s">
        <v>51</v>
      </c>
      <c r="V841">
        <v>0</v>
      </c>
      <c r="W841" s="1" t="s">
        <v>56</v>
      </c>
      <c r="Y841" s="1" t="s">
        <v>43</v>
      </c>
      <c r="Z841" s="1" t="s">
        <v>42</v>
      </c>
      <c r="AA841">
        <v>0.14285714285714285</v>
      </c>
      <c r="AB841" s="1" t="s">
        <v>52</v>
      </c>
      <c r="AC841">
        <v>1</v>
      </c>
      <c r="AD841" s="2">
        <v>45047</v>
      </c>
      <c r="AE841" s="1" t="s">
        <v>53</v>
      </c>
      <c r="AF841" s="1" t="s">
        <v>72</v>
      </c>
      <c r="AG841" s="1" t="s">
        <v>63</v>
      </c>
      <c r="AH841" s="1" t="s">
        <v>68</v>
      </c>
      <c r="AI841">
        <v>9360</v>
      </c>
      <c r="AJ841">
        <v>-46.799999999999272</v>
      </c>
    </row>
    <row r="842" spans="1:36" x14ac:dyDescent="0.25">
      <c r="A842">
        <v>10841</v>
      </c>
      <c r="B842">
        <v>22</v>
      </c>
      <c r="C842" s="1" t="s">
        <v>36</v>
      </c>
      <c r="D842" s="1" t="s">
        <v>71</v>
      </c>
      <c r="E842" s="2">
        <v>44904</v>
      </c>
      <c r="F842" s="2">
        <v>44823</v>
      </c>
      <c r="G842" s="1" t="s">
        <v>38</v>
      </c>
      <c r="H842">
        <v>806</v>
      </c>
      <c r="I842">
        <v>19</v>
      </c>
      <c r="J842">
        <v>0</v>
      </c>
      <c r="K842">
        <v>73.27</v>
      </c>
      <c r="L842">
        <v>10</v>
      </c>
      <c r="M842" s="1" t="s">
        <v>67</v>
      </c>
      <c r="N842" s="1" t="s">
        <v>56</v>
      </c>
      <c r="O842">
        <v>15152.8</v>
      </c>
      <c r="P842" t="b">
        <v>0</v>
      </c>
      <c r="Q842">
        <v>1.5833333333333333</v>
      </c>
      <c r="R842">
        <v>797.51578947368421</v>
      </c>
      <c r="S842">
        <v>73.27</v>
      </c>
      <c r="T842" s="2">
        <v>44896</v>
      </c>
      <c r="U842" s="1" t="s">
        <v>66</v>
      </c>
      <c r="V842">
        <v>0</v>
      </c>
      <c r="W842" s="1" t="s">
        <v>40</v>
      </c>
      <c r="Y842" s="1" t="s">
        <v>43</v>
      </c>
      <c r="Z842" s="1" t="s">
        <v>42</v>
      </c>
      <c r="AA842">
        <v>0</v>
      </c>
      <c r="AB842" s="1" t="s">
        <v>52</v>
      </c>
      <c r="AC842">
        <v>1</v>
      </c>
      <c r="AD842" s="2">
        <v>44896</v>
      </c>
      <c r="AE842" s="1" t="s">
        <v>53</v>
      </c>
      <c r="AF842" s="1" t="s">
        <v>54</v>
      </c>
      <c r="AG842" s="1" t="s">
        <v>63</v>
      </c>
      <c r="AH842" s="1" t="s">
        <v>59</v>
      </c>
      <c r="AI842">
        <v>15314</v>
      </c>
      <c r="AJ842">
        <v>-161.20000000000073</v>
      </c>
    </row>
    <row r="843" spans="1:36" x14ac:dyDescent="0.25">
      <c r="A843">
        <v>10842</v>
      </c>
      <c r="B843">
        <v>35</v>
      </c>
      <c r="C843" s="1" t="s">
        <v>36</v>
      </c>
      <c r="D843" s="1" t="s">
        <v>37</v>
      </c>
      <c r="E843" s="2">
        <v>45016</v>
      </c>
      <c r="F843" s="2">
        <v>45153</v>
      </c>
      <c r="G843" s="1" t="s">
        <v>62</v>
      </c>
      <c r="H843">
        <v>820</v>
      </c>
      <c r="I843">
        <v>18</v>
      </c>
      <c r="J843">
        <v>1</v>
      </c>
      <c r="K843">
        <v>109.92</v>
      </c>
      <c r="L843">
        <v>5</v>
      </c>
      <c r="M843" s="1" t="s">
        <v>65</v>
      </c>
      <c r="N843" s="1" t="s">
        <v>56</v>
      </c>
      <c r="O843">
        <v>14719</v>
      </c>
      <c r="P843" t="b">
        <v>1</v>
      </c>
      <c r="Q843">
        <v>1.5</v>
      </c>
      <c r="R843">
        <v>817.72222222222217</v>
      </c>
      <c r="S843">
        <v>54.96</v>
      </c>
      <c r="T843" s="2">
        <v>44986</v>
      </c>
      <c r="U843" s="1" t="s">
        <v>57</v>
      </c>
      <c r="V843">
        <v>0</v>
      </c>
      <c r="W843" s="1" t="s">
        <v>40</v>
      </c>
      <c r="X843">
        <v>137</v>
      </c>
      <c r="Y843" s="1" t="s">
        <v>43</v>
      </c>
      <c r="Z843" s="1" t="s">
        <v>42</v>
      </c>
      <c r="AA843">
        <v>5.2631578947368418E-2</v>
      </c>
      <c r="AB843" s="1" t="s">
        <v>52</v>
      </c>
      <c r="AC843">
        <v>2</v>
      </c>
      <c r="AD843" s="2">
        <v>44986</v>
      </c>
      <c r="AE843" s="1" t="s">
        <v>53</v>
      </c>
      <c r="AF843" s="1" t="s">
        <v>54</v>
      </c>
      <c r="AG843" s="1" t="s">
        <v>63</v>
      </c>
      <c r="AH843" s="1" t="s">
        <v>59</v>
      </c>
      <c r="AI843">
        <v>14760</v>
      </c>
      <c r="AJ843">
        <v>-41</v>
      </c>
    </row>
    <row r="844" spans="1:36" x14ac:dyDescent="0.25">
      <c r="A844">
        <v>10843</v>
      </c>
      <c r="B844">
        <v>45</v>
      </c>
      <c r="C844" s="1" t="s">
        <v>60</v>
      </c>
      <c r="D844" s="1" t="s">
        <v>48</v>
      </c>
      <c r="E844" s="2">
        <v>44276</v>
      </c>
      <c r="F844" s="2">
        <v>44764</v>
      </c>
      <c r="G844" s="1" t="s">
        <v>49</v>
      </c>
      <c r="H844">
        <v>460</v>
      </c>
      <c r="I844">
        <v>20</v>
      </c>
      <c r="J844">
        <v>0</v>
      </c>
      <c r="K844">
        <v>57</v>
      </c>
      <c r="L844">
        <v>5</v>
      </c>
      <c r="M844" s="1" t="s">
        <v>39</v>
      </c>
      <c r="N844" s="1" t="s">
        <v>40</v>
      </c>
      <c r="O844">
        <v>9177</v>
      </c>
      <c r="P844" t="b">
        <v>1</v>
      </c>
      <c r="Q844">
        <v>1.6666666666666667</v>
      </c>
      <c r="R844">
        <v>458.85</v>
      </c>
      <c r="S844">
        <v>57</v>
      </c>
      <c r="T844" s="2">
        <v>44256</v>
      </c>
      <c r="U844" s="1" t="s">
        <v>51</v>
      </c>
      <c r="V844">
        <v>1</v>
      </c>
      <c r="W844" s="1" t="s">
        <v>56</v>
      </c>
      <c r="X844">
        <v>488</v>
      </c>
      <c r="Y844" s="1" t="s">
        <v>52</v>
      </c>
      <c r="Z844" s="1" t="s">
        <v>42</v>
      </c>
      <c r="AA844">
        <v>0</v>
      </c>
      <c r="AB844" s="1" t="s">
        <v>52</v>
      </c>
      <c r="AC844">
        <v>3</v>
      </c>
      <c r="AD844" s="2">
        <v>44256</v>
      </c>
      <c r="AE844" s="1" t="s">
        <v>53</v>
      </c>
      <c r="AF844" s="1" t="s">
        <v>54</v>
      </c>
      <c r="AG844" s="1" t="s">
        <v>63</v>
      </c>
      <c r="AH844" s="1" t="s">
        <v>68</v>
      </c>
      <c r="AI844">
        <v>9200</v>
      </c>
      <c r="AJ844">
        <v>-23</v>
      </c>
    </row>
    <row r="845" spans="1:36" x14ac:dyDescent="0.25">
      <c r="A845">
        <v>10844</v>
      </c>
      <c r="B845">
        <v>59</v>
      </c>
      <c r="C845" s="1" t="s">
        <v>60</v>
      </c>
      <c r="D845" s="1" t="s">
        <v>61</v>
      </c>
      <c r="E845" s="2">
        <v>44843</v>
      </c>
      <c r="F845" s="2">
        <v>44517</v>
      </c>
      <c r="G845" s="1" t="s">
        <v>62</v>
      </c>
      <c r="H845">
        <v>639</v>
      </c>
      <c r="I845">
        <v>30</v>
      </c>
      <c r="J845">
        <v>0</v>
      </c>
      <c r="K845">
        <v>30.91</v>
      </c>
      <c r="L845">
        <v>15</v>
      </c>
      <c r="M845" s="1" t="s">
        <v>65</v>
      </c>
      <c r="N845" s="1" t="s">
        <v>56</v>
      </c>
      <c r="O845">
        <v>19074.150000000001</v>
      </c>
      <c r="P845" t="b">
        <v>0</v>
      </c>
      <c r="Q845">
        <v>2.5</v>
      </c>
      <c r="R845">
        <v>635.80500000000006</v>
      </c>
      <c r="S845">
        <v>30.91</v>
      </c>
      <c r="T845" s="2">
        <v>44835</v>
      </c>
      <c r="U845" s="1" t="s">
        <v>41</v>
      </c>
      <c r="V845">
        <v>0</v>
      </c>
      <c r="W845" s="1" t="s">
        <v>40</v>
      </c>
      <c r="Y845" s="1" t="s">
        <v>52</v>
      </c>
      <c r="Z845" s="1" t="s">
        <v>42</v>
      </c>
      <c r="AA845">
        <v>0</v>
      </c>
      <c r="AB845" s="1" t="s">
        <v>52</v>
      </c>
      <c r="AC845">
        <v>2</v>
      </c>
      <c r="AD845" s="2">
        <v>44835</v>
      </c>
      <c r="AE845" s="1" t="s">
        <v>44</v>
      </c>
      <c r="AF845" s="1" t="s">
        <v>54</v>
      </c>
      <c r="AG845" s="1" t="s">
        <v>55</v>
      </c>
      <c r="AH845" s="1" t="s">
        <v>64</v>
      </c>
      <c r="AI845">
        <v>19170</v>
      </c>
      <c r="AJ845">
        <v>-95.849999999998545</v>
      </c>
    </row>
    <row r="846" spans="1:36" x14ac:dyDescent="0.25">
      <c r="A846">
        <v>10845</v>
      </c>
      <c r="B846">
        <v>39</v>
      </c>
      <c r="C846" s="1" t="s">
        <v>36</v>
      </c>
      <c r="D846" s="1" t="s">
        <v>69</v>
      </c>
      <c r="E846" s="2">
        <v>44218</v>
      </c>
      <c r="F846" s="2">
        <v>44664</v>
      </c>
      <c r="G846" s="1" t="s">
        <v>38</v>
      </c>
      <c r="H846">
        <v>1429</v>
      </c>
      <c r="I846">
        <v>1</v>
      </c>
      <c r="J846">
        <v>1</v>
      </c>
      <c r="K846">
        <v>23.61</v>
      </c>
      <c r="L846">
        <v>15</v>
      </c>
      <c r="M846" s="1" t="s">
        <v>39</v>
      </c>
      <c r="N846" s="1" t="s">
        <v>56</v>
      </c>
      <c r="O846">
        <v>1214.6500000000001</v>
      </c>
      <c r="P846" t="b">
        <v>1</v>
      </c>
      <c r="Q846">
        <v>8.3333333333333329E-2</v>
      </c>
      <c r="R846">
        <v>1214.6500000000001</v>
      </c>
      <c r="S846">
        <v>11.805</v>
      </c>
      <c r="T846" s="2">
        <v>44197</v>
      </c>
      <c r="U846" s="1" t="s">
        <v>51</v>
      </c>
      <c r="V846">
        <v>0</v>
      </c>
      <c r="W846" s="1" t="s">
        <v>56</v>
      </c>
      <c r="X846">
        <v>446</v>
      </c>
      <c r="Y846" s="1" t="s">
        <v>52</v>
      </c>
      <c r="Z846" s="1" t="s">
        <v>42</v>
      </c>
      <c r="AA846">
        <v>0.5</v>
      </c>
      <c r="AB846" s="1" t="s">
        <v>42</v>
      </c>
      <c r="AC846">
        <v>1</v>
      </c>
      <c r="AD846" s="2">
        <v>44197</v>
      </c>
      <c r="AE846" s="1" t="s">
        <v>58</v>
      </c>
      <c r="AF846" s="1" t="s">
        <v>54</v>
      </c>
      <c r="AG846" s="1" t="s">
        <v>70</v>
      </c>
      <c r="AH846" s="1" t="s">
        <v>47</v>
      </c>
      <c r="AI846">
        <v>1429</v>
      </c>
      <c r="AJ846">
        <v>-214.34999999999991</v>
      </c>
    </row>
    <row r="847" spans="1:36" x14ac:dyDescent="0.25">
      <c r="A847">
        <v>10846</v>
      </c>
      <c r="B847">
        <v>38</v>
      </c>
      <c r="C847" s="1" t="s">
        <v>60</v>
      </c>
      <c r="D847" s="1" t="s">
        <v>69</v>
      </c>
      <c r="E847" s="2">
        <v>44673</v>
      </c>
      <c r="F847" s="2">
        <v>44521</v>
      </c>
      <c r="G847" s="1" t="s">
        <v>62</v>
      </c>
      <c r="H847">
        <v>1003</v>
      </c>
      <c r="I847">
        <v>24</v>
      </c>
      <c r="J847">
        <v>3</v>
      </c>
      <c r="K847">
        <v>51</v>
      </c>
      <c r="L847">
        <v>15</v>
      </c>
      <c r="M847" s="1" t="s">
        <v>39</v>
      </c>
      <c r="N847" s="1" t="s">
        <v>56</v>
      </c>
      <c r="O847">
        <v>23921.55</v>
      </c>
      <c r="P847" t="b">
        <v>0</v>
      </c>
      <c r="Q847">
        <v>2</v>
      </c>
      <c r="R847">
        <v>996.73124999999993</v>
      </c>
      <c r="S847">
        <v>12.75</v>
      </c>
      <c r="T847" s="2">
        <v>44652</v>
      </c>
      <c r="U847" s="1" t="s">
        <v>51</v>
      </c>
      <c r="V847">
        <v>0</v>
      </c>
      <c r="W847" s="1" t="s">
        <v>40</v>
      </c>
      <c r="Y847" s="1" t="s">
        <v>52</v>
      </c>
      <c r="Z847" s="1" t="s">
        <v>42</v>
      </c>
      <c r="AA847">
        <v>0.12</v>
      </c>
      <c r="AB847" s="1" t="s">
        <v>43</v>
      </c>
      <c r="AC847">
        <v>2</v>
      </c>
      <c r="AD847" s="2">
        <v>44652</v>
      </c>
      <c r="AE847" s="1" t="s">
        <v>53</v>
      </c>
      <c r="AF847" s="1" t="s">
        <v>72</v>
      </c>
      <c r="AG847" s="1" t="s">
        <v>63</v>
      </c>
      <c r="AH847" s="1" t="s">
        <v>47</v>
      </c>
      <c r="AI847">
        <v>24072</v>
      </c>
      <c r="AJ847">
        <v>-150.45000000000073</v>
      </c>
    </row>
    <row r="848" spans="1:36" x14ac:dyDescent="0.25">
      <c r="A848">
        <v>10847</v>
      </c>
      <c r="B848">
        <v>23</v>
      </c>
      <c r="C848" s="1" t="s">
        <v>36</v>
      </c>
      <c r="D848" s="1" t="s">
        <v>48</v>
      </c>
      <c r="E848" s="2">
        <v>45039</v>
      </c>
      <c r="F848" s="2">
        <v>44817</v>
      </c>
      <c r="G848" s="1" t="s">
        <v>49</v>
      </c>
      <c r="H848">
        <v>1476</v>
      </c>
      <c r="I848">
        <v>24</v>
      </c>
      <c r="J848">
        <v>2</v>
      </c>
      <c r="K848">
        <v>86.97</v>
      </c>
      <c r="L848">
        <v>5</v>
      </c>
      <c r="M848" s="1" t="s">
        <v>67</v>
      </c>
      <c r="N848" s="1" t="s">
        <v>56</v>
      </c>
      <c r="O848">
        <v>35350.199999999997</v>
      </c>
      <c r="P848" t="b">
        <v>0</v>
      </c>
      <c r="Q848">
        <v>2</v>
      </c>
      <c r="R848">
        <v>1472.925</v>
      </c>
      <c r="S848">
        <v>28.99</v>
      </c>
      <c r="T848" s="2">
        <v>45017</v>
      </c>
      <c r="U848" s="1" t="s">
        <v>66</v>
      </c>
      <c r="V848">
        <v>0</v>
      </c>
      <c r="W848" s="1" t="s">
        <v>40</v>
      </c>
      <c r="Y848" s="1" t="s">
        <v>43</v>
      </c>
      <c r="Z848" s="1" t="s">
        <v>42</v>
      </c>
      <c r="AA848">
        <v>0.08</v>
      </c>
      <c r="AB848" s="1" t="s">
        <v>43</v>
      </c>
      <c r="AC848">
        <v>3</v>
      </c>
      <c r="AD848" s="2">
        <v>45017</v>
      </c>
      <c r="AE848" s="1" t="s">
        <v>53</v>
      </c>
      <c r="AF848" s="1" t="s">
        <v>72</v>
      </c>
      <c r="AG848" s="1" t="s">
        <v>63</v>
      </c>
      <c r="AH848" s="1" t="s">
        <v>47</v>
      </c>
      <c r="AI848">
        <v>35424</v>
      </c>
      <c r="AJ848">
        <v>-73.80000000000291</v>
      </c>
    </row>
    <row r="849" spans="1:36" x14ac:dyDescent="0.25">
      <c r="A849">
        <v>10848</v>
      </c>
      <c r="B849">
        <v>18</v>
      </c>
      <c r="C849" s="1" t="s">
        <v>60</v>
      </c>
      <c r="D849" s="1" t="s">
        <v>73</v>
      </c>
      <c r="E849" s="2">
        <v>44636</v>
      </c>
      <c r="F849" s="2">
        <v>44692</v>
      </c>
      <c r="G849" s="1" t="s">
        <v>38</v>
      </c>
      <c r="H849">
        <v>1122</v>
      </c>
      <c r="I849">
        <v>19</v>
      </c>
      <c r="J849">
        <v>5</v>
      </c>
      <c r="K849">
        <v>9.89</v>
      </c>
      <c r="L849">
        <v>0</v>
      </c>
      <c r="M849" s="1" t="s">
        <v>50</v>
      </c>
      <c r="N849" s="1" t="s">
        <v>56</v>
      </c>
      <c r="O849">
        <v>21318</v>
      </c>
      <c r="P849" t="b">
        <v>1</v>
      </c>
      <c r="Q849">
        <v>1.5833333333333333</v>
      </c>
      <c r="R849">
        <v>1122</v>
      </c>
      <c r="S849">
        <v>1.6483333333333334</v>
      </c>
      <c r="T849" s="2">
        <v>44621</v>
      </c>
      <c r="U849" s="1" t="s">
        <v>66</v>
      </c>
      <c r="V849">
        <v>0</v>
      </c>
      <c r="W849" s="1" t="s">
        <v>40</v>
      </c>
      <c r="X849">
        <v>56</v>
      </c>
      <c r="Y849" s="1" t="s">
        <v>42</v>
      </c>
      <c r="Z849" s="1" t="s">
        <v>42</v>
      </c>
      <c r="AA849">
        <v>0.25</v>
      </c>
      <c r="AB849" s="1" t="s">
        <v>43</v>
      </c>
      <c r="AC849">
        <v>1</v>
      </c>
      <c r="AD849" s="2">
        <v>44621</v>
      </c>
      <c r="AE849" s="1" t="s">
        <v>53</v>
      </c>
      <c r="AF849" s="1" t="s">
        <v>45</v>
      </c>
      <c r="AG849" s="1" t="s">
        <v>77</v>
      </c>
      <c r="AH849" s="1" t="s">
        <v>47</v>
      </c>
      <c r="AI849">
        <v>21318</v>
      </c>
      <c r="AJ849">
        <v>0</v>
      </c>
    </row>
    <row r="850" spans="1:36" x14ac:dyDescent="0.25">
      <c r="A850">
        <v>10849</v>
      </c>
      <c r="B850">
        <v>22</v>
      </c>
      <c r="C850" s="1" t="s">
        <v>60</v>
      </c>
      <c r="D850" s="1" t="s">
        <v>71</v>
      </c>
      <c r="E850" s="2">
        <v>44933</v>
      </c>
      <c r="F850" s="2">
        <v>44792</v>
      </c>
      <c r="G850" s="1" t="s">
        <v>49</v>
      </c>
      <c r="H850">
        <v>1084</v>
      </c>
      <c r="I850">
        <v>30</v>
      </c>
      <c r="J850">
        <v>2</v>
      </c>
      <c r="K850">
        <v>19.84</v>
      </c>
      <c r="L850">
        <v>5</v>
      </c>
      <c r="M850" s="1" t="s">
        <v>50</v>
      </c>
      <c r="N850" s="1" t="s">
        <v>40</v>
      </c>
      <c r="O850">
        <v>32465.8</v>
      </c>
      <c r="P850" t="b">
        <v>0</v>
      </c>
      <c r="Q850">
        <v>2.5</v>
      </c>
      <c r="R850">
        <v>1082.1933333333334</v>
      </c>
      <c r="S850">
        <v>6.6133333333333333</v>
      </c>
      <c r="T850" s="2">
        <v>44927</v>
      </c>
      <c r="U850" s="1" t="s">
        <v>66</v>
      </c>
      <c r="V850">
        <v>1</v>
      </c>
      <c r="W850" s="1" t="s">
        <v>40</v>
      </c>
      <c r="Y850" s="1" t="s">
        <v>42</v>
      </c>
      <c r="Z850" s="1" t="s">
        <v>42</v>
      </c>
      <c r="AA850">
        <v>6.4516129032258063E-2</v>
      </c>
      <c r="AB850" s="1" t="s">
        <v>43</v>
      </c>
      <c r="AC850">
        <v>3</v>
      </c>
      <c r="AD850" s="2">
        <v>44927</v>
      </c>
      <c r="AE850" s="1" t="s">
        <v>44</v>
      </c>
      <c r="AF850" s="1" t="s">
        <v>72</v>
      </c>
      <c r="AG850" s="1" t="s">
        <v>46</v>
      </c>
      <c r="AH850" s="1" t="s">
        <v>47</v>
      </c>
      <c r="AI850">
        <v>32520</v>
      </c>
      <c r="AJ850">
        <v>-54.200000000000728</v>
      </c>
    </row>
    <row r="851" spans="1:36" x14ac:dyDescent="0.25">
      <c r="A851">
        <v>10850</v>
      </c>
      <c r="B851">
        <v>58</v>
      </c>
      <c r="C851" s="1" t="s">
        <v>36</v>
      </c>
      <c r="D851" s="1" t="s">
        <v>61</v>
      </c>
      <c r="E851" s="2">
        <v>44766</v>
      </c>
      <c r="F851" s="2">
        <v>44365</v>
      </c>
      <c r="G851" s="1" t="s">
        <v>49</v>
      </c>
      <c r="H851">
        <v>1472</v>
      </c>
      <c r="I851">
        <v>26</v>
      </c>
      <c r="J851">
        <v>2</v>
      </c>
      <c r="K851">
        <v>17.2</v>
      </c>
      <c r="L851">
        <v>0</v>
      </c>
      <c r="M851" s="1" t="s">
        <v>65</v>
      </c>
      <c r="N851" s="1" t="s">
        <v>56</v>
      </c>
      <c r="O851">
        <v>38272</v>
      </c>
      <c r="P851" t="b">
        <v>0</v>
      </c>
      <c r="Q851">
        <v>2.1666666666666665</v>
      </c>
      <c r="R851">
        <v>1472</v>
      </c>
      <c r="S851">
        <v>5.7333333333333334</v>
      </c>
      <c r="T851" s="2">
        <v>44743</v>
      </c>
      <c r="U851" s="1" t="s">
        <v>41</v>
      </c>
      <c r="V851">
        <v>0</v>
      </c>
      <c r="W851" s="1" t="s">
        <v>40</v>
      </c>
      <c r="Y851" s="1" t="s">
        <v>42</v>
      </c>
      <c r="Z851" s="1" t="s">
        <v>42</v>
      </c>
      <c r="AA851">
        <v>7.407407407407407E-2</v>
      </c>
      <c r="AB851" s="1" t="s">
        <v>43</v>
      </c>
      <c r="AC851">
        <v>3</v>
      </c>
      <c r="AD851" s="2">
        <v>44743</v>
      </c>
      <c r="AE851" s="1" t="s">
        <v>44</v>
      </c>
      <c r="AF851" s="1" t="s">
        <v>72</v>
      </c>
      <c r="AG851" s="1" t="s">
        <v>46</v>
      </c>
      <c r="AH851" s="1" t="s">
        <v>47</v>
      </c>
      <c r="AI851">
        <v>38272</v>
      </c>
      <c r="AJ851">
        <v>0</v>
      </c>
    </row>
    <row r="852" spans="1:36" x14ac:dyDescent="0.25">
      <c r="A852">
        <v>10851</v>
      </c>
      <c r="B852">
        <v>29</v>
      </c>
      <c r="C852" s="1" t="s">
        <v>36</v>
      </c>
      <c r="D852" s="1" t="s">
        <v>37</v>
      </c>
      <c r="E852" s="2">
        <v>44289</v>
      </c>
      <c r="F852" s="2">
        <v>44417</v>
      </c>
      <c r="G852" s="1" t="s">
        <v>38</v>
      </c>
      <c r="H852">
        <v>430</v>
      </c>
      <c r="I852">
        <v>29</v>
      </c>
      <c r="J852">
        <v>2</v>
      </c>
      <c r="K852">
        <v>72.3</v>
      </c>
      <c r="L852">
        <v>15</v>
      </c>
      <c r="M852" s="1" t="s">
        <v>65</v>
      </c>
      <c r="N852" s="1" t="s">
        <v>56</v>
      </c>
      <c r="O852">
        <v>12405.5</v>
      </c>
      <c r="P852" t="b">
        <v>1</v>
      </c>
      <c r="Q852">
        <v>2.4166666666666665</v>
      </c>
      <c r="R852">
        <v>427.77586206896552</v>
      </c>
      <c r="S852">
        <v>24.099999999999998</v>
      </c>
      <c r="T852" s="2">
        <v>44287</v>
      </c>
      <c r="U852" s="1" t="s">
        <v>57</v>
      </c>
      <c r="V852">
        <v>0</v>
      </c>
      <c r="W852" s="1" t="s">
        <v>56</v>
      </c>
      <c r="X852">
        <v>128</v>
      </c>
      <c r="Y852" s="1" t="s">
        <v>43</v>
      </c>
      <c r="Z852" s="1" t="s">
        <v>42</v>
      </c>
      <c r="AA852">
        <v>6.6666666666666666E-2</v>
      </c>
      <c r="AB852" s="1" t="s">
        <v>52</v>
      </c>
      <c r="AC852">
        <v>1</v>
      </c>
      <c r="AD852" s="2">
        <v>44287</v>
      </c>
      <c r="AE852" s="1" t="s">
        <v>44</v>
      </c>
      <c r="AF852" s="1" t="s">
        <v>72</v>
      </c>
      <c r="AG852" s="1" t="s">
        <v>63</v>
      </c>
      <c r="AH852" s="1" t="s">
        <v>68</v>
      </c>
      <c r="AI852">
        <v>12470</v>
      </c>
      <c r="AJ852">
        <v>-64.5</v>
      </c>
    </row>
    <row r="853" spans="1:36" x14ac:dyDescent="0.25">
      <c r="A853">
        <v>10852</v>
      </c>
      <c r="B853">
        <v>43</v>
      </c>
      <c r="C853" s="1" t="s">
        <v>36</v>
      </c>
      <c r="D853" s="1" t="s">
        <v>48</v>
      </c>
      <c r="E853" s="2">
        <v>44388</v>
      </c>
      <c r="F853" s="2">
        <v>44685</v>
      </c>
      <c r="G853" s="1" t="s">
        <v>49</v>
      </c>
      <c r="H853">
        <v>815</v>
      </c>
      <c r="I853">
        <v>13</v>
      </c>
      <c r="J853">
        <v>1</v>
      </c>
      <c r="K853">
        <v>62.59</v>
      </c>
      <c r="L853">
        <v>10</v>
      </c>
      <c r="M853" s="1" t="s">
        <v>39</v>
      </c>
      <c r="N853" s="1" t="s">
        <v>56</v>
      </c>
      <c r="O853">
        <v>10513.5</v>
      </c>
      <c r="P853" t="b">
        <v>1</v>
      </c>
      <c r="Q853">
        <v>1.0833333333333333</v>
      </c>
      <c r="R853">
        <v>808.73076923076928</v>
      </c>
      <c r="S853">
        <v>31.295000000000002</v>
      </c>
      <c r="T853" s="2">
        <v>44378</v>
      </c>
      <c r="U853" s="1" t="s">
        <v>51</v>
      </c>
      <c r="V853">
        <v>0</v>
      </c>
      <c r="W853" s="1" t="s">
        <v>56</v>
      </c>
      <c r="X853">
        <v>297</v>
      </c>
      <c r="Y853" s="1" t="s">
        <v>43</v>
      </c>
      <c r="Z853" s="1" t="s">
        <v>42</v>
      </c>
      <c r="AA853">
        <v>7.1428571428571425E-2</v>
      </c>
      <c r="AB853" s="1" t="s">
        <v>52</v>
      </c>
      <c r="AC853">
        <v>3</v>
      </c>
      <c r="AD853" s="2">
        <v>44378</v>
      </c>
      <c r="AE853" s="1" t="s">
        <v>53</v>
      </c>
      <c r="AF853" s="1" t="s">
        <v>54</v>
      </c>
      <c r="AG853" s="1" t="s">
        <v>63</v>
      </c>
      <c r="AH853" s="1" t="s">
        <v>59</v>
      </c>
      <c r="AI853">
        <v>10595</v>
      </c>
      <c r="AJ853">
        <v>-81.5</v>
      </c>
    </row>
    <row r="854" spans="1:36" x14ac:dyDescent="0.25">
      <c r="A854">
        <v>10853</v>
      </c>
      <c r="B854">
        <v>63</v>
      </c>
      <c r="C854" s="1" t="s">
        <v>36</v>
      </c>
      <c r="D854" s="1" t="s">
        <v>61</v>
      </c>
      <c r="E854" s="2">
        <v>44299</v>
      </c>
      <c r="F854" s="2">
        <v>44975</v>
      </c>
      <c r="G854" s="1" t="s">
        <v>38</v>
      </c>
      <c r="H854">
        <v>835</v>
      </c>
      <c r="I854">
        <v>4</v>
      </c>
      <c r="J854">
        <v>2</v>
      </c>
      <c r="K854">
        <v>24.12</v>
      </c>
      <c r="L854">
        <v>5</v>
      </c>
      <c r="M854" s="1" t="s">
        <v>50</v>
      </c>
      <c r="N854" s="1" t="s">
        <v>40</v>
      </c>
      <c r="O854">
        <v>3298.25</v>
      </c>
      <c r="P854" t="b">
        <v>1</v>
      </c>
      <c r="Q854">
        <v>0.33333333333333331</v>
      </c>
      <c r="R854">
        <v>824.5625</v>
      </c>
      <c r="S854">
        <v>8.0400000000000009</v>
      </c>
      <c r="T854" s="2">
        <v>44287</v>
      </c>
      <c r="U854" s="1" t="s">
        <v>41</v>
      </c>
      <c r="V854">
        <v>1</v>
      </c>
      <c r="W854" s="1" t="s">
        <v>56</v>
      </c>
      <c r="X854">
        <v>676</v>
      </c>
      <c r="Y854" s="1" t="s">
        <v>52</v>
      </c>
      <c r="Z854" s="1" t="s">
        <v>42</v>
      </c>
      <c r="AA854">
        <v>0.4</v>
      </c>
      <c r="AB854" s="1" t="s">
        <v>42</v>
      </c>
      <c r="AC854">
        <v>1</v>
      </c>
      <c r="AD854" s="2">
        <v>44287</v>
      </c>
      <c r="AE854" s="1" t="s">
        <v>58</v>
      </c>
      <c r="AF854" s="1" t="s">
        <v>72</v>
      </c>
      <c r="AG854" s="1" t="s">
        <v>70</v>
      </c>
      <c r="AH854" s="1" t="s">
        <v>59</v>
      </c>
      <c r="AI854">
        <v>3340</v>
      </c>
      <c r="AJ854">
        <v>-41.75</v>
      </c>
    </row>
    <row r="855" spans="1:36" x14ac:dyDescent="0.25">
      <c r="A855">
        <v>10854</v>
      </c>
      <c r="B855">
        <v>51</v>
      </c>
      <c r="C855" s="1" t="s">
        <v>60</v>
      </c>
      <c r="D855" s="1" t="s">
        <v>61</v>
      </c>
      <c r="E855" s="2">
        <v>44592</v>
      </c>
      <c r="F855" s="2">
        <v>44939</v>
      </c>
      <c r="G855" s="1" t="s">
        <v>49</v>
      </c>
      <c r="H855">
        <v>1040</v>
      </c>
      <c r="I855">
        <v>17</v>
      </c>
      <c r="J855">
        <v>1</v>
      </c>
      <c r="K855">
        <v>73.17</v>
      </c>
      <c r="L855">
        <v>15</v>
      </c>
      <c r="M855" s="1" t="s">
        <v>39</v>
      </c>
      <c r="N855" s="1" t="s">
        <v>56</v>
      </c>
      <c r="O855">
        <v>17524</v>
      </c>
      <c r="P855" t="b">
        <v>1</v>
      </c>
      <c r="Q855">
        <v>1.4166666666666667</v>
      </c>
      <c r="R855">
        <v>1030.8235294117646</v>
      </c>
      <c r="S855">
        <v>36.585000000000001</v>
      </c>
      <c r="T855" s="2">
        <v>44562</v>
      </c>
      <c r="U855" s="1" t="s">
        <v>41</v>
      </c>
      <c r="V855">
        <v>0</v>
      </c>
      <c r="W855" s="1" t="s">
        <v>40</v>
      </c>
      <c r="X855">
        <v>347</v>
      </c>
      <c r="Y855" s="1" t="s">
        <v>43</v>
      </c>
      <c r="Z855" s="1" t="s">
        <v>42</v>
      </c>
      <c r="AA855">
        <v>5.5555555555555552E-2</v>
      </c>
      <c r="AB855" s="1" t="s">
        <v>52</v>
      </c>
      <c r="AC855">
        <v>3</v>
      </c>
      <c r="AD855" s="2">
        <v>44562</v>
      </c>
      <c r="AE855" s="1" t="s">
        <v>53</v>
      </c>
      <c r="AF855" s="1" t="s">
        <v>54</v>
      </c>
      <c r="AG855" s="1" t="s">
        <v>63</v>
      </c>
      <c r="AH855" s="1" t="s">
        <v>47</v>
      </c>
      <c r="AI855">
        <v>17680</v>
      </c>
      <c r="AJ855">
        <v>-156</v>
      </c>
    </row>
    <row r="856" spans="1:36" x14ac:dyDescent="0.25">
      <c r="A856">
        <v>10855</v>
      </c>
      <c r="B856">
        <v>31</v>
      </c>
      <c r="C856" s="1" t="s">
        <v>60</v>
      </c>
      <c r="D856" s="1" t="s">
        <v>73</v>
      </c>
      <c r="E856" s="2">
        <v>44203</v>
      </c>
      <c r="F856" s="2">
        <v>44874</v>
      </c>
      <c r="G856" s="1" t="s">
        <v>38</v>
      </c>
      <c r="H856">
        <v>1080</v>
      </c>
      <c r="I856">
        <v>33</v>
      </c>
      <c r="J856">
        <v>0</v>
      </c>
      <c r="K856">
        <v>92.55</v>
      </c>
      <c r="L856">
        <v>5</v>
      </c>
      <c r="M856" s="1" t="s">
        <v>67</v>
      </c>
      <c r="N856" s="1" t="s">
        <v>56</v>
      </c>
      <c r="O856">
        <v>35586</v>
      </c>
      <c r="P856" t="b">
        <v>1</v>
      </c>
      <c r="Q856">
        <v>2.75</v>
      </c>
      <c r="R856">
        <v>1078.3636363636363</v>
      </c>
      <c r="S856">
        <v>92.55</v>
      </c>
      <c r="T856" s="2">
        <v>44197</v>
      </c>
      <c r="U856" s="1" t="s">
        <v>57</v>
      </c>
      <c r="V856">
        <v>0</v>
      </c>
      <c r="W856" s="1" t="s">
        <v>40</v>
      </c>
      <c r="X856">
        <v>671</v>
      </c>
      <c r="Y856" s="1" t="s">
        <v>43</v>
      </c>
      <c r="Z856" s="1" t="s">
        <v>42</v>
      </c>
      <c r="AA856">
        <v>0</v>
      </c>
      <c r="AB856" s="1" t="s">
        <v>43</v>
      </c>
      <c r="AC856">
        <v>1</v>
      </c>
      <c r="AD856" s="2">
        <v>44197</v>
      </c>
      <c r="AE856" s="1" t="s">
        <v>44</v>
      </c>
      <c r="AF856" s="1" t="s">
        <v>54</v>
      </c>
      <c r="AG856" s="1" t="s">
        <v>63</v>
      </c>
      <c r="AH856" s="1" t="s">
        <v>47</v>
      </c>
      <c r="AI856">
        <v>35640</v>
      </c>
      <c r="AJ856">
        <v>-54</v>
      </c>
    </row>
    <row r="857" spans="1:36" x14ac:dyDescent="0.25">
      <c r="A857">
        <v>10856</v>
      </c>
      <c r="B857">
        <v>43</v>
      </c>
      <c r="C857" s="1" t="s">
        <v>36</v>
      </c>
      <c r="D857" s="1" t="s">
        <v>37</v>
      </c>
      <c r="E857" s="2">
        <v>44836</v>
      </c>
      <c r="F857" s="2">
        <v>45035</v>
      </c>
      <c r="G857" s="1" t="s">
        <v>38</v>
      </c>
      <c r="H857">
        <v>887</v>
      </c>
      <c r="I857">
        <v>5</v>
      </c>
      <c r="J857">
        <v>4</v>
      </c>
      <c r="K857">
        <v>43.2</v>
      </c>
      <c r="L857">
        <v>15</v>
      </c>
      <c r="M857" s="1" t="s">
        <v>67</v>
      </c>
      <c r="N857" s="1" t="s">
        <v>40</v>
      </c>
      <c r="O857">
        <v>4301.95</v>
      </c>
      <c r="P857" t="b">
        <v>1</v>
      </c>
      <c r="Q857">
        <v>0.41666666666666669</v>
      </c>
      <c r="R857">
        <v>860.39</v>
      </c>
      <c r="S857">
        <v>8.64</v>
      </c>
      <c r="T857" s="2">
        <v>44835</v>
      </c>
      <c r="U857" s="1" t="s">
        <v>51</v>
      </c>
      <c r="V857">
        <v>1</v>
      </c>
      <c r="W857" s="1" t="s">
        <v>56</v>
      </c>
      <c r="X857">
        <v>199</v>
      </c>
      <c r="Y857" s="1" t="s">
        <v>52</v>
      </c>
      <c r="Z857" s="1" t="s">
        <v>42</v>
      </c>
      <c r="AA857">
        <v>0.66666666666666663</v>
      </c>
      <c r="AB857" s="1" t="s">
        <v>42</v>
      </c>
      <c r="AC857">
        <v>1</v>
      </c>
      <c r="AD857" s="2">
        <v>44835</v>
      </c>
      <c r="AE857" s="1" t="s">
        <v>58</v>
      </c>
      <c r="AF857" s="1" t="s">
        <v>45</v>
      </c>
      <c r="AG857" s="1" t="s">
        <v>55</v>
      </c>
      <c r="AH857" s="1" t="s">
        <v>59</v>
      </c>
      <c r="AI857">
        <v>4435</v>
      </c>
      <c r="AJ857">
        <v>-133.05000000000018</v>
      </c>
    </row>
    <row r="858" spans="1:36" x14ac:dyDescent="0.25">
      <c r="A858">
        <v>10857</v>
      </c>
      <c r="B858">
        <v>62</v>
      </c>
      <c r="C858" s="1" t="s">
        <v>36</v>
      </c>
      <c r="D858" s="1" t="s">
        <v>61</v>
      </c>
      <c r="E858" s="2">
        <v>44763</v>
      </c>
      <c r="F858" s="2">
        <v>44803</v>
      </c>
      <c r="G858" s="1" t="s">
        <v>62</v>
      </c>
      <c r="H858">
        <v>1025</v>
      </c>
      <c r="I858">
        <v>28</v>
      </c>
      <c r="J858">
        <v>1</v>
      </c>
      <c r="K858">
        <v>71.489999999999995</v>
      </c>
      <c r="L858">
        <v>5</v>
      </c>
      <c r="M858" s="1" t="s">
        <v>39</v>
      </c>
      <c r="N858" s="1" t="s">
        <v>56</v>
      </c>
      <c r="O858">
        <v>28648.75</v>
      </c>
      <c r="P858" t="b">
        <v>1</v>
      </c>
      <c r="Q858">
        <v>2.3333333333333335</v>
      </c>
      <c r="R858">
        <v>1023.1696428571429</v>
      </c>
      <c r="S858">
        <v>35.744999999999997</v>
      </c>
      <c r="T858" s="2">
        <v>44743</v>
      </c>
      <c r="U858" s="1" t="s">
        <v>41</v>
      </c>
      <c r="V858">
        <v>0</v>
      </c>
      <c r="W858" s="1" t="s">
        <v>40</v>
      </c>
      <c r="X858">
        <v>40</v>
      </c>
      <c r="Y858" s="1" t="s">
        <v>43</v>
      </c>
      <c r="Z858" s="1" t="s">
        <v>42</v>
      </c>
      <c r="AA858">
        <v>3.4482758620689655E-2</v>
      </c>
      <c r="AB858" s="1" t="s">
        <v>43</v>
      </c>
      <c r="AC858">
        <v>2</v>
      </c>
      <c r="AD858" s="2">
        <v>44743</v>
      </c>
      <c r="AE858" s="1" t="s">
        <v>44</v>
      </c>
      <c r="AF858" s="1" t="s">
        <v>54</v>
      </c>
      <c r="AG858" s="1" t="s">
        <v>63</v>
      </c>
      <c r="AH858" s="1" t="s">
        <v>47</v>
      </c>
      <c r="AI858">
        <v>28700</v>
      </c>
      <c r="AJ858">
        <v>-51.25</v>
      </c>
    </row>
    <row r="859" spans="1:36" x14ac:dyDescent="0.25">
      <c r="A859">
        <v>10858</v>
      </c>
      <c r="B859">
        <v>44</v>
      </c>
      <c r="C859" s="1" t="s">
        <v>60</v>
      </c>
      <c r="D859" s="1" t="s">
        <v>73</v>
      </c>
      <c r="E859" s="2">
        <v>44427</v>
      </c>
      <c r="F859" s="2">
        <v>44616</v>
      </c>
      <c r="G859" s="1" t="s">
        <v>62</v>
      </c>
      <c r="H859">
        <v>1242</v>
      </c>
      <c r="I859">
        <v>24</v>
      </c>
      <c r="J859">
        <v>3</v>
      </c>
      <c r="K859">
        <v>16.28</v>
      </c>
      <c r="L859">
        <v>20</v>
      </c>
      <c r="M859" s="1" t="s">
        <v>39</v>
      </c>
      <c r="N859" s="1" t="s">
        <v>40</v>
      </c>
      <c r="O859">
        <v>29559.599999999999</v>
      </c>
      <c r="P859" t="b">
        <v>1</v>
      </c>
      <c r="Q859">
        <v>2</v>
      </c>
      <c r="R859">
        <v>1231.6499999999999</v>
      </c>
      <c r="S859">
        <v>4.07</v>
      </c>
      <c r="T859" s="2">
        <v>44409</v>
      </c>
      <c r="U859" s="1" t="s">
        <v>51</v>
      </c>
      <c r="V859">
        <v>1</v>
      </c>
      <c r="W859" s="1" t="s">
        <v>40</v>
      </c>
      <c r="X859">
        <v>189</v>
      </c>
      <c r="Y859" s="1" t="s">
        <v>42</v>
      </c>
      <c r="Z859" s="1" t="s">
        <v>52</v>
      </c>
      <c r="AA859">
        <v>0.12</v>
      </c>
      <c r="AB859" s="1" t="s">
        <v>43</v>
      </c>
      <c r="AC859">
        <v>2</v>
      </c>
      <c r="AD859" s="2">
        <v>44409</v>
      </c>
      <c r="AE859" s="1" t="s">
        <v>53</v>
      </c>
      <c r="AF859" s="1" t="s">
        <v>72</v>
      </c>
      <c r="AG859" s="1" t="s">
        <v>46</v>
      </c>
      <c r="AH859" s="1" t="s">
        <v>47</v>
      </c>
      <c r="AI859">
        <v>29808</v>
      </c>
      <c r="AJ859">
        <v>-248.40000000000146</v>
      </c>
    </row>
    <row r="860" spans="1:36" x14ac:dyDescent="0.25">
      <c r="A860">
        <v>10859</v>
      </c>
      <c r="B860">
        <v>26</v>
      </c>
      <c r="C860" s="1" t="s">
        <v>36</v>
      </c>
      <c r="D860" s="1" t="s">
        <v>71</v>
      </c>
      <c r="E860" s="2">
        <v>45070</v>
      </c>
      <c r="F860" s="2">
        <v>44978</v>
      </c>
      <c r="G860" s="1" t="s">
        <v>38</v>
      </c>
      <c r="H860">
        <v>1296</v>
      </c>
      <c r="I860">
        <v>17</v>
      </c>
      <c r="J860">
        <v>1</v>
      </c>
      <c r="K860">
        <v>112.55</v>
      </c>
      <c r="L860">
        <v>5</v>
      </c>
      <c r="M860" s="1" t="s">
        <v>39</v>
      </c>
      <c r="N860" s="1" t="s">
        <v>40</v>
      </c>
      <c r="O860">
        <v>21967.200000000001</v>
      </c>
      <c r="P860" t="b">
        <v>0</v>
      </c>
      <c r="Q860">
        <v>1.4166666666666667</v>
      </c>
      <c r="R860">
        <v>1292.1882352941177</v>
      </c>
      <c r="S860">
        <v>56.274999999999999</v>
      </c>
      <c r="T860" s="2">
        <v>45047</v>
      </c>
      <c r="U860" s="1" t="s">
        <v>57</v>
      </c>
      <c r="V860">
        <v>1</v>
      </c>
      <c r="W860" s="1" t="s">
        <v>40</v>
      </c>
      <c r="Y860" s="1" t="s">
        <v>43</v>
      </c>
      <c r="Z860" s="1" t="s">
        <v>42</v>
      </c>
      <c r="AA860">
        <v>5.5555555555555552E-2</v>
      </c>
      <c r="AB860" s="1" t="s">
        <v>43</v>
      </c>
      <c r="AC860">
        <v>1</v>
      </c>
      <c r="AD860" s="2">
        <v>45047</v>
      </c>
      <c r="AE860" s="1" t="s">
        <v>53</v>
      </c>
      <c r="AF860" s="1" t="s">
        <v>54</v>
      </c>
      <c r="AG860" s="1" t="s">
        <v>63</v>
      </c>
      <c r="AH860" s="1" t="s">
        <v>47</v>
      </c>
      <c r="AI860">
        <v>22032</v>
      </c>
      <c r="AJ860">
        <v>-64.799999999999272</v>
      </c>
    </row>
    <row r="861" spans="1:36" x14ac:dyDescent="0.25">
      <c r="A861">
        <v>10860</v>
      </c>
      <c r="B861">
        <v>43</v>
      </c>
      <c r="C861" s="1" t="s">
        <v>60</v>
      </c>
      <c r="D861" s="1" t="s">
        <v>73</v>
      </c>
      <c r="E861" s="2">
        <v>44770</v>
      </c>
      <c r="F861" s="2">
        <v>45158</v>
      </c>
      <c r="G861" s="1" t="s">
        <v>62</v>
      </c>
      <c r="H861">
        <v>675</v>
      </c>
      <c r="I861">
        <v>11</v>
      </c>
      <c r="J861">
        <v>2</v>
      </c>
      <c r="K861">
        <v>62.59</v>
      </c>
      <c r="L861">
        <v>20</v>
      </c>
      <c r="M861" s="1" t="s">
        <v>39</v>
      </c>
      <c r="N861" s="1" t="s">
        <v>56</v>
      </c>
      <c r="O861">
        <v>7290</v>
      </c>
      <c r="P861" t="b">
        <v>1</v>
      </c>
      <c r="Q861">
        <v>0.91666666666666663</v>
      </c>
      <c r="R861">
        <v>662.72727272727275</v>
      </c>
      <c r="S861">
        <v>20.863333333333333</v>
      </c>
      <c r="T861" s="2">
        <v>44743</v>
      </c>
      <c r="U861" s="1" t="s">
        <v>51</v>
      </c>
      <c r="V861">
        <v>0</v>
      </c>
      <c r="W861" s="1" t="s">
        <v>56</v>
      </c>
      <c r="X861">
        <v>388</v>
      </c>
      <c r="Y861" s="1" t="s">
        <v>43</v>
      </c>
      <c r="Z861" s="1" t="s">
        <v>52</v>
      </c>
      <c r="AA861">
        <v>0.16666666666666666</v>
      </c>
      <c r="AB861" s="1" t="s">
        <v>42</v>
      </c>
      <c r="AC861">
        <v>2</v>
      </c>
      <c r="AD861" s="2">
        <v>44743</v>
      </c>
      <c r="AE861" s="1" t="s">
        <v>74</v>
      </c>
      <c r="AF861" s="1" t="s">
        <v>72</v>
      </c>
      <c r="AG861" s="1" t="s">
        <v>63</v>
      </c>
      <c r="AH861" s="1" t="s">
        <v>64</v>
      </c>
      <c r="AI861">
        <v>7425</v>
      </c>
      <c r="AJ861">
        <v>-135</v>
      </c>
    </row>
    <row r="862" spans="1:36" x14ac:dyDescent="0.25">
      <c r="A862">
        <v>10861</v>
      </c>
      <c r="B862">
        <v>64</v>
      </c>
      <c r="C862" s="1" t="s">
        <v>60</v>
      </c>
      <c r="D862" s="1" t="s">
        <v>71</v>
      </c>
      <c r="E862" s="2">
        <v>44436</v>
      </c>
      <c r="F862" s="2">
        <v>44535</v>
      </c>
      <c r="G862" s="1" t="s">
        <v>38</v>
      </c>
      <c r="H862">
        <v>1481</v>
      </c>
      <c r="I862">
        <v>12</v>
      </c>
      <c r="J862">
        <v>2</v>
      </c>
      <c r="K862">
        <v>119.71</v>
      </c>
      <c r="L862">
        <v>0</v>
      </c>
      <c r="M862" s="1" t="s">
        <v>39</v>
      </c>
      <c r="N862" s="1" t="s">
        <v>56</v>
      </c>
      <c r="O862">
        <v>17772</v>
      </c>
      <c r="P862" t="b">
        <v>1</v>
      </c>
      <c r="Q862">
        <v>1</v>
      </c>
      <c r="R862">
        <v>1481</v>
      </c>
      <c r="S862">
        <v>39.903333333333329</v>
      </c>
      <c r="T862" s="2">
        <v>44409</v>
      </c>
      <c r="U862" s="1" t="s">
        <v>41</v>
      </c>
      <c r="V862">
        <v>0</v>
      </c>
      <c r="W862" s="1" t="s">
        <v>40</v>
      </c>
      <c r="X862">
        <v>99</v>
      </c>
      <c r="Y862" s="1" t="s">
        <v>43</v>
      </c>
      <c r="Z862" s="1" t="s">
        <v>42</v>
      </c>
      <c r="AA862">
        <v>0.15384615384615385</v>
      </c>
      <c r="AB862" s="1" t="s">
        <v>52</v>
      </c>
      <c r="AC862">
        <v>1</v>
      </c>
      <c r="AD862" s="2">
        <v>44409</v>
      </c>
      <c r="AE862" s="1" t="s">
        <v>74</v>
      </c>
      <c r="AF862" s="1" t="s">
        <v>72</v>
      </c>
      <c r="AG862" s="1" t="s">
        <v>63</v>
      </c>
      <c r="AH862" s="1" t="s">
        <v>47</v>
      </c>
      <c r="AI862">
        <v>17772</v>
      </c>
      <c r="AJ862">
        <v>0</v>
      </c>
    </row>
    <row r="863" spans="1:36" x14ac:dyDescent="0.25">
      <c r="A863">
        <v>10862</v>
      </c>
      <c r="B863">
        <v>39</v>
      </c>
      <c r="C863" s="1" t="s">
        <v>60</v>
      </c>
      <c r="D863" s="1" t="s">
        <v>71</v>
      </c>
      <c r="E863" s="2">
        <v>44286</v>
      </c>
      <c r="F863" s="2">
        <v>44916</v>
      </c>
      <c r="G863" s="1" t="s">
        <v>38</v>
      </c>
      <c r="H863">
        <v>503</v>
      </c>
      <c r="I863">
        <v>13</v>
      </c>
      <c r="J863">
        <v>1</v>
      </c>
      <c r="K863">
        <v>117.54</v>
      </c>
      <c r="L863">
        <v>5</v>
      </c>
      <c r="M863" s="1" t="s">
        <v>67</v>
      </c>
      <c r="N863" s="1" t="s">
        <v>56</v>
      </c>
      <c r="O863">
        <v>6513.85</v>
      </c>
      <c r="P863" t="b">
        <v>1</v>
      </c>
      <c r="Q863">
        <v>1.0833333333333333</v>
      </c>
      <c r="R863">
        <v>501.06538461538463</v>
      </c>
      <c r="S863">
        <v>58.77</v>
      </c>
      <c r="T863" s="2">
        <v>44256</v>
      </c>
      <c r="U863" s="1" t="s">
        <v>51</v>
      </c>
      <c r="V863">
        <v>0</v>
      </c>
      <c r="W863" s="1" t="s">
        <v>56</v>
      </c>
      <c r="X863">
        <v>630</v>
      </c>
      <c r="Y863" s="1" t="s">
        <v>43</v>
      </c>
      <c r="Z863" s="1" t="s">
        <v>42</v>
      </c>
      <c r="AA863">
        <v>7.1428571428571425E-2</v>
      </c>
      <c r="AB863" s="1" t="s">
        <v>42</v>
      </c>
      <c r="AC863">
        <v>1</v>
      </c>
      <c r="AD863" s="2">
        <v>44256</v>
      </c>
      <c r="AE863" s="1" t="s">
        <v>53</v>
      </c>
      <c r="AF863" s="1" t="s">
        <v>54</v>
      </c>
      <c r="AG863" s="1" t="s">
        <v>63</v>
      </c>
      <c r="AH863" s="1" t="s">
        <v>64</v>
      </c>
      <c r="AI863">
        <v>6539</v>
      </c>
      <c r="AJ863">
        <v>-25.149999999999636</v>
      </c>
    </row>
    <row r="864" spans="1:36" x14ac:dyDescent="0.25">
      <c r="A864">
        <v>10863</v>
      </c>
      <c r="B864">
        <v>64</v>
      </c>
      <c r="C864" s="1" t="s">
        <v>36</v>
      </c>
      <c r="D864" s="1" t="s">
        <v>61</v>
      </c>
      <c r="E864" s="2">
        <v>44428</v>
      </c>
      <c r="F864" s="2">
        <v>45058</v>
      </c>
      <c r="G864" s="1" t="s">
        <v>38</v>
      </c>
      <c r="H864">
        <v>1288</v>
      </c>
      <c r="I864">
        <v>8</v>
      </c>
      <c r="J864">
        <v>2</v>
      </c>
      <c r="K864">
        <v>94.56</v>
      </c>
      <c r="L864">
        <v>0</v>
      </c>
      <c r="M864" s="1" t="s">
        <v>67</v>
      </c>
      <c r="N864" s="1" t="s">
        <v>56</v>
      </c>
      <c r="O864">
        <v>10304</v>
      </c>
      <c r="P864" t="b">
        <v>1</v>
      </c>
      <c r="Q864">
        <v>0.66666666666666663</v>
      </c>
      <c r="R864">
        <v>1288</v>
      </c>
      <c r="S864">
        <v>31.52</v>
      </c>
      <c r="T864" s="2">
        <v>44409</v>
      </c>
      <c r="U864" s="1" t="s">
        <v>41</v>
      </c>
      <c r="V864">
        <v>0</v>
      </c>
      <c r="W864" s="1" t="s">
        <v>56</v>
      </c>
      <c r="X864">
        <v>630</v>
      </c>
      <c r="Y864" s="1" t="s">
        <v>43</v>
      </c>
      <c r="Z864" s="1" t="s">
        <v>42</v>
      </c>
      <c r="AA864">
        <v>0.22222222222222221</v>
      </c>
      <c r="AB864" s="1" t="s">
        <v>52</v>
      </c>
      <c r="AC864">
        <v>1</v>
      </c>
      <c r="AD864" s="2">
        <v>44409</v>
      </c>
      <c r="AE864" s="1" t="s">
        <v>74</v>
      </c>
      <c r="AF864" s="1" t="s">
        <v>72</v>
      </c>
      <c r="AG864" s="1" t="s">
        <v>63</v>
      </c>
      <c r="AH864" s="1" t="s">
        <v>47</v>
      </c>
      <c r="AI864">
        <v>10304</v>
      </c>
      <c r="AJ864">
        <v>0</v>
      </c>
    </row>
    <row r="865" spans="1:36" x14ac:dyDescent="0.25">
      <c r="A865">
        <v>10864</v>
      </c>
      <c r="B865">
        <v>41</v>
      </c>
      <c r="C865" s="1" t="s">
        <v>36</v>
      </c>
      <c r="D865" s="1" t="s">
        <v>73</v>
      </c>
      <c r="E865" s="2">
        <v>44653</v>
      </c>
      <c r="F865" s="2">
        <v>44876</v>
      </c>
      <c r="G865" s="1" t="s">
        <v>62</v>
      </c>
      <c r="H865">
        <v>960</v>
      </c>
      <c r="I865">
        <v>1</v>
      </c>
      <c r="J865">
        <v>0</v>
      </c>
      <c r="K865">
        <v>7.31</v>
      </c>
      <c r="L865">
        <v>10</v>
      </c>
      <c r="M865" s="1" t="s">
        <v>67</v>
      </c>
      <c r="N865" s="1" t="s">
        <v>56</v>
      </c>
      <c r="O865">
        <v>864</v>
      </c>
      <c r="P865" t="b">
        <v>1</v>
      </c>
      <c r="Q865">
        <v>8.3333333333333329E-2</v>
      </c>
      <c r="R865">
        <v>864</v>
      </c>
      <c r="S865">
        <v>7.31</v>
      </c>
      <c r="T865" s="2">
        <v>44652</v>
      </c>
      <c r="U865" s="1" t="s">
        <v>51</v>
      </c>
      <c r="V865">
        <v>0</v>
      </c>
      <c r="W865" s="1" t="s">
        <v>56</v>
      </c>
      <c r="X865">
        <v>223</v>
      </c>
      <c r="Y865" s="1" t="s">
        <v>42</v>
      </c>
      <c r="Z865" s="1" t="s">
        <v>42</v>
      </c>
      <c r="AA865">
        <v>0</v>
      </c>
      <c r="AB865" s="1" t="s">
        <v>42</v>
      </c>
      <c r="AC865">
        <v>2</v>
      </c>
      <c r="AD865" s="2">
        <v>44652</v>
      </c>
      <c r="AE865" s="1" t="s">
        <v>58</v>
      </c>
      <c r="AF865" s="1" t="s">
        <v>54</v>
      </c>
      <c r="AG865" s="1" t="s">
        <v>77</v>
      </c>
      <c r="AH865" s="1" t="s">
        <v>59</v>
      </c>
      <c r="AI865">
        <v>960</v>
      </c>
      <c r="AJ865">
        <v>-96</v>
      </c>
    </row>
    <row r="866" spans="1:36" x14ac:dyDescent="0.25">
      <c r="A866">
        <v>10865</v>
      </c>
      <c r="B866">
        <v>60</v>
      </c>
      <c r="C866" s="1" t="s">
        <v>60</v>
      </c>
      <c r="D866" s="1" t="s">
        <v>71</v>
      </c>
      <c r="E866" s="2">
        <v>44429</v>
      </c>
      <c r="F866" s="2">
        <v>44781</v>
      </c>
      <c r="G866" s="1" t="s">
        <v>38</v>
      </c>
      <c r="H866">
        <v>374</v>
      </c>
      <c r="I866">
        <v>9</v>
      </c>
      <c r="J866">
        <v>2</v>
      </c>
      <c r="K866">
        <v>67.5</v>
      </c>
      <c r="L866">
        <v>20</v>
      </c>
      <c r="M866" s="1" t="s">
        <v>65</v>
      </c>
      <c r="N866" s="1" t="s">
        <v>56</v>
      </c>
      <c r="O866">
        <v>3291.2</v>
      </c>
      <c r="P866" t="b">
        <v>1</v>
      </c>
      <c r="Q866">
        <v>0.75</v>
      </c>
      <c r="R866">
        <v>365.68888888888887</v>
      </c>
      <c r="S866">
        <v>22.5</v>
      </c>
      <c r="T866" s="2">
        <v>44409</v>
      </c>
      <c r="U866" s="1" t="s">
        <v>41</v>
      </c>
      <c r="V866">
        <v>0</v>
      </c>
      <c r="W866" s="1" t="s">
        <v>56</v>
      </c>
      <c r="X866">
        <v>352</v>
      </c>
      <c r="Y866" s="1" t="s">
        <v>43</v>
      </c>
      <c r="Z866" s="1" t="s">
        <v>52</v>
      </c>
      <c r="AA866">
        <v>0.2</v>
      </c>
      <c r="AB866" s="1" t="s">
        <v>42</v>
      </c>
      <c r="AC866">
        <v>1</v>
      </c>
      <c r="AD866" s="2">
        <v>44409</v>
      </c>
      <c r="AE866" s="1" t="s">
        <v>74</v>
      </c>
      <c r="AF866" s="1" t="s">
        <v>72</v>
      </c>
      <c r="AG866" s="1" t="s">
        <v>63</v>
      </c>
      <c r="AH866" s="1" t="s">
        <v>68</v>
      </c>
      <c r="AI866">
        <v>3366</v>
      </c>
      <c r="AJ866">
        <v>-74.800000000000182</v>
      </c>
    </row>
    <row r="867" spans="1:36" x14ac:dyDescent="0.25">
      <c r="A867">
        <v>10866</v>
      </c>
      <c r="B867">
        <v>34</v>
      </c>
      <c r="C867" s="1" t="s">
        <v>36</v>
      </c>
      <c r="D867" s="1" t="s">
        <v>37</v>
      </c>
      <c r="E867" s="2">
        <v>44550</v>
      </c>
      <c r="F867" s="2">
        <v>44635</v>
      </c>
      <c r="G867" s="1" t="s">
        <v>38</v>
      </c>
      <c r="H867">
        <v>1040</v>
      </c>
      <c r="I867">
        <v>28</v>
      </c>
      <c r="J867">
        <v>1</v>
      </c>
      <c r="K867">
        <v>14.99</v>
      </c>
      <c r="L867">
        <v>5</v>
      </c>
      <c r="M867" s="1" t="s">
        <v>67</v>
      </c>
      <c r="N867" s="1" t="s">
        <v>56</v>
      </c>
      <c r="O867">
        <v>29068</v>
      </c>
      <c r="P867" t="b">
        <v>1</v>
      </c>
      <c r="Q867">
        <v>2.3333333333333335</v>
      </c>
      <c r="R867">
        <v>1038.1428571428571</v>
      </c>
      <c r="S867">
        <v>7.4950000000000001</v>
      </c>
      <c r="T867" s="2">
        <v>44531</v>
      </c>
      <c r="U867" s="1" t="s">
        <v>57</v>
      </c>
      <c r="V867">
        <v>0</v>
      </c>
      <c r="W867" s="1" t="s">
        <v>40</v>
      </c>
      <c r="X867">
        <v>85</v>
      </c>
      <c r="Y867" s="1" t="s">
        <v>42</v>
      </c>
      <c r="Z867" s="1" t="s">
        <v>42</v>
      </c>
      <c r="AA867">
        <v>3.4482758620689655E-2</v>
      </c>
      <c r="AB867" s="1" t="s">
        <v>43</v>
      </c>
      <c r="AC867">
        <v>1</v>
      </c>
      <c r="AD867" s="2">
        <v>44531</v>
      </c>
      <c r="AE867" s="1" t="s">
        <v>44</v>
      </c>
      <c r="AF867" s="1" t="s">
        <v>54</v>
      </c>
      <c r="AG867" s="1" t="s">
        <v>46</v>
      </c>
      <c r="AH867" s="1" t="s">
        <v>47</v>
      </c>
      <c r="AI867">
        <v>29120</v>
      </c>
      <c r="AJ867">
        <v>-52</v>
      </c>
    </row>
    <row r="868" spans="1:36" x14ac:dyDescent="0.25">
      <c r="A868">
        <v>10867</v>
      </c>
      <c r="B868">
        <v>43</v>
      </c>
      <c r="C868" s="1" t="s">
        <v>60</v>
      </c>
      <c r="D868" s="1" t="s">
        <v>61</v>
      </c>
      <c r="E868" s="2">
        <v>44529</v>
      </c>
      <c r="F868" s="2">
        <v>44914</v>
      </c>
      <c r="G868" s="1" t="s">
        <v>38</v>
      </c>
      <c r="H868">
        <v>603</v>
      </c>
      <c r="I868">
        <v>2</v>
      </c>
      <c r="J868">
        <v>1</v>
      </c>
      <c r="K868">
        <v>107.94</v>
      </c>
      <c r="L868">
        <v>0</v>
      </c>
      <c r="M868" s="1" t="s">
        <v>50</v>
      </c>
      <c r="N868" s="1" t="s">
        <v>56</v>
      </c>
      <c r="O868">
        <v>1206</v>
      </c>
      <c r="P868" t="b">
        <v>1</v>
      </c>
      <c r="Q868">
        <v>0.16666666666666666</v>
      </c>
      <c r="R868">
        <v>603</v>
      </c>
      <c r="S868">
        <v>53.97</v>
      </c>
      <c r="T868" s="2">
        <v>44501</v>
      </c>
      <c r="U868" s="1" t="s">
        <v>51</v>
      </c>
      <c r="V868">
        <v>0</v>
      </c>
      <c r="W868" s="1" t="s">
        <v>56</v>
      </c>
      <c r="X868">
        <v>385</v>
      </c>
      <c r="Y868" s="1" t="s">
        <v>43</v>
      </c>
      <c r="Z868" s="1" t="s">
        <v>42</v>
      </c>
      <c r="AA868">
        <v>0.33333333333333331</v>
      </c>
      <c r="AB868" s="1" t="s">
        <v>42</v>
      </c>
      <c r="AC868">
        <v>1</v>
      </c>
      <c r="AD868" s="2">
        <v>44501</v>
      </c>
      <c r="AE868" s="1" t="s">
        <v>58</v>
      </c>
      <c r="AF868" s="1" t="s">
        <v>54</v>
      </c>
      <c r="AG868" s="1" t="s">
        <v>63</v>
      </c>
      <c r="AH868" s="1" t="s">
        <v>64</v>
      </c>
      <c r="AI868">
        <v>1206</v>
      </c>
      <c r="AJ868">
        <v>0</v>
      </c>
    </row>
    <row r="869" spans="1:36" x14ac:dyDescent="0.25">
      <c r="A869">
        <v>10868</v>
      </c>
      <c r="B869">
        <v>53</v>
      </c>
      <c r="C869" s="1" t="s">
        <v>60</v>
      </c>
      <c r="D869" s="1" t="s">
        <v>73</v>
      </c>
      <c r="E869" s="2">
        <v>44635</v>
      </c>
      <c r="F869" s="2">
        <v>44846</v>
      </c>
      <c r="G869" s="1" t="s">
        <v>38</v>
      </c>
      <c r="H869">
        <v>1385</v>
      </c>
      <c r="I869">
        <v>14</v>
      </c>
      <c r="J869">
        <v>0</v>
      </c>
      <c r="K869">
        <v>95.81</v>
      </c>
      <c r="L869">
        <v>15</v>
      </c>
      <c r="M869" s="1" t="s">
        <v>50</v>
      </c>
      <c r="N869" s="1" t="s">
        <v>56</v>
      </c>
      <c r="O869">
        <v>19182.25</v>
      </c>
      <c r="P869" t="b">
        <v>1</v>
      </c>
      <c r="Q869">
        <v>1.1666666666666667</v>
      </c>
      <c r="R869">
        <v>1370.1607142857142</v>
      </c>
      <c r="S869">
        <v>95.81</v>
      </c>
      <c r="T869" s="2">
        <v>44621</v>
      </c>
      <c r="U869" s="1" t="s">
        <v>41</v>
      </c>
      <c r="V869">
        <v>0</v>
      </c>
      <c r="W869" s="1" t="s">
        <v>40</v>
      </c>
      <c r="X869">
        <v>211</v>
      </c>
      <c r="Y869" s="1" t="s">
        <v>43</v>
      </c>
      <c r="Z869" s="1" t="s">
        <v>42</v>
      </c>
      <c r="AA869">
        <v>0</v>
      </c>
      <c r="AB869" s="1" t="s">
        <v>52</v>
      </c>
      <c r="AC869">
        <v>1</v>
      </c>
      <c r="AD869" s="2">
        <v>44621</v>
      </c>
      <c r="AE869" s="1" t="s">
        <v>53</v>
      </c>
      <c r="AF869" s="1" t="s">
        <v>54</v>
      </c>
      <c r="AG869" s="1" t="s">
        <v>63</v>
      </c>
      <c r="AH869" s="1" t="s">
        <v>47</v>
      </c>
      <c r="AI869">
        <v>19390</v>
      </c>
      <c r="AJ869">
        <v>-207.75</v>
      </c>
    </row>
    <row r="870" spans="1:36" x14ac:dyDescent="0.25">
      <c r="A870">
        <v>10869</v>
      </c>
      <c r="B870">
        <v>18</v>
      </c>
      <c r="C870" s="1" t="s">
        <v>60</v>
      </c>
      <c r="D870" s="1" t="s">
        <v>73</v>
      </c>
      <c r="E870" s="2">
        <v>44571</v>
      </c>
      <c r="F870" s="2">
        <v>44788</v>
      </c>
      <c r="G870" s="1" t="s">
        <v>62</v>
      </c>
      <c r="H870">
        <v>869</v>
      </c>
      <c r="I870">
        <v>13</v>
      </c>
      <c r="J870">
        <v>3</v>
      </c>
      <c r="K870">
        <v>116.82</v>
      </c>
      <c r="L870">
        <v>0</v>
      </c>
      <c r="M870" s="1" t="s">
        <v>39</v>
      </c>
      <c r="N870" s="1" t="s">
        <v>56</v>
      </c>
      <c r="O870">
        <v>11297</v>
      </c>
      <c r="P870" t="b">
        <v>1</v>
      </c>
      <c r="Q870">
        <v>1.0833333333333333</v>
      </c>
      <c r="R870">
        <v>869</v>
      </c>
      <c r="S870">
        <v>29.204999999999998</v>
      </c>
      <c r="T870" s="2">
        <v>44562</v>
      </c>
      <c r="U870" s="1" t="s">
        <v>66</v>
      </c>
      <c r="V870">
        <v>0</v>
      </c>
      <c r="W870" s="1" t="s">
        <v>56</v>
      </c>
      <c r="X870">
        <v>217</v>
      </c>
      <c r="Y870" s="1" t="s">
        <v>43</v>
      </c>
      <c r="Z870" s="1" t="s">
        <v>42</v>
      </c>
      <c r="AA870">
        <v>0.21428571428571427</v>
      </c>
      <c r="AB870" s="1" t="s">
        <v>52</v>
      </c>
      <c r="AC870">
        <v>2</v>
      </c>
      <c r="AD870" s="2">
        <v>44562</v>
      </c>
      <c r="AE870" s="1" t="s">
        <v>53</v>
      </c>
      <c r="AF870" s="1" t="s">
        <v>72</v>
      </c>
      <c r="AG870" s="1" t="s">
        <v>63</v>
      </c>
      <c r="AH870" s="1" t="s">
        <v>59</v>
      </c>
      <c r="AI870">
        <v>11297</v>
      </c>
      <c r="AJ870">
        <v>0</v>
      </c>
    </row>
    <row r="871" spans="1:36" x14ac:dyDescent="0.25">
      <c r="A871">
        <v>10870</v>
      </c>
      <c r="B871">
        <v>25</v>
      </c>
      <c r="C871" s="1" t="s">
        <v>60</v>
      </c>
      <c r="D871" s="1" t="s">
        <v>69</v>
      </c>
      <c r="E871" s="2">
        <v>44488</v>
      </c>
      <c r="F871" s="2">
        <v>45128</v>
      </c>
      <c r="G871" s="1" t="s">
        <v>49</v>
      </c>
      <c r="H871">
        <v>1085</v>
      </c>
      <c r="I871">
        <v>2</v>
      </c>
      <c r="J871">
        <v>1</v>
      </c>
      <c r="K871">
        <v>74.959999999999994</v>
      </c>
      <c r="L871">
        <v>5</v>
      </c>
      <c r="M871" s="1" t="s">
        <v>67</v>
      </c>
      <c r="N871" s="1" t="s">
        <v>56</v>
      </c>
      <c r="O871">
        <v>2115.75</v>
      </c>
      <c r="P871" t="b">
        <v>1</v>
      </c>
      <c r="Q871">
        <v>0.16666666666666666</v>
      </c>
      <c r="R871">
        <v>1057.875</v>
      </c>
      <c r="S871">
        <v>37.479999999999997</v>
      </c>
      <c r="T871" s="2">
        <v>44470</v>
      </c>
      <c r="U871" s="1" t="s">
        <v>66</v>
      </c>
      <c r="V871">
        <v>0</v>
      </c>
      <c r="W871" s="1" t="s">
        <v>56</v>
      </c>
      <c r="X871">
        <v>640</v>
      </c>
      <c r="Y871" s="1" t="s">
        <v>43</v>
      </c>
      <c r="Z871" s="1" t="s">
        <v>42</v>
      </c>
      <c r="AA871">
        <v>0.33333333333333331</v>
      </c>
      <c r="AB871" s="1" t="s">
        <v>42</v>
      </c>
      <c r="AC871">
        <v>3</v>
      </c>
      <c r="AD871" s="2">
        <v>44470</v>
      </c>
      <c r="AE871" s="1" t="s">
        <v>58</v>
      </c>
      <c r="AF871" s="1" t="s">
        <v>54</v>
      </c>
      <c r="AG871" s="1" t="s">
        <v>63</v>
      </c>
      <c r="AH871" s="1" t="s">
        <v>47</v>
      </c>
      <c r="AI871">
        <v>2170</v>
      </c>
      <c r="AJ871">
        <v>-54.25</v>
      </c>
    </row>
    <row r="872" spans="1:36" x14ac:dyDescent="0.25">
      <c r="A872">
        <v>10871</v>
      </c>
      <c r="B872">
        <v>52</v>
      </c>
      <c r="C872" s="1" t="s">
        <v>60</v>
      </c>
      <c r="D872" s="1" t="s">
        <v>73</v>
      </c>
      <c r="E872" s="2">
        <v>44541</v>
      </c>
      <c r="F872" s="2">
        <v>44650</v>
      </c>
      <c r="G872" s="1" t="s">
        <v>38</v>
      </c>
      <c r="H872">
        <v>1431</v>
      </c>
      <c r="I872">
        <v>4</v>
      </c>
      <c r="J872">
        <v>2</v>
      </c>
      <c r="K872">
        <v>65.05</v>
      </c>
      <c r="L872">
        <v>10</v>
      </c>
      <c r="M872" s="1" t="s">
        <v>39</v>
      </c>
      <c r="N872" s="1" t="s">
        <v>40</v>
      </c>
      <c r="O872">
        <v>5580.9</v>
      </c>
      <c r="P872" t="b">
        <v>1</v>
      </c>
      <c r="Q872">
        <v>0.33333333333333331</v>
      </c>
      <c r="R872">
        <v>1395.2249999999999</v>
      </c>
      <c r="S872">
        <v>21.683333333333334</v>
      </c>
      <c r="T872" s="2">
        <v>44531</v>
      </c>
      <c r="U872" s="1" t="s">
        <v>41</v>
      </c>
      <c r="V872">
        <v>1</v>
      </c>
      <c r="W872" s="1" t="s">
        <v>56</v>
      </c>
      <c r="X872">
        <v>109</v>
      </c>
      <c r="Y872" s="1" t="s">
        <v>43</v>
      </c>
      <c r="Z872" s="1" t="s">
        <v>42</v>
      </c>
      <c r="AA872">
        <v>0.4</v>
      </c>
      <c r="AB872" s="1" t="s">
        <v>42</v>
      </c>
      <c r="AC872">
        <v>1</v>
      </c>
      <c r="AD872" s="2">
        <v>44531</v>
      </c>
      <c r="AE872" s="1" t="s">
        <v>58</v>
      </c>
      <c r="AF872" s="1" t="s">
        <v>72</v>
      </c>
      <c r="AG872" s="1" t="s">
        <v>63</v>
      </c>
      <c r="AH872" s="1" t="s">
        <v>47</v>
      </c>
      <c r="AI872">
        <v>5724</v>
      </c>
      <c r="AJ872">
        <v>-143.10000000000036</v>
      </c>
    </row>
    <row r="873" spans="1:36" x14ac:dyDescent="0.25">
      <c r="A873">
        <v>10872</v>
      </c>
      <c r="B873">
        <v>32</v>
      </c>
      <c r="C873" s="1" t="s">
        <v>36</v>
      </c>
      <c r="D873" s="1" t="s">
        <v>61</v>
      </c>
      <c r="E873" s="2">
        <v>44860</v>
      </c>
      <c r="F873" s="2">
        <v>44434</v>
      </c>
      <c r="G873" s="1" t="s">
        <v>49</v>
      </c>
      <c r="H873">
        <v>1286</v>
      </c>
      <c r="I873">
        <v>12</v>
      </c>
      <c r="J873">
        <v>1</v>
      </c>
      <c r="K873">
        <v>64.680000000000007</v>
      </c>
      <c r="L873">
        <v>20</v>
      </c>
      <c r="M873" s="1" t="s">
        <v>39</v>
      </c>
      <c r="N873" s="1" t="s">
        <v>40</v>
      </c>
      <c r="O873">
        <v>15174.8</v>
      </c>
      <c r="P873" t="b">
        <v>0</v>
      </c>
      <c r="Q873">
        <v>1</v>
      </c>
      <c r="R873">
        <v>1264.5666666666666</v>
      </c>
      <c r="S873">
        <v>32.340000000000003</v>
      </c>
      <c r="T873" s="2">
        <v>44835</v>
      </c>
      <c r="U873" s="1" t="s">
        <v>57</v>
      </c>
      <c r="V873">
        <v>1</v>
      </c>
      <c r="W873" s="1" t="s">
        <v>40</v>
      </c>
      <c r="Y873" s="1" t="s">
        <v>43</v>
      </c>
      <c r="Z873" s="1" t="s">
        <v>52</v>
      </c>
      <c r="AA873">
        <v>7.6923076923076927E-2</v>
      </c>
      <c r="AB873" s="1" t="s">
        <v>52</v>
      </c>
      <c r="AC873">
        <v>3</v>
      </c>
      <c r="AD873" s="2">
        <v>44835</v>
      </c>
      <c r="AE873" s="1" t="s">
        <v>74</v>
      </c>
      <c r="AF873" s="1" t="s">
        <v>54</v>
      </c>
      <c r="AG873" s="1" t="s">
        <v>63</v>
      </c>
      <c r="AH873" s="1" t="s">
        <v>47</v>
      </c>
      <c r="AI873">
        <v>15432</v>
      </c>
      <c r="AJ873">
        <v>-257.20000000000073</v>
      </c>
    </row>
    <row r="874" spans="1:36" x14ac:dyDescent="0.25">
      <c r="A874">
        <v>10873</v>
      </c>
      <c r="B874">
        <v>64</v>
      </c>
      <c r="C874" s="1" t="s">
        <v>36</v>
      </c>
      <c r="D874" s="1" t="s">
        <v>37</v>
      </c>
      <c r="E874" s="2">
        <v>44624</v>
      </c>
      <c r="F874" s="2">
        <v>45177</v>
      </c>
      <c r="G874" s="1" t="s">
        <v>62</v>
      </c>
      <c r="H874">
        <v>528</v>
      </c>
      <c r="I874">
        <v>10</v>
      </c>
      <c r="J874">
        <v>5</v>
      </c>
      <c r="K874">
        <v>49.44</v>
      </c>
      <c r="L874">
        <v>15</v>
      </c>
      <c r="M874" s="1" t="s">
        <v>50</v>
      </c>
      <c r="N874" s="1" t="s">
        <v>56</v>
      </c>
      <c r="O874">
        <v>5200.8</v>
      </c>
      <c r="P874" t="b">
        <v>1</v>
      </c>
      <c r="Q874">
        <v>0.83333333333333337</v>
      </c>
      <c r="R874">
        <v>520.08000000000004</v>
      </c>
      <c r="S874">
        <v>8.24</v>
      </c>
      <c r="T874" s="2">
        <v>44621</v>
      </c>
      <c r="U874" s="1" t="s">
        <v>41</v>
      </c>
      <c r="V874">
        <v>0</v>
      </c>
      <c r="W874" s="1" t="s">
        <v>56</v>
      </c>
      <c r="X874">
        <v>553</v>
      </c>
      <c r="Y874" s="1" t="s">
        <v>52</v>
      </c>
      <c r="Z874" s="1" t="s">
        <v>42</v>
      </c>
      <c r="AA874">
        <v>0.45454545454545453</v>
      </c>
      <c r="AB874" s="1" t="s">
        <v>42</v>
      </c>
      <c r="AC874">
        <v>2</v>
      </c>
      <c r="AD874" s="2">
        <v>44621</v>
      </c>
      <c r="AE874" s="1" t="s">
        <v>74</v>
      </c>
      <c r="AF874" s="1" t="s">
        <v>45</v>
      </c>
      <c r="AG874" s="1" t="s">
        <v>63</v>
      </c>
      <c r="AH874" s="1" t="s">
        <v>64</v>
      </c>
      <c r="AI874">
        <v>5280</v>
      </c>
      <c r="AJ874">
        <v>-79.199999999999818</v>
      </c>
    </row>
    <row r="875" spans="1:36" x14ac:dyDescent="0.25">
      <c r="A875">
        <v>10874</v>
      </c>
      <c r="B875">
        <v>39</v>
      </c>
      <c r="C875" s="1" t="s">
        <v>36</v>
      </c>
      <c r="D875" s="1" t="s">
        <v>73</v>
      </c>
      <c r="E875" s="2">
        <v>44853</v>
      </c>
      <c r="F875" s="2">
        <v>44785</v>
      </c>
      <c r="G875" s="1" t="s">
        <v>62</v>
      </c>
      <c r="H875">
        <v>1371</v>
      </c>
      <c r="I875">
        <v>3</v>
      </c>
      <c r="J875">
        <v>1</v>
      </c>
      <c r="K875">
        <v>58.9</v>
      </c>
      <c r="L875">
        <v>0</v>
      </c>
      <c r="M875" s="1" t="s">
        <v>50</v>
      </c>
      <c r="N875" s="1" t="s">
        <v>40</v>
      </c>
      <c r="O875">
        <v>4113</v>
      </c>
      <c r="P875" t="b">
        <v>0</v>
      </c>
      <c r="Q875">
        <v>0.25</v>
      </c>
      <c r="R875">
        <v>1371</v>
      </c>
      <c r="S875">
        <v>29.45</v>
      </c>
      <c r="T875" s="2">
        <v>44835</v>
      </c>
      <c r="U875" s="1" t="s">
        <v>51</v>
      </c>
      <c r="V875">
        <v>1</v>
      </c>
      <c r="W875" s="1" t="s">
        <v>56</v>
      </c>
      <c r="Y875" s="1" t="s">
        <v>52</v>
      </c>
      <c r="Z875" s="1" t="s">
        <v>42</v>
      </c>
      <c r="AA875">
        <v>0.25</v>
      </c>
      <c r="AB875" s="1" t="s">
        <v>42</v>
      </c>
      <c r="AC875">
        <v>2</v>
      </c>
      <c r="AD875" s="2">
        <v>44835</v>
      </c>
      <c r="AE875" s="1" t="s">
        <v>58</v>
      </c>
      <c r="AF875" s="1" t="s">
        <v>54</v>
      </c>
      <c r="AG875" s="1" t="s">
        <v>63</v>
      </c>
      <c r="AH875" s="1" t="s">
        <v>47</v>
      </c>
      <c r="AI875">
        <v>4113</v>
      </c>
      <c r="AJ875">
        <v>0</v>
      </c>
    </row>
    <row r="876" spans="1:36" x14ac:dyDescent="0.25">
      <c r="A876">
        <v>10875</v>
      </c>
      <c r="B876">
        <v>31</v>
      </c>
      <c r="C876" s="1" t="s">
        <v>60</v>
      </c>
      <c r="D876" s="1" t="s">
        <v>69</v>
      </c>
      <c r="E876" s="2">
        <v>44326</v>
      </c>
      <c r="F876" s="2">
        <v>44888</v>
      </c>
      <c r="G876" s="1" t="s">
        <v>62</v>
      </c>
      <c r="H876">
        <v>567</v>
      </c>
      <c r="I876">
        <v>4</v>
      </c>
      <c r="J876">
        <v>4</v>
      </c>
      <c r="K876">
        <v>78.069999999999993</v>
      </c>
      <c r="L876">
        <v>5</v>
      </c>
      <c r="M876" s="1" t="s">
        <v>39</v>
      </c>
      <c r="N876" s="1" t="s">
        <v>40</v>
      </c>
      <c r="O876">
        <v>2239.65</v>
      </c>
      <c r="P876" t="b">
        <v>1</v>
      </c>
      <c r="Q876">
        <v>0.33333333333333331</v>
      </c>
      <c r="R876">
        <v>559.91250000000002</v>
      </c>
      <c r="S876">
        <v>15.613999999999999</v>
      </c>
      <c r="T876" s="2">
        <v>44317</v>
      </c>
      <c r="U876" s="1" t="s">
        <v>57</v>
      </c>
      <c r="V876">
        <v>1</v>
      </c>
      <c r="W876" s="1" t="s">
        <v>56</v>
      </c>
      <c r="X876">
        <v>562</v>
      </c>
      <c r="Y876" s="1" t="s">
        <v>43</v>
      </c>
      <c r="Z876" s="1" t="s">
        <v>42</v>
      </c>
      <c r="AA876">
        <v>0.8</v>
      </c>
      <c r="AB876" s="1" t="s">
        <v>42</v>
      </c>
      <c r="AC876">
        <v>2</v>
      </c>
      <c r="AD876" s="2">
        <v>44317</v>
      </c>
      <c r="AE876" s="1" t="s">
        <v>58</v>
      </c>
      <c r="AF876" s="1" t="s">
        <v>45</v>
      </c>
      <c r="AG876" s="1" t="s">
        <v>63</v>
      </c>
      <c r="AH876" s="1" t="s">
        <v>64</v>
      </c>
      <c r="AI876">
        <v>2268</v>
      </c>
      <c r="AJ876">
        <v>-28.349999999999909</v>
      </c>
    </row>
    <row r="877" spans="1:36" x14ac:dyDescent="0.25">
      <c r="A877">
        <v>10876</v>
      </c>
      <c r="B877">
        <v>43</v>
      </c>
      <c r="C877" s="1" t="s">
        <v>60</v>
      </c>
      <c r="D877" s="1" t="s">
        <v>61</v>
      </c>
      <c r="E877" s="2">
        <v>44337</v>
      </c>
      <c r="F877" s="2">
        <v>44369</v>
      </c>
      <c r="G877" s="1" t="s">
        <v>49</v>
      </c>
      <c r="H877">
        <v>1026</v>
      </c>
      <c r="I877">
        <v>6</v>
      </c>
      <c r="J877">
        <v>1</v>
      </c>
      <c r="K877">
        <v>112.29</v>
      </c>
      <c r="L877">
        <v>5</v>
      </c>
      <c r="M877" s="1" t="s">
        <v>50</v>
      </c>
      <c r="N877" s="1" t="s">
        <v>56</v>
      </c>
      <c r="O877">
        <v>6104.7</v>
      </c>
      <c r="P877" t="b">
        <v>1</v>
      </c>
      <c r="Q877">
        <v>0.5</v>
      </c>
      <c r="R877">
        <v>1017.4499999999999</v>
      </c>
      <c r="S877">
        <v>56.145000000000003</v>
      </c>
      <c r="T877" s="2">
        <v>44317</v>
      </c>
      <c r="U877" s="1" t="s">
        <v>51</v>
      </c>
      <c r="V877">
        <v>0</v>
      </c>
      <c r="W877" s="1" t="s">
        <v>56</v>
      </c>
      <c r="X877">
        <v>32</v>
      </c>
      <c r="Y877" s="1" t="s">
        <v>43</v>
      </c>
      <c r="Z877" s="1" t="s">
        <v>42</v>
      </c>
      <c r="AA877">
        <v>0.14285714285714285</v>
      </c>
      <c r="AB877" s="1" t="s">
        <v>42</v>
      </c>
      <c r="AC877">
        <v>3</v>
      </c>
      <c r="AD877" s="2">
        <v>44317</v>
      </c>
      <c r="AE877" s="1" t="s">
        <v>58</v>
      </c>
      <c r="AF877" s="1" t="s">
        <v>54</v>
      </c>
      <c r="AG877" s="1" t="s">
        <v>63</v>
      </c>
      <c r="AH877" s="1" t="s">
        <v>47</v>
      </c>
      <c r="AI877">
        <v>6156</v>
      </c>
      <c r="AJ877">
        <v>-51.300000000000182</v>
      </c>
    </row>
    <row r="878" spans="1:36" x14ac:dyDescent="0.25">
      <c r="A878">
        <v>10877</v>
      </c>
      <c r="B878">
        <v>45</v>
      </c>
      <c r="C878" s="1" t="s">
        <v>60</v>
      </c>
      <c r="D878" s="1" t="s">
        <v>76</v>
      </c>
      <c r="E878" s="2">
        <v>44611</v>
      </c>
      <c r="F878" s="2">
        <v>45180</v>
      </c>
      <c r="G878" s="1" t="s">
        <v>38</v>
      </c>
      <c r="H878">
        <v>1101</v>
      </c>
      <c r="I878">
        <v>23</v>
      </c>
      <c r="J878">
        <v>0</v>
      </c>
      <c r="K878">
        <v>73.53</v>
      </c>
      <c r="L878">
        <v>20</v>
      </c>
      <c r="M878" s="1" t="s">
        <v>39</v>
      </c>
      <c r="N878" s="1" t="s">
        <v>40</v>
      </c>
      <c r="O878">
        <v>25102.799999999999</v>
      </c>
      <c r="P878" t="b">
        <v>1</v>
      </c>
      <c r="Q878">
        <v>1.9166666666666667</v>
      </c>
      <c r="R878">
        <v>1091.4260869565217</v>
      </c>
      <c r="S878">
        <v>73.53</v>
      </c>
      <c r="T878" s="2">
        <v>44593</v>
      </c>
      <c r="U878" s="1" t="s">
        <v>51</v>
      </c>
      <c r="V878">
        <v>1</v>
      </c>
      <c r="W878" s="1" t="s">
        <v>40</v>
      </c>
      <c r="X878">
        <v>569</v>
      </c>
      <c r="Y878" s="1" t="s">
        <v>43</v>
      </c>
      <c r="Z878" s="1" t="s">
        <v>52</v>
      </c>
      <c r="AA878">
        <v>0</v>
      </c>
      <c r="AB878" s="1" t="s">
        <v>43</v>
      </c>
      <c r="AC878">
        <v>1</v>
      </c>
      <c r="AD878" s="2">
        <v>44593</v>
      </c>
      <c r="AE878" s="1" t="s">
        <v>53</v>
      </c>
      <c r="AF878" s="1" t="s">
        <v>54</v>
      </c>
      <c r="AG878" s="1" t="s">
        <v>63</v>
      </c>
      <c r="AH878" s="1" t="s">
        <v>47</v>
      </c>
      <c r="AI878">
        <v>25323</v>
      </c>
      <c r="AJ878">
        <v>-220.20000000000073</v>
      </c>
    </row>
    <row r="879" spans="1:36" x14ac:dyDescent="0.25">
      <c r="A879">
        <v>10878</v>
      </c>
      <c r="B879">
        <v>40</v>
      </c>
      <c r="C879" s="1" t="s">
        <v>60</v>
      </c>
      <c r="D879" s="1" t="s">
        <v>48</v>
      </c>
      <c r="E879" s="2">
        <v>44289</v>
      </c>
      <c r="F879" s="2">
        <v>45144</v>
      </c>
      <c r="G879" s="1" t="s">
        <v>62</v>
      </c>
      <c r="H879">
        <v>553</v>
      </c>
      <c r="I879">
        <v>5</v>
      </c>
      <c r="J879">
        <v>3</v>
      </c>
      <c r="K879">
        <v>103.57</v>
      </c>
      <c r="L879">
        <v>15</v>
      </c>
      <c r="M879" s="1" t="s">
        <v>39</v>
      </c>
      <c r="N879" s="1" t="s">
        <v>56</v>
      </c>
      <c r="O879">
        <v>2682.05</v>
      </c>
      <c r="P879" t="b">
        <v>1</v>
      </c>
      <c r="Q879">
        <v>0.41666666666666669</v>
      </c>
      <c r="R879">
        <v>536.41000000000008</v>
      </c>
      <c r="S879">
        <v>25.892499999999998</v>
      </c>
      <c r="T879" s="2">
        <v>44287</v>
      </c>
      <c r="U879" s="1" t="s">
        <v>51</v>
      </c>
      <c r="V879">
        <v>0</v>
      </c>
      <c r="W879" s="1" t="s">
        <v>56</v>
      </c>
      <c r="X879">
        <v>855</v>
      </c>
      <c r="Y879" s="1" t="s">
        <v>43</v>
      </c>
      <c r="Z879" s="1" t="s">
        <v>42</v>
      </c>
      <c r="AA879">
        <v>0.5</v>
      </c>
      <c r="AB879" s="1" t="s">
        <v>42</v>
      </c>
      <c r="AC879">
        <v>2</v>
      </c>
      <c r="AD879" s="2">
        <v>44287</v>
      </c>
      <c r="AE879" s="1" t="s">
        <v>58</v>
      </c>
      <c r="AF879" s="1" t="s">
        <v>72</v>
      </c>
      <c r="AG879" s="1" t="s">
        <v>63</v>
      </c>
      <c r="AH879" s="1" t="s">
        <v>64</v>
      </c>
      <c r="AI879">
        <v>2765</v>
      </c>
      <c r="AJ879">
        <v>-82.949999999999818</v>
      </c>
    </row>
    <row r="880" spans="1:36" x14ac:dyDescent="0.25">
      <c r="A880">
        <v>10879</v>
      </c>
      <c r="B880">
        <v>31</v>
      </c>
      <c r="C880" s="1" t="s">
        <v>36</v>
      </c>
      <c r="D880" s="1" t="s">
        <v>48</v>
      </c>
      <c r="E880" s="2">
        <v>44822</v>
      </c>
      <c r="F880" s="2">
        <v>44907</v>
      </c>
      <c r="G880" s="1" t="s">
        <v>62</v>
      </c>
      <c r="H880">
        <v>1256</v>
      </c>
      <c r="I880">
        <v>3</v>
      </c>
      <c r="J880">
        <v>3</v>
      </c>
      <c r="K880">
        <v>104.22</v>
      </c>
      <c r="L880">
        <v>0</v>
      </c>
      <c r="M880" s="1" t="s">
        <v>39</v>
      </c>
      <c r="N880" s="1" t="s">
        <v>56</v>
      </c>
      <c r="O880">
        <v>3768</v>
      </c>
      <c r="P880" t="b">
        <v>1</v>
      </c>
      <c r="Q880">
        <v>0.25</v>
      </c>
      <c r="R880">
        <v>1256</v>
      </c>
      <c r="S880">
        <v>26.055</v>
      </c>
      <c r="T880" s="2">
        <v>44805</v>
      </c>
      <c r="U880" s="1" t="s">
        <v>57</v>
      </c>
      <c r="V880">
        <v>0</v>
      </c>
      <c r="W880" s="1" t="s">
        <v>56</v>
      </c>
      <c r="X880">
        <v>85</v>
      </c>
      <c r="Y880" s="1" t="s">
        <v>43</v>
      </c>
      <c r="Z880" s="1" t="s">
        <v>42</v>
      </c>
      <c r="AA880">
        <v>0.75</v>
      </c>
      <c r="AB880" s="1" t="s">
        <v>42</v>
      </c>
      <c r="AC880">
        <v>2</v>
      </c>
      <c r="AD880" s="2">
        <v>44805</v>
      </c>
      <c r="AE880" s="1" t="s">
        <v>58</v>
      </c>
      <c r="AF880" s="1" t="s">
        <v>72</v>
      </c>
      <c r="AG880" s="1" t="s">
        <v>63</v>
      </c>
      <c r="AH880" s="1" t="s">
        <v>47</v>
      </c>
      <c r="AI880">
        <v>3768</v>
      </c>
      <c r="AJ880">
        <v>0</v>
      </c>
    </row>
    <row r="881" spans="1:36" x14ac:dyDescent="0.25">
      <c r="A881">
        <v>10880</v>
      </c>
      <c r="B881">
        <v>41</v>
      </c>
      <c r="C881" s="1" t="s">
        <v>60</v>
      </c>
      <c r="D881" s="1" t="s">
        <v>71</v>
      </c>
      <c r="E881" s="2">
        <v>44480</v>
      </c>
      <c r="F881" s="2">
        <v>44864</v>
      </c>
      <c r="G881" s="1" t="s">
        <v>62</v>
      </c>
      <c r="H881">
        <v>1169</v>
      </c>
      <c r="I881">
        <v>10</v>
      </c>
      <c r="J881">
        <v>2</v>
      </c>
      <c r="K881">
        <v>64.67</v>
      </c>
      <c r="L881">
        <v>0</v>
      </c>
      <c r="M881" s="1" t="s">
        <v>65</v>
      </c>
      <c r="N881" s="1" t="s">
        <v>40</v>
      </c>
      <c r="O881">
        <v>11690</v>
      </c>
      <c r="P881" t="b">
        <v>1</v>
      </c>
      <c r="Q881">
        <v>0.83333333333333337</v>
      </c>
      <c r="R881">
        <v>1169</v>
      </c>
      <c r="S881">
        <v>21.556666666666668</v>
      </c>
      <c r="T881" s="2">
        <v>44470</v>
      </c>
      <c r="U881" s="1" t="s">
        <v>51</v>
      </c>
      <c r="V881">
        <v>1</v>
      </c>
      <c r="W881" s="1" t="s">
        <v>56</v>
      </c>
      <c r="X881">
        <v>384</v>
      </c>
      <c r="Y881" s="1" t="s">
        <v>43</v>
      </c>
      <c r="Z881" s="1" t="s">
        <v>42</v>
      </c>
      <c r="AA881">
        <v>0.18181818181818182</v>
      </c>
      <c r="AB881" s="1" t="s">
        <v>52</v>
      </c>
      <c r="AC881">
        <v>2</v>
      </c>
      <c r="AD881" s="2">
        <v>44470</v>
      </c>
      <c r="AE881" s="1" t="s">
        <v>74</v>
      </c>
      <c r="AF881" s="1" t="s">
        <v>72</v>
      </c>
      <c r="AG881" s="1" t="s">
        <v>63</v>
      </c>
      <c r="AH881" s="1" t="s">
        <v>47</v>
      </c>
      <c r="AI881">
        <v>11690</v>
      </c>
      <c r="AJ881">
        <v>0</v>
      </c>
    </row>
    <row r="882" spans="1:36" x14ac:dyDescent="0.25">
      <c r="A882">
        <v>10881</v>
      </c>
      <c r="B882">
        <v>19</v>
      </c>
      <c r="C882" s="1" t="s">
        <v>36</v>
      </c>
      <c r="D882" s="1" t="s">
        <v>76</v>
      </c>
      <c r="E882" s="2">
        <v>44851</v>
      </c>
      <c r="F882" s="2">
        <v>45109</v>
      </c>
      <c r="G882" s="1" t="s">
        <v>49</v>
      </c>
      <c r="H882">
        <v>386</v>
      </c>
      <c r="I882">
        <v>19</v>
      </c>
      <c r="J882">
        <v>3</v>
      </c>
      <c r="K882">
        <v>44.96</v>
      </c>
      <c r="L882">
        <v>0</v>
      </c>
      <c r="M882" s="1" t="s">
        <v>50</v>
      </c>
      <c r="N882" s="1" t="s">
        <v>40</v>
      </c>
      <c r="O882">
        <v>7334</v>
      </c>
      <c r="P882" t="b">
        <v>1</v>
      </c>
      <c r="Q882">
        <v>1.5833333333333333</v>
      </c>
      <c r="R882">
        <v>386</v>
      </c>
      <c r="S882">
        <v>11.24</v>
      </c>
      <c r="T882" s="2">
        <v>44835</v>
      </c>
      <c r="U882" s="1" t="s">
        <v>66</v>
      </c>
      <c r="V882">
        <v>1</v>
      </c>
      <c r="W882" s="1" t="s">
        <v>56</v>
      </c>
      <c r="X882">
        <v>258</v>
      </c>
      <c r="Y882" s="1" t="s">
        <v>52</v>
      </c>
      <c r="Z882" s="1" t="s">
        <v>42</v>
      </c>
      <c r="AA882">
        <v>0.15</v>
      </c>
      <c r="AB882" s="1" t="s">
        <v>42</v>
      </c>
      <c r="AC882">
        <v>3</v>
      </c>
      <c r="AD882" s="2">
        <v>44835</v>
      </c>
      <c r="AE882" s="1" t="s">
        <v>53</v>
      </c>
      <c r="AF882" s="1" t="s">
        <v>72</v>
      </c>
      <c r="AG882" s="1" t="s">
        <v>55</v>
      </c>
      <c r="AH882" s="1" t="s">
        <v>68</v>
      </c>
      <c r="AI882">
        <v>7334</v>
      </c>
      <c r="AJ882">
        <v>0</v>
      </c>
    </row>
    <row r="883" spans="1:36" x14ac:dyDescent="0.25">
      <c r="A883">
        <v>10882</v>
      </c>
      <c r="B883">
        <v>62</v>
      </c>
      <c r="C883" s="1" t="s">
        <v>36</v>
      </c>
      <c r="D883" s="1" t="s">
        <v>48</v>
      </c>
      <c r="E883" s="2">
        <v>44419</v>
      </c>
      <c r="F883" s="2">
        <v>45022</v>
      </c>
      <c r="G883" s="1" t="s">
        <v>38</v>
      </c>
      <c r="H883">
        <v>1348</v>
      </c>
      <c r="I883">
        <v>14</v>
      </c>
      <c r="J883">
        <v>2</v>
      </c>
      <c r="K883">
        <v>78.55</v>
      </c>
      <c r="L883">
        <v>20</v>
      </c>
      <c r="M883" s="1" t="s">
        <v>50</v>
      </c>
      <c r="N883" s="1" t="s">
        <v>40</v>
      </c>
      <c r="O883">
        <v>18602.400000000001</v>
      </c>
      <c r="P883" t="b">
        <v>1</v>
      </c>
      <c r="Q883">
        <v>1.1666666666666667</v>
      </c>
      <c r="R883">
        <v>1328.7428571428572</v>
      </c>
      <c r="S883">
        <v>26.183333333333334</v>
      </c>
      <c r="T883" s="2">
        <v>44409</v>
      </c>
      <c r="U883" s="1" t="s">
        <v>41</v>
      </c>
      <c r="V883">
        <v>1</v>
      </c>
      <c r="W883" s="1" t="s">
        <v>40</v>
      </c>
      <c r="X883">
        <v>603</v>
      </c>
      <c r="Y883" s="1" t="s">
        <v>43</v>
      </c>
      <c r="Z883" s="1" t="s">
        <v>52</v>
      </c>
      <c r="AA883">
        <v>0.13333333333333333</v>
      </c>
      <c r="AB883" s="1" t="s">
        <v>52</v>
      </c>
      <c r="AC883">
        <v>1</v>
      </c>
      <c r="AD883" s="2">
        <v>44409</v>
      </c>
      <c r="AE883" s="1" t="s">
        <v>53</v>
      </c>
      <c r="AF883" s="1" t="s">
        <v>72</v>
      </c>
      <c r="AG883" s="1" t="s">
        <v>63</v>
      </c>
      <c r="AH883" s="1" t="s">
        <v>47</v>
      </c>
      <c r="AI883">
        <v>18872</v>
      </c>
      <c r="AJ883">
        <v>-269.59999999999854</v>
      </c>
    </row>
    <row r="884" spans="1:36" x14ac:dyDescent="0.25">
      <c r="A884">
        <v>10883</v>
      </c>
      <c r="B884">
        <v>43</v>
      </c>
      <c r="C884" s="1" t="s">
        <v>60</v>
      </c>
      <c r="D884" s="1" t="s">
        <v>48</v>
      </c>
      <c r="E884" s="2">
        <v>44940</v>
      </c>
      <c r="F884" s="2">
        <v>44850</v>
      </c>
      <c r="G884" s="1" t="s">
        <v>62</v>
      </c>
      <c r="H884">
        <v>521</v>
      </c>
      <c r="I884">
        <v>21</v>
      </c>
      <c r="J884">
        <v>2</v>
      </c>
      <c r="K884">
        <v>62.59</v>
      </c>
      <c r="L884">
        <v>20</v>
      </c>
      <c r="M884" s="1" t="s">
        <v>67</v>
      </c>
      <c r="N884" s="1" t="s">
        <v>56</v>
      </c>
      <c r="O884">
        <v>10836.8</v>
      </c>
      <c r="P884" t="b">
        <v>0</v>
      </c>
      <c r="Q884">
        <v>1.75</v>
      </c>
      <c r="R884">
        <v>516.03809523809525</v>
      </c>
      <c r="S884">
        <v>20.863333333333333</v>
      </c>
      <c r="T884" s="2">
        <v>44927</v>
      </c>
      <c r="U884" s="1" t="s">
        <v>51</v>
      </c>
      <c r="V884">
        <v>0</v>
      </c>
      <c r="W884" s="1" t="s">
        <v>56</v>
      </c>
      <c r="Y884" s="1" t="s">
        <v>43</v>
      </c>
      <c r="Z884" s="1" t="s">
        <v>52</v>
      </c>
      <c r="AA884">
        <v>9.0909090909090912E-2</v>
      </c>
      <c r="AB884" s="1" t="s">
        <v>52</v>
      </c>
      <c r="AC884">
        <v>2</v>
      </c>
      <c r="AD884" s="2">
        <v>44927</v>
      </c>
      <c r="AE884" s="1" t="s">
        <v>53</v>
      </c>
      <c r="AF884" s="1" t="s">
        <v>72</v>
      </c>
      <c r="AG884" s="1" t="s">
        <v>63</v>
      </c>
      <c r="AH884" s="1" t="s">
        <v>64</v>
      </c>
      <c r="AI884">
        <v>10941</v>
      </c>
      <c r="AJ884">
        <v>-104.20000000000073</v>
      </c>
    </row>
    <row r="885" spans="1:36" x14ac:dyDescent="0.25">
      <c r="A885">
        <v>10884</v>
      </c>
      <c r="B885">
        <v>41</v>
      </c>
      <c r="C885" s="1" t="s">
        <v>36</v>
      </c>
      <c r="D885" s="1" t="s">
        <v>71</v>
      </c>
      <c r="E885" s="2">
        <v>44659</v>
      </c>
      <c r="F885" s="2">
        <v>45061</v>
      </c>
      <c r="G885" s="1" t="s">
        <v>62</v>
      </c>
      <c r="H885">
        <v>1289</v>
      </c>
      <c r="I885">
        <v>28</v>
      </c>
      <c r="J885">
        <v>1</v>
      </c>
      <c r="K885">
        <v>14.37</v>
      </c>
      <c r="L885">
        <v>15</v>
      </c>
      <c r="M885" s="1" t="s">
        <v>50</v>
      </c>
      <c r="N885" s="1" t="s">
        <v>56</v>
      </c>
      <c r="O885">
        <v>35898.65</v>
      </c>
      <c r="P885" t="b">
        <v>1</v>
      </c>
      <c r="Q885">
        <v>2.3333333333333335</v>
      </c>
      <c r="R885">
        <v>1282.0946428571428</v>
      </c>
      <c r="S885">
        <v>7.1849999999999996</v>
      </c>
      <c r="T885" s="2">
        <v>44652</v>
      </c>
      <c r="U885" s="1" t="s">
        <v>51</v>
      </c>
      <c r="V885">
        <v>0</v>
      </c>
      <c r="W885" s="1" t="s">
        <v>40</v>
      </c>
      <c r="X885">
        <v>402</v>
      </c>
      <c r="Y885" s="1" t="s">
        <v>42</v>
      </c>
      <c r="Z885" s="1" t="s">
        <v>42</v>
      </c>
      <c r="AA885">
        <v>3.4482758620689655E-2</v>
      </c>
      <c r="AB885" s="1" t="s">
        <v>43</v>
      </c>
      <c r="AC885">
        <v>2</v>
      </c>
      <c r="AD885" s="2">
        <v>44652</v>
      </c>
      <c r="AE885" s="1" t="s">
        <v>44</v>
      </c>
      <c r="AF885" s="1" t="s">
        <v>54</v>
      </c>
      <c r="AG885" s="1" t="s">
        <v>46</v>
      </c>
      <c r="AH885" s="1" t="s">
        <v>47</v>
      </c>
      <c r="AI885">
        <v>36092</v>
      </c>
      <c r="AJ885">
        <v>-193.34999999999854</v>
      </c>
    </row>
    <row r="886" spans="1:36" x14ac:dyDescent="0.25">
      <c r="A886">
        <v>10885</v>
      </c>
      <c r="B886">
        <v>24</v>
      </c>
      <c r="C886" s="1" t="s">
        <v>36</v>
      </c>
      <c r="D886" s="1" t="s">
        <v>73</v>
      </c>
      <c r="E886" s="2">
        <v>44741</v>
      </c>
      <c r="F886" s="2">
        <v>44814</v>
      </c>
      <c r="G886" s="1" t="s">
        <v>38</v>
      </c>
      <c r="H886">
        <v>696</v>
      </c>
      <c r="I886">
        <v>21</v>
      </c>
      <c r="J886">
        <v>2</v>
      </c>
      <c r="K886">
        <v>48.45</v>
      </c>
      <c r="L886">
        <v>0</v>
      </c>
      <c r="M886" s="1" t="s">
        <v>67</v>
      </c>
      <c r="N886" s="1" t="s">
        <v>56</v>
      </c>
      <c r="O886">
        <v>14616</v>
      </c>
      <c r="P886" t="b">
        <v>1</v>
      </c>
      <c r="Q886">
        <v>1.75</v>
      </c>
      <c r="R886">
        <v>696</v>
      </c>
      <c r="S886">
        <v>16.150000000000002</v>
      </c>
      <c r="T886" s="2">
        <v>44713</v>
      </c>
      <c r="U886" s="1" t="s">
        <v>66</v>
      </c>
      <c r="V886">
        <v>0</v>
      </c>
      <c r="W886" s="1" t="s">
        <v>40</v>
      </c>
      <c r="X886">
        <v>73</v>
      </c>
      <c r="Y886" s="1" t="s">
        <v>52</v>
      </c>
      <c r="Z886" s="1" t="s">
        <v>42</v>
      </c>
      <c r="AA886">
        <v>9.0909090909090912E-2</v>
      </c>
      <c r="AB886" s="1" t="s">
        <v>52</v>
      </c>
      <c r="AC886">
        <v>1</v>
      </c>
      <c r="AD886" s="2">
        <v>44713</v>
      </c>
      <c r="AE886" s="1" t="s">
        <v>53</v>
      </c>
      <c r="AF886" s="1" t="s">
        <v>72</v>
      </c>
      <c r="AG886" s="1" t="s">
        <v>63</v>
      </c>
      <c r="AH886" s="1" t="s">
        <v>64</v>
      </c>
      <c r="AI886">
        <v>14616</v>
      </c>
      <c r="AJ886">
        <v>0</v>
      </c>
    </row>
    <row r="887" spans="1:36" x14ac:dyDescent="0.25">
      <c r="A887">
        <v>10886</v>
      </c>
      <c r="B887">
        <v>20</v>
      </c>
      <c r="C887" s="1" t="s">
        <v>36</v>
      </c>
      <c r="D887" s="1" t="s">
        <v>73</v>
      </c>
      <c r="E887" s="2">
        <v>44472</v>
      </c>
      <c r="F887" s="2">
        <v>44448</v>
      </c>
      <c r="G887" s="1" t="s">
        <v>38</v>
      </c>
      <c r="H887">
        <v>1237</v>
      </c>
      <c r="I887">
        <v>24</v>
      </c>
      <c r="J887">
        <v>3</v>
      </c>
      <c r="K887">
        <v>119.32</v>
      </c>
      <c r="L887">
        <v>0</v>
      </c>
      <c r="M887" s="1" t="s">
        <v>39</v>
      </c>
      <c r="N887" s="1" t="s">
        <v>56</v>
      </c>
      <c r="O887">
        <v>29688</v>
      </c>
      <c r="P887" t="b">
        <v>0</v>
      </c>
      <c r="Q887">
        <v>2</v>
      </c>
      <c r="R887">
        <v>1237</v>
      </c>
      <c r="S887">
        <v>29.83</v>
      </c>
      <c r="T887" s="2">
        <v>44470</v>
      </c>
      <c r="U887" s="1" t="s">
        <v>66</v>
      </c>
      <c r="V887">
        <v>0</v>
      </c>
      <c r="W887" s="1" t="s">
        <v>40</v>
      </c>
      <c r="Y887" s="1" t="s">
        <v>43</v>
      </c>
      <c r="Z887" s="1" t="s">
        <v>42</v>
      </c>
      <c r="AA887">
        <v>0.12</v>
      </c>
      <c r="AB887" s="1" t="s">
        <v>43</v>
      </c>
      <c r="AC887">
        <v>1</v>
      </c>
      <c r="AD887" s="2">
        <v>44470</v>
      </c>
      <c r="AE887" s="1" t="s">
        <v>53</v>
      </c>
      <c r="AF887" s="1" t="s">
        <v>72</v>
      </c>
      <c r="AG887" s="1" t="s">
        <v>63</v>
      </c>
      <c r="AH887" s="1" t="s">
        <v>47</v>
      </c>
      <c r="AI887">
        <v>29688</v>
      </c>
      <c r="AJ887">
        <v>0</v>
      </c>
    </row>
    <row r="888" spans="1:36" x14ac:dyDescent="0.25">
      <c r="A888">
        <v>10887</v>
      </c>
      <c r="B888">
        <v>64</v>
      </c>
      <c r="C888" s="1" t="s">
        <v>36</v>
      </c>
      <c r="D888" s="1" t="s">
        <v>71</v>
      </c>
      <c r="E888" s="2">
        <v>44878</v>
      </c>
      <c r="F888" s="2">
        <v>44930</v>
      </c>
      <c r="G888" s="1" t="s">
        <v>62</v>
      </c>
      <c r="H888">
        <v>810</v>
      </c>
      <c r="I888">
        <v>17</v>
      </c>
      <c r="J888">
        <v>1</v>
      </c>
      <c r="K888">
        <v>10.58</v>
      </c>
      <c r="L888">
        <v>15</v>
      </c>
      <c r="M888" s="1" t="s">
        <v>65</v>
      </c>
      <c r="N888" s="1" t="s">
        <v>56</v>
      </c>
      <c r="O888">
        <v>13648.5</v>
      </c>
      <c r="P888" t="b">
        <v>1</v>
      </c>
      <c r="Q888">
        <v>1.4166666666666667</v>
      </c>
      <c r="R888">
        <v>802.85294117647061</v>
      </c>
      <c r="S888">
        <v>5.29</v>
      </c>
      <c r="T888" s="2">
        <v>44866</v>
      </c>
      <c r="U888" s="1" t="s">
        <v>41</v>
      </c>
      <c r="V888">
        <v>0</v>
      </c>
      <c r="W888" s="1" t="s">
        <v>40</v>
      </c>
      <c r="X888">
        <v>52</v>
      </c>
      <c r="Y888" s="1" t="s">
        <v>42</v>
      </c>
      <c r="Z888" s="1" t="s">
        <v>42</v>
      </c>
      <c r="AA888">
        <v>5.5555555555555552E-2</v>
      </c>
      <c r="AB888" s="1" t="s">
        <v>52</v>
      </c>
      <c r="AC888">
        <v>2</v>
      </c>
      <c r="AD888" s="2">
        <v>44866</v>
      </c>
      <c r="AE888" s="1" t="s">
        <v>53</v>
      </c>
      <c r="AF888" s="1" t="s">
        <v>54</v>
      </c>
      <c r="AG888" s="1" t="s">
        <v>46</v>
      </c>
      <c r="AH888" s="1" t="s">
        <v>59</v>
      </c>
      <c r="AI888">
        <v>13770</v>
      </c>
      <c r="AJ888">
        <v>-121.5</v>
      </c>
    </row>
    <row r="889" spans="1:36" x14ac:dyDescent="0.25">
      <c r="A889">
        <v>10888</v>
      </c>
      <c r="B889">
        <v>40</v>
      </c>
      <c r="C889" s="1" t="s">
        <v>60</v>
      </c>
      <c r="D889" s="1" t="s">
        <v>73</v>
      </c>
      <c r="E889" s="2">
        <v>44336</v>
      </c>
      <c r="F889" s="2">
        <v>45022</v>
      </c>
      <c r="G889" s="1" t="s">
        <v>49</v>
      </c>
      <c r="H889">
        <v>860</v>
      </c>
      <c r="I889">
        <v>22</v>
      </c>
      <c r="J889">
        <v>2</v>
      </c>
      <c r="K889">
        <v>85.12</v>
      </c>
      <c r="L889">
        <v>15</v>
      </c>
      <c r="M889" s="1" t="s">
        <v>39</v>
      </c>
      <c r="N889" s="1" t="s">
        <v>56</v>
      </c>
      <c r="O889">
        <v>18791</v>
      </c>
      <c r="P889" t="b">
        <v>1</v>
      </c>
      <c r="Q889">
        <v>1.8333333333333333</v>
      </c>
      <c r="R889">
        <v>854.13636363636363</v>
      </c>
      <c r="S889">
        <v>28.373333333333335</v>
      </c>
      <c r="T889" s="2">
        <v>44317</v>
      </c>
      <c r="U889" s="1" t="s">
        <v>51</v>
      </c>
      <c r="V889">
        <v>0</v>
      </c>
      <c r="W889" s="1" t="s">
        <v>40</v>
      </c>
      <c r="X889">
        <v>686</v>
      </c>
      <c r="Y889" s="1" t="s">
        <v>43</v>
      </c>
      <c r="Z889" s="1" t="s">
        <v>42</v>
      </c>
      <c r="AA889">
        <v>8.6956521739130432E-2</v>
      </c>
      <c r="AB889" s="1" t="s">
        <v>52</v>
      </c>
      <c r="AC889">
        <v>3</v>
      </c>
      <c r="AD889" s="2">
        <v>44317</v>
      </c>
      <c r="AE889" s="1" t="s">
        <v>53</v>
      </c>
      <c r="AF889" s="1" t="s">
        <v>72</v>
      </c>
      <c r="AG889" s="1" t="s">
        <v>63</v>
      </c>
      <c r="AH889" s="1" t="s">
        <v>59</v>
      </c>
      <c r="AI889">
        <v>18920</v>
      </c>
      <c r="AJ889">
        <v>-129</v>
      </c>
    </row>
    <row r="890" spans="1:36" x14ac:dyDescent="0.25">
      <c r="A890">
        <v>10889</v>
      </c>
      <c r="B890">
        <v>63</v>
      </c>
      <c r="C890" s="1" t="s">
        <v>60</v>
      </c>
      <c r="D890" s="1" t="s">
        <v>73</v>
      </c>
      <c r="E890" s="2">
        <v>44553</v>
      </c>
      <c r="F890" s="2">
        <v>45032</v>
      </c>
      <c r="G890" s="1" t="s">
        <v>62</v>
      </c>
      <c r="H890">
        <v>1145</v>
      </c>
      <c r="I890">
        <v>19</v>
      </c>
      <c r="J890">
        <v>2</v>
      </c>
      <c r="K890">
        <v>62.59</v>
      </c>
      <c r="L890">
        <v>10</v>
      </c>
      <c r="M890" s="1" t="s">
        <v>39</v>
      </c>
      <c r="N890" s="1" t="s">
        <v>40</v>
      </c>
      <c r="O890">
        <v>21583.25</v>
      </c>
      <c r="P890" t="b">
        <v>1</v>
      </c>
      <c r="Q890">
        <v>1.5833333333333333</v>
      </c>
      <c r="R890">
        <v>1135.9605263157894</v>
      </c>
      <c r="S890">
        <v>20.863333333333333</v>
      </c>
      <c r="T890" s="2">
        <v>44531</v>
      </c>
      <c r="U890" s="1" t="s">
        <v>41</v>
      </c>
      <c r="V890">
        <v>1</v>
      </c>
      <c r="W890" s="1" t="s">
        <v>40</v>
      </c>
      <c r="X890">
        <v>479</v>
      </c>
      <c r="Y890" s="1" t="s">
        <v>43</v>
      </c>
      <c r="Z890" s="1" t="s">
        <v>42</v>
      </c>
      <c r="AA890">
        <v>0.1</v>
      </c>
      <c r="AB890" s="1" t="s">
        <v>43</v>
      </c>
      <c r="AC890">
        <v>2</v>
      </c>
      <c r="AD890" s="2">
        <v>44531</v>
      </c>
      <c r="AE890" s="1" t="s">
        <v>53</v>
      </c>
      <c r="AF890" s="1" t="s">
        <v>72</v>
      </c>
      <c r="AG890" s="1" t="s">
        <v>63</v>
      </c>
      <c r="AH890" s="1" t="s">
        <v>47</v>
      </c>
      <c r="AI890">
        <v>21755</v>
      </c>
      <c r="AJ890">
        <v>-171.75</v>
      </c>
    </row>
    <row r="891" spans="1:36" x14ac:dyDescent="0.25">
      <c r="A891">
        <v>10890</v>
      </c>
      <c r="B891">
        <v>60</v>
      </c>
      <c r="C891" s="1" t="s">
        <v>60</v>
      </c>
      <c r="D891" s="1" t="s">
        <v>61</v>
      </c>
      <c r="E891" s="2">
        <v>44909</v>
      </c>
      <c r="F891" s="2">
        <v>44488</v>
      </c>
      <c r="G891" s="1" t="s">
        <v>49</v>
      </c>
      <c r="H891">
        <v>739</v>
      </c>
      <c r="I891">
        <v>10</v>
      </c>
      <c r="J891">
        <v>2</v>
      </c>
      <c r="K891">
        <v>79.599999999999994</v>
      </c>
      <c r="L891">
        <v>5</v>
      </c>
      <c r="M891" s="1" t="s">
        <v>39</v>
      </c>
      <c r="N891" s="1" t="s">
        <v>56</v>
      </c>
      <c r="O891">
        <v>7353.05</v>
      </c>
      <c r="P891" t="b">
        <v>0</v>
      </c>
      <c r="Q891">
        <v>0.83333333333333337</v>
      </c>
      <c r="R891">
        <v>735.30500000000006</v>
      </c>
      <c r="S891">
        <v>26.533333333333331</v>
      </c>
      <c r="T891" s="2">
        <v>44896</v>
      </c>
      <c r="U891" s="1" t="s">
        <v>41</v>
      </c>
      <c r="V891">
        <v>0</v>
      </c>
      <c r="W891" s="1" t="s">
        <v>56</v>
      </c>
      <c r="Y891" s="1" t="s">
        <v>43</v>
      </c>
      <c r="Z891" s="1" t="s">
        <v>42</v>
      </c>
      <c r="AA891">
        <v>0.18181818181818182</v>
      </c>
      <c r="AB891" s="1" t="s">
        <v>42</v>
      </c>
      <c r="AC891">
        <v>3</v>
      </c>
      <c r="AD891" s="2">
        <v>44896</v>
      </c>
      <c r="AE891" s="1" t="s">
        <v>74</v>
      </c>
      <c r="AF891" s="1" t="s">
        <v>72</v>
      </c>
      <c r="AG891" s="1" t="s">
        <v>63</v>
      </c>
      <c r="AH891" s="1" t="s">
        <v>59</v>
      </c>
      <c r="AI891">
        <v>7390</v>
      </c>
      <c r="AJ891">
        <v>-36.949999999999818</v>
      </c>
    </row>
    <row r="892" spans="1:36" x14ac:dyDescent="0.25">
      <c r="A892">
        <v>10891</v>
      </c>
      <c r="B892">
        <v>64</v>
      </c>
      <c r="C892" s="1" t="s">
        <v>60</v>
      </c>
      <c r="D892" s="1" t="s">
        <v>61</v>
      </c>
      <c r="E892" s="2">
        <v>44219</v>
      </c>
      <c r="F892" s="2">
        <v>44485</v>
      </c>
      <c r="G892" s="1" t="s">
        <v>38</v>
      </c>
      <c r="H892">
        <v>1498</v>
      </c>
      <c r="I892">
        <v>11</v>
      </c>
      <c r="J892">
        <v>2</v>
      </c>
      <c r="K892">
        <v>70.52</v>
      </c>
      <c r="L892">
        <v>15</v>
      </c>
      <c r="M892" s="1" t="s">
        <v>67</v>
      </c>
      <c r="N892" s="1" t="s">
        <v>56</v>
      </c>
      <c r="O892">
        <v>16253.3</v>
      </c>
      <c r="P892" t="b">
        <v>1</v>
      </c>
      <c r="Q892">
        <v>0.91666666666666663</v>
      </c>
      <c r="R892">
        <v>1477.5727272727272</v>
      </c>
      <c r="S892">
        <v>23.506666666666664</v>
      </c>
      <c r="T892" s="2">
        <v>44197</v>
      </c>
      <c r="U892" s="1" t="s">
        <v>41</v>
      </c>
      <c r="V892">
        <v>0</v>
      </c>
      <c r="W892" s="1" t="s">
        <v>40</v>
      </c>
      <c r="X892">
        <v>266</v>
      </c>
      <c r="Y892" s="1" t="s">
        <v>43</v>
      </c>
      <c r="Z892" s="1" t="s">
        <v>42</v>
      </c>
      <c r="AA892">
        <v>0.16666666666666666</v>
      </c>
      <c r="AB892" s="1" t="s">
        <v>52</v>
      </c>
      <c r="AC892">
        <v>1</v>
      </c>
      <c r="AD892" s="2">
        <v>44197</v>
      </c>
      <c r="AE892" s="1" t="s">
        <v>74</v>
      </c>
      <c r="AF892" s="1" t="s">
        <v>72</v>
      </c>
      <c r="AG892" s="1" t="s">
        <v>63</v>
      </c>
      <c r="AH892" s="1" t="s">
        <v>47</v>
      </c>
      <c r="AI892">
        <v>16478</v>
      </c>
      <c r="AJ892">
        <v>-224.70000000000073</v>
      </c>
    </row>
    <row r="893" spans="1:36" x14ac:dyDescent="0.25">
      <c r="A893">
        <v>10892</v>
      </c>
      <c r="B893">
        <v>62</v>
      </c>
      <c r="C893" s="1" t="s">
        <v>36</v>
      </c>
      <c r="D893" s="1" t="s">
        <v>71</v>
      </c>
      <c r="E893" s="2">
        <v>44932</v>
      </c>
      <c r="F893" s="2">
        <v>44925</v>
      </c>
      <c r="G893" s="1" t="s">
        <v>38</v>
      </c>
      <c r="H893">
        <v>610</v>
      </c>
      <c r="I893">
        <v>2</v>
      </c>
      <c r="J893">
        <v>1</v>
      </c>
      <c r="K893">
        <v>86.37</v>
      </c>
      <c r="L893">
        <v>10</v>
      </c>
      <c r="M893" s="1" t="s">
        <v>65</v>
      </c>
      <c r="N893" s="1" t="s">
        <v>40</v>
      </c>
      <c r="O893">
        <v>1159</v>
      </c>
      <c r="P893" t="b">
        <v>0</v>
      </c>
      <c r="Q893">
        <v>0.16666666666666666</v>
      </c>
      <c r="R893">
        <v>579.5</v>
      </c>
      <c r="S893">
        <v>43.185000000000002</v>
      </c>
      <c r="T893" s="2">
        <v>44927</v>
      </c>
      <c r="U893" s="1" t="s">
        <v>41</v>
      </c>
      <c r="V893">
        <v>1</v>
      </c>
      <c r="W893" s="1" t="s">
        <v>56</v>
      </c>
      <c r="Y893" s="1" t="s">
        <v>43</v>
      </c>
      <c r="Z893" s="1" t="s">
        <v>42</v>
      </c>
      <c r="AA893">
        <v>0.33333333333333331</v>
      </c>
      <c r="AB893" s="1" t="s">
        <v>42</v>
      </c>
      <c r="AC893">
        <v>1</v>
      </c>
      <c r="AD893" s="2">
        <v>44927</v>
      </c>
      <c r="AE893" s="1" t="s">
        <v>58</v>
      </c>
      <c r="AF893" s="1" t="s">
        <v>54</v>
      </c>
      <c r="AG893" s="1" t="s">
        <v>63</v>
      </c>
      <c r="AH893" s="1" t="s">
        <v>64</v>
      </c>
      <c r="AI893">
        <v>1220</v>
      </c>
      <c r="AJ893">
        <v>-61</v>
      </c>
    </row>
    <row r="894" spans="1:36" x14ac:dyDescent="0.25">
      <c r="A894">
        <v>10893</v>
      </c>
      <c r="B894">
        <v>35</v>
      </c>
      <c r="C894" s="1" t="s">
        <v>60</v>
      </c>
      <c r="D894" s="1" t="s">
        <v>37</v>
      </c>
      <c r="E894" s="2">
        <v>45076</v>
      </c>
      <c r="F894" s="2">
        <v>45057</v>
      </c>
      <c r="G894" s="1" t="s">
        <v>38</v>
      </c>
      <c r="H894">
        <v>334</v>
      </c>
      <c r="I894">
        <v>33</v>
      </c>
      <c r="J894">
        <v>2</v>
      </c>
      <c r="K894">
        <v>54.37</v>
      </c>
      <c r="L894">
        <v>20</v>
      </c>
      <c r="M894" s="1" t="s">
        <v>39</v>
      </c>
      <c r="N894" s="1" t="s">
        <v>56</v>
      </c>
      <c r="O894">
        <v>10955.2</v>
      </c>
      <c r="P894" t="b">
        <v>0</v>
      </c>
      <c r="Q894">
        <v>2.75</v>
      </c>
      <c r="R894">
        <v>331.9757575757576</v>
      </c>
      <c r="S894">
        <v>18.123333333333331</v>
      </c>
      <c r="T894" s="2">
        <v>45047</v>
      </c>
      <c r="U894" s="1" t="s">
        <v>57</v>
      </c>
      <c r="V894">
        <v>0</v>
      </c>
      <c r="W894" s="1" t="s">
        <v>56</v>
      </c>
      <c r="Y894" s="1" t="s">
        <v>52</v>
      </c>
      <c r="Z894" s="1" t="s">
        <v>52</v>
      </c>
      <c r="AA894">
        <v>5.8823529411764705E-2</v>
      </c>
      <c r="AB894" s="1" t="s">
        <v>52</v>
      </c>
      <c r="AC894">
        <v>1</v>
      </c>
      <c r="AD894" s="2">
        <v>45047</v>
      </c>
      <c r="AE894" s="1" t="s">
        <v>44</v>
      </c>
      <c r="AF894" s="1" t="s">
        <v>72</v>
      </c>
      <c r="AG894" s="1" t="s">
        <v>63</v>
      </c>
      <c r="AH894" s="1" t="s">
        <v>68</v>
      </c>
      <c r="AI894">
        <v>11022</v>
      </c>
      <c r="AJ894">
        <v>-66.799999999999272</v>
      </c>
    </row>
    <row r="895" spans="1:36" x14ac:dyDescent="0.25">
      <c r="A895">
        <v>10894</v>
      </c>
      <c r="B895">
        <v>55</v>
      </c>
      <c r="C895" s="1" t="s">
        <v>36</v>
      </c>
      <c r="D895" s="1" t="s">
        <v>48</v>
      </c>
      <c r="E895" s="2">
        <v>44466</v>
      </c>
      <c r="F895" s="2">
        <v>45187</v>
      </c>
      <c r="G895" s="1" t="s">
        <v>38</v>
      </c>
      <c r="H895">
        <v>516</v>
      </c>
      <c r="I895">
        <v>31</v>
      </c>
      <c r="J895">
        <v>0</v>
      </c>
      <c r="K895">
        <v>15.51</v>
      </c>
      <c r="L895">
        <v>15</v>
      </c>
      <c r="M895" s="1" t="s">
        <v>67</v>
      </c>
      <c r="N895" s="1" t="s">
        <v>40</v>
      </c>
      <c r="O895">
        <v>15918.6</v>
      </c>
      <c r="P895" t="b">
        <v>1</v>
      </c>
      <c r="Q895">
        <v>2.5833333333333335</v>
      </c>
      <c r="R895">
        <v>513.50322580645161</v>
      </c>
      <c r="S895">
        <v>15.51</v>
      </c>
      <c r="T895" s="2">
        <v>44440</v>
      </c>
      <c r="U895" s="1" t="s">
        <v>41</v>
      </c>
      <c r="V895">
        <v>1</v>
      </c>
      <c r="W895" s="1" t="s">
        <v>40</v>
      </c>
      <c r="X895">
        <v>721</v>
      </c>
      <c r="Y895" s="1" t="s">
        <v>42</v>
      </c>
      <c r="Z895" s="1" t="s">
        <v>42</v>
      </c>
      <c r="AA895">
        <v>0</v>
      </c>
      <c r="AB895" s="1" t="s">
        <v>52</v>
      </c>
      <c r="AC895">
        <v>1</v>
      </c>
      <c r="AD895" s="2">
        <v>44440</v>
      </c>
      <c r="AE895" s="1" t="s">
        <v>44</v>
      </c>
      <c r="AF895" s="1" t="s">
        <v>54</v>
      </c>
      <c r="AG895" s="1" t="s">
        <v>46</v>
      </c>
      <c r="AH895" s="1" t="s">
        <v>64</v>
      </c>
      <c r="AI895">
        <v>15996</v>
      </c>
      <c r="AJ895">
        <v>-77.399999999999636</v>
      </c>
    </row>
    <row r="896" spans="1:36" x14ac:dyDescent="0.25">
      <c r="A896">
        <v>10895</v>
      </c>
      <c r="B896">
        <v>52</v>
      </c>
      <c r="C896" s="1" t="s">
        <v>36</v>
      </c>
      <c r="D896" s="1" t="s">
        <v>61</v>
      </c>
      <c r="E896" s="2">
        <v>45055</v>
      </c>
      <c r="F896" s="2">
        <v>44575</v>
      </c>
      <c r="G896" s="1" t="s">
        <v>38</v>
      </c>
      <c r="H896">
        <v>1020</v>
      </c>
      <c r="I896">
        <v>35</v>
      </c>
      <c r="J896">
        <v>3</v>
      </c>
      <c r="K896">
        <v>115.67</v>
      </c>
      <c r="L896">
        <v>5</v>
      </c>
      <c r="M896" s="1" t="s">
        <v>39</v>
      </c>
      <c r="N896" s="1" t="s">
        <v>56</v>
      </c>
      <c r="O896">
        <v>35649</v>
      </c>
      <c r="P896" t="b">
        <v>0</v>
      </c>
      <c r="Q896">
        <v>2.9166666666666665</v>
      </c>
      <c r="R896">
        <v>1018.5428571428571</v>
      </c>
      <c r="S896">
        <v>28.9175</v>
      </c>
      <c r="T896" s="2">
        <v>45047</v>
      </c>
      <c r="U896" s="1" t="s">
        <v>41</v>
      </c>
      <c r="V896">
        <v>0</v>
      </c>
      <c r="W896" s="1" t="s">
        <v>40</v>
      </c>
      <c r="Y896" s="1" t="s">
        <v>43</v>
      </c>
      <c r="Z896" s="1" t="s">
        <v>42</v>
      </c>
      <c r="AA896">
        <v>8.3333333333333329E-2</v>
      </c>
      <c r="AB896" s="1" t="s">
        <v>43</v>
      </c>
      <c r="AC896">
        <v>1</v>
      </c>
      <c r="AD896" s="2">
        <v>45047</v>
      </c>
      <c r="AE896" s="1" t="s">
        <v>44</v>
      </c>
      <c r="AF896" s="1" t="s">
        <v>72</v>
      </c>
      <c r="AG896" s="1" t="s">
        <v>63</v>
      </c>
      <c r="AH896" s="1" t="s">
        <v>47</v>
      </c>
      <c r="AI896">
        <v>35700</v>
      </c>
      <c r="AJ896">
        <v>-51</v>
      </c>
    </row>
    <row r="897" spans="1:36" x14ac:dyDescent="0.25">
      <c r="A897">
        <v>10896</v>
      </c>
      <c r="B897">
        <v>32</v>
      </c>
      <c r="C897" s="1" t="s">
        <v>60</v>
      </c>
      <c r="D897" s="1" t="s">
        <v>48</v>
      </c>
      <c r="E897" s="2">
        <v>44861</v>
      </c>
      <c r="F897" s="2">
        <v>44628</v>
      </c>
      <c r="G897" s="1" t="s">
        <v>38</v>
      </c>
      <c r="H897">
        <v>1315</v>
      </c>
      <c r="I897">
        <v>23</v>
      </c>
      <c r="J897">
        <v>3</v>
      </c>
      <c r="K897">
        <v>54.71</v>
      </c>
      <c r="L897">
        <v>10</v>
      </c>
      <c r="M897" s="1" t="s">
        <v>65</v>
      </c>
      <c r="N897" s="1" t="s">
        <v>40</v>
      </c>
      <c r="O897">
        <v>30113.5</v>
      </c>
      <c r="P897" t="b">
        <v>0</v>
      </c>
      <c r="Q897">
        <v>1.9166666666666667</v>
      </c>
      <c r="R897">
        <v>1309.2826086956522</v>
      </c>
      <c r="S897">
        <v>13.6775</v>
      </c>
      <c r="T897" s="2">
        <v>44835</v>
      </c>
      <c r="U897" s="1" t="s">
        <v>57</v>
      </c>
      <c r="V897">
        <v>1</v>
      </c>
      <c r="W897" s="1" t="s">
        <v>40</v>
      </c>
      <c r="Y897" s="1" t="s">
        <v>52</v>
      </c>
      <c r="Z897" s="1" t="s">
        <v>42</v>
      </c>
      <c r="AA897">
        <v>0.125</v>
      </c>
      <c r="AB897" s="1" t="s">
        <v>43</v>
      </c>
      <c r="AC897">
        <v>1</v>
      </c>
      <c r="AD897" s="2">
        <v>44835</v>
      </c>
      <c r="AE897" s="1" t="s">
        <v>53</v>
      </c>
      <c r="AF897" s="1" t="s">
        <v>72</v>
      </c>
      <c r="AG897" s="1" t="s">
        <v>63</v>
      </c>
      <c r="AH897" s="1" t="s">
        <v>47</v>
      </c>
      <c r="AI897">
        <v>30245</v>
      </c>
      <c r="AJ897">
        <v>-131.5</v>
      </c>
    </row>
    <row r="898" spans="1:36" x14ac:dyDescent="0.25">
      <c r="A898">
        <v>10897</v>
      </c>
      <c r="B898">
        <v>42</v>
      </c>
      <c r="C898" s="1" t="s">
        <v>60</v>
      </c>
      <c r="D898" s="1" t="s">
        <v>76</v>
      </c>
      <c r="E898" s="2">
        <v>44529</v>
      </c>
      <c r="F898" s="2">
        <v>45031</v>
      </c>
      <c r="G898" s="1" t="s">
        <v>62</v>
      </c>
      <c r="H898">
        <v>818</v>
      </c>
      <c r="I898">
        <v>26</v>
      </c>
      <c r="J898">
        <v>1</v>
      </c>
      <c r="K898">
        <v>81.52</v>
      </c>
      <c r="L898">
        <v>5</v>
      </c>
      <c r="M898" s="1" t="s">
        <v>39</v>
      </c>
      <c r="N898" s="1" t="s">
        <v>40</v>
      </c>
      <c r="O898">
        <v>21227.1</v>
      </c>
      <c r="P898" t="b">
        <v>1</v>
      </c>
      <c r="Q898">
        <v>2.1666666666666665</v>
      </c>
      <c r="R898">
        <v>816.426923076923</v>
      </c>
      <c r="S898">
        <v>40.76</v>
      </c>
      <c r="T898" s="2">
        <v>44501</v>
      </c>
      <c r="U898" s="1" t="s">
        <v>51</v>
      </c>
      <c r="V898">
        <v>1</v>
      </c>
      <c r="W898" s="1" t="s">
        <v>40</v>
      </c>
      <c r="X898">
        <v>502</v>
      </c>
      <c r="Y898" s="1" t="s">
        <v>43</v>
      </c>
      <c r="Z898" s="1" t="s">
        <v>42</v>
      </c>
      <c r="AA898">
        <v>3.7037037037037035E-2</v>
      </c>
      <c r="AB898" s="1" t="s">
        <v>43</v>
      </c>
      <c r="AC898">
        <v>2</v>
      </c>
      <c r="AD898" s="2">
        <v>44501</v>
      </c>
      <c r="AE898" s="1" t="s">
        <v>44</v>
      </c>
      <c r="AF898" s="1" t="s">
        <v>54</v>
      </c>
      <c r="AG898" s="1" t="s">
        <v>63</v>
      </c>
      <c r="AH898" s="1" t="s">
        <v>59</v>
      </c>
      <c r="AI898">
        <v>21268</v>
      </c>
      <c r="AJ898">
        <v>-40.900000000001455</v>
      </c>
    </row>
    <row r="899" spans="1:36" x14ac:dyDescent="0.25">
      <c r="A899">
        <v>10898</v>
      </c>
      <c r="B899">
        <v>54</v>
      </c>
      <c r="C899" s="1" t="s">
        <v>36</v>
      </c>
      <c r="D899" s="1" t="s">
        <v>71</v>
      </c>
      <c r="E899" s="2">
        <v>44281</v>
      </c>
      <c r="F899" s="2">
        <v>45175</v>
      </c>
      <c r="G899" s="1" t="s">
        <v>62</v>
      </c>
      <c r="H899">
        <v>568</v>
      </c>
      <c r="I899">
        <v>25</v>
      </c>
      <c r="J899">
        <v>3</v>
      </c>
      <c r="K899">
        <v>66.099999999999994</v>
      </c>
      <c r="L899">
        <v>5</v>
      </c>
      <c r="M899" s="1" t="s">
        <v>39</v>
      </c>
      <c r="N899" s="1" t="s">
        <v>56</v>
      </c>
      <c r="O899">
        <v>14171.6</v>
      </c>
      <c r="P899" t="b">
        <v>1</v>
      </c>
      <c r="Q899">
        <v>2.0833333333333335</v>
      </c>
      <c r="R899">
        <v>566.86400000000003</v>
      </c>
      <c r="S899">
        <v>16.524999999999999</v>
      </c>
      <c r="T899" s="2">
        <v>44256</v>
      </c>
      <c r="U899" s="1" t="s">
        <v>41</v>
      </c>
      <c r="V899">
        <v>0</v>
      </c>
      <c r="W899" s="1" t="s">
        <v>40</v>
      </c>
      <c r="X899">
        <v>894</v>
      </c>
      <c r="Y899" s="1" t="s">
        <v>43</v>
      </c>
      <c r="Z899" s="1" t="s">
        <v>42</v>
      </c>
      <c r="AA899">
        <v>0.11538461538461539</v>
      </c>
      <c r="AB899" s="1" t="s">
        <v>52</v>
      </c>
      <c r="AC899">
        <v>2</v>
      </c>
      <c r="AD899" s="2">
        <v>44256</v>
      </c>
      <c r="AE899" s="1" t="s">
        <v>44</v>
      </c>
      <c r="AF899" s="1" t="s">
        <v>72</v>
      </c>
      <c r="AG899" s="1" t="s">
        <v>63</v>
      </c>
      <c r="AH899" s="1" t="s">
        <v>64</v>
      </c>
      <c r="AI899">
        <v>14200</v>
      </c>
      <c r="AJ899">
        <v>-28.399999999999636</v>
      </c>
    </row>
    <row r="900" spans="1:36" x14ac:dyDescent="0.25">
      <c r="A900">
        <v>10899</v>
      </c>
      <c r="B900">
        <v>45</v>
      </c>
      <c r="C900" s="1" t="s">
        <v>36</v>
      </c>
      <c r="D900" s="1" t="s">
        <v>37</v>
      </c>
      <c r="E900" s="2">
        <v>44817</v>
      </c>
      <c r="F900" s="2">
        <v>44778</v>
      </c>
      <c r="G900" s="1" t="s">
        <v>38</v>
      </c>
      <c r="H900">
        <v>937</v>
      </c>
      <c r="I900">
        <v>17</v>
      </c>
      <c r="J900">
        <v>6</v>
      </c>
      <c r="K900">
        <v>11.29</v>
      </c>
      <c r="L900">
        <v>5</v>
      </c>
      <c r="M900" s="1" t="s">
        <v>50</v>
      </c>
      <c r="N900" s="1" t="s">
        <v>56</v>
      </c>
      <c r="O900">
        <v>15882.15</v>
      </c>
      <c r="P900" t="b">
        <v>0</v>
      </c>
      <c r="Q900">
        <v>1.4166666666666667</v>
      </c>
      <c r="R900">
        <v>934.24411764705883</v>
      </c>
      <c r="S900">
        <v>1.6128571428571428</v>
      </c>
      <c r="T900" s="2">
        <v>44805</v>
      </c>
      <c r="U900" s="1" t="s">
        <v>51</v>
      </c>
      <c r="V900">
        <v>0</v>
      </c>
      <c r="W900" s="1" t="s">
        <v>40</v>
      </c>
      <c r="Y900" s="1" t="s">
        <v>42</v>
      </c>
      <c r="Z900" s="1" t="s">
        <v>42</v>
      </c>
      <c r="AA900">
        <v>0.33333333333333331</v>
      </c>
      <c r="AB900" s="1" t="s">
        <v>52</v>
      </c>
      <c r="AC900">
        <v>1</v>
      </c>
      <c r="AD900" s="2">
        <v>44805</v>
      </c>
      <c r="AE900" s="1" t="s">
        <v>53</v>
      </c>
      <c r="AF900" s="1" t="s">
        <v>78</v>
      </c>
      <c r="AG900" s="1" t="s">
        <v>46</v>
      </c>
      <c r="AH900" s="1" t="s">
        <v>59</v>
      </c>
      <c r="AI900">
        <v>15929</v>
      </c>
      <c r="AJ900">
        <v>-46.850000000000364</v>
      </c>
    </row>
    <row r="901" spans="1:36" x14ac:dyDescent="0.25">
      <c r="A901">
        <v>10900</v>
      </c>
      <c r="B901">
        <v>27</v>
      </c>
      <c r="C901" s="1" t="s">
        <v>36</v>
      </c>
      <c r="D901" s="1" t="s">
        <v>69</v>
      </c>
      <c r="E901" s="2">
        <v>44227</v>
      </c>
      <c r="F901" s="2">
        <v>44387</v>
      </c>
      <c r="G901" s="1" t="s">
        <v>38</v>
      </c>
      <c r="H901">
        <v>774</v>
      </c>
      <c r="I901">
        <v>15</v>
      </c>
      <c r="J901">
        <v>4</v>
      </c>
      <c r="K901">
        <v>114.57</v>
      </c>
      <c r="L901">
        <v>5</v>
      </c>
      <c r="M901" s="1" t="s">
        <v>67</v>
      </c>
      <c r="N901" s="1" t="s">
        <v>56</v>
      </c>
      <c r="O901">
        <v>11571.3</v>
      </c>
      <c r="P901" t="b">
        <v>1</v>
      </c>
      <c r="Q901">
        <v>1.25</v>
      </c>
      <c r="R901">
        <v>771.42</v>
      </c>
      <c r="S901">
        <v>22.913999999999998</v>
      </c>
      <c r="T901" s="2">
        <v>44197</v>
      </c>
      <c r="U901" s="1" t="s">
        <v>57</v>
      </c>
      <c r="V901">
        <v>0</v>
      </c>
      <c r="W901" s="1" t="s">
        <v>56</v>
      </c>
      <c r="X901">
        <v>160</v>
      </c>
      <c r="Y901" s="1" t="s">
        <v>43</v>
      </c>
      <c r="Z901" s="1" t="s">
        <v>42</v>
      </c>
      <c r="AA901">
        <v>0.25</v>
      </c>
      <c r="AB901" s="1" t="s">
        <v>52</v>
      </c>
      <c r="AC901">
        <v>1</v>
      </c>
      <c r="AD901" s="2">
        <v>44197</v>
      </c>
      <c r="AE901" s="1" t="s">
        <v>53</v>
      </c>
      <c r="AF901" s="1" t="s">
        <v>45</v>
      </c>
      <c r="AG901" s="1" t="s">
        <v>63</v>
      </c>
      <c r="AH901" s="1" t="s">
        <v>59</v>
      </c>
      <c r="AI901">
        <v>11610</v>
      </c>
      <c r="AJ901">
        <v>-38.700000000000728</v>
      </c>
    </row>
    <row r="902" spans="1:36" x14ac:dyDescent="0.25">
      <c r="A902">
        <v>10901</v>
      </c>
      <c r="B902">
        <v>56</v>
      </c>
      <c r="C902" s="1" t="s">
        <v>60</v>
      </c>
      <c r="D902" s="1" t="s">
        <v>69</v>
      </c>
      <c r="E902" s="2">
        <v>44937</v>
      </c>
      <c r="F902" s="2">
        <v>44866</v>
      </c>
      <c r="G902" s="1" t="s">
        <v>38</v>
      </c>
      <c r="H902">
        <v>389</v>
      </c>
      <c r="I902">
        <v>4</v>
      </c>
      <c r="J902">
        <v>1</v>
      </c>
      <c r="K902">
        <v>96.14</v>
      </c>
      <c r="L902">
        <v>0</v>
      </c>
      <c r="M902" s="1" t="s">
        <v>65</v>
      </c>
      <c r="N902" s="1" t="s">
        <v>56</v>
      </c>
      <c r="O902">
        <v>1556</v>
      </c>
      <c r="P902" t="b">
        <v>0</v>
      </c>
      <c r="Q902">
        <v>0.33333333333333331</v>
      </c>
      <c r="R902">
        <v>389</v>
      </c>
      <c r="S902">
        <v>48.07</v>
      </c>
      <c r="T902" s="2">
        <v>44927</v>
      </c>
      <c r="U902" s="1" t="s">
        <v>41</v>
      </c>
      <c r="V902">
        <v>0</v>
      </c>
      <c r="W902" s="1" t="s">
        <v>56</v>
      </c>
      <c r="Y902" s="1" t="s">
        <v>43</v>
      </c>
      <c r="Z902" s="1" t="s">
        <v>42</v>
      </c>
      <c r="AA902">
        <v>0.2</v>
      </c>
      <c r="AB902" s="1" t="s">
        <v>42</v>
      </c>
      <c r="AC902">
        <v>1</v>
      </c>
      <c r="AD902" s="2">
        <v>44927</v>
      </c>
      <c r="AE902" s="1" t="s">
        <v>58</v>
      </c>
      <c r="AF902" s="1" t="s">
        <v>54</v>
      </c>
      <c r="AG902" s="1" t="s">
        <v>63</v>
      </c>
      <c r="AH902" s="1" t="s">
        <v>68</v>
      </c>
      <c r="AI902">
        <v>1556</v>
      </c>
      <c r="AJ902">
        <v>0</v>
      </c>
    </row>
    <row r="903" spans="1:36" x14ac:dyDescent="0.25">
      <c r="A903">
        <v>10902</v>
      </c>
      <c r="B903">
        <v>34</v>
      </c>
      <c r="C903" s="1" t="s">
        <v>60</v>
      </c>
      <c r="D903" s="1" t="s">
        <v>73</v>
      </c>
      <c r="E903" s="2">
        <v>44436</v>
      </c>
      <c r="F903" s="2">
        <v>45033</v>
      </c>
      <c r="G903" s="1" t="s">
        <v>62</v>
      </c>
      <c r="H903">
        <v>1365</v>
      </c>
      <c r="I903">
        <v>22</v>
      </c>
      <c r="J903">
        <v>1</v>
      </c>
      <c r="K903">
        <v>22.15</v>
      </c>
      <c r="L903">
        <v>20</v>
      </c>
      <c r="M903" s="1" t="s">
        <v>67</v>
      </c>
      <c r="N903" s="1" t="s">
        <v>56</v>
      </c>
      <c r="O903">
        <v>29757</v>
      </c>
      <c r="P903" t="b">
        <v>1</v>
      </c>
      <c r="Q903">
        <v>1.8333333333333333</v>
      </c>
      <c r="R903">
        <v>1352.590909090909</v>
      </c>
      <c r="S903">
        <v>11.074999999999999</v>
      </c>
      <c r="T903" s="2">
        <v>44409</v>
      </c>
      <c r="U903" s="1" t="s">
        <v>57</v>
      </c>
      <c r="V903">
        <v>0</v>
      </c>
      <c r="W903" s="1" t="s">
        <v>40</v>
      </c>
      <c r="X903">
        <v>597</v>
      </c>
      <c r="Y903" s="1" t="s">
        <v>52</v>
      </c>
      <c r="Z903" s="1" t="s">
        <v>52</v>
      </c>
      <c r="AA903">
        <v>4.3478260869565216E-2</v>
      </c>
      <c r="AB903" s="1" t="s">
        <v>43</v>
      </c>
      <c r="AC903">
        <v>2</v>
      </c>
      <c r="AD903" s="2">
        <v>44409</v>
      </c>
      <c r="AE903" s="1" t="s">
        <v>53</v>
      </c>
      <c r="AF903" s="1" t="s">
        <v>54</v>
      </c>
      <c r="AG903" s="1" t="s">
        <v>70</v>
      </c>
      <c r="AH903" s="1" t="s">
        <v>47</v>
      </c>
      <c r="AI903">
        <v>30030</v>
      </c>
      <c r="AJ903">
        <v>-273</v>
      </c>
    </row>
    <row r="904" spans="1:36" x14ac:dyDescent="0.25">
      <c r="A904">
        <v>10903</v>
      </c>
      <c r="B904">
        <v>56</v>
      </c>
      <c r="C904" s="1" t="s">
        <v>60</v>
      </c>
      <c r="D904" s="1" t="s">
        <v>69</v>
      </c>
      <c r="E904" s="2">
        <v>45086</v>
      </c>
      <c r="F904" s="2">
        <v>45010</v>
      </c>
      <c r="G904" s="1" t="s">
        <v>38</v>
      </c>
      <c r="H904">
        <v>1281</v>
      </c>
      <c r="I904">
        <v>17</v>
      </c>
      <c r="J904">
        <v>0</v>
      </c>
      <c r="K904">
        <v>117.89</v>
      </c>
      <c r="L904">
        <v>0</v>
      </c>
      <c r="M904" s="1" t="s">
        <v>50</v>
      </c>
      <c r="N904" s="1" t="s">
        <v>56</v>
      </c>
      <c r="O904">
        <v>21777</v>
      </c>
      <c r="P904" t="b">
        <v>0</v>
      </c>
      <c r="Q904">
        <v>1.4166666666666667</v>
      </c>
      <c r="R904">
        <v>1281</v>
      </c>
      <c r="S904">
        <v>117.89</v>
      </c>
      <c r="T904" s="2">
        <v>45078</v>
      </c>
      <c r="U904" s="1" t="s">
        <v>41</v>
      </c>
      <c r="V904">
        <v>0</v>
      </c>
      <c r="W904" s="1" t="s">
        <v>40</v>
      </c>
      <c r="Y904" s="1" t="s">
        <v>43</v>
      </c>
      <c r="Z904" s="1" t="s">
        <v>42</v>
      </c>
      <c r="AA904">
        <v>0</v>
      </c>
      <c r="AB904" s="1" t="s">
        <v>43</v>
      </c>
      <c r="AC904">
        <v>1</v>
      </c>
      <c r="AD904" s="2">
        <v>45078</v>
      </c>
      <c r="AE904" s="1" t="s">
        <v>53</v>
      </c>
      <c r="AF904" s="1" t="s">
        <v>54</v>
      </c>
      <c r="AG904" s="1" t="s">
        <v>63</v>
      </c>
      <c r="AH904" s="1" t="s">
        <v>47</v>
      </c>
      <c r="AI904">
        <v>21777</v>
      </c>
      <c r="AJ904">
        <v>0</v>
      </c>
    </row>
    <row r="905" spans="1:36" x14ac:dyDescent="0.25">
      <c r="A905">
        <v>10904</v>
      </c>
      <c r="B905">
        <v>39</v>
      </c>
      <c r="C905" s="1" t="s">
        <v>60</v>
      </c>
      <c r="D905" s="1" t="s">
        <v>71</v>
      </c>
      <c r="E905" s="2">
        <v>44559</v>
      </c>
      <c r="F905" s="2">
        <v>44558</v>
      </c>
      <c r="G905" s="1" t="s">
        <v>38</v>
      </c>
      <c r="H905">
        <v>587</v>
      </c>
      <c r="I905">
        <v>22</v>
      </c>
      <c r="J905">
        <v>0</v>
      </c>
      <c r="K905">
        <v>89.74</v>
      </c>
      <c r="L905">
        <v>10</v>
      </c>
      <c r="M905" s="1" t="s">
        <v>39</v>
      </c>
      <c r="N905" s="1" t="s">
        <v>56</v>
      </c>
      <c r="O905">
        <v>12855.3</v>
      </c>
      <c r="P905" t="b">
        <v>0</v>
      </c>
      <c r="Q905">
        <v>1.8333333333333333</v>
      </c>
      <c r="R905">
        <v>584.33181818181811</v>
      </c>
      <c r="S905">
        <v>89.74</v>
      </c>
      <c r="T905" s="2">
        <v>44531</v>
      </c>
      <c r="U905" s="1" t="s">
        <v>51</v>
      </c>
      <c r="V905">
        <v>0</v>
      </c>
      <c r="W905" s="1" t="s">
        <v>56</v>
      </c>
      <c r="Y905" s="1" t="s">
        <v>43</v>
      </c>
      <c r="Z905" s="1" t="s">
        <v>42</v>
      </c>
      <c r="AA905">
        <v>0</v>
      </c>
      <c r="AB905" s="1" t="s">
        <v>52</v>
      </c>
      <c r="AC905">
        <v>1</v>
      </c>
      <c r="AD905" s="2">
        <v>44531</v>
      </c>
      <c r="AE905" s="1" t="s">
        <v>53</v>
      </c>
      <c r="AF905" s="1" t="s">
        <v>54</v>
      </c>
      <c r="AG905" s="1" t="s">
        <v>63</v>
      </c>
      <c r="AH905" s="1" t="s">
        <v>64</v>
      </c>
      <c r="AI905">
        <v>12914</v>
      </c>
      <c r="AJ905">
        <v>-58.700000000000728</v>
      </c>
    </row>
    <row r="906" spans="1:36" x14ac:dyDescent="0.25">
      <c r="A906">
        <v>10905</v>
      </c>
      <c r="B906">
        <v>43</v>
      </c>
      <c r="C906" s="1" t="s">
        <v>36</v>
      </c>
      <c r="D906" s="1" t="s">
        <v>61</v>
      </c>
      <c r="E906" s="2">
        <v>45018</v>
      </c>
      <c r="F906" s="2">
        <v>44649</v>
      </c>
      <c r="G906" s="1" t="s">
        <v>49</v>
      </c>
      <c r="H906">
        <v>780</v>
      </c>
      <c r="I906">
        <v>17</v>
      </c>
      <c r="J906">
        <v>2</v>
      </c>
      <c r="K906">
        <v>59.32</v>
      </c>
      <c r="L906">
        <v>0</v>
      </c>
      <c r="M906" s="1" t="s">
        <v>65</v>
      </c>
      <c r="N906" s="1" t="s">
        <v>40</v>
      </c>
      <c r="O906">
        <v>13260</v>
      </c>
      <c r="P906" t="b">
        <v>0</v>
      </c>
      <c r="Q906">
        <v>1.4166666666666667</v>
      </c>
      <c r="R906">
        <v>780</v>
      </c>
      <c r="S906">
        <v>19.773333333333333</v>
      </c>
      <c r="T906" s="2">
        <v>45017</v>
      </c>
      <c r="U906" s="1" t="s">
        <v>51</v>
      </c>
      <c r="V906">
        <v>1</v>
      </c>
      <c r="W906" s="1" t="s">
        <v>56</v>
      </c>
      <c r="Y906" s="1" t="s">
        <v>52</v>
      </c>
      <c r="Z906" s="1" t="s">
        <v>42</v>
      </c>
      <c r="AA906">
        <v>0.1111111111111111</v>
      </c>
      <c r="AB906" s="1" t="s">
        <v>52</v>
      </c>
      <c r="AC906">
        <v>3</v>
      </c>
      <c r="AD906" s="2">
        <v>45017</v>
      </c>
      <c r="AE906" s="1" t="s">
        <v>53</v>
      </c>
      <c r="AF906" s="1" t="s">
        <v>72</v>
      </c>
      <c r="AG906" s="1" t="s">
        <v>63</v>
      </c>
      <c r="AH906" s="1" t="s">
        <v>59</v>
      </c>
      <c r="AI906">
        <v>13260</v>
      </c>
      <c r="AJ906">
        <v>0</v>
      </c>
    </row>
    <row r="907" spans="1:36" x14ac:dyDescent="0.25">
      <c r="A907">
        <v>10906</v>
      </c>
      <c r="B907">
        <v>61</v>
      </c>
      <c r="C907" s="1" t="s">
        <v>36</v>
      </c>
      <c r="D907" s="1" t="s">
        <v>71</v>
      </c>
      <c r="E907" s="2">
        <v>44585</v>
      </c>
      <c r="F907" s="2">
        <v>44433</v>
      </c>
      <c r="G907" s="1" t="s">
        <v>49</v>
      </c>
      <c r="H907">
        <v>936</v>
      </c>
      <c r="I907">
        <v>14</v>
      </c>
      <c r="J907">
        <v>1</v>
      </c>
      <c r="K907">
        <v>75.31</v>
      </c>
      <c r="L907">
        <v>10</v>
      </c>
      <c r="M907" s="1" t="s">
        <v>65</v>
      </c>
      <c r="N907" s="1" t="s">
        <v>56</v>
      </c>
      <c r="O907">
        <v>13010.4</v>
      </c>
      <c r="P907" t="b">
        <v>0</v>
      </c>
      <c r="Q907">
        <v>1.1666666666666667</v>
      </c>
      <c r="R907">
        <v>929.31428571428569</v>
      </c>
      <c r="S907">
        <v>37.655000000000001</v>
      </c>
      <c r="T907" s="2">
        <v>44562</v>
      </c>
      <c r="U907" s="1" t="s">
        <v>41</v>
      </c>
      <c r="V907">
        <v>0</v>
      </c>
      <c r="W907" s="1" t="s">
        <v>56</v>
      </c>
      <c r="Y907" s="1" t="s">
        <v>43</v>
      </c>
      <c r="Z907" s="1" t="s">
        <v>42</v>
      </c>
      <c r="AA907">
        <v>6.6666666666666666E-2</v>
      </c>
      <c r="AB907" s="1" t="s">
        <v>52</v>
      </c>
      <c r="AC907">
        <v>3</v>
      </c>
      <c r="AD907" s="2">
        <v>44562</v>
      </c>
      <c r="AE907" s="1" t="s">
        <v>53</v>
      </c>
      <c r="AF907" s="1" t="s">
        <v>54</v>
      </c>
      <c r="AG907" s="1" t="s">
        <v>63</v>
      </c>
      <c r="AH907" s="1" t="s">
        <v>59</v>
      </c>
      <c r="AI907">
        <v>13104</v>
      </c>
      <c r="AJ907">
        <v>-93.600000000000364</v>
      </c>
    </row>
    <row r="908" spans="1:36" x14ac:dyDescent="0.25">
      <c r="A908">
        <v>10907</v>
      </c>
      <c r="B908">
        <v>42</v>
      </c>
      <c r="C908" s="1" t="s">
        <v>36</v>
      </c>
      <c r="D908" s="1" t="s">
        <v>61</v>
      </c>
      <c r="E908" s="2">
        <v>44849</v>
      </c>
      <c r="F908" s="2">
        <v>44744</v>
      </c>
      <c r="G908" s="1" t="s">
        <v>38</v>
      </c>
      <c r="H908">
        <v>800</v>
      </c>
      <c r="I908">
        <v>14</v>
      </c>
      <c r="J908">
        <v>2</v>
      </c>
      <c r="K908">
        <v>17.27</v>
      </c>
      <c r="L908">
        <v>15</v>
      </c>
      <c r="M908" s="1" t="s">
        <v>67</v>
      </c>
      <c r="N908" s="1" t="s">
        <v>56</v>
      </c>
      <c r="O908">
        <v>11080</v>
      </c>
      <c r="P908" t="b">
        <v>0</v>
      </c>
      <c r="Q908">
        <v>1.1666666666666667</v>
      </c>
      <c r="R908">
        <v>791.42857142857144</v>
      </c>
      <c r="S908">
        <v>5.7566666666666668</v>
      </c>
      <c r="T908" s="2">
        <v>44835</v>
      </c>
      <c r="U908" s="1" t="s">
        <v>51</v>
      </c>
      <c r="V908">
        <v>0</v>
      </c>
      <c r="W908" s="1" t="s">
        <v>56</v>
      </c>
      <c r="Y908" s="1" t="s">
        <v>42</v>
      </c>
      <c r="Z908" s="1" t="s">
        <v>42</v>
      </c>
      <c r="AA908">
        <v>0.13333333333333333</v>
      </c>
      <c r="AB908" s="1" t="s">
        <v>52</v>
      </c>
      <c r="AC908">
        <v>1</v>
      </c>
      <c r="AD908" s="2">
        <v>44835</v>
      </c>
      <c r="AE908" s="1" t="s">
        <v>53</v>
      </c>
      <c r="AF908" s="1" t="s">
        <v>72</v>
      </c>
      <c r="AG908" s="1" t="s">
        <v>46</v>
      </c>
      <c r="AH908" s="1" t="s">
        <v>59</v>
      </c>
      <c r="AI908">
        <v>11200</v>
      </c>
      <c r="AJ908">
        <v>-120</v>
      </c>
    </row>
    <row r="909" spans="1:36" x14ac:dyDescent="0.25">
      <c r="A909">
        <v>10908</v>
      </c>
      <c r="B909">
        <v>34</v>
      </c>
      <c r="C909" s="1" t="s">
        <v>36</v>
      </c>
      <c r="D909" s="1" t="s">
        <v>69</v>
      </c>
      <c r="E909" s="2">
        <v>44864</v>
      </c>
      <c r="F909" s="2">
        <v>44600</v>
      </c>
      <c r="G909" s="1" t="s">
        <v>38</v>
      </c>
      <c r="H909">
        <v>351</v>
      </c>
      <c r="I909">
        <v>17</v>
      </c>
      <c r="J909">
        <v>5</v>
      </c>
      <c r="K909">
        <v>69.45</v>
      </c>
      <c r="L909">
        <v>10</v>
      </c>
      <c r="M909" s="1" t="s">
        <v>39</v>
      </c>
      <c r="N909" s="1" t="s">
        <v>56</v>
      </c>
      <c r="O909">
        <v>5931.9</v>
      </c>
      <c r="P909" t="b">
        <v>0</v>
      </c>
      <c r="Q909">
        <v>1.4166666666666667</v>
      </c>
      <c r="R909">
        <v>348.93529411764706</v>
      </c>
      <c r="S909">
        <v>11.575000000000001</v>
      </c>
      <c r="T909" s="2">
        <v>44835</v>
      </c>
      <c r="U909" s="1" t="s">
        <v>57</v>
      </c>
      <c r="V909">
        <v>0</v>
      </c>
      <c r="W909" s="1" t="s">
        <v>56</v>
      </c>
      <c r="Y909" s="1" t="s">
        <v>43</v>
      </c>
      <c r="Z909" s="1" t="s">
        <v>42</v>
      </c>
      <c r="AA909">
        <v>0.27777777777777779</v>
      </c>
      <c r="AB909" s="1" t="s">
        <v>42</v>
      </c>
      <c r="AC909">
        <v>1</v>
      </c>
      <c r="AD909" s="2">
        <v>44835</v>
      </c>
      <c r="AE909" s="1" t="s">
        <v>53</v>
      </c>
      <c r="AF909" s="1" t="s">
        <v>45</v>
      </c>
      <c r="AG909" s="1" t="s">
        <v>63</v>
      </c>
      <c r="AH909" s="1" t="s">
        <v>68</v>
      </c>
      <c r="AI909">
        <v>5967</v>
      </c>
      <c r="AJ909">
        <v>-35.100000000000364</v>
      </c>
    </row>
    <row r="910" spans="1:36" x14ac:dyDescent="0.25">
      <c r="A910">
        <v>10909</v>
      </c>
      <c r="B910">
        <v>30</v>
      </c>
      <c r="C910" s="1" t="s">
        <v>36</v>
      </c>
      <c r="D910" s="1" t="s">
        <v>69</v>
      </c>
      <c r="E910" s="2">
        <v>44495</v>
      </c>
      <c r="F910" s="2">
        <v>44880</v>
      </c>
      <c r="G910" s="1" t="s">
        <v>38</v>
      </c>
      <c r="H910">
        <v>402</v>
      </c>
      <c r="I910">
        <v>8</v>
      </c>
      <c r="J910">
        <v>5</v>
      </c>
      <c r="K910">
        <v>13.47</v>
      </c>
      <c r="L910">
        <v>0</v>
      </c>
      <c r="M910" s="1" t="s">
        <v>50</v>
      </c>
      <c r="N910" s="1" t="s">
        <v>56</v>
      </c>
      <c r="O910">
        <v>3216</v>
      </c>
      <c r="P910" t="b">
        <v>1</v>
      </c>
      <c r="Q910">
        <v>0.66666666666666663</v>
      </c>
      <c r="R910">
        <v>402</v>
      </c>
      <c r="S910">
        <v>2.2450000000000001</v>
      </c>
      <c r="T910" s="2">
        <v>44470</v>
      </c>
      <c r="U910" s="1" t="s">
        <v>57</v>
      </c>
      <c r="V910">
        <v>0</v>
      </c>
      <c r="W910" s="1" t="s">
        <v>56</v>
      </c>
      <c r="X910">
        <v>385</v>
      </c>
      <c r="Y910" s="1" t="s">
        <v>42</v>
      </c>
      <c r="Z910" s="1" t="s">
        <v>42</v>
      </c>
      <c r="AA910">
        <v>0.55555555555555558</v>
      </c>
      <c r="AB910" s="1" t="s">
        <v>42</v>
      </c>
      <c r="AC910">
        <v>1</v>
      </c>
      <c r="AD910" s="2">
        <v>44470</v>
      </c>
      <c r="AE910" s="1" t="s">
        <v>74</v>
      </c>
      <c r="AF910" s="1" t="s">
        <v>45</v>
      </c>
      <c r="AG910" s="1" t="s">
        <v>46</v>
      </c>
      <c r="AH910" s="1" t="s">
        <v>68</v>
      </c>
      <c r="AI910">
        <v>3216</v>
      </c>
      <c r="AJ910">
        <v>0</v>
      </c>
    </row>
    <row r="911" spans="1:36" x14ac:dyDescent="0.25">
      <c r="A911">
        <v>10910</v>
      </c>
      <c r="B911">
        <v>37</v>
      </c>
      <c r="C911" s="1" t="s">
        <v>60</v>
      </c>
      <c r="D911" s="1" t="s">
        <v>37</v>
      </c>
      <c r="E911" s="2">
        <v>45053</v>
      </c>
      <c r="F911" s="2">
        <v>45116</v>
      </c>
      <c r="G911" s="1" t="s">
        <v>62</v>
      </c>
      <c r="H911">
        <v>998</v>
      </c>
      <c r="I911">
        <v>34</v>
      </c>
      <c r="J911">
        <v>2</v>
      </c>
      <c r="K911">
        <v>67.66</v>
      </c>
      <c r="L911">
        <v>0</v>
      </c>
      <c r="M911" s="1" t="s">
        <v>39</v>
      </c>
      <c r="N911" s="1" t="s">
        <v>40</v>
      </c>
      <c r="O911">
        <v>33932</v>
      </c>
      <c r="P911" t="b">
        <v>1</v>
      </c>
      <c r="Q911">
        <v>2.8333333333333335</v>
      </c>
      <c r="R911">
        <v>998</v>
      </c>
      <c r="S911">
        <v>22.553333333333331</v>
      </c>
      <c r="T911" s="2">
        <v>45047</v>
      </c>
      <c r="U911" s="1" t="s">
        <v>51</v>
      </c>
      <c r="V911">
        <v>1</v>
      </c>
      <c r="W911" s="1" t="s">
        <v>40</v>
      </c>
      <c r="X911">
        <v>63</v>
      </c>
      <c r="Y911" s="1" t="s">
        <v>43</v>
      </c>
      <c r="Z911" s="1" t="s">
        <v>42</v>
      </c>
      <c r="AA911">
        <v>5.7142857142857141E-2</v>
      </c>
      <c r="AB911" s="1" t="s">
        <v>43</v>
      </c>
      <c r="AC911">
        <v>2</v>
      </c>
      <c r="AD911" s="2">
        <v>45047</v>
      </c>
      <c r="AE911" s="1" t="s">
        <v>44</v>
      </c>
      <c r="AF911" s="1" t="s">
        <v>72</v>
      </c>
      <c r="AG911" s="1" t="s">
        <v>63</v>
      </c>
      <c r="AH911" s="1" t="s">
        <v>59</v>
      </c>
      <c r="AI911">
        <v>33932</v>
      </c>
      <c r="AJ911">
        <v>0</v>
      </c>
    </row>
    <row r="912" spans="1:36" x14ac:dyDescent="0.25">
      <c r="A912">
        <v>10911</v>
      </c>
      <c r="B912">
        <v>42</v>
      </c>
      <c r="C912" s="1" t="s">
        <v>60</v>
      </c>
      <c r="D912" s="1" t="s">
        <v>76</v>
      </c>
      <c r="E912" s="2">
        <v>44567</v>
      </c>
      <c r="F912" s="2">
        <v>45238</v>
      </c>
      <c r="G912" s="1" t="s">
        <v>62</v>
      </c>
      <c r="H912">
        <v>1337</v>
      </c>
      <c r="I912">
        <v>26</v>
      </c>
      <c r="J912">
        <v>3</v>
      </c>
      <c r="K912">
        <v>68.56</v>
      </c>
      <c r="L912">
        <v>10</v>
      </c>
      <c r="M912" s="1" t="s">
        <v>67</v>
      </c>
      <c r="N912" s="1" t="s">
        <v>56</v>
      </c>
      <c r="O912">
        <v>34628.300000000003</v>
      </c>
      <c r="P912" t="b">
        <v>1</v>
      </c>
      <c r="Q912">
        <v>2.1666666666666665</v>
      </c>
      <c r="R912">
        <v>1331.8576923076923</v>
      </c>
      <c r="S912">
        <v>17.14</v>
      </c>
      <c r="T912" s="2">
        <v>44562</v>
      </c>
      <c r="U912" s="1" t="s">
        <v>51</v>
      </c>
      <c r="V912">
        <v>0</v>
      </c>
      <c r="W912" s="1" t="s">
        <v>40</v>
      </c>
      <c r="X912">
        <v>671</v>
      </c>
      <c r="Y912" s="1" t="s">
        <v>43</v>
      </c>
      <c r="Z912" s="1" t="s">
        <v>42</v>
      </c>
      <c r="AA912">
        <v>0.1111111111111111</v>
      </c>
      <c r="AB912" s="1" t="s">
        <v>43</v>
      </c>
      <c r="AC912">
        <v>2</v>
      </c>
      <c r="AD912" s="2">
        <v>44562</v>
      </c>
      <c r="AE912" s="1" t="s">
        <v>44</v>
      </c>
      <c r="AF912" s="1" t="s">
        <v>72</v>
      </c>
      <c r="AG912" s="1" t="s">
        <v>63</v>
      </c>
      <c r="AH912" s="1" t="s">
        <v>47</v>
      </c>
      <c r="AI912">
        <v>34762</v>
      </c>
      <c r="AJ912">
        <v>-133.69999999999709</v>
      </c>
    </row>
    <row r="913" spans="1:36" x14ac:dyDescent="0.25">
      <c r="A913">
        <v>10912</v>
      </c>
      <c r="B913">
        <v>21</v>
      </c>
      <c r="C913" s="1" t="s">
        <v>36</v>
      </c>
      <c r="D913" s="1" t="s">
        <v>69</v>
      </c>
      <c r="E913" s="2">
        <v>44295</v>
      </c>
      <c r="F913" s="2">
        <v>44728</v>
      </c>
      <c r="G913" s="1" t="s">
        <v>38</v>
      </c>
      <c r="H913">
        <v>769</v>
      </c>
      <c r="I913">
        <v>30</v>
      </c>
      <c r="J913">
        <v>2</v>
      </c>
      <c r="K913">
        <v>105.56</v>
      </c>
      <c r="L913">
        <v>0</v>
      </c>
      <c r="M913" s="1" t="s">
        <v>65</v>
      </c>
      <c r="N913" s="1" t="s">
        <v>56</v>
      </c>
      <c r="O913">
        <v>23070</v>
      </c>
      <c r="P913" t="b">
        <v>1</v>
      </c>
      <c r="Q913">
        <v>2.5</v>
      </c>
      <c r="R913">
        <v>769</v>
      </c>
      <c r="S913">
        <v>35.186666666666667</v>
      </c>
      <c r="T913" s="2">
        <v>44287</v>
      </c>
      <c r="U913" s="1" t="s">
        <v>66</v>
      </c>
      <c r="V913">
        <v>0</v>
      </c>
      <c r="W913" s="1" t="s">
        <v>40</v>
      </c>
      <c r="X913">
        <v>433</v>
      </c>
      <c r="Y913" s="1" t="s">
        <v>43</v>
      </c>
      <c r="Z913" s="1" t="s">
        <v>42</v>
      </c>
      <c r="AA913">
        <v>6.4516129032258063E-2</v>
      </c>
      <c r="AB913" s="1" t="s">
        <v>43</v>
      </c>
      <c r="AC913">
        <v>1</v>
      </c>
      <c r="AD913" s="2">
        <v>44287</v>
      </c>
      <c r="AE913" s="1" t="s">
        <v>44</v>
      </c>
      <c r="AF913" s="1" t="s">
        <v>72</v>
      </c>
      <c r="AG913" s="1" t="s">
        <v>63</v>
      </c>
      <c r="AH913" s="1" t="s">
        <v>59</v>
      </c>
      <c r="AI913">
        <v>23070</v>
      </c>
      <c r="AJ913">
        <v>0</v>
      </c>
    </row>
    <row r="914" spans="1:36" x14ac:dyDescent="0.25">
      <c r="A914">
        <v>10913</v>
      </c>
      <c r="B914">
        <v>27</v>
      </c>
      <c r="C914" s="1" t="s">
        <v>60</v>
      </c>
      <c r="D914" s="1" t="s">
        <v>73</v>
      </c>
      <c r="E914" s="2">
        <v>44243</v>
      </c>
      <c r="F914" s="2">
        <v>44791</v>
      </c>
      <c r="G914" s="1" t="s">
        <v>62</v>
      </c>
      <c r="H914">
        <v>726</v>
      </c>
      <c r="I914">
        <v>22</v>
      </c>
      <c r="J914">
        <v>2</v>
      </c>
      <c r="K914">
        <v>88.38</v>
      </c>
      <c r="L914">
        <v>10</v>
      </c>
      <c r="M914" s="1" t="s">
        <v>65</v>
      </c>
      <c r="N914" s="1" t="s">
        <v>56</v>
      </c>
      <c r="O914">
        <v>15899.4</v>
      </c>
      <c r="P914" t="b">
        <v>1</v>
      </c>
      <c r="Q914">
        <v>1.8333333333333333</v>
      </c>
      <c r="R914">
        <v>722.69999999999993</v>
      </c>
      <c r="S914">
        <v>29.459999999999997</v>
      </c>
      <c r="T914" s="2">
        <v>44228</v>
      </c>
      <c r="U914" s="1" t="s">
        <v>57</v>
      </c>
      <c r="V914">
        <v>0</v>
      </c>
      <c r="W914" s="1" t="s">
        <v>40</v>
      </c>
      <c r="X914">
        <v>548</v>
      </c>
      <c r="Y914" s="1" t="s">
        <v>43</v>
      </c>
      <c r="Z914" s="1" t="s">
        <v>42</v>
      </c>
      <c r="AA914">
        <v>8.6956521739130432E-2</v>
      </c>
      <c r="AB914" s="1" t="s">
        <v>52</v>
      </c>
      <c r="AC914">
        <v>2</v>
      </c>
      <c r="AD914" s="2">
        <v>44228</v>
      </c>
      <c r="AE914" s="1" t="s">
        <v>53</v>
      </c>
      <c r="AF914" s="1" t="s">
        <v>72</v>
      </c>
      <c r="AG914" s="1" t="s">
        <v>63</v>
      </c>
      <c r="AH914" s="1" t="s">
        <v>59</v>
      </c>
      <c r="AI914">
        <v>15972</v>
      </c>
      <c r="AJ914">
        <v>-72.600000000000364</v>
      </c>
    </row>
    <row r="915" spans="1:36" x14ac:dyDescent="0.25">
      <c r="A915">
        <v>10914</v>
      </c>
      <c r="B915">
        <v>20</v>
      </c>
      <c r="C915" s="1" t="s">
        <v>36</v>
      </c>
      <c r="D915" s="1" t="s">
        <v>48</v>
      </c>
      <c r="E915" s="2">
        <v>45035</v>
      </c>
      <c r="F915" s="2">
        <v>44380</v>
      </c>
      <c r="G915" s="1" t="s">
        <v>38</v>
      </c>
      <c r="H915">
        <v>409</v>
      </c>
      <c r="I915">
        <v>16</v>
      </c>
      <c r="J915">
        <v>0</v>
      </c>
      <c r="K915">
        <v>33.700000000000003</v>
      </c>
      <c r="L915">
        <v>5</v>
      </c>
      <c r="M915" s="1" t="s">
        <v>39</v>
      </c>
      <c r="N915" s="1" t="s">
        <v>56</v>
      </c>
      <c r="O915">
        <v>6523.55</v>
      </c>
      <c r="P915" t="b">
        <v>0</v>
      </c>
      <c r="Q915">
        <v>1.3333333333333333</v>
      </c>
      <c r="R915">
        <v>407.72187500000001</v>
      </c>
      <c r="S915">
        <v>33.700000000000003</v>
      </c>
      <c r="T915" s="2">
        <v>45017</v>
      </c>
      <c r="U915" s="1" t="s">
        <v>66</v>
      </c>
      <c r="V915">
        <v>0</v>
      </c>
      <c r="W915" s="1" t="s">
        <v>56</v>
      </c>
      <c r="Y915" s="1" t="s">
        <v>52</v>
      </c>
      <c r="Z915" s="1" t="s">
        <v>42</v>
      </c>
      <c r="AA915">
        <v>0</v>
      </c>
      <c r="AB915" s="1" t="s">
        <v>42</v>
      </c>
      <c r="AC915">
        <v>1</v>
      </c>
      <c r="AD915" s="2">
        <v>45017</v>
      </c>
      <c r="AE915" s="1" t="s">
        <v>53</v>
      </c>
      <c r="AF915" s="1" t="s">
        <v>54</v>
      </c>
      <c r="AG915" s="1" t="s">
        <v>55</v>
      </c>
      <c r="AH915" s="1" t="s">
        <v>68</v>
      </c>
      <c r="AI915">
        <v>6544</v>
      </c>
      <c r="AJ915">
        <v>-20.449999999999818</v>
      </c>
    </row>
    <row r="916" spans="1:36" x14ac:dyDescent="0.25">
      <c r="A916">
        <v>10915</v>
      </c>
      <c r="B916">
        <v>58</v>
      </c>
      <c r="C916" s="1" t="s">
        <v>36</v>
      </c>
      <c r="D916" s="1" t="s">
        <v>37</v>
      </c>
      <c r="E916" s="2">
        <v>44618</v>
      </c>
      <c r="F916" s="2">
        <v>44607</v>
      </c>
      <c r="G916" s="1" t="s">
        <v>38</v>
      </c>
      <c r="H916">
        <v>814</v>
      </c>
      <c r="I916">
        <v>30</v>
      </c>
      <c r="J916">
        <v>2</v>
      </c>
      <c r="K916">
        <v>107.17</v>
      </c>
      <c r="L916">
        <v>20</v>
      </c>
      <c r="M916" s="1" t="s">
        <v>39</v>
      </c>
      <c r="N916" s="1" t="s">
        <v>56</v>
      </c>
      <c r="O916">
        <v>24257.200000000001</v>
      </c>
      <c r="P916" t="b">
        <v>0</v>
      </c>
      <c r="Q916">
        <v>2.5</v>
      </c>
      <c r="R916">
        <v>808.57333333333338</v>
      </c>
      <c r="S916">
        <v>35.723333333333336</v>
      </c>
      <c r="T916" s="2">
        <v>44593</v>
      </c>
      <c r="U916" s="1" t="s">
        <v>41</v>
      </c>
      <c r="V916">
        <v>0</v>
      </c>
      <c r="W916" s="1" t="s">
        <v>40</v>
      </c>
      <c r="Y916" s="1" t="s">
        <v>43</v>
      </c>
      <c r="Z916" s="1" t="s">
        <v>52</v>
      </c>
      <c r="AA916">
        <v>6.4516129032258063E-2</v>
      </c>
      <c r="AB916" s="1" t="s">
        <v>43</v>
      </c>
      <c r="AC916">
        <v>1</v>
      </c>
      <c r="AD916" s="2">
        <v>44593</v>
      </c>
      <c r="AE916" s="1" t="s">
        <v>44</v>
      </c>
      <c r="AF916" s="1" t="s">
        <v>72</v>
      </c>
      <c r="AG916" s="1" t="s">
        <v>63</v>
      </c>
      <c r="AH916" s="1" t="s">
        <v>59</v>
      </c>
      <c r="AI916">
        <v>24420</v>
      </c>
      <c r="AJ916">
        <v>-162.79999999999927</v>
      </c>
    </row>
    <row r="917" spans="1:36" x14ac:dyDescent="0.25">
      <c r="A917">
        <v>10916</v>
      </c>
      <c r="B917">
        <v>62</v>
      </c>
      <c r="C917" s="1" t="s">
        <v>60</v>
      </c>
      <c r="D917" s="1" t="s">
        <v>71</v>
      </c>
      <c r="E917" s="2">
        <v>44676</v>
      </c>
      <c r="F917" s="2">
        <v>44581</v>
      </c>
      <c r="G917" s="1" t="s">
        <v>38</v>
      </c>
      <c r="H917">
        <v>367</v>
      </c>
      <c r="I917">
        <v>16</v>
      </c>
      <c r="J917">
        <v>1</v>
      </c>
      <c r="K917">
        <v>70.92</v>
      </c>
      <c r="L917">
        <v>10</v>
      </c>
      <c r="M917" s="1" t="s">
        <v>39</v>
      </c>
      <c r="N917" s="1" t="s">
        <v>56</v>
      </c>
      <c r="O917">
        <v>5835.3</v>
      </c>
      <c r="P917" t="b">
        <v>0</v>
      </c>
      <c r="Q917">
        <v>1.3333333333333333</v>
      </c>
      <c r="R917">
        <v>364.70625000000001</v>
      </c>
      <c r="S917">
        <v>35.46</v>
      </c>
      <c r="T917" s="2">
        <v>44652</v>
      </c>
      <c r="U917" s="1" t="s">
        <v>41</v>
      </c>
      <c r="V917">
        <v>0</v>
      </c>
      <c r="W917" s="1" t="s">
        <v>56</v>
      </c>
      <c r="Y917" s="1" t="s">
        <v>43</v>
      </c>
      <c r="Z917" s="1" t="s">
        <v>42</v>
      </c>
      <c r="AA917">
        <v>5.8823529411764705E-2</v>
      </c>
      <c r="AB917" s="1" t="s">
        <v>42</v>
      </c>
      <c r="AC917">
        <v>1</v>
      </c>
      <c r="AD917" s="2">
        <v>44652</v>
      </c>
      <c r="AE917" s="1" t="s">
        <v>53</v>
      </c>
      <c r="AF917" s="1" t="s">
        <v>54</v>
      </c>
      <c r="AG917" s="1" t="s">
        <v>63</v>
      </c>
      <c r="AH917" s="1" t="s">
        <v>68</v>
      </c>
      <c r="AI917">
        <v>5872</v>
      </c>
      <c r="AJ917">
        <v>-36.699999999999818</v>
      </c>
    </row>
    <row r="918" spans="1:36" x14ac:dyDescent="0.25">
      <c r="A918">
        <v>10917</v>
      </c>
      <c r="B918">
        <v>35</v>
      </c>
      <c r="C918" s="1" t="s">
        <v>36</v>
      </c>
      <c r="D918" s="1" t="s">
        <v>37</v>
      </c>
      <c r="E918" s="2">
        <v>44775</v>
      </c>
      <c r="F918" s="2">
        <v>44862</v>
      </c>
      <c r="G918" s="1" t="s">
        <v>62</v>
      </c>
      <c r="H918">
        <v>688</v>
      </c>
      <c r="I918">
        <v>24</v>
      </c>
      <c r="J918">
        <v>4</v>
      </c>
      <c r="K918">
        <v>74.73</v>
      </c>
      <c r="L918">
        <v>5</v>
      </c>
      <c r="M918" s="1" t="s">
        <v>39</v>
      </c>
      <c r="N918" s="1" t="s">
        <v>56</v>
      </c>
      <c r="O918">
        <v>16477.599999999999</v>
      </c>
      <c r="P918" t="b">
        <v>1</v>
      </c>
      <c r="Q918">
        <v>2</v>
      </c>
      <c r="R918">
        <v>686.56666666666661</v>
      </c>
      <c r="S918">
        <v>14.946000000000002</v>
      </c>
      <c r="T918" s="2">
        <v>44774</v>
      </c>
      <c r="U918" s="1" t="s">
        <v>57</v>
      </c>
      <c r="V918">
        <v>0</v>
      </c>
      <c r="W918" s="1" t="s">
        <v>40</v>
      </c>
      <c r="X918">
        <v>87</v>
      </c>
      <c r="Y918" s="1" t="s">
        <v>43</v>
      </c>
      <c r="Z918" s="1" t="s">
        <v>42</v>
      </c>
      <c r="AA918">
        <v>0.16</v>
      </c>
      <c r="AB918" s="1" t="s">
        <v>52</v>
      </c>
      <c r="AC918">
        <v>2</v>
      </c>
      <c r="AD918" s="2">
        <v>44774</v>
      </c>
      <c r="AE918" s="1" t="s">
        <v>53</v>
      </c>
      <c r="AF918" s="1" t="s">
        <v>45</v>
      </c>
      <c r="AG918" s="1" t="s">
        <v>63</v>
      </c>
      <c r="AH918" s="1" t="s">
        <v>64</v>
      </c>
      <c r="AI918">
        <v>16512</v>
      </c>
      <c r="AJ918">
        <v>-34.400000000001455</v>
      </c>
    </row>
    <row r="919" spans="1:36" x14ac:dyDescent="0.25">
      <c r="A919">
        <v>10918</v>
      </c>
      <c r="B919">
        <v>64</v>
      </c>
      <c r="C919" s="1" t="s">
        <v>36</v>
      </c>
      <c r="D919" s="1" t="s">
        <v>48</v>
      </c>
      <c r="E919" s="2">
        <v>44258</v>
      </c>
      <c r="F919" s="2">
        <v>45206</v>
      </c>
      <c r="G919" s="1" t="s">
        <v>38</v>
      </c>
      <c r="H919">
        <v>607</v>
      </c>
      <c r="I919">
        <v>35</v>
      </c>
      <c r="J919">
        <v>0</v>
      </c>
      <c r="K919">
        <v>24.43</v>
      </c>
      <c r="L919">
        <v>5</v>
      </c>
      <c r="M919" s="1" t="s">
        <v>50</v>
      </c>
      <c r="N919" s="1" t="s">
        <v>56</v>
      </c>
      <c r="O919">
        <v>21214.65</v>
      </c>
      <c r="P919" t="b">
        <v>1</v>
      </c>
      <c r="Q919">
        <v>2.9166666666666665</v>
      </c>
      <c r="R919">
        <v>606.13285714285723</v>
      </c>
      <c r="S919">
        <v>24.43</v>
      </c>
      <c r="T919" s="2">
        <v>44256</v>
      </c>
      <c r="U919" s="1" t="s">
        <v>41</v>
      </c>
      <c r="V919">
        <v>0</v>
      </c>
      <c r="W919" s="1" t="s">
        <v>40</v>
      </c>
      <c r="X919">
        <v>948</v>
      </c>
      <c r="Y919" s="1" t="s">
        <v>52</v>
      </c>
      <c r="Z919" s="1" t="s">
        <v>42</v>
      </c>
      <c r="AA919">
        <v>0</v>
      </c>
      <c r="AB919" s="1" t="s">
        <v>43</v>
      </c>
      <c r="AC919">
        <v>1</v>
      </c>
      <c r="AD919" s="2">
        <v>44256</v>
      </c>
      <c r="AE919" s="1" t="s">
        <v>44</v>
      </c>
      <c r="AF919" s="1" t="s">
        <v>54</v>
      </c>
      <c r="AG919" s="1" t="s">
        <v>70</v>
      </c>
      <c r="AH919" s="1" t="s">
        <v>64</v>
      </c>
      <c r="AI919">
        <v>21245</v>
      </c>
      <c r="AJ919">
        <v>-30.349999999998545</v>
      </c>
    </row>
    <row r="920" spans="1:36" x14ac:dyDescent="0.25">
      <c r="A920">
        <v>10919</v>
      </c>
      <c r="B920">
        <v>53</v>
      </c>
      <c r="C920" s="1" t="s">
        <v>36</v>
      </c>
      <c r="D920" s="1" t="s">
        <v>61</v>
      </c>
      <c r="E920" s="2">
        <v>44305</v>
      </c>
      <c r="F920" s="2">
        <v>44655</v>
      </c>
      <c r="G920" s="1" t="s">
        <v>38</v>
      </c>
      <c r="H920">
        <v>1389</v>
      </c>
      <c r="I920">
        <v>6</v>
      </c>
      <c r="J920">
        <v>4</v>
      </c>
      <c r="K920">
        <v>103.64</v>
      </c>
      <c r="L920">
        <v>5</v>
      </c>
      <c r="M920" s="1" t="s">
        <v>50</v>
      </c>
      <c r="N920" s="1" t="s">
        <v>56</v>
      </c>
      <c r="O920">
        <v>8264.5499999999993</v>
      </c>
      <c r="P920" t="b">
        <v>1</v>
      </c>
      <c r="Q920">
        <v>0.5</v>
      </c>
      <c r="R920">
        <v>1377.425</v>
      </c>
      <c r="S920">
        <v>20.728000000000002</v>
      </c>
      <c r="T920" s="2">
        <v>44287</v>
      </c>
      <c r="U920" s="1" t="s">
        <v>41</v>
      </c>
      <c r="V920">
        <v>0</v>
      </c>
      <c r="W920" s="1" t="s">
        <v>56</v>
      </c>
      <c r="X920">
        <v>350</v>
      </c>
      <c r="Y920" s="1" t="s">
        <v>43</v>
      </c>
      <c r="Z920" s="1" t="s">
        <v>42</v>
      </c>
      <c r="AA920">
        <v>0.5714285714285714</v>
      </c>
      <c r="AB920" s="1" t="s">
        <v>42</v>
      </c>
      <c r="AC920">
        <v>1</v>
      </c>
      <c r="AD920" s="2">
        <v>44287</v>
      </c>
      <c r="AE920" s="1" t="s">
        <v>58</v>
      </c>
      <c r="AF920" s="1" t="s">
        <v>45</v>
      </c>
      <c r="AG920" s="1" t="s">
        <v>63</v>
      </c>
      <c r="AH920" s="1" t="s">
        <v>47</v>
      </c>
      <c r="AI920">
        <v>8334</v>
      </c>
      <c r="AJ920">
        <v>-69.450000000000728</v>
      </c>
    </row>
    <row r="921" spans="1:36" x14ac:dyDescent="0.25">
      <c r="A921">
        <v>10920</v>
      </c>
      <c r="B921">
        <v>64</v>
      </c>
      <c r="C921" s="1" t="s">
        <v>36</v>
      </c>
      <c r="D921" s="1" t="s">
        <v>71</v>
      </c>
      <c r="E921" s="2">
        <v>44875</v>
      </c>
      <c r="F921" s="2">
        <v>45086</v>
      </c>
      <c r="G921" s="1" t="s">
        <v>38</v>
      </c>
      <c r="H921">
        <v>759</v>
      </c>
      <c r="I921">
        <v>4</v>
      </c>
      <c r="J921">
        <v>6</v>
      </c>
      <c r="K921">
        <v>112.06</v>
      </c>
      <c r="L921">
        <v>5</v>
      </c>
      <c r="M921" s="1" t="s">
        <v>50</v>
      </c>
      <c r="N921" s="1" t="s">
        <v>56</v>
      </c>
      <c r="O921">
        <v>2998.05</v>
      </c>
      <c r="P921" t="b">
        <v>1</v>
      </c>
      <c r="Q921">
        <v>0.33333333333333331</v>
      </c>
      <c r="R921">
        <v>749.51250000000005</v>
      </c>
      <c r="S921">
        <v>16.008571428571429</v>
      </c>
      <c r="T921" s="2">
        <v>44866</v>
      </c>
      <c r="U921" s="1" t="s">
        <v>41</v>
      </c>
      <c r="V921">
        <v>0</v>
      </c>
      <c r="W921" s="1" t="s">
        <v>56</v>
      </c>
      <c r="X921">
        <v>211</v>
      </c>
      <c r="Y921" s="1" t="s">
        <v>43</v>
      </c>
      <c r="Z921" s="1" t="s">
        <v>42</v>
      </c>
      <c r="AA921">
        <v>1.2</v>
      </c>
      <c r="AB921" s="1" t="s">
        <v>42</v>
      </c>
      <c r="AC921">
        <v>1</v>
      </c>
      <c r="AD921" s="2">
        <v>44866</v>
      </c>
      <c r="AE921" s="1" t="s">
        <v>58</v>
      </c>
      <c r="AF921" s="1" t="s">
        <v>78</v>
      </c>
      <c r="AG921" s="1" t="s">
        <v>63</v>
      </c>
      <c r="AH921" s="1" t="s">
        <v>59</v>
      </c>
      <c r="AI921">
        <v>3036</v>
      </c>
      <c r="AJ921">
        <v>-37.949999999999818</v>
      </c>
    </row>
    <row r="922" spans="1:36" x14ac:dyDescent="0.25">
      <c r="A922">
        <v>10921</v>
      </c>
      <c r="B922">
        <v>39</v>
      </c>
      <c r="C922" s="1" t="s">
        <v>36</v>
      </c>
      <c r="D922" s="1" t="s">
        <v>71</v>
      </c>
      <c r="E922" s="2">
        <v>44745</v>
      </c>
      <c r="F922" s="2">
        <v>45143</v>
      </c>
      <c r="G922" s="1" t="s">
        <v>38</v>
      </c>
      <c r="H922">
        <v>646</v>
      </c>
      <c r="I922">
        <v>18</v>
      </c>
      <c r="J922">
        <v>3</v>
      </c>
      <c r="K922">
        <v>94.12</v>
      </c>
      <c r="L922">
        <v>10</v>
      </c>
      <c r="M922" s="1" t="s">
        <v>50</v>
      </c>
      <c r="N922" s="1" t="s">
        <v>56</v>
      </c>
      <c r="O922">
        <v>11563.4</v>
      </c>
      <c r="P922" t="b">
        <v>1</v>
      </c>
      <c r="Q922">
        <v>1.5</v>
      </c>
      <c r="R922">
        <v>642.41111111111104</v>
      </c>
      <c r="S922">
        <v>23.53</v>
      </c>
      <c r="T922" s="2">
        <v>44743</v>
      </c>
      <c r="U922" s="1" t="s">
        <v>51</v>
      </c>
      <c r="V922">
        <v>0</v>
      </c>
      <c r="W922" s="1" t="s">
        <v>56</v>
      </c>
      <c r="X922">
        <v>398</v>
      </c>
      <c r="Y922" s="1" t="s">
        <v>43</v>
      </c>
      <c r="Z922" s="1" t="s">
        <v>42</v>
      </c>
      <c r="AA922">
        <v>0.15789473684210525</v>
      </c>
      <c r="AB922" s="1" t="s">
        <v>52</v>
      </c>
      <c r="AC922">
        <v>1</v>
      </c>
      <c r="AD922" s="2">
        <v>44743</v>
      </c>
      <c r="AE922" s="1" t="s">
        <v>53</v>
      </c>
      <c r="AF922" s="1" t="s">
        <v>72</v>
      </c>
      <c r="AG922" s="1" t="s">
        <v>63</v>
      </c>
      <c r="AH922" s="1" t="s">
        <v>64</v>
      </c>
      <c r="AI922">
        <v>11628</v>
      </c>
      <c r="AJ922">
        <v>-64.600000000000364</v>
      </c>
    </row>
    <row r="923" spans="1:36" x14ac:dyDescent="0.25">
      <c r="A923">
        <v>10922</v>
      </c>
      <c r="B923">
        <v>51</v>
      </c>
      <c r="C923" s="1" t="s">
        <v>60</v>
      </c>
      <c r="D923" s="1" t="s">
        <v>61</v>
      </c>
      <c r="E923" s="2">
        <v>44315</v>
      </c>
      <c r="F923" s="2">
        <v>44417</v>
      </c>
      <c r="G923" s="1" t="s">
        <v>62</v>
      </c>
      <c r="H923">
        <v>624</v>
      </c>
      <c r="I923">
        <v>6</v>
      </c>
      <c r="J923">
        <v>2</v>
      </c>
      <c r="K923">
        <v>113.19</v>
      </c>
      <c r="L923">
        <v>0</v>
      </c>
      <c r="M923" s="1" t="s">
        <v>67</v>
      </c>
      <c r="N923" s="1" t="s">
        <v>56</v>
      </c>
      <c r="O923">
        <v>3744</v>
      </c>
      <c r="P923" t="b">
        <v>1</v>
      </c>
      <c r="Q923">
        <v>0.5</v>
      </c>
      <c r="R923">
        <v>624</v>
      </c>
      <c r="S923">
        <v>37.729999999999997</v>
      </c>
      <c r="T923" s="2">
        <v>44287</v>
      </c>
      <c r="U923" s="1" t="s">
        <v>41</v>
      </c>
      <c r="V923">
        <v>0</v>
      </c>
      <c r="W923" s="1" t="s">
        <v>56</v>
      </c>
      <c r="X923">
        <v>102</v>
      </c>
      <c r="Y923" s="1" t="s">
        <v>43</v>
      </c>
      <c r="Z923" s="1" t="s">
        <v>42</v>
      </c>
      <c r="AA923">
        <v>0.2857142857142857</v>
      </c>
      <c r="AB923" s="1" t="s">
        <v>42</v>
      </c>
      <c r="AC923">
        <v>2</v>
      </c>
      <c r="AD923" s="2">
        <v>44287</v>
      </c>
      <c r="AE923" s="1" t="s">
        <v>58</v>
      </c>
      <c r="AF923" s="1" t="s">
        <v>72</v>
      </c>
      <c r="AG923" s="1" t="s">
        <v>63</v>
      </c>
      <c r="AH923" s="1" t="s">
        <v>64</v>
      </c>
      <c r="AI923">
        <v>3744</v>
      </c>
      <c r="AJ923">
        <v>0</v>
      </c>
    </row>
    <row r="924" spans="1:36" x14ac:dyDescent="0.25">
      <c r="A924">
        <v>10923</v>
      </c>
      <c r="B924">
        <v>64</v>
      </c>
      <c r="C924" s="1" t="s">
        <v>60</v>
      </c>
      <c r="D924" s="1" t="s">
        <v>37</v>
      </c>
      <c r="E924" s="2">
        <v>44794</v>
      </c>
      <c r="F924" s="2">
        <v>44801</v>
      </c>
      <c r="G924" s="1" t="s">
        <v>38</v>
      </c>
      <c r="H924">
        <v>966</v>
      </c>
      <c r="I924">
        <v>26</v>
      </c>
      <c r="J924">
        <v>2</v>
      </c>
      <c r="K924">
        <v>39.76</v>
      </c>
      <c r="L924">
        <v>5</v>
      </c>
      <c r="M924" s="1" t="s">
        <v>65</v>
      </c>
      <c r="N924" s="1" t="s">
        <v>56</v>
      </c>
      <c r="O924">
        <v>25067.7</v>
      </c>
      <c r="P924" t="b">
        <v>1</v>
      </c>
      <c r="Q924">
        <v>2.1666666666666665</v>
      </c>
      <c r="R924">
        <v>964.14230769230767</v>
      </c>
      <c r="S924">
        <v>13.253333333333332</v>
      </c>
      <c r="T924" s="2">
        <v>44774</v>
      </c>
      <c r="U924" s="1" t="s">
        <v>41</v>
      </c>
      <c r="V924">
        <v>0</v>
      </c>
      <c r="W924" s="1" t="s">
        <v>40</v>
      </c>
      <c r="X924">
        <v>7</v>
      </c>
      <c r="Y924" s="1" t="s">
        <v>52</v>
      </c>
      <c r="Z924" s="1" t="s">
        <v>42</v>
      </c>
      <c r="AA924">
        <v>7.407407407407407E-2</v>
      </c>
      <c r="AB924" s="1" t="s">
        <v>43</v>
      </c>
      <c r="AC924">
        <v>1</v>
      </c>
      <c r="AD924" s="2">
        <v>44774</v>
      </c>
      <c r="AE924" s="1" t="s">
        <v>44</v>
      </c>
      <c r="AF924" s="1" t="s">
        <v>72</v>
      </c>
      <c r="AG924" s="1" t="s">
        <v>55</v>
      </c>
      <c r="AH924" s="1" t="s">
        <v>59</v>
      </c>
      <c r="AI924">
        <v>25116</v>
      </c>
      <c r="AJ924">
        <v>-48.299999999999272</v>
      </c>
    </row>
    <row r="925" spans="1:36" x14ac:dyDescent="0.25">
      <c r="A925">
        <v>10924</v>
      </c>
      <c r="B925">
        <v>25</v>
      </c>
      <c r="C925" s="1" t="s">
        <v>36</v>
      </c>
      <c r="D925" s="1" t="s">
        <v>69</v>
      </c>
      <c r="E925" s="2">
        <v>44578</v>
      </c>
      <c r="F925" s="2">
        <v>44786</v>
      </c>
      <c r="G925" s="1" t="s">
        <v>38</v>
      </c>
      <c r="H925">
        <v>1356</v>
      </c>
      <c r="I925">
        <v>27</v>
      </c>
      <c r="J925">
        <v>1</v>
      </c>
      <c r="K925">
        <v>104.03</v>
      </c>
      <c r="L925">
        <v>15</v>
      </c>
      <c r="M925" s="1" t="s">
        <v>65</v>
      </c>
      <c r="N925" s="1" t="s">
        <v>40</v>
      </c>
      <c r="O925">
        <v>36408.6</v>
      </c>
      <c r="P925" t="b">
        <v>1</v>
      </c>
      <c r="Q925">
        <v>2.25</v>
      </c>
      <c r="R925">
        <v>1348.4666666666667</v>
      </c>
      <c r="S925">
        <v>52.015000000000001</v>
      </c>
      <c r="T925" s="2">
        <v>44562</v>
      </c>
      <c r="U925" s="1" t="s">
        <v>66</v>
      </c>
      <c r="V925">
        <v>1</v>
      </c>
      <c r="W925" s="1" t="s">
        <v>40</v>
      </c>
      <c r="X925">
        <v>208</v>
      </c>
      <c r="Y925" s="1" t="s">
        <v>43</v>
      </c>
      <c r="Z925" s="1" t="s">
        <v>42</v>
      </c>
      <c r="AA925">
        <v>3.5714285714285712E-2</v>
      </c>
      <c r="AB925" s="1" t="s">
        <v>43</v>
      </c>
      <c r="AC925">
        <v>1</v>
      </c>
      <c r="AD925" s="2">
        <v>44562</v>
      </c>
      <c r="AE925" s="1" t="s">
        <v>44</v>
      </c>
      <c r="AF925" s="1" t="s">
        <v>54</v>
      </c>
      <c r="AG925" s="1" t="s">
        <v>63</v>
      </c>
      <c r="AH925" s="1" t="s">
        <v>47</v>
      </c>
      <c r="AI925">
        <v>36612</v>
      </c>
      <c r="AJ925">
        <v>-203.40000000000146</v>
      </c>
    </row>
    <row r="926" spans="1:36" x14ac:dyDescent="0.25">
      <c r="A926">
        <v>10925</v>
      </c>
      <c r="B926">
        <v>41</v>
      </c>
      <c r="C926" s="1" t="s">
        <v>36</v>
      </c>
      <c r="D926" s="1" t="s">
        <v>37</v>
      </c>
      <c r="E926" s="2">
        <v>44588</v>
      </c>
      <c r="F926" s="2">
        <v>45172</v>
      </c>
      <c r="G926" s="1" t="s">
        <v>62</v>
      </c>
      <c r="H926">
        <v>367</v>
      </c>
      <c r="I926">
        <v>11</v>
      </c>
      <c r="J926">
        <v>2</v>
      </c>
      <c r="K926">
        <v>61.22</v>
      </c>
      <c r="L926">
        <v>5</v>
      </c>
      <c r="M926" s="1" t="s">
        <v>67</v>
      </c>
      <c r="N926" s="1" t="s">
        <v>56</v>
      </c>
      <c r="O926">
        <v>4018.65</v>
      </c>
      <c r="P926" t="b">
        <v>1</v>
      </c>
      <c r="Q926">
        <v>0.91666666666666663</v>
      </c>
      <c r="R926">
        <v>365.33181818181816</v>
      </c>
      <c r="S926">
        <v>20.406666666666666</v>
      </c>
      <c r="T926" s="2">
        <v>44562</v>
      </c>
      <c r="U926" s="1" t="s">
        <v>51</v>
      </c>
      <c r="V926">
        <v>0</v>
      </c>
      <c r="W926" s="1" t="s">
        <v>56</v>
      </c>
      <c r="X926">
        <v>584</v>
      </c>
      <c r="Y926" s="1" t="s">
        <v>43</v>
      </c>
      <c r="Z926" s="1" t="s">
        <v>42</v>
      </c>
      <c r="AA926">
        <v>0.16666666666666666</v>
      </c>
      <c r="AB926" s="1" t="s">
        <v>42</v>
      </c>
      <c r="AC926">
        <v>2</v>
      </c>
      <c r="AD926" s="2">
        <v>44562</v>
      </c>
      <c r="AE926" s="1" t="s">
        <v>74</v>
      </c>
      <c r="AF926" s="1" t="s">
        <v>72</v>
      </c>
      <c r="AG926" s="1" t="s">
        <v>63</v>
      </c>
      <c r="AH926" s="1" t="s">
        <v>68</v>
      </c>
      <c r="AI926">
        <v>4037</v>
      </c>
      <c r="AJ926">
        <v>-18.349999999999909</v>
      </c>
    </row>
    <row r="927" spans="1:36" x14ac:dyDescent="0.25">
      <c r="A927">
        <v>10926</v>
      </c>
      <c r="B927">
        <v>61</v>
      </c>
      <c r="C927" s="1" t="s">
        <v>60</v>
      </c>
      <c r="D927" s="1" t="s">
        <v>48</v>
      </c>
      <c r="E927" s="2">
        <v>44248</v>
      </c>
      <c r="F927" s="2">
        <v>44711</v>
      </c>
      <c r="G927" s="1" t="s">
        <v>62</v>
      </c>
      <c r="H927">
        <v>486</v>
      </c>
      <c r="I927">
        <v>16</v>
      </c>
      <c r="J927">
        <v>2</v>
      </c>
      <c r="K927">
        <v>23.85</v>
      </c>
      <c r="L927">
        <v>0</v>
      </c>
      <c r="M927" s="1" t="s">
        <v>67</v>
      </c>
      <c r="N927" s="1" t="s">
        <v>56</v>
      </c>
      <c r="O927">
        <v>7776</v>
      </c>
      <c r="P927" t="b">
        <v>1</v>
      </c>
      <c r="Q927">
        <v>1.3333333333333333</v>
      </c>
      <c r="R927">
        <v>486</v>
      </c>
      <c r="S927">
        <v>7.95</v>
      </c>
      <c r="T927" s="2">
        <v>44228</v>
      </c>
      <c r="U927" s="1" t="s">
        <v>41</v>
      </c>
      <c r="V927">
        <v>0</v>
      </c>
      <c r="W927" s="1" t="s">
        <v>56</v>
      </c>
      <c r="X927">
        <v>463</v>
      </c>
      <c r="Y927" s="1" t="s">
        <v>52</v>
      </c>
      <c r="Z927" s="1" t="s">
        <v>42</v>
      </c>
      <c r="AA927">
        <v>0.11764705882352941</v>
      </c>
      <c r="AB927" s="1" t="s">
        <v>42</v>
      </c>
      <c r="AC927">
        <v>2</v>
      </c>
      <c r="AD927" s="2">
        <v>44228</v>
      </c>
      <c r="AE927" s="1" t="s">
        <v>53</v>
      </c>
      <c r="AF927" s="1" t="s">
        <v>72</v>
      </c>
      <c r="AG927" s="1" t="s">
        <v>70</v>
      </c>
      <c r="AH927" s="1" t="s">
        <v>68</v>
      </c>
      <c r="AI927">
        <v>7776</v>
      </c>
      <c r="AJ927">
        <v>0</v>
      </c>
    </row>
    <row r="928" spans="1:36" x14ac:dyDescent="0.25">
      <c r="A928">
        <v>10927</v>
      </c>
      <c r="B928">
        <v>36</v>
      </c>
      <c r="C928" s="1" t="s">
        <v>60</v>
      </c>
      <c r="D928" s="1" t="s">
        <v>73</v>
      </c>
      <c r="E928" s="2">
        <v>44799</v>
      </c>
      <c r="F928" s="2">
        <v>45113</v>
      </c>
      <c r="G928" s="1" t="s">
        <v>49</v>
      </c>
      <c r="H928">
        <v>491</v>
      </c>
      <c r="I928">
        <v>19</v>
      </c>
      <c r="J928">
        <v>2</v>
      </c>
      <c r="K928">
        <v>81.91</v>
      </c>
      <c r="L928">
        <v>0</v>
      </c>
      <c r="M928" s="1" t="s">
        <v>50</v>
      </c>
      <c r="N928" s="1" t="s">
        <v>56</v>
      </c>
      <c r="O928">
        <v>9329</v>
      </c>
      <c r="P928" t="b">
        <v>1</v>
      </c>
      <c r="Q928">
        <v>1.5833333333333333</v>
      </c>
      <c r="R928">
        <v>491</v>
      </c>
      <c r="S928">
        <v>27.303333333333331</v>
      </c>
      <c r="T928" s="2">
        <v>44774</v>
      </c>
      <c r="U928" s="1" t="s">
        <v>51</v>
      </c>
      <c r="V928">
        <v>0</v>
      </c>
      <c r="W928" s="1" t="s">
        <v>56</v>
      </c>
      <c r="X928">
        <v>314</v>
      </c>
      <c r="Y928" s="1" t="s">
        <v>43</v>
      </c>
      <c r="Z928" s="1" t="s">
        <v>42</v>
      </c>
      <c r="AA928">
        <v>0.1</v>
      </c>
      <c r="AB928" s="1" t="s">
        <v>52</v>
      </c>
      <c r="AC928">
        <v>3</v>
      </c>
      <c r="AD928" s="2">
        <v>44774</v>
      </c>
      <c r="AE928" s="1" t="s">
        <v>53</v>
      </c>
      <c r="AF928" s="1" t="s">
        <v>72</v>
      </c>
      <c r="AG928" s="1" t="s">
        <v>63</v>
      </c>
      <c r="AH928" s="1" t="s">
        <v>68</v>
      </c>
      <c r="AI928">
        <v>9329</v>
      </c>
      <c r="AJ928">
        <v>0</v>
      </c>
    </row>
    <row r="929" spans="1:36" x14ac:dyDescent="0.25">
      <c r="A929">
        <v>10928</v>
      </c>
      <c r="B929">
        <v>59</v>
      </c>
      <c r="C929" s="1" t="s">
        <v>36</v>
      </c>
      <c r="D929" s="1" t="s">
        <v>69</v>
      </c>
      <c r="E929" s="2">
        <v>44485</v>
      </c>
      <c r="F929" s="2">
        <v>44828</v>
      </c>
      <c r="G929" s="1" t="s">
        <v>62</v>
      </c>
      <c r="H929">
        <v>727</v>
      </c>
      <c r="I929">
        <v>15</v>
      </c>
      <c r="J929">
        <v>2</v>
      </c>
      <c r="K929">
        <v>83.67</v>
      </c>
      <c r="L929">
        <v>20</v>
      </c>
      <c r="M929" s="1" t="s">
        <v>39</v>
      </c>
      <c r="N929" s="1" t="s">
        <v>56</v>
      </c>
      <c r="O929">
        <v>10759.6</v>
      </c>
      <c r="P929" t="b">
        <v>1</v>
      </c>
      <c r="Q929">
        <v>1.25</v>
      </c>
      <c r="R929">
        <v>717.30666666666673</v>
      </c>
      <c r="S929">
        <v>27.89</v>
      </c>
      <c r="T929" s="2">
        <v>44470</v>
      </c>
      <c r="U929" s="1" t="s">
        <v>41</v>
      </c>
      <c r="V929">
        <v>0</v>
      </c>
      <c r="W929" s="1" t="s">
        <v>56</v>
      </c>
      <c r="X929">
        <v>343</v>
      </c>
      <c r="Y929" s="1" t="s">
        <v>43</v>
      </c>
      <c r="Z929" s="1" t="s">
        <v>52</v>
      </c>
      <c r="AA929">
        <v>0.125</v>
      </c>
      <c r="AB929" s="1" t="s">
        <v>52</v>
      </c>
      <c r="AC929">
        <v>2</v>
      </c>
      <c r="AD929" s="2">
        <v>44470</v>
      </c>
      <c r="AE929" s="1" t="s">
        <v>53</v>
      </c>
      <c r="AF929" s="1" t="s">
        <v>72</v>
      </c>
      <c r="AG929" s="1" t="s">
        <v>63</v>
      </c>
      <c r="AH929" s="1" t="s">
        <v>59</v>
      </c>
      <c r="AI929">
        <v>10905</v>
      </c>
      <c r="AJ929">
        <v>-145.39999999999964</v>
      </c>
    </row>
    <row r="930" spans="1:36" x14ac:dyDescent="0.25">
      <c r="A930">
        <v>10929</v>
      </c>
      <c r="B930">
        <v>58</v>
      </c>
      <c r="C930" s="1" t="s">
        <v>36</v>
      </c>
      <c r="D930" s="1" t="s">
        <v>37</v>
      </c>
      <c r="E930" s="2">
        <v>44533</v>
      </c>
      <c r="F930" s="2">
        <v>44491</v>
      </c>
      <c r="G930" s="1" t="s">
        <v>38</v>
      </c>
      <c r="H930">
        <v>1431</v>
      </c>
      <c r="I930">
        <v>26</v>
      </c>
      <c r="J930">
        <v>3</v>
      </c>
      <c r="K930">
        <v>38</v>
      </c>
      <c r="L930">
        <v>20</v>
      </c>
      <c r="M930" s="1" t="s">
        <v>65</v>
      </c>
      <c r="N930" s="1" t="s">
        <v>56</v>
      </c>
      <c r="O930">
        <v>36919.800000000003</v>
      </c>
      <c r="P930" t="b">
        <v>0</v>
      </c>
      <c r="Q930">
        <v>2.1666666666666665</v>
      </c>
      <c r="R930">
        <v>1419.9923076923078</v>
      </c>
      <c r="S930">
        <v>9.5</v>
      </c>
      <c r="T930" s="2">
        <v>44531</v>
      </c>
      <c r="U930" s="1" t="s">
        <v>41</v>
      </c>
      <c r="V930">
        <v>0</v>
      </c>
      <c r="W930" s="1" t="s">
        <v>40</v>
      </c>
      <c r="Y930" s="1" t="s">
        <v>52</v>
      </c>
      <c r="Z930" s="1" t="s">
        <v>52</v>
      </c>
      <c r="AA930">
        <v>0.1111111111111111</v>
      </c>
      <c r="AB930" s="1" t="s">
        <v>43</v>
      </c>
      <c r="AC930">
        <v>1</v>
      </c>
      <c r="AD930" s="2">
        <v>44531</v>
      </c>
      <c r="AE930" s="1" t="s">
        <v>44</v>
      </c>
      <c r="AF930" s="1" t="s">
        <v>72</v>
      </c>
      <c r="AG930" s="1" t="s">
        <v>55</v>
      </c>
      <c r="AH930" s="1" t="s">
        <v>47</v>
      </c>
      <c r="AI930">
        <v>37206</v>
      </c>
      <c r="AJ930">
        <v>-286.19999999999709</v>
      </c>
    </row>
    <row r="931" spans="1:36" x14ac:dyDescent="0.25">
      <c r="A931">
        <v>10930</v>
      </c>
      <c r="B931">
        <v>54</v>
      </c>
      <c r="C931" s="1" t="s">
        <v>36</v>
      </c>
      <c r="D931" s="1" t="s">
        <v>73</v>
      </c>
      <c r="E931" s="2">
        <v>45006</v>
      </c>
      <c r="F931" s="2">
        <v>44371</v>
      </c>
      <c r="G931" s="1" t="s">
        <v>62</v>
      </c>
      <c r="H931">
        <v>515</v>
      </c>
      <c r="I931">
        <v>31</v>
      </c>
      <c r="J931">
        <v>2</v>
      </c>
      <c r="K931">
        <v>8.16</v>
      </c>
      <c r="L931">
        <v>5</v>
      </c>
      <c r="M931" s="1" t="s">
        <v>67</v>
      </c>
      <c r="N931" s="1" t="s">
        <v>56</v>
      </c>
      <c r="O931">
        <v>15939.25</v>
      </c>
      <c r="P931" t="b">
        <v>0</v>
      </c>
      <c r="Q931">
        <v>2.5833333333333335</v>
      </c>
      <c r="R931">
        <v>514.16935483870964</v>
      </c>
      <c r="S931">
        <v>2.72</v>
      </c>
      <c r="T931" s="2">
        <v>44986</v>
      </c>
      <c r="U931" s="1" t="s">
        <v>41</v>
      </c>
      <c r="V931">
        <v>0</v>
      </c>
      <c r="W931" s="1" t="s">
        <v>40</v>
      </c>
      <c r="Y931" s="1" t="s">
        <v>42</v>
      </c>
      <c r="Z931" s="1" t="s">
        <v>42</v>
      </c>
      <c r="AA931">
        <v>6.25E-2</v>
      </c>
      <c r="AB931" s="1" t="s">
        <v>52</v>
      </c>
      <c r="AC931">
        <v>2</v>
      </c>
      <c r="AD931" s="2">
        <v>44986</v>
      </c>
      <c r="AE931" s="1" t="s">
        <v>44</v>
      </c>
      <c r="AF931" s="1" t="s">
        <v>72</v>
      </c>
      <c r="AG931" s="1" t="s">
        <v>77</v>
      </c>
      <c r="AH931" s="1" t="s">
        <v>64</v>
      </c>
      <c r="AI931">
        <v>15965</v>
      </c>
      <c r="AJ931">
        <v>-25.75</v>
      </c>
    </row>
    <row r="932" spans="1:36" x14ac:dyDescent="0.25">
      <c r="A932">
        <v>10931</v>
      </c>
      <c r="B932">
        <v>23</v>
      </c>
      <c r="C932" s="1" t="s">
        <v>36</v>
      </c>
      <c r="D932" s="1" t="s">
        <v>73</v>
      </c>
      <c r="E932" s="2">
        <v>44400</v>
      </c>
      <c r="F932" s="2">
        <v>44772</v>
      </c>
      <c r="G932" s="1" t="s">
        <v>62</v>
      </c>
      <c r="H932">
        <v>476</v>
      </c>
      <c r="I932">
        <v>19</v>
      </c>
      <c r="J932">
        <v>1</v>
      </c>
      <c r="K932">
        <v>27.98</v>
      </c>
      <c r="L932">
        <v>5</v>
      </c>
      <c r="M932" s="1" t="s">
        <v>39</v>
      </c>
      <c r="N932" s="1" t="s">
        <v>56</v>
      </c>
      <c r="O932">
        <v>9020.2000000000007</v>
      </c>
      <c r="P932" t="b">
        <v>1</v>
      </c>
      <c r="Q932">
        <v>1.5833333333333333</v>
      </c>
      <c r="R932">
        <v>474.74736842105267</v>
      </c>
      <c r="S932">
        <v>13.99</v>
      </c>
      <c r="T932" s="2">
        <v>44378</v>
      </c>
      <c r="U932" s="1" t="s">
        <v>66</v>
      </c>
      <c r="V932">
        <v>0</v>
      </c>
      <c r="W932" s="1" t="s">
        <v>56</v>
      </c>
      <c r="X932">
        <v>372</v>
      </c>
      <c r="Y932" s="1" t="s">
        <v>52</v>
      </c>
      <c r="Z932" s="1" t="s">
        <v>42</v>
      </c>
      <c r="AA932">
        <v>0.05</v>
      </c>
      <c r="AB932" s="1" t="s">
        <v>52</v>
      </c>
      <c r="AC932">
        <v>2</v>
      </c>
      <c r="AD932" s="2">
        <v>44378</v>
      </c>
      <c r="AE932" s="1" t="s">
        <v>53</v>
      </c>
      <c r="AF932" s="1" t="s">
        <v>54</v>
      </c>
      <c r="AG932" s="1" t="s">
        <v>70</v>
      </c>
      <c r="AH932" s="1" t="s">
        <v>68</v>
      </c>
      <c r="AI932">
        <v>9044</v>
      </c>
      <c r="AJ932">
        <v>-23.799999999999272</v>
      </c>
    </row>
    <row r="933" spans="1:36" x14ac:dyDescent="0.25">
      <c r="A933">
        <v>10932</v>
      </c>
      <c r="B933">
        <v>43</v>
      </c>
      <c r="C933" s="1" t="s">
        <v>60</v>
      </c>
      <c r="D933" s="1" t="s">
        <v>61</v>
      </c>
      <c r="E933" s="2">
        <v>45076</v>
      </c>
      <c r="F933" s="2">
        <v>45093</v>
      </c>
      <c r="G933" s="1" t="s">
        <v>38</v>
      </c>
      <c r="H933">
        <v>860</v>
      </c>
      <c r="I933">
        <v>24</v>
      </c>
      <c r="J933">
        <v>2</v>
      </c>
      <c r="K933">
        <v>50.97</v>
      </c>
      <c r="L933">
        <v>20</v>
      </c>
      <c r="M933" s="1" t="s">
        <v>50</v>
      </c>
      <c r="N933" s="1" t="s">
        <v>56</v>
      </c>
      <c r="O933">
        <v>20468</v>
      </c>
      <c r="P933" t="b">
        <v>1</v>
      </c>
      <c r="Q933">
        <v>2</v>
      </c>
      <c r="R933">
        <v>852.83333333333337</v>
      </c>
      <c r="S933">
        <v>16.989999999999998</v>
      </c>
      <c r="T933" s="2">
        <v>45047</v>
      </c>
      <c r="U933" s="1" t="s">
        <v>51</v>
      </c>
      <c r="V933">
        <v>0</v>
      </c>
      <c r="W933" s="1" t="s">
        <v>40</v>
      </c>
      <c r="X933">
        <v>17</v>
      </c>
      <c r="Y933" s="1" t="s">
        <v>52</v>
      </c>
      <c r="Z933" s="1" t="s">
        <v>52</v>
      </c>
      <c r="AA933">
        <v>0.08</v>
      </c>
      <c r="AB933" s="1" t="s">
        <v>43</v>
      </c>
      <c r="AC933">
        <v>1</v>
      </c>
      <c r="AD933" s="2">
        <v>45047</v>
      </c>
      <c r="AE933" s="1" t="s">
        <v>53</v>
      </c>
      <c r="AF933" s="1" t="s">
        <v>72</v>
      </c>
      <c r="AG933" s="1" t="s">
        <v>63</v>
      </c>
      <c r="AH933" s="1" t="s">
        <v>59</v>
      </c>
      <c r="AI933">
        <v>20640</v>
      </c>
      <c r="AJ933">
        <v>-172</v>
      </c>
    </row>
    <row r="934" spans="1:36" x14ac:dyDescent="0.25">
      <c r="A934">
        <v>10933</v>
      </c>
      <c r="B934">
        <v>51</v>
      </c>
      <c r="C934" s="1" t="s">
        <v>60</v>
      </c>
      <c r="D934" s="1" t="s">
        <v>48</v>
      </c>
      <c r="E934" s="2">
        <v>44434</v>
      </c>
      <c r="F934" s="2">
        <v>45192</v>
      </c>
      <c r="G934" s="1" t="s">
        <v>49</v>
      </c>
      <c r="H934">
        <v>1180</v>
      </c>
      <c r="I934">
        <v>9</v>
      </c>
      <c r="J934">
        <v>2</v>
      </c>
      <c r="K934">
        <v>24.27</v>
      </c>
      <c r="L934">
        <v>5</v>
      </c>
      <c r="M934" s="1" t="s">
        <v>67</v>
      </c>
      <c r="N934" s="1" t="s">
        <v>56</v>
      </c>
      <c r="O934">
        <v>10561</v>
      </c>
      <c r="P934" t="b">
        <v>1</v>
      </c>
      <c r="Q934">
        <v>0.75</v>
      </c>
      <c r="R934">
        <v>1173.4444444444443</v>
      </c>
      <c r="S934">
        <v>8.09</v>
      </c>
      <c r="T934" s="2">
        <v>44409</v>
      </c>
      <c r="U934" s="1" t="s">
        <v>41</v>
      </c>
      <c r="V934">
        <v>0</v>
      </c>
      <c r="W934" s="1" t="s">
        <v>56</v>
      </c>
      <c r="X934">
        <v>758</v>
      </c>
      <c r="Y934" s="1" t="s">
        <v>52</v>
      </c>
      <c r="Z934" s="1" t="s">
        <v>42</v>
      </c>
      <c r="AA934">
        <v>0.2</v>
      </c>
      <c r="AB934" s="1" t="s">
        <v>52</v>
      </c>
      <c r="AC934">
        <v>3</v>
      </c>
      <c r="AD934" s="2">
        <v>44409</v>
      </c>
      <c r="AE934" s="1" t="s">
        <v>74</v>
      </c>
      <c r="AF934" s="1" t="s">
        <v>72</v>
      </c>
      <c r="AG934" s="1" t="s">
        <v>70</v>
      </c>
      <c r="AH934" s="1" t="s">
        <v>47</v>
      </c>
      <c r="AI934">
        <v>10620</v>
      </c>
      <c r="AJ934">
        <v>-59</v>
      </c>
    </row>
    <row r="935" spans="1:36" x14ac:dyDescent="0.25">
      <c r="A935">
        <v>10934</v>
      </c>
      <c r="B935">
        <v>62</v>
      </c>
      <c r="C935" s="1" t="s">
        <v>36</v>
      </c>
      <c r="D935" s="1" t="s">
        <v>48</v>
      </c>
      <c r="E935" s="2">
        <v>44578</v>
      </c>
      <c r="F935" s="2">
        <v>44522</v>
      </c>
      <c r="G935" s="1" t="s">
        <v>38</v>
      </c>
      <c r="H935">
        <v>925</v>
      </c>
      <c r="I935">
        <v>23</v>
      </c>
      <c r="J935">
        <v>3</v>
      </c>
      <c r="K935">
        <v>27.31</v>
      </c>
      <c r="L935">
        <v>15</v>
      </c>
      <c r="M935" s="1" t="s">
        <v>65</v>
      </c>
      <c r="N935" s="1" t="s">
        <v>56</v>
      </c>
      <c r="O935">
        <v>21136.25</v>
      </c>
      <c r="P935" t="b">
        <v>0</v>
      </c>
      <c r="Q935">
        <v>1.9166666666666667</v>
      </c>
      <c r="R935">
        <v>918.96739130434787</v>
      </c>
      <c r="S935">
        <v>6.8274999999999997</v>
      </c>
      <c r="T935" s="2">
        <v>44562</v>
      </c>
      <c r="U935" s="1" t="s">
        <v>41</v>
      </c>
      <c r="V935">
        <v>0</v>
      </c>
      <c r="W935" s="1" t="s">
        <v>40</v>
      </c>
      <c r="Y935" s="1" t="s">
        <v>52</v>
      </c>
      <c r="Z935" s="1" t="s">
        <v>42</v>
      </c>
      <c r="AA935">
        <v>0.125</v>
      </c>
      <c r="AB935" s="1" t="s">
        <v>43</v>
      </c>
      <c r="AC935">
        <v>1</v>
      </c>
      <c r="AD935" s="2">
        <v>44562</v>
      </c>
      <c r="AE935" s="1" t="s">
        <v>53</v>
      </c>
      <c r="AF935" s="1" t="s">
        <v>72</v>
      </c>
      <c r="AG935" s="1" t="s">
        <v>70</v>
      </c>
      <c r="AH935" s="1" t="s">
        <v>59</v>
      </c>
      <c r="AI935">
        <v>21275</v>
      </c>
      <c r="AJ935">
        <v>-138.75</v>
      </c>
    </row>
    <row r="936" spans="1:36" x14ac:dyDescent="0.25">
      <c r="A936">
        <v>10935</v>
      </c>
      <c r="B936">
        <v>23</v>
      </c>
      <c r="C936" s="1" t="s">
        <v>60</v>
      </c>
      <c r="D936" s="1" t="s">
        <v>48</v>
      </c>
      <c r="E936" s="2">
        <v>44863</v>
      </c>
      <c r="F936" s="2">
        <v>45191</v>
      </c>
      <c r="G936" s="1" t="s">
        <v>49</v>
      </c>
      <c r="H936">
        <v>906</v>
      </c>
      <c r="I936">
        <v>4</v>
      </c>
      <c r="J936">
        <v>2</v>
      </c>
      <c r="K936">
        <v>50.01</v>
      </c>
      <c r="L936">
        <v>10</v>
      </c>
      <c r="M936" s="1" t="s">
        <v>65</v>
      </c>
      <c r="N936" s="1" t="s">
        <v>56</v>
      </c>
      <c r="O936">
        <v>3533.4</v>
      </c>
      <c r="P936" t="b">
        <v>1</v>
      </c>
      <c r="Q936">
        <v>0.33333333333333331</v>
      </c>
      <c r="R936">
        <v>883.35</v>
      </c>
      <c r="S936">
        <v>16.669999999999998</v>
      </c>
      <c r="T936" s="2">
        <v>44835</v>
      </c>
      <c r="U936" s="1" t="s">
        <v>66</v>
      </c>
      <c r="V936">
        <v>0</v>
      </c>
      <c r="W936" s="1" t="s">
        <v>56</v>
      </c>
      <c r="X936">
        <v>328</v>
      </c>
      <c r="Y936" s="1" t="s">
        <v>52</v>
      </c>
      <c r="Z936" s="1" t="s">
        <v>42</v>
      </c>
      <c r="AA936">
        <v>0.4</v>
      </c>
      <c r="AB936" s="1" t="s">
        <v>42</v>
      </c>
      <c r="AC936">
        <v>3</v>
      </c>
      <c r="AD936" s="2">
        <v>44835</v>
      </c>
      <c r="AE936" s="1" t="s">
        <v>58</v>
      </c>
      <c r="AF936" s="1" t="s">
        <v>72</v>
      </c>
      <c r="AG936" s="1" t="s">
        <v>63</v>
      </c>
      <c r="AH936" s="1" t="s">
        <v>59</v>
      </c>
      <c r="AI936">
        <v>3624</v>
      </c>
      <c r="AJ936">
        <v>-90.599999999999909</v>
      </c>
    </row>
    <row r="937" spans="1:36" x14ac:dyDescent="0.25">
      <c r="A937">
        <v>10936</v>
      </c>
      <c r="B937">
        <v>54</v>
      </c>
      <c r="C937" s="1" t="s">
        <v>60</v>
      </c>
      <c r="D937" s="1" t="s">
        <v>69</v>
      </c>
      <c r="E937" s="2">
        <v>44948</v>
      </c>
      <c r="F937" s="2">
        <v>44672</v>
      </c>
      <c r="G937" s="1" t="s">
        <v>49</v>
      </c>
      <c r="H937">
        <v>478</v>
      </c>
      <c r="I937">
        <v>10</v>
      </c>
      <c r="J937">
        <v>3</v>
      </c>
      <c r="K937">
        <v>115.61</v>
      </c>
      <c r="L937">
        <v>20</v>
      </c>
      <c r="M937" s="1" t="s">
        <v>65</v>
      </c>
      <c r="N937" s="1" t="s">
        <v>56</v>
      </c>
      <c r="O937">
        <v>4684.3999999999996</v>
      </c>
      <c r="P937" t="b">
        <v>0</v>
      </c>
      <c r="Q937">
        <v>0.83333333333333337</v>
      </c>
      <c r="R937">
        <v>468.43999999999994</v>
      </c>
      <c r="S937">
        <v>28.9025</v>
      </c>
      <c r="T937" s="2">
        <v>44927</v>
      </c>
      <c r="U937" s="1" t="s">
        <v>41</v>
      </c>
      <c r="V937">
        <v>0</v>
      </c>
      <c r="W937" s="1" t="s">
        <v>56</v>
      </c>
      <c r="Y937" s="1" t="s">
        <v>43</v>
      </c>
      <c r="Z937" s="1" t="s">
        <v>52</v>
      </c>
      <c r="AA937">
        <v>0.27272727272727271</v>
      </c>
      <c r="AB937" s="1" t="s">
        <v>42</v>
      </c>
      <c r="AC937">
        <v>3</v>
      </c>
      <c r="AD937" s="2">
        <v>44927</v>
      </c>
      <c r="AE937" s="1" t="s">
        <v>74</v>
      </c>
      <c r="AF937" s="1" t="s">
        <v>72</v>
      </c>
      <c r="AG937" s="1" t="s">
        <v>63</v>
      </c>
      <c r="AH937" s="1" t="s">
        <v>68</v>
      </c>
      <c r="AI937">
        <v>4780</v>
      </c>
      <c r="AJ937">
        <v>-95.600000000000364</v>
      </c>
    </row>
    <row r="938" spans="1:36" x14ac:dyDescent="0.25">
      <c r="A938">
        <v>10937</v>
      </c>
      <c r="B938">
        <v>50</v>
      </c>
      <c r="C938" s="1" t="s">
        <v>60</v>
      </c>
      <c r="D938" s="1" t="s">
        <v>71</v>
      </c>
      <c r="E938" s="2">
        <v>44332</v>
      </c>
      <c r="F938" s="2">
        <v>45216</v>
      </c>
      <c r="G938" s="1" t="s">
        <v>62</v>
      </c>
      <c r="H938">
        <v>694</v>
      </c>
      <c r="I938">
        <v>9</v>
      </c>
      <c r="J938">
        <v>1</v>
      </c>
      <c r="K938">
        <v>92.89</v>
      </c>
      <c r="L938">
        <v>20</v>
      </c>
      <c r="M938" s="1" t="s">
        <v>67</v>
      </c>
      <c r="N938" s="1" t="s">
        <v>56</v>
      </c>
      <c r="O938">
        <v>6107.2</v>
      </c>
      <c r="P938" t="b">
        <v>1</v>
      </c>
      <c r="Q938">
        <v>0.75</v>
      </c>
      <c r="R938">
        <v>678.57777777777778</v>
      </c>
      <c r="S938">
        <v>46.445</v>
      </c>
      <c r="T938" s="2">
        <v>44317</v>
      </c>
      <c r="U938" s="1" t="s">
        <v>51</v>
      </c>
      <c r="V938">
        <v>0</v>
      </c>
      <c r="W938" s="1" t="s">
        <v>56</v>
      </c>
      <c r="X938">
        <v>884</v>
      </c>
      <c r="Y938" s="1" t="s">
        <v>43</v>
      </c>
      <c r="Z938" s="1" t="s">
        <v>52</v>
      </c>
      <c r="AA938">
        <v>0.1</v>
      </c>
      <c r="AB938" s="1" t="s">
        <v>42</v>
      </c>
      <c r="AC938">
        <v>2</v>
      </c>
      <c r="AD938" s="2">
        <v>44317</v>
      </c>
      <c r="AE938" s="1" t="s">
        <v>74</v>
      </c>
      <c r="AF938" s="1" t="s">
        <v>54</v>
      </c>
      <c r="AG938" s="1" t="s">
        <v>63</v>
      </c>
      <c r="AH938" s="1" t="s">
        <v>64</v>
      </c>
      <c r="AI938">
        <v>6246</v>
      </c>
      <c r="AJ938">
        <v>-138.80000000000018</v>
      </c>
    </row>
    <row r="939" spans="1:36" x14ac:dyDescent="0.25">
      <c r="A939">
        <v>10938</v>
      </c>
      <c r="B939">
        <v>39</v>
      </c>
      <c r="C939" s="1" t="s">
        <v>36</v>
      </c>
      <c r="D939" s="1" t="s">
        <v>69</v>
      </c>
      <c r="E939" s="2">
        <v>44603</v>
      </c>
      <c r="F939" s="2">
        <v>45018</v>
      </c>
      <c r="G939" s="1" t="s">
        <v>49</v>
      </c>
      <c r="H939">
        <v>1468</v>
      </c>
      <c r="I939">
        <v>19</v>
      </c>
      <c r="J939">
        <v>3</v>
      </c>
      <c r="K939">
        <v>41.77</v>
      </c>
      <c r="L939">
        <v>10</v>
      </c>
      <c r="M939" s="1" t="s">
        <v>65</v>
      </c>
      <c r="N939" s="1" t="s">
        <v>56</v>
      </c>
      <c r="O939">
        <v>27892</v>
      </c>
      <c r="P939" t="b">
        <v>1</v>
      </c>
      <c r="Q939">
        <v>1.5833333333333333</v>
      </c>
      <c r="R939">
        <v>1468</v>
      </c>
      <c r="S939">
        <v>10.442500000000001</v>
      </c>
      <c r="T939" s="2">
        <v>44593</v>
      </c>
      <c r="U939" s="1" t="s">
        <v>51</v>
      </c>
      <c r="V939">
        <v>0</v>
      </c>
      <c r="W939" s="1" t="s">
        <v>40</v>
      </c>
      <c r="X939">
        <v>415</v>
      </c>
      <c r="Y939" s="1" t="s">
        <v>52</v>
      </c>
      <c r="Z939" s="1" t="s">
        <v>42</v>
      </c>
      <c r="AA939">
        <v>0.15</v>
      </c>
      <c r="AB939" s="1" t="s">
        <v>43</v>
      </c>
      <c r="AC939">
        <v>3</v>
      </c>
      <c r="AD939" s="2">
        <v>44593</v>
      </c>
      <c r="AE939" s="1" t="s">
        <v>53</v>
      </c>
      <c r="AF939" s="1" t="s">
        <v>72</v>
      </c>
      <c r="AG939" s="1" t="s">
        <v>55</v>
      </c>
      <c r="AH939" s="1" t="s">
        <v>47</v>
      </c>
      <c r="AI939">
        <v>27892</v>
      </c>
      <c r="AJ939">
        <v>0</v>
      </c>
    </row>
    <row r="940" spans="1:36" x14ac:dyDescent="0.25">
      <c r="A940">
        <v>10939</v>
      </c>
      <c r="B940">
        <v>38</v>
      </c>
      <c r="C940" s="1" t="s">
        <v>36</v>
      </c>
      <c r="D940" s="1" t="s">
        <v>37</v>
      </c>
      <c r="E940" s="2">
        <v>44704</v>
      </c>
      <c r="F940" s="2">
        <v>45207</v>
      </c>
      <c r="G940" s="1" t="s">
        <v>62</v>
      </c>
      <c r="H940">
        <v>1175</v>
      </c>
      <c r="I940">
        <v>15</v>
      </c>
      <c r="J940">
        <v>3</v>
      </c>
      <c r="K940">
        <v>114.43</v>
      </c>
      <c r="L940">
        <v>5</v>
      </c>
      <c r="M940" s="1" t="s">
        <v>50</v>
      </c>
      <c r="N940" s="1" t="s">
        <v>56</v>
      </c>
      <c r="O940">
        <v>17566.25</v>
      </c>
      <c r="P940" t="b">
        <v>1</v>
      </c>
      <c r="Q940">
        <v>1.25</v>
      </c>
      <c r="R940">
        <v>1171.0833333333333</v>
      </c>
      <c r="S940">
        <v>28.607500000000002</v>
      </c>
      <c r="T940" s="2">
        <v>44682</v>
      </c>
      <c r="U940" s="1" t="s">
        <v>51</v>
      </c>
      <c r="V940">
        <v>0</v>
      </c>
      <c r="W940" s="1" t="s">
        <v>40</v>
      </c>
      <c r="X940">
        <v>503</v>
      </c>
      <c r="Y940" s="1" t="s">
        <v>43</v>
      </c>
      <c r="Z940" s="1" t="s">
        <v>42</v>
      </c>
      <c r="AA940">
        <v>0.1875</v>
      </c>
      <c r="AB940" s="1" t="s">
        <v>52</v>
      </c>
      <c r="AC940">
        <v>2</v>
      </c>
      <c r="AD940" s="2">
        <v>44682</v>
      </c>
      <c r="AE940" s="1" t="s">
        <v>53</v>
      </c>
      <c r="AF940" s="1" t="s">
        <v>72</v>
      </c>
      <c r="AG940" s="1" t="s">
        <v>63</v>
      </c>
      <c r="AH940" s="1" t="s">
        <v>47</v>
      </c>
      <c r="AI940">
        <v>17625</v>
      </c>
      <c r="AJ940">
        <v>-58.75</v>
      </c>
    </row>
    <row r="941" spans="1:36" x14ac:dyDescent="0.25">
      <c r="A941">
        <v>10940</v>
      </c>
      <c r="B941">
        <v>23</v>
      </c>
      <c r="C941" s="1" t="s">
        <v>60</v>
      </c>
      <c r="D941" s="1" t="s">
        <v>73</v>
      </c>
      <c r="E941" s="2">
        <v>44558</v>
      </c>
      <c r="F941" s="2">
        <v>44695</v>
      </c>
      <c r="G941" s="1" t="s">
        <v>38</v>
      </c>
      <c r="H941">
        <v>1261</v>
      </c>
      <c r="I941">
        <v>34</v>
      </c>
      <c r="J941">
        <v>4</v>
      </c>
      <c r="K941">
        <v>79.25</v>
      </c>
      <c r="L941">
        <v>20</v>
      </c>
      <c r="M941" s="1" t="s">
        <v>65</v>
      </c>
      <c r="N941" s="1" t="s">
        <v>56</v>
      </c>
      <c r="O941">
        <v>42621.8</v>
      </c>
      <c r="P941" t="b">
        <v>1</v>
      </c>
      <c r="Q941">
        <v>2.8333333333333335</v>
      </c>
      <c r="R941">
        <v>1253.5823529411766</v>
      </c>
      <c r="S941">
        <v>15.85</v>
      </c>
      <c r="T941" s="2">
        <v>44531</v>
      </c>
      <c r="U941" s="1" t="s">
        <v>66</v>
      </c>
      <c r="V941">
        <v>0</v>
      </c>
      <c r="W941" s="1" t="s">
        <v>40</v>
      </c>
      <c r="X941">
        <v>137</v>
      </c>
      <c r="Y941" s="1" t="s">
        <v>43</v>
      </c>
      <c r="Z941" s="1" t="s">
        <v>52</v>
      </c>
      <c r="AA941">
        <v>0.11428571428571428</v>
      </c>
      <c r="AB941" s="1" t="s">
        <v>43</v>
      </c>
      <c r="AC941">
        <v>1</v>
      </c>
      <c r="AD941" s="2">
        <v>44531</v>
      </c>
      <c r="AE941" s="1" t="s">
        <v>44</v>
      </c>
      <c r="AF941" s="1" t="s">
        <v>45</v>
      </c>
      <c r="AG941" s="1" t="s">
        <v>63</v>
      </c>
      <c r="AH941" s="1" t="s">
        <v>47</v>
      </c>
      <c r="AI941">
        <v>42874</v>
      </c>
      <c r="AJ941">
        <v>-252.19999999999709</v>
      </c>
    </row>
    <row r="942" spans="1:36" x14ac:dyDescent="0.25">
      <c r="A942">
        <v>10941</v>
      </c>
      <c r="B942">
        <v>23</v>
      </c>
      <c r="C942" s="1" t="s">
        <v>60</v>
      </c>
      <c r="D942" s="1" t="s">
        <v>73</v>
      </c>
      <c r="E942" s="2">
        <v>44577</v>
      </c>
      <c r="F942" s="2">
        <v>45145</v>
      </c>
      <c r="G942" s="1" t="s">
        <v>38</v>
      </c>
      <c r="H942">
        <v>497</v>
      </c>
      <c r="I942">
        <v>19</v>
      </c>
      <c r="J942">
        <v>3</v>
      </c>
      <c r="K942">
        <v>57.38</v>
      </c>
      <c r="L942">
        <v>20</v>
      </c>
      <c r="M942" s="1" t="s">
        <v>50</v>
      </c>
      <c r="N942" s="1" t="s">
        <v>56</v>
      </c>
      <c r="O942">
        <v>9343.6</v>
      </c>
      <c r="P942" t="b">
        <v>1</v>
      </c>
      <c r="Q942">
        <v>1.5833333333333333</v>
      </c>
      <c r="R942">
        <v>491.7684210526316</v>
      </c>
      <c r="S942">
        <v>14.345000000000001</v>
      </c>
      <c r="T942" s="2">
        <v>44562</v>
      </c>
      <c r="U942" s="1" t="s">
        <v>66</v>
      </c>
      <c r="V942">
        <v>0</v>
      </c>
      <c r="W942" s="1" t="s">
        <v>56</v>
      </c>
      <c r="X942">
        <v>568</v>
      </c>
      <c r="Y942" s="1" t="s">
        <v>52</v>
      </c>
      <c r="Z942" s="1" t="s">
        <v>52</v>
      </c>
      <c r="AA942">
        <v>0.15</v>
      </c>
      <c r="AB942" s="1" t="s">
        <v>52</v>
      </c>
      <c r="AC942">
        <v>1</v>
      </c>
      <c r="AD942" s="2">
        <v>44562</v>
      </c>
      <c r="AE942" s="1" t="s">
        <v>53</v>
      </c>
      <c r="AF942" s="1" t="s">
        <v>72</v>
      </c>
      <c r="AG942" s="1" t="s">
        <v>63</v>
      </c>
      <c r="AH942" s="1" t="s">
        <v>68</v>
      </c>
      <c r="AI942">
        <v>9443</v>
      </c>
      <c r="AJ942">
        <v>-99.399999999999636</v>
      </c>
    </row>
    <row r="943" spans="1:36" x14ac:dyDescent="0.25">
      <c r="A943">
        <v>10942</v>
      </c>
      <c r="B943">
        <v>21</v>
      </c>
      <c r="C943" s="1" t="s">
        <v>36</v>
      </c>
      <c r="D943" s="1" t="s">
        <v>71</v>
      </c>
      <c r="E943" s="2">
        <v>45077</v>
      </c>
      <c r="F943" s="2">
        <v>44365</v>
      </c>
      <c r="G943" s="1" t="s">
        <v>38</v>
      </c>
      <c r="H943">
        <v>1268</v>
      </c>
      <c r="I943">
        <v>21</v>
      </c>
      <c r="J943">
        <v>2</v>
      </c>
      <c r="K943">
        <v>58.85</v>
      </c>
      <c r="L943">
        <v>15</v>
      </c>
      <c r="M943" s="1" t="s">
        <v>65</v>
      </c>
      <c r="N943" s="1" t="s">
        <v>56</v>
      </c>
      <c r="O943">
        <v>26437.8</v>
      </c>
      <c r="P943" t="b">
        <v>0</v>
      </c>
      <c r="Q943">
        <v>1.75</v>
      </c>
      <c r="R943">
        <v>1258.9428571428571</v>
      </c>
      <c r="S943">
        <v>19.616666666666667</v>
      </c>
      <c r="T943" s="2">
        <v>45047</v>
      </c>
      <c r="U943" s="1" t="s">
        <v>66</v>
      </c>
      <c r="V943">
        <v>0</v>
      </c>
      <c r="W943" s="1" t="s">
        <v>40</v>
      </c>
      <c r="Y943" s="1" t="s">
        <v>52</v>
      </c>
      <c r="Z943" s="1" t="s">
        <v>42</v>
      </c>
      <c r="AA943">
        <v>9.0909090909090912E-2</v>
      </c>
      <c r="AB943" s="1" t="s">
        <v>43</v>
      </c>
      <c r="AC943">
        <v>1</v>
      </c>
      <c r="AD943" s="2">
        <v>45047</v>
      </c>
      <c r="AE943" s="1" t="s">
        <v>53</v>
      </c>
      <c r="AF943" s="1" t="s">
        <v>72</v>
      </c>
      <c r="AG943" s="1" t="s">
        <v>63</v>
      </c>
      <c r="AH943" s="1" t="s">
        <v>47</v>
      </c>
      <c r="AI943">
        <v>26628</v>
      </c>
      <c r="AJ943">
        <v>-190.20000000000073</v>
      </c>
    </row>
    <row r="944" spans="1:36" x14ac:dyDescent="0.25">
      <c r="A944">
        <v>10943</v>
      </c>
      <c r="B944">
        <v>47</v>
      </c>
      <c r="C944" s="1" t="s">
        <v>75</v>
      </c>
      <c r="D944" s="1" t="s">
        <v>37</v>
      </c>
      <c r="E944" s="2">
        <v>44772</v>
      </c>
      <c r="F944" s="2">
        <v>44391</v>
      </c>
      <c r="G944" s="1" t="s">
        <v>38</v>
      </c>
      <c r="H944">
        <v>1407</v>
      </c>
      <c r="I944">
        <v>34</v>
      </c>
      <c r="J944">
        <v>1</v>
      </c>
      <c r="K944">
        <v>52.24</v>
      </c>
      <c r="L944">
        <v>5</v>
      </c>
      <c r="M944" s="1" t="s">
        <v>50</v>
      </c>
      <c r="N944" s="1" t="s">
        <v>56</v>
      </c>
      <c r="O944">
        <v>47767.65</v>
      </c>
      <c r="P944" t="b">
        <v>0</v>
      </c>
      <c r="Q944">
        <v>2.8333333333333335</v>
      </c>
      <c r="R944">
        <v>1404.9308823529411</v>
      </c>
      <c r="S944">
        <v>26.12</v>
      </c>
      <c r="T944" s="2">
        <v>44743</v>
      </c>
      <c r="U944" s="1" t="s">
        <v>51</v>
      </c>
      <c r="V944">
        <v>0</v>
      </c>
      <c r="W944" s="1" t="s">
        <v>40</v>
      </c>
      <c r="Y944" s="1" t="s">
        <v>52</v>
      </c>
      <c r="Z944" s="1" t="s">
        <v>42</v>
      </c>
      <c r="AA944">
        <v>2.8571428571428571E-2</v>
      </c>
      <c r="AB944" s="1" t="s">
        <v>43</v>
      </c>
      <c r="AC944">
        <v>1</v>
      </c>
      <c r="AD944" s="2">
        <v>44743</v>
      </c>
      <c r="AE944" s="1" t="s">
        <v>44</v>
      </c>
      <c r="AF944" s="1" t="s">
        <v>54</v>
      </c>
      <c r="AG944" s="1" t="s">
        <v>63</v>
      </c>
      <c r="AH944" s="1" t="s">
        <v>47</v>
      </c>
      <c r="AI944">
        <v>47838</v>
      </c>
      <c r="AJ944">
        <v>-70.349999999998545</v>
      </c>
    </row>
    <row r="945" spans="1:36" x14ac:dyDescent="0.25">
      <c r="A945">
        <v>10944</v>
      </c>
      <c r="B945">
        <v>28</v>
      </c>
      <c r="C945" s="1" t="s">
        <v>60</v>
      </c>
      <c r="D945" s="1" t="s">
        <v>71</v>
      </c>
      <c r="E945" s="2">
        <v>44831</v>
      </c>
      <c r="F945" s="2">
        <v>44502</v>
      </c>
      <c r="G945" s="1" t="s">
        <v>62</v>
      </c>
      <c r="H945">
        <v>968</v>
      </c>
      <c r="I945">
        <v>17</v>
      </c>
      <c r="J945">
        <v>5</v>
      </c>
      <c r="K945">
        <v>31.79</v>
      </c>
      <c r="L945">
        <v>10</v>
      </c>
      <c r="M945" s="1" t="s">
        <v>67</v>
      </c>
      <c r="N945" s="1" t="s">
        <v>56</v>
      </c>
      <c r="O945">
        <v>16359.2</v>
      </c>
      <c r="P945" t="b">
        <v>0</v>
      </c>
      <c r="Q945">
        <v>1.4166666666666667</v>
      </c>
      <c r="R945">
        <v>962.30588235294124</v>
      </c>
      <c r="S945">
        <v>5.2983333333333329</v>
      </c>
      <c r="T945" s="2">
        <v>44805</v>
      </c>
      <c r="U945" s="1" t="s">
        <v>57</v>
      </c>
      <c r="V945">
        <v>0</v>
      </c>
      <c r="W945" s="1" t="s">
        <v>40</v>
      </c>
      <c r="Y945" s="1" t="s">
        <v>52</v>
      </c>
      <c r="Z945" s="1" t="s">
        <v>42</v>
      </c>
      <c r="AA945">
        <v>0.27777777777777779</v>
      </c>
      <c r="AB945" s="1" t="s">
        <v>52</v>
      </c>
      <c r="AC945">
        <v>2</v>
      </c>
      <c r="AD945" s="2">
        <v>44805</v>
      </c>
      <c r="AE945" s="1" t="s">
        <v>53</v>
      </c>
      <c r="AF945" s="1" t="s">
        <v>45</v>
      </c>
      <c r="AG945" s="1" t="s">
        <v>55</v>
      </c>
      <c r="AH945" s="1" t="s">
        <v>59</v>
      </c>
      <c r="AI945">
        <v>16456</v>
      </c>
      <c r="AJ945">
        <v>-96.799999999999272</v>
      </c>
    </row>
    <row r="946" spans="1:36" x14ac:dyDescent="0.25">
      <c r="A946">
        <v>10945</v>
      </c>
      <c r="B946">
        <v>47</v>
      </c>
      <c r="C946" s="1" t="s">
        <v>36</v>
      </c>
      <c r="D946" s="1" t="s">
        <v>73</v>
      </c>
      <c r="E946" s="2">
        <v>44450</v>
      </c>
      <c r="F946" s="2">
        <v>45214</v>
      </c>
      <c r="G946" s="1" t="s">
        <v>38</v>
      </c>
      <c r="H946">
        <v>1408</v>
      </c>
      <c r="I946">
        <v>18</v>
      </c>
      <c r="J946">
        <v>0</v>
      </c>
      <c r="K946">
        <v>49.46</v>
      </c>
      <c r="L946">
        <v>15</v>
      </c>
      <c r="M946" s="1" t="s">
        <v>50</v>
      </c>
      <c r="N946" s="1" t="s">
        <v>56</v>
      </c>
      <c r="O946">
        <v>25132.799999999999</v>
      </c>
      <c r="P946" t="b">
        <v>1</v>
      </c>
      <c r="Q946">
        <v>1.5</v>
      </c>
      <c r="R946">
        <v>1396.2666666666667</v>
      </c>
      <c r="S946">
        <v>49.46</v>
      </c>
      <c r="T946" s="2">
        <v>44440</v>
      </c>
      <c r="U946" s="1" t="s">
        <v>51</v>
      </c>
      <c r="V946">
        <v>0</v>
      </c>
      <c r="W946" s="1" t="s">
        <v>40</v>
      </c>
      <c r="X946">
        <v>764</v>
      </c>
      <c r="Y946" s="1" t="s">
        <v>52</v>
      </c>
      <c r="Z946" s="1" t="s">
        <v>42</v>
      </c>
      <c r="AA946">
        <v>0</v>
      </c>
      <c r="AB946" s="1" t="s">
        <v>43</v>
      </c>
      <c r="AC946">
        <v>1</v>
      </c>
      <c r="AD946" s="2">
        <v>44440</v>
      </c>
      <c r="AE946" s="1" t="s">
        <v>53</v>
      </c>
      <c r="AF946" s="1" t="s">
        <v>54</v>
      </c>
      <c r="AG946" s="1" t="s">
        <v>63</v>
      </c>
      <c r="AH946" s="1" t="s">
        <v>47</v>
      </c>
      <c r="AI946">
        <v>25344</v>
      </c>
      <c r="AJ946">
        <v>-211.20000000000073</v>
      </c>
    </row>
    <row r="947" spans="1:36" x14ac:dyDescent="0.25">
      <c r="A947">
        <v>10946</v>
      </c>
      <c r="B947">
        <v>48</v>
      </c>
      <c r="C947" s="1" t="s">
        <v>60</v>
      </c>
      <c r="D947" s="1" t="s">
        <v>69</v>
      </c>
      <c r="E947" s="2">
        <v>44673</v>
      </c>
      <c r="F947" s="2">
        <v>44724</v>
      </c>
      <c r="G947" s="1" t="s">
        <v>38</v>
      </c>
      <c r="H947">
        <v>756</v>
      </c>
      <c r="I947">
        <v>17</v>
      </c>
      <c r="J947">
        <v>0</v>
      </c>
      <c r="K947">
        <v>65.709999999999994</v>
      </c>
      <c r="L947">
        <v>10</v>
      </c>
      <c r="M947" s="1" t="s">
        <v>67</v>
      </c>
      <c r="N947" s="1" t="s">
        <v>40</v>
      </c>
      <c r="O947">
        <v>12776.4</v>
      </c>
      <c r="P947" t="b">
        <v>1</v>
      </c>
      <c r="Q947">
        <v>1.4166666666666667</v>
      </c>
      <c r="R947">
        <v>751.55294117647054</v>
      </c>
      <c r="S947">
        <v>65.709999999999994</v>
      </c>
      <c r="T947" s="2">
        <v>44652</v>
      </c>
      <c r="U947" s="1" t="s">
        <v>51</v>
      </c>
      <c r="V947">
        <v>1</v>
      </c>
      <c r="W947" s="1" t="s">
        <v>56</v>
      </c>
      <c r="X947">
        <v>51</v>
      </c>
      <c r="Y947" s="1" t="s">
        <v>43</v>
      </c>
      <c r="Z947" s="1" t="s">
        <v>42</v>
      </c>
      <c r="AA947">
        <v>0</v>
      </c>
      <c r="AB947" s="1" t="s">
        <v>52</v>
      </c>
      <c r="AC947">
        <v>1</v>
      </c>
      <c r="AD947" s="2">
        <v>44652</v>
      </c>
      <c r="AE947" s="1" t="s">
        <v>53</v>
      </c>
      <c r="AF947" s="1" t="s">
        <v>54</v>
      </c>
      <c r="AG947" s="1" t="s">
        <v>63</v>
      </c>
      <c r="AH947" s="1" t="s">
        <v>59</v>
      </c>
      <c r="AI947">
        <v>12852</v>
      </c>
      <c r="AJ947">
        <v>-75.600000000000364</v>
      </c>
    </row>
    <row r="948" spans="1:36" x14ac:dyDescent="0.25">
      <c r="A948">
        <v>10947</v>
      </c>
      <c r="B948">
        <v>41</v>
      </c>
      <c r="C948" s="1" t="s">
        <v>36</v>
      </c>
      <c r="D948" s="1" t="s">
        <v>48</v>
      </c>
      <c r="E948" s="2">
        <v>44310</v>
      </c>
      <c r="F948" s="2">
        <v>45090</v>
      </c>
      <c r="G948" s="1" t="s">
        <v>62</v>
      </c>
      <c r="H948">
        <v>371</v>
      </c>
      <c r="I948">
        <v>2</v>
      </c>
      <c r="J948">
        <v>3</v>
      </c>
      <c r="K948">
        <v>65.72</v>
      </c>
      <c r="L948">
        <v>0</v>
      </c>
      <c r="M948" s="1" t="s">
        <v>39</v>
      </c>
      <c r="N948" s="1" t="s">
        <v>56</v>
      </c>
      <c r="O948">
        <v>742</v>
      </c>
      <c r="P948" t="b">
        <v>1</v>
      </c>
      <c r="Q948">
        <v>0.16666666666666666</v>
      </c>
      <c r="R948">
        <v>371</v>
      </c>
      <c r="S948">
        <v>16.43</v>
      </c>
      <c r="T948" s="2">
        <v>44287</v>
      </c>
      <c r="U948" s="1" t="s">
        <v>51</v>
      </c>
      <c r="V948">
        <v>0</v>
      </c>
      <c r="W948" s="1" t="s">
        <v>56</v>
      </c>
      <c r="X948">
        <v>780</v>
      </c>
      <c r="Y948" s="1" t="s">
        <v>43</v>
      </c>
      <c r="Z948" s="1" t="s">
        <v>42</v>
      </c>
      <c r="AA948">
        <v>1</v>
      </c>
      <c r="AB948" s="1" t="s">
        <v>42</v>
      </c>
      <c r="AC948">
        <v>2</v>
      </c>
      <c r="AD948" s="2">
        <v>44287</v>
      </c>
      <c r="AE948" s="1" t="s">
        <v>58</v>
      </c>
      <c r="AF948" s="1" t="s">
        <v>72</v>
      </c>
      <c r="AG948" s="1" t="s">
        <v>63</v>
      </c>
      <c r="AH948" s="1" t="s">
        <v>68</v>
      </c>
      <c r="AI948">
        <v>742</v>
      </c>
      <c r="AJ948">
        <v>0</v>
      </c>
    </row>
    <row r="949" spans="1:36" x14ac:dyDescent="0.25">
      <c r="A949">
        <v>10948</v>
      </c>
      <c r="B949">
        <v>26</v>
      </c>
      <c r="C949" s="1" t="s">
        <v>60</v>
      </c>
      <c r="D949" s="1" t="s">
        <v>73</v>
      </c>
      <c r="E949" s="2">
        <v>44216</v>
      </c>
      <c r="F949" s="2">
        <v>45230</v>
      </c>
      <c r="G949" s="1" t="s">
        <v>49</v>
      </c>
      <c r="H949">
        <v>522</v>
      </c>
      <c r="I949">
        <v>1</v>
      </c>
      <c r="J949">
        <v>4</v>
      </c>
      <c r="K949">
        <v>92.6</v>
      </c>
      <c r="L949">
        <v>10</v>
      </c>
      <c r="M949" s="1" t="s">
        <v>50</v>
      </c>
      <c r="N949" s="1" t="s">
        <v>56</v>
      </c>
      <c r="O949">
        <v>417.6</v>
      </c>
      <c r="P949" t="b">
        <v>1</v>
      </c>
      <c r="Q949">
        <v>8.3333333333333329E-2</v>
      </c>
      <c r="R949">
        <v>417.6</v>
      </c>
      <c r="S949">
        <v>18.52</v>
      </c>
      <c r="T949" s="2">
        <v>44197</v>
      </c>
      <c r="U949" s="1" t="s">
        <v>57</v>
      </c>
      <c r="V949">
        <v>0</v>
      </c>
      <c r="W949" s="1" t="s">
        <v>56</v>
      </c>
      <c r="X949">
        <v>1014</v>
      </c>
      <c r="Y949" s="1" t="s">
        <v>43</v>
      </c>
      <c r="Z949" s="1" t="s">
        <v>42</v>
      </c>
      <c r="AA949">
        <v>2</v>
      </c>
      <c r="AB949" s="1" t="s">
        <v>42</v>
      </c>
      <c r="AC949">
        <v>3</v>
      </c>
      <c r="AD949" s="2">
        <v>44197</v>
      </c>
      <c r="AE949" s="1" t="s">
        <v>58</v>
      </c>
      <c r="AF949" s="1" t="s">
        <v>45</v>
      </c>
      <c r="AG949" s="1" t="s">
        <v>63</v>
      </c>
      <c r="AH949" s="1" t="s">
        <v>64</v>
      </c>
      <c r="AI949">
        <v>522</v>
      </c>
      <c r="AJ949">
        <v>-104.39999999999998</v>
      </c>
    </row>
    <row r="950" spans="1:36" x14ac:dyDescent="0.25">
      <c r="A950">
        <v>10949</v>
      </c>
      <c r="B950">
        <v>20</v>
      </c>
      <c r="C950" s="1" t="s">
        <v>60</v>
      </c>
      <c r="D950" s="1" t="s">
        <v>61</v>
      </c>
      <c r="E950" s="2">
        <v>44724</v>
      </c>
      <c r="F950" s="2">
        <v>45175</v>
      </c>
      <c r="G950" s="1" t="s">
        <v>38</v>
      </c>
      <c r="H950">
        <v>575</v>
      </c>
      <c r="I950">
        <v>10</v>
      </c>
      <c r="J950">
        <v>2</v>
      </c>
      <c r="K950">
        <v>46.26</v>
      </c>
      <c r="L950">
        <v>15</v>
      </c>
      <c r="M950" s="1" t="s">
        <v>67</v>
      </c>
      <c r="N950" s="1" t="s">
        <v>56</v>
      </c>
      <c r="O950">
        <v>5663.75</v>
      </c>
      <c r="P950" t="b">
        <v>1</v>
      </c>
      <c r="Q950">
        <v>0.83333333333333337</v>
      </c>
      <c r="R950">
        <v>566.375</v>
      </c>
      <c r="S950">
        <v>15.42</v>
      </c>
      <c r="T950" s="2">
        <v>44713</v>
      </c>
      <c r="U950" s="1" t="s">
        <v>66</v>
      </c>
      <c r="V950">
        <v>0</v>
      </c>
      <c r="W950" s="1" t="s">
        <v>56</v>
      </c>
      <c r="X950">
        <v>451</v>
      </c>
      <c r="Y950" s="1" t="s">
        <v>52</v>
      </c>
      <c r="Z950" s="1" t="s">
        <v>42</v>
      </c>
      <c r="AA950">
        <v>0.18181818181818182</v>
      </c>
      <c r="AB950" s="1" t="s">
        <v>42</v>
      </c>
      <c r="AC950">
        <v>1</v>
      </c>
      <c r="AD950" s="2">
        <v>44713</v>
      </c>
      <c r="AE950" s="1" t="s">
        <v>74</v>
      </c>
      <c r="AF950" s="1" t="s">
        <v>72</v>
      </c>
      <c r="AG950" s="1" t="s">
        <v>63</v>
      </c>
      <c r="AH950" s="1" t="s">
        <v>64</v>
      </c>
      <c r="AI950">
        <v>5750</v>
      </c>
      <c r="AJ950">
        <v>-86.25</v>
      </c>
    </row>
    <row r="951" spans="1:36" x14ac:dyDescent="0.25">
      <c r="A951">
        <v>10950</v>
      </c>
      <c r="B951">
        <v>48</v>
      </c>
      <c r="C951" s="1" t="s">
        <v>36</v>
      </c>
      <c r="D951" s="1" t="s">
        <v>48</v>
      </c>
      <c r="E951" s="2">
        <v>44341</v>
      </c>
      <c r="F951" s="2">
        <v>44749</v>
      </c>
      <c r="G951" s="1" t="s">
        <v>38</v>
      </c>
      <c r="H951">
        <v>872</v>
      </c>
      <c r="I951">
        <v>5</v>
      </c>
      <c r="J951">
        <v>5</v>
      </c>
      <c r="K951">
        <v>87.43</v>
      </c>
      <c r="L951">
        <v>10</v>
      </c>
      <c r="M951" s="1" t="s">
        <v>39</v>
      </c>
      <c r="N951" s="1" t="s">
        <v>56</v>
      </c>
      <c r="O951">
        <v>4272.8</v>
      </c>
      <c r="P951" t="b">
        <v>1</v>
      </c>
      <c r="Q951">
        <v>0.41666666666666669</v>
      </c>
      <c r="R951">
        <v>854.56000000000006</v>
      </c>
      <c r="S951">
        <v>14.571666666666667</v>
      </c>
      <c r="T951" s="2">
        <v>44317</v>
      </c>
      <c r="U951" s="1" t="s">
        <v>51</v>
      </c>
      <c r="V951">
        <v>0</v>
      </c>
      <c r="W951" s="1" t="s">
        <v>56</v>
      </c>
      <c r="X951">
        <v>408</v>
      </c>
      <c r="Y951" s="1" t="s">
        <v>43</v>
      </c>
      <c r="Z951" s="1" t="s">
        <v>42</v>
      </c>
      <c r="AA951">
        <v>0.83333333333333337</v>
      </c>
      <c r="AB951" s="1" t="s">
        <v>42</v>
      </c>
      <c r="AC951">
        <v>1</v>
      </c>
      <c r="AD951" s="2">
        <v>44317</v>
      </c>
      <c r="AE951" s="1" t="s">
        <v>58</v>
      </c>
      <c r="AF951" s="1" t="s">
        <v>45</v>
      </c>
      <c r="AG951" s="1" t="s">
        <v>63</v>
      </c>
      <c r="AH951" s="1" t="s">
        <v>59</v>
      </c>
      <c r="AI951">
        <v>4360</v>
      </c>
      <c r="AJ951">
        <v>-87.199999999999818</v>
      </c>
    </row>
    <row r="952" spans="1:36" x14ac:dyDescent="0.25">
      <c r="A952">
        <v>10951</v>
      </c>
      <c r="B952">
        <v>57</v>
      </c>
      <c r="C952" s="1" t="s">
        <v>36</v>
      </c>
      <c r="D952" s="1" t="s">
        <v>73</v>
      </c>
      <c r="E952" s="2">
        <v>44404</v>
      </c>
      <c r="F952" s="2">
        <v>44572</v>
      </c>
      <c r="G952" s="1" t="s">
        <v>38</v>
      </c>
      <c r="H952">
        <v>1223</v>
      </c>
      <c r="I952">
        <v>12</v>
      </c>
      <c r="J952">
        <v>1</v>
      </c>
      <c r="K952">
        <v>71.48</v>
      </c>
      <c r="L952">
        <v>5</v>
      </c>
      <c r="M952" s="1" t="s">
        <v>65</v>
      </c>
      <c r="N952" s="1" t="s">
        <v>56</v>
      </c>
      <c r="O952">
        <v>14614.85</v>
      </c>
      <c r="P952" t="b">
        <v>1</v>
      </c>
      <c r="Q952">
        <v>1</v>
      </c>
      <c r="R952">
        <v>1217.9041666666667</v>
      </c>
      <c r="S952">
        <v>35.74</v>
      </c>
      <c r="T952" s="2">
        <v>44378</v>
      </c>
      <c r="U952" s="1" t="s">
        <v>41</v>
      </c>
      <c r="V952">
        <v>0</v>
      </c>
      <c r="W952" s="1" t="s">
        <v>40</v>
      </c>
      <c r="X952">
        <v>168</v>
      </c>
      <c r="Y952" s="1" t="s">
        <v>43</v>
      </c>
      <c r="Z952" s="1" t="s">
        <v>42</v>
      </c>
      <c r="AA952">
        <v>7.6923076923076927E-2</v>
      </c>
      <c r="AB952" s="1" t="s">
        <v>52</v>
      </c>
      <c r="AC952">
        <v>1</v>
      </c>
      <c r="AD952" s="2">
        <v>44378</v>
      </c>
      <c r="AE952" s="1" t="s">
        <v>74</v>
      </c>
      <c r="AF952" s="1" t="s">
        <v>54</v>
      </c>
      <c r="AG952" s="1" t="s">
        <v>63</v>
      </c>
      <c r="AH952" s="1" t="s">
        <v>47</v>
      </c>
      <c r="AI952">
        <v>14676</v>
      </c>
      <c r="AJ952">
        <v>-61.149999999999636</v>
      </c>
    </row>
    <row r="953" spans="1:36" x14ac:dyDescent="0.25">
      <c r="A953">
        <v>10952</v>
      </c>
      <c r="B953">
        <v>54</v>
      </c>
      <c r="C953" s="1" t="s">
        <v>60</v>
      </c>
      <c r="D953" s="1" t="s">
        <v>69</v>
      </c>
      <c r="E953" s="2">
        <v>44727</v>
      </c>
      <c r="F953" s="2">
        <v>44564</v>
      </c>
      <c r="G953" s="1" t="s">
        <v>62</v>
      </c>
      <c r="H953">
        <v>770</v>
      </c>
      <c r="I953">
        <v>31</v>
      </c>
      <c r="J953">
        <v>0</v>
      </c>
      <c r="K953">
        <v>115.61</v>
      </c>
      <c r="L953">
        <v>0</v>
      </c>
      <c r="M953" s="1" t="s">
        <v>39</v>
      </c>
      <c r="N953" s="1" t="s">
        <v>40</v>
      </c>
      <c r="O953">
        <v>23870</v>
      </c>
      <c r="P953" t="b">
        <v>0</v>
      </c>
      <c r="Q953">
        <v>2.5833333333333335</v>
      </c>
      <c r="R953">
        <v>770</v>
      </c>
      <c r="S953">
        <v>115.61</v>
      </c>
      <c r="T953" s="2">
        <v>44713</v>
      </c>
      <c r="U953" s="1" t="s">
        <v>41</v>
      </c>
      <c r="V953">
        <v>1</v>
      </c>
      <c r="W953" s="1" t="s">
        <v>40</v>
      </c>
      <c r="Y953" s="1" t="s">
        <v>43</v>
      </c>
      <c r="Z953" s="1" t="s">
        <v>42</v>
      </c>
      <c r="AA953">
        <v>0</v>
      </c>
      <c r="AB953" s="1" t="s">
        <v>43</v>
      </c>
      <c r="AC953">
        <v>2</v>
      </c>
      <c r="AD953" s="2">
        <v>44713</v>
      </c>
      <c r="AE953" s="1" t="s">
        <v>44</v>
      </c>
      <c r="AF953" s="1" t="s">
        <v>54</v>
      </c>
      <c r="AG953" s="1" t="s">
        <v>63</v>
      </c>
      <c r="AH953" s="1" t="s">
        <v>59</v>
      </c>
      <c r="AI953">
        <v>23870</v>
      </c>
      <c r="AJ953">
        <v>0</v>
      </c>
    </row>
    <row r="954" spans="1:36" x14ac:dyDescent="0.25">
      <c r="A954">
        <v>10953</v>
      </c>
      <c r="B954">
        <v>53</v>
      </c>
      <c r="C954" s="1" t="s">
        <v>36</v>
      </c>
      <c r="D954" s="1" t="s">
        <v>71</v>
      </c>
      <c r="E954" s="2">
        <v>44572</v>
      </c>
      <c r="F954" s="2">
        <v>44915</v>
      </c>
      <c r="G954" s="1" t="s">
        <v>38</v>
      </c>
      <c r="H954">
        <v>753</v>
      </c>
      <c r="I954">
        <v>9</v>
      </c>
      <c r="J954">
        <v>3</v>
      </c>
      <c r="K954">
        <v>49.31</v>
      </c>
      <c r="L954">
        <v>0</v>
      </c>
      <c r="M954" s="1" t="s">
        <v>50</v>
      </c>
      <c r="N954" s="1" t="s">
        <v>56</v>
      </c>
      <c r="O954">
        <v>6777</v>
      </c>
      <c r="P954" t="b">
        <v>1</v>
      </c>
      <c r="Q954">
        <v>0.75</v>
      </c>
      <c r="R954">
        <v>753</v>
      </c>
      <c r="S954">
        <v>12.327500000000001</v>
      </c>
      <c r="T954" s="2">
        <v>44562</v>
      </c>
      <c r="U954" s="1" t="s">
        <v>41</v>
      </c>
      <c r="V954">
        <v>0</v>
      </c>
      <c r="W954" s="1" t="s">
        <v>56</v>
      </c>
      <c r="X954">
        <v>343</v>
      </c>
      <c r="Y954" s="1" t="s">
        <v>52</v>
      </c>
      <c r="Z954" s="1" t="s">
        <v>42</v>
      </c>
      <c r="AA954">
        <v>0.3</v>
      </c>
      <c r="AB954" s="1" t="s">
        <v>42</v>
      </c>
      <c r="AC954">
        <v>1</v>
      </c>
      <c r="AD954" s="2">
        <v>44562</v>
      </c>
      <c r="AE954" s="1" t="s">
        <v>74</v>
      </c>
      <c r="AF954" s="1" t="s">
        <v>72</v>
      </c>
      <c r="AG954" s="1" t="s">
        <v>63</v>
      </c>
      <c r="AH954" s="1" t="s">
        <v>59</v>
      </c>
      <c r="AI954">
        <v>6777</v>
      </c>
      <c r="AJ954">
        <v>0</v>
      </c>
    </row>
    <row r="955" spans="1:36" x14ac:dyDescent="0.25">
      <c r="A955">
        <v>10954</v>
      </c>
      <c r="B955">
        <v>41</v>
      </c>
      <c r="C955" s="1" t="s">
        <v>60</v>
      </c>
      <c r="D955" s="1" t="s">
        <v>48</v>
      </c>
      <c r="E955" s="2">
        <v>44700</v>
      </c>
      <c r="F955" s="2">
        <v>44378</v>
      </c>
      <c r="G955" s="1" t="s">
        <v>62</v>
      </c>
      <c r="H955">
        <v>1268</v>
      </c>
      <c r="I955">
        <v>26</v>
      </c>
      <c r="J955">
        <v>2</v>
      </c>
      <c r="K955">
        <v>108.64</v>
      </c>
      <c r="L955">
        <v>20</v>
      </c>
      <c r="M955" s="1" t="s">
        <v>39</v>
      </c>
      <c r="N955" s="1" t="s">
        <v>56</v>
      </c>
      <c r="O955">
        <v>32714.400000000001</v>
      </c>
      <c r="P955" t="b">
        <v>0</v>
      </c>
      <c r="Q955">
        <v>2.1666666666666665</v>
      </c>
      <c r="R955">
        <v>1258.2461538461539</v>
      </c>
      <c r="S955">
        <v>36.213333333333331</v>
      </c>
      <c r="T955" s="2">
        <v>44682</v>
      </c>
      <c r="U955" s="1" t="s">
        <v>51</v>
      </c>
      <c r="V955">
        <v>0</v>
      </c>
      <c r="W955" s="1" t="s">
        <v>40</v>
      </c>
      <c r="Y955" s="1" t="s">
        <v>43</v>
      </c>
      <c r="Z955" s="1" t="s">
        <v>52</v>
      </c>
      <c r="AA955">
        <v>7.407407407407407E-2</v>
      </c>
      <c r="AB955" s="1" t="s">
        <v>43</v>
      </c>
      <c r="AC955">
        <v>2</v>
      </c>
      <c r="AD955" s="2">
        <v>44682</v>
      </c>
      <c r="AE955" s="1" t="s">
        <v>44</v>
      </c>
      <c r="AF955" s="1" t="s">
        <v>72</v>
      </c>
      <c r="AG955" s="1" t="s">
        <v>63</v>
      </c>
      <c r="AH955" s="1" t="s">
        <v>47</v>
      </c>
      <c r="AI955">
        <v>32968</v>
      </c>
      <c r="AJ955">
        <v>-253.59999999999854</v>
      </c>
    </row>
    <row r="956" spans="1:36" x14ac:dyDescent="0.25">
      <c r="A956">
        <v>10955</v>
      </c>
      <c r="B956">
        <v>48</v>
      </c>
      <c r="C956" s="1" t="s">
        <v>36</v>
      </c>
      <c r="D956" s="1" t="s">
        <v>69</v>
      </c>
      <c r="E956" s="2">
        <v>44362</v>
      </c>
      <c r="F956" s="2">
        <v>45216</v>
      </c>
      <c r="G956" s="1" t="s">
        <v>38</v>
      </c>
      <c r="H956">
        <v>306</v>
      </c>
      <c r="I956">
        <v>15</v>
      </c>
      <c r="J956">
        <v>2</v>
      </c>
      <c r="K956">
        <v>99.37</v>
      </c>
      <c r="L956">
        <v>20</v>
      </c>
      <c r="M956" s="1" t="s">
        <v>65</v>
      </c>
      <c r="N956" s="1" t="s">
        <v>40</v>
      </c>
      <c r="O956">
        <v>4528.8</v>
      </c>
      <c r="P956" t="b">
        <v>1</v>
      </c>
      <c r="Q956">
        <v>1.25</v>
      </c>
      <c r="R956">
        <v>301.92</v>
      </c>
      <c r="S956">
        <v>33.123333333333335</v>
      </c>
      <c r="T956" s="2">
        <v>44348</v>
      </c>
      <c r="U956" s="1" t="s">
        <v>51</v>
      </c>
      <c r="V956">
        <v>1</v>
      </c>
      <c r="W956" s="1" t="s">
        <v>56</v>
      </c>
      <c r="X956">
        <v>854</v>
      </c>
      <c r="Y956" s="1" t="s">
        <v>43</v>
      </c>
      <c r="Z956" s="1" t="s">
        <v>52</v>
      </c>
      <c r="AA956">
        <v>0.125</v>
      </c>
      <c r="AB956" s="1" t="s">
        <v>42</v>
      </c>
      <c r="AC956">
        <v>1</v>
      </c>
      <c r="AD956" s="2">
        <v>44348</v>
      </c>
      <c r="AE956" s="1" t="s">
        <v>53</v>
      </c>
      <c r="AF956" s="1" t="s">
        <v>72</v>
      </c>
      <c r="AG956" s="1" t="s">
        <v>63</v>
      </c>
      <c r="AH956" s="1" t="s">
        <v>68</v>
      </c>
      <c r="AI956">
        <v>4590</v>
      </c>
      <c r="AJ956">
        <v>-61.199999999999818</v>
      </c>
    </row>
    <row r="957" spans="1:36" x14ac:dyDescent="0.25">
      <c r="A957">
        <v>10956</v>
      </c>
      <c r="B957">
        <v>23</v>
      </c>
      <c r="C957" s="1" t="s">
        <v>60</v>
      </c>
      <c r="D957" s="1" t="s">
        <v>37</v>
      </c>
      <c r="E957" s="2">
        <v>44746</v>
      </c>
      <c r="F957" s="2">
        <v>44406</v>
      </c>
      <c r="G957" s="1" t="s">
        <v>38</v>
      </c>
      <c r="H957">
        <v>487</v>
      </c>
      <c r="I957">
        <v>16</v>
      </c>
      <c r="J957">
        <v>1</v>
      </c>
      <c r="K957">
        <v>78.33</v>
      </c>
      <c r="L957">
        <v>10</v>
      </c>
      <c r="M957" s="1" t="s">
        <v>39</v>
      </c>
      <c r="N957" s="1" t="s">
        <v>56</v>
      </c>
      <c r="O957">
        <v>7743.3</v>
      </c>
      <c r="P957" t="b">
        <v>0</v>
      </c>
      <c r="Q957">
        <v>1.3333333333333333</v>
      </c>
      <c r="R957">
        <v>483.95625000000001</v>
      </c>
      <c r="S957">
        <v>39.164999999999999</v>
      </c>
      <c r="T957" s="2">
        <v>44743</v>
      </c>
      <c r="U957" s="1" t="s">
        <v>66</v>
      </c>
      <c r="V957">
        <v>0</v>
      </c>
      <c r="W957" s="1" t="s">
        <v>56</v>
      </c>
      <c r="Y957" s="1" t="s">
        <v>43</v>
      </c>
      <c r="Z957" s="1" t="s">
        <v>42</v>
      </c>
      <c r="AA957">
        <v>5.8823529411764705E-2</v>
      </c>
      <c r="AB957" s="1" t="s">
        <v>42</v>
      </c>
      <c r="AC957">
        <v>1</v>
      </c>
      <c r="AD957" s="2">
        <v>44743</v>
      </c>
      <c r="AE957" s="1" t="s">
        <v>53</v>
      </c>
      <c r="AF957" s="1" t="s">
        <v>54</v>
      </c>
      <c r="AG957" s="1" t="s">
        <v>63</v>
      </c>
      <c r="AH957" s="1" t="s">
        <v>68</v>
      </c>
      <c r="AI957">
        <v>7792</v>
      </c>
      <c r="AJ957">
        <v>-48.699999999999818</v>
      </c>
    </row>
    <row r="958" spans="1:36" x14ac:dyDescent="0.25">
      <c r="A958">
        <v>10957</v>
      </c>
      <c r="B958">
        <v>19</v>
      </c>
      <c r="C958" s="1" t="s">
        <v>36</v>
      </c>
      <c r="D958" s="1" t="s">
        <v>61</v>
      </c>
      <c r="E958" s="2">
        <v>44377</v>
      </c>
      <c r="F958" s="2">
        <v>45239</v>
      </c>
      <c r="G958" s="1" t="s">
        <v>49</v>
      </c>
      <c r="H958">
        <v>303</v>
      </c>
      <c r="I958">
        <v>13</v>
      </c>
      <c r="J958">
        <v>2</v>
      </c>
      <c r="K958">
        <v>80.27</v>
      </c>
      <c r="L958">
        <v>10</v>
      </c>
      <c r="M958" s="1" t="s">
        <v>50</v>
      </c>
      <c r="N958" s="1" t="s">
        <v>56</v>
      </c>
      <c r="O958">
        <v>3908.7</v>
      </c>
      <c r="P958" t="b">
        <v>1</v>
      </c>
      <c r="Q958">
        <v>1.0833333333333333</v>
      </c>
      <c r="R958">
        <v>300.66923076923075</v>
      </c>
      <c r="S958">
        <v>26.756666666666664</v>
      </c>
      <c r="T958" s="2">
        <v>44348</v>
      </c>
      <c r="U958" s="1" t="s">
        <v>66</v>
      </c>
      <c r="V958">
        <v>0</v>
      </c>
      <c r="W958" s="1" t="s">
        <v>56</v>
      </c>
      <c r="X958">
        <v>862</v>
      </c>
      <c r="Y958" s="1" t="s">
        <v>43</v>
      </c>
      <c r="Z958" s="1" t="s">
        <v>42</v>
      </c>
      <c r="AA958">
        <v>0.14285714285714285</v>
      </c>
      <c r="AB958" s="1" t="s">
        <v>42</v>
      </c>
      <c r="AC958">
        <v>3</v>
      </c>
      <c r="AD958" s="2">
        <v>44348</v>
      </c>
      <c r="AE958" s="1" t="s">
        <v>53</v>
      </c>
      <c r="AF958" s="1" t="s">
        <v>72</v>
      </c>
      <c r="AG958" s="1" t="s">
        <v>63</v>
      </c>
      <c r="AH958" s="1" t="s">
        <v>68</v>
      </c>
      <c r="AI958">
        <v>3939</v>
      </c>
      <c r="AJ958">
        <v>-30.300000000000182</v>
      </c>
    </row>
    <row r="959" spans="1:36" x14ac:dyDescent="0.25">
      <c r="A959">
        <v>10958</v>
      </c>
      <c r="B959">
        <v>37</v>
      </c>
      <c r="C959" s="1" t="s">
        <v>60</v>
      </c>
      <c r="D959" s="1" t="s">
        <v>48</v>
      </c>
      <c r="E959" s="2">
        <v>45057</v>
      </c>
      <c r="F959" s="2">
        <v>45245</v>
      </c>
      <c r="G959" s="1" t="s">
        <v>38</v>
      </c>
      <c r="H959">
        <v>1206</v>
      </c>
      <c r="I959">
        <v>25</v>
      </c>
      <c r="J959">
        <v>2</v>
      </c>
      <c r="K959">
        <v>14.73</v>
      </c>
      <c r="L959">
        <v>0</v>
      </c>
      <c r="M959" s="1" t="s">
        <v>50</v>
      </c>
      <c r="N959" s="1" t="s">
        <v>40</v>
      </c>
      <c r="O959">
        <v>30150</v>
      </c>
      <c r="P959" t="b">
        <v>1</v>
      </c>
      <c r="Q959">
        <v>2.0833333333333335</v>
      </c>
      <c r="R959">
        <v>1206</v>
      </c>
      <c r="S959">
        <v>4.91</v>
      </c>
      <c r="T959" s="2">
        <v>45047</v>
      </c>
      <c r="U959" s="1" t="s">
        <v>51</v>
      </c>
      <c r="V959">
        <v>1</v>
      </c>
      <c r="W959" s="1" t="s">
        <v>40</v>
      </c>
      <c r="X959">
        <v>188</v>
      </c>
      <c r="Y959" s="1" t="s">
        <v>42</v>
      </c>
      <c r="Z959" s="1" t="s">
        <v>42</v>
      </c>
      <c r="AA959">
        <v>7.6923076923076927E-2</v>
      </c>
      <c r="AB959" s="1" t="s">
        <v>43</v>
      </c>
      <c r="AC959">
        <v>1</v>
      </c>
      <c r="AD959" s="2">
        <v>45047</v>
      </c>
      <c r="AE959" s="1" t="s">
        <v>44</v>
      </c>
      <c r="AF959" s="1" t="s">
        <v>72</v>
      </c>
      <c r="AG959" s="1" t="s">
        <v>46</v>
      </c>
      <c r="AH959" s="1" t="s">
        <v>47</v>
      </c>
      <c r="AI959">
        <v>30150</v>
      </c>
      <c r="AJ959">
        <v>0</v>
      </c>
    </row>
    <row r="960" spans="1:36" x14ac:dyDescent="0.25">
      <c r="A960">
        <v>10959</v>
      </c>
      <c r="B960">
        <v>45</v>
      </c>
      <c r="C960" s="1" t="s">
        <v>36</v>
      </c>
      <c r="D960" s="1" t="s">
        <v>71</v>
      </c>
      <c r="E960" s="2">
        <v>44813</v>
      </c>
      <c r="F960" s="2">
        <v>44700</v>
      </c>
      <c r="G960" s="1" t="s">
        <v>38</v>
      </c>
      <c r="H960">
        <v>1448</v>
      </c>
      <c r="I960">
        <v>30</v>
      </c>
      <c r="J960">
        <v>5</v>
      </c>
      <c r="K960">
        <v>114.28</v>
      </c>
      <c r="L960">
        <v>10</v>
      </c>
      <c r="M960" s="1" t="s">
        <v>67</v>
      </c>
      <c r="N960" s="1" t="s">
        <v>40</v>
      </c>
      <c r="O960">
        <v>43295.199999999997</v>
      </c>
      <c r="P960" t="b">
        <v>0</v>
      </c>
      <c r="Q960">
        <v>2.5</v>
      </c>
      <c r="R960">
        <v>1443.1733333333332</v>
      </c>
      <c r="S960">
        <v>19.046666666666667</v>
      </c>
      <c r="T960" s="2">
        <v>44805</v>
      </c>
      <c r="U960" s="1" t="s">
        <v>51</v>
      </c>
      <c r="V960">
        <v>1</v>
      </c>
      <c r="W960" s="1" t="s">
        <v>40</v>
      </c>
      <c r="Y960" s="1" t="s">
        <v>43</v>
      </c>
      <c r="Z960" s="1" t="s">
        <v>42</v>
      </c>
      <c r="AA960">
        <v>0.16129032258064516</v>
      </c>
      <c r="AB960" s="1" t="s">
        <v>43</v>
      </c>
      <c r="AC960">
        <v>1</v>
      </c>
      <c r="AD960" s="2">
        <v>44805</v>
      </c>
      <c r="AE960" s="1" t="s">
        <v>44</v>
      </c>
      <c r="AF960" s="1" t="s">
        <v>45</v>
      </c>
      <c r="AG960" s="1" t="s">
        <v>63</v>
      </c>
      <c r="AH960" s="1" t="s">
        <v>47</v>
      </c>
      <c r="AI960">
        <v>43440</v>
      </c>
      <c r="AJ960">
        <v>-144.80000000000291</v>
      </c>
    </row>
    <row r="961" spans="1:36" x14ac:dyDescent="0.25">
      <c r="A961">
        <v>10960</v>
      </c>
      <c r="B961">
        <v>28</v>
      </c>
      <c r="C961" s="1" t="s">
        <v>36</v>
      </c>
      <c r="D961" s="1" t="s">
        <v>37</v>
      </c>
      <c r="E961" s="2">
        <v>44808</v>
      </c>
      <c r="F961" s="2">
        <v>44792</v>
      </c>
      <c r="G961" s="1" t="s">
        <v>38</v>
      </c>
      <c r="H961">
        <v>1338</v>
      </c>
      <c r="I961">
        <v>7</v>
      </c>
      <c r="J961">
        <v>3</v>
      </c>
      <c r="K961">
        <v>17.3</v>
      </c>
      <c r="L961">
        <v>20</v>
      </c>
      <c r="M961" s="1" t="s">
        <v>65</v>
      </c>
      <c r="N961" s="1" t="s">
        <v>56</v>
      </c>
      <c r="O961">
        <v>9098.4</v>
      </c>
      <c r="P961" t="b">
        <v>0</v>
      </c>
      <c r="Q961">
        <v>0.58333333333333337</v>
      </c>
      <c r="R961">
        <v>1299.7714285714285</v>
      </c>
      <c r="S961">
        <v>4.3250000000000002</v>
      </c>
      <c r="T961" s="2">
        <v>44805</v>
      </c>
      <c r="U961" s="1" t="s">
        <v>57</v>
      </c>
      <c r="V961">
        <v>0</v>
      </c>
      <c r="W961" s="1" t="s">
        <v>56</v>
      </c>
      <c r="Y961" s="1" t="s">
        <v>42</v>
      </c>
      <c r="Z961" s="1" t="s">
        <v>52</v>
      </c>
      <c r="AA961">
        <v>0.375</v>
      </c>
      <c r="AB961" s="1" t="s">
        <v>52</v>
      </c>
      <c r="AC961">
        <v>1</v>
      </c>
      <c r="AD961" s="2">
        <v>44805</v>
      </c>
      <c r="AE961" s="1" t="s">
        <v>74</v>
      </c>
      <c r="AF961" s="1" t="s">
        <v>72</v>
      </c>
      <c r="AG961" s="1" t="s">
        <v>46</v>
      </c>
      <c r="AH961" s="1" t="s">
        <v>47</v>
      </c>
      <c r="AI961">
        <v>9366</v>
      </c>
      <c r="AJ961">
        <v>-267.60000000000036</v>
      </c>
    </row>
    <row r="962" spans="1:36" x14ac:dyDescent="0.25">
      <c r="A962">
        <v>10961</v>
      </c>
      <c r="B962">
        <v>21</v>
      </c>
      <c r="C962" s="1" t="s">
        <v>36</v>
      </c>
      <c r="D962" s="1" t="s">
        <v>69</v>
      </c>
      <c r="E962" s="2">
        <v>44798</v>
      </c>
      <c r="F962" s="2">
        <v>44582</v>
      </c>
      <c r="G962" s="1" t="s">
        <v>62</v>
      </c>
      <c r="H962">
        <v>1259</v>
      </c>
      <c r="I962">
        <v>4</v>
      </c>
      <c r="J962">
        <v>0</v>
      </c>
      <c r="K962">
        <v>69.77</v>
      </c>
      <c r="L962">
        <v>10</v>
      </c>
      <c r="M962" s="1" t="s">
        <v>65</v>
      </c>
      <c r="N962" s="1" t="s">
        <v>56</v>
      </c>
      <c r="O962">
        <v>5036</v>
      </c>
      <c r="P962" t="b">
        <v>0</v>
      </c>
      <c r="Q962">
        <v>0.33333333333333331</v>
      </c>
      <c r="R962">
        <v>1259</v>
      </c>
      <c r="S962">
        <v>69.77</v>
      </c>
      <c r="T962" s="2">
        <v>44774</v>
      </c>
      <c r="U962" s="1" t="s">
        <v>66</v>
      </c>
      <c r="V962">
        <v>0</v>
      </c>
      <c r="W962" s="1" t="s">
        <v>56</v>
      </c>
      <c r="Y962" s="1" t="s">
        <v>43</v>
      </c>
      <c r="Z962" s="1" t="s">
        <v>42</v>
      </c>
      <c r="AA962">
        <v>0</v>
      </c>
      <c r="AB962" s="1" t="s">
        <v>42</v>
      </c>
      <c r="AC962">
        <v>2</v>
      </c>
      <c r="AD962" s="2">
        <v>44774</v>
      </c>
      <c r="AE962" s="1" t="s">
        <v>58</v>
      </c>
      <c r="AF962" s="1" t="s">
        <v>54</v>
      </c>
      <c r="AG962" s="1" t="s">
        <v>63</v>
      </c>
      <c r="AH962" s="1" t="s">
        <v>47</v>
      </c>
      <c r="AI962">
        <v>5036</v>
      </c>
      <c r="AJ962">
        <v>0</v>
      </c>
    </row>
    <row r="963" spans="1:36" x14ac:dyDescent="0.25">
      <c r="A963">
        <v>10962</v>
      </c>
      <c r="B963">
        <v>32</v>
      </c>
      <c r="C963" s="1" t="s">
        <v>36</v>
      </c>
      <c r="D963" s="1" t="s">
        <v>61</v>
      </c>
      <c r="E963" s="2">
        <v>45008</v>
      </c>
      <c r="F963" s="2">
        <v>44454</v>
      </c>
      <c r="G963" s="1" t="s">
        <v>62</v>
      </c>
      <c r="H963">
        <v>824</v>
      </c>
      <c r="I963">
        <v>30</v>
      </c>
      <c r="J963">
        <v>4</v>
      </c>
      <c r="K963">
        <v>42.96</v>
      </c>
      <c r="L963">
        <v>10</v>
      </c>
      <c r="M963" s="1" t="s">
        <v>39</v>
      </c>
      <c r="N963" s="1" t="s">
        <v>56</v>
      </c>
      <c r="O963">
        <v>24720</v>
      </c>
      <c r="P963" t="b">
        <v>0</v>
      </c>
      <c r="Q963">
        <v>2.5</v>
      </c>
      <c r="R963">
        <v>824</v>
      </c>
      <c r="S963">
        <v>8.5920000000000005</v>
      </c>
      <c r="T963" s="2">
        <v>44986</v>
      </c>
      <c r="U963" s="1" t="s">
        <v>57</v>
      </c>
      <c r="V963">
        <v>0</v>
      </c>
      <c r="W963" s="1" t="s">
        <v>40</v>
      </c>
      <c r="Y963" s="1" t="s">
        <v>52</v>
      </c>
      <c r="Z963" s="1" t="s">
        <v>42</v>
      </c>
      <c r="AA963">
        <v>0.12903225806451613</v>
      </c>
      <c r="AB963" s="1" t="s">
        <v>43</v>
      </c>
      <c r="AC963">
        <v>2</v>
      </c>
      <c r="AD963" s="2">
        <v>44986</v>
      </c>
      <c r="AE963" s="1" t="s">
        <v>44</v>
      </c>
      <c r="AF963" s="1" t="s">
        <v>45</v>
      </c>
      <c r="AG963" s="1" t="s">
        <v>55</v>
      </c>
      <c r="AH963" s="1" t="s">
        <v>59</v>
      </c>
      <c r="AI963">
        <v>24720</v>
      </c>
      <c r="AJ963">
        <v>0</v>
      </c>
    </row>
    <row r="964" spans="1:36" x14ac:dyDescent="0.25">
      <c r="A964">
        <v>10963</v>
      </c>
      <c r="B964">
        <v>23</v>
      </c>
      <c r="C964" s="1" t="s">
        <v>36</v>
      </c>
      <c r="D964" s="1" t="s">
        <v>71</v>
      </c>
      <c r="E964" s="2">
        <v>44640</v>
      </c>
      <c r="F964" s="2">
        <v>44538</v>
      </c>
      <c r="G964" s="1" t="s">
        <v>38</v>
      </c>
      <c r="H964">
        <v>929</v>
      </c>
      <c r="I964">
        <v>10</v>
      </c>
      <c r="J964">
        <v>1</v>
      </c>
      <c r="K964">
        <v>54.43</v>
      </c>
      <c r="L964">
        <v>5</v>
      </c>
      <c r="M964" s="1" t="s">
        <v>65</v>
      </c>
      <c r="N964" s="1" t="s">
        <v>56</v>
      </c>
      <c r="O964">
        <v>9243.5499999999993</v>
      </c>
      <c r="P964" t="b">
        <v>0</v>
      </c>
      <c r="Q964">
        <v>0.83333333333333337</v>
      </c>
      <c r="R964">
        <v>924.3549999999999</v>
      </c>
      <c r="S964">
        <v>27.215</v>
      </c>
      <c r="T964" s="2">
        <v>44621</v>
      </c>
      <c r="U964" s="1" t="s">
        <v>66</v>
      </c>
      <c r="V964">
        <v>0</v>
      </c>
      <c r="W964" s="1" t="s">
        <v>56</v>
      </c>
      <c r="Y964" s="1" t="s">
        <v>52</v>
      </c>
      <c r="Z964" s="1" t="s">
        <v>42</v>
      </c>
      <c r="AA964">
        <v>9.0909090909090912E-2</v>
      </c>
      <c r="AB964" s="1" t="s">
        <v>52</v>
      </c>
      <c r="AC964">
        <v>1</v>
      </c>
      <c r="AD964" s="2">
        <v>44621</v>
      </c>
      <c r="AE964" s="1" t="s">
        <v>74</v>
      </c>
      <c r="AF964" s="1" t="s">
        <v>54</v>
      </c>
      <c r="AG964" s="1" t="s">
        <v>63</v>
      </c>
      <c r="AH964" s="1" t="s">
        <v>59</v>
      </c>
      <c r="AI964">
        <v>9290</v>
      </c>
      <c r="AJ964">
        <v>-46.450000000000728</v>
      </c>
    </row>
    <row r="965" spans="1:36" x14ac:dyDescent="0.25">
      <c r="A965">
        <v>10964</v>
      </c>
      <c r="B965">
        <v>47</v>
      </c>
      <c r="C965" s="1" t="s">
        <v>60</v>
      </c>
      <c r="D965" s="1" t="s">
        <v>69</v>
      </c>
      <c r="E965" s="2">
        <v>44528</v>
      </c>
      <c r="F965" s="2">
        <v>44877</v>
      </c>
      <c r="G965" s="1" t="s">
        <v>38</v>
      </c>
      <c r="H965">
        <v>1074</v>
      </c>
      <c r="I965">
        <v>30</v>
      </c>
      <c r="J965">
        <v>5</v>
      </c>
      <c r="K965">
        <v>75.17</v>
      </c>
      <c r="L965">
        <v>5</v>
      </c>
      <c r="M965" s="1" t="s">
        <v>50</v>
      </c>
      <c r="N965" s="1" t="s">
        <v>40</v>
      </c>
      <c r="O965">
        <v>32166.3</v>
      </c>
      <c r="P965" t="b">
        <v>1</v>
      </c>
      <c r="Q965">
        <v>2.5</v>
      </c>
      <c r="R965">
        <v>1072.21</v>
      </c>
      <c r="S965">
        <v>12.528333333333334</v>
      </c>
      <c r="T965" s="2">
        <v>44501</v>
      </c>
      <c r="U965" s="1" t="s">
        <v>51</v>
      </c>
      <c r="V965">
        <v>1</v>
      </c>
      <c r="W965" s="1" t="s">
        <v>40</v>
      </c>
      <c r="X965">
        <v>349</v>
      </c>
      <c r="Y965" s="1" t="s">
        <v>43</v>
      </c>
      <c r="Z965" s="1" t="s">
        <v>42</v>
      </c>
      <c r="AA965">
        <v>0.16129032258064516</v>
      </c>
      <c r="AB965" s="1" t="s">
        <v>43</v>
      </c>
      <c r="AC965">
        <v>1</v>
      </c>
      <c r="AD965" s="2">
        <v>44501</v>
      </c>
      <c r="AE965" s="1" t="s">
        <v>44</v>
      </c>
      <c r="AF965" s="1" t="s">
        <v>45</v>
      </c>
      <c r="AG965" s="1" t="s">
        <v>63</v>
      </c>
      <c r="AH965" s="1" t="s">
        <v>47</v>
      </c>
      <c r="AI965">
        <v>32220</v>
      </c>
      <c r="AJ965">
        <v>-53.700000000000728</v>
      </c>
    </row>
    <row r="966" spans="1:36" x14ac:dyDescent="0.25">
      <c r="A966">
        <v>10965</v>
      </c>
      <c r="B966">
        <v>55</v>
      </c>
      <c r="C966" s="1" t="s">
        <v>60</v>
      </c>
      <c r="D966" s="1" t="s">
        <v>69</v>
      </c>
      <c r="E966" s="2">
        <v>44699</v>
      </c>
      <c r="F966" s="2">
        <v>45085</v>
      </c>
      <c r="G966" s="1" t="s">
        <v>38</v>
      </c>
      <c r="H966">
        <v>659</v>
      </c>
      <c r="I966">
        <v>7</v>
      </c>
      <c r="J966">
        <v>1</v>
      </c>
      <c r="K966">
        <v>109.52</v>
      </c>
      <c r="L966">
        <v>10</v>
      </c>
      <c r="M966" s="1" t="s">
        <v>39</v>
      </c>
      <c r="N966" s="1" t="s">
        <v>40</v>
      </c>
      <c r="O966">
        <v>4547.1000000000004</v>
      </c>
      <c r="P966" t="b">
        <v>1</v>
      </c>
      <c r="Q966">
        <v>0.58333333333333337</v>
      </c>
      <c r="R966">
        <v>649.58571428571429</v>
      </c>
      <c r="S966">
        <v>54.76</v>
      </c>
      <c r="T966" s="2">
        <v>44682</v>
      </c>
      <c r="U966" s="1" t="s">
        <v>41</v>
      </c>
      <c r="V966">
        <v>1</v>
      </c>
      <c r="W966" s="1" t="s">
        <v>56</v>
      </c>
      <c r="X966">
        <v>386</v>
      </c>
      <c r="Y966" s="1" t="s">
        <v>43</v>
      </c>
      <c r="Z966" s="1" t="s">
        <v>42</v>
      </c>
      <c r="AA966">
        <v>0.125</v>
      </c>
      <c r="AB966" s="1" t="s">
        <v>42</v>
      </c>
      <c r="AC966">
        <v>1</v>
      </c>
      <c r="AD966" s="2">
        <v>44682</v>
      </c>
      <c r="AE966" s="1" t="s">
        <v>74</v>
      </c>
      <c r="AF966" s="1" t="s">
        <v>54</v>
      </c>
      <c r="AG966" s="1" t="s">
        <v>63</v>
      </c>
      <c r="AH966" s="1" t="s">
        <v>64</v>
      </c>
      <c r="AI966">
        <v>4613</v>
      </c>
      <c r="AJ966">
        <v>-65.899999999999636</v>
      </c>
    </row>
    <row r="967" spans="1:36" x14ac:dyDescent="0.25">
      <c r="A967">
        <v>10966</v>
      </c>
      <c r="B967">
        <v>19</v>
      </c>
      <c r="C967" s="1" t="s">
        <v>36</v>
      </c>
      <c r="D967" s="1" t="s">
        <v>48</v>
      </c>
      <c r="E967" s="2">
        <v>44275</v>
      </c>
      <c r="F967" s="2">
        <v>45026</v>
      </c>
      <c r="G967" s="1" t="s">
        <v>62</v>
      </c>
      <c r="H967">
        <v>817</v>
      </c>
      <c r="I967">
        <v>35</v>
      </c>
      <c r="J967">
        <v>5</v>
      </c>
      <c r="K967">
        <v>57.62</v>
      </c>
      <c r="L967">
        <v>10</v>
      </c>
      <c r="M967" s="1" t="s">
        <v>67</v>
      </c>
      <c r="N967" s="1" t="s">
        <v>56</v>
      </c>
      <c r="O967">
        <v>28513.3</v>
      </c>
      <c r="P967" t="b">
        <v>1</v>
      </c>
      <c r="Q967">
        <v>2.9166666666666665</v>
      </c>
      <c r="R967">
        <v>814.66571428571422</v>
      </c>
      <c r="S967">
        <v>9.6033333333333335</v>
      </c>
      <c r="T967" s="2">
        <v>44256</v>
      </c>
      <c r="U967" s="1" t="s">
        <v>66</v>
      </c>
      <c r="V967">
        <v>0</v>
      </c>
      <c r="W967" s="1" t="s">
        <v>40</v>
      </c>
      <c r="X967">
        <v>751</v>
      </c>
      <c r="Y967" s="1" t="s">
        <v>52</v>
      </c>
      <c r="Z967" s="1" t="s">
        <v>42</v>
      </c>
      <c r="AA967">
        <v>0.1388888888888889</v>
      </c>
      <c r="AB967" s="1" t="s">
        <v>43</v>
      </c>
      <c r="AC967">
        <v>2</v>
      </c>
      <c r="AD967" s="2">
        <v>44256</v>
      </c>
      <c r="AE967" s="1" t="s">
        <v>44</v>
      </c>
      <c r="AF967" s="1" t="s">
        <v>45</v>
      </c>
      <c r="AG967" s="1" t="s">
        <v>63</v>
      </c>
      <c r="AH967" s="1" t="s">
        <v>59</v>
      </c>
      <c r="AI967">
        <v>28595</v>
      </c>
      <c r="AJ967">
        <v>-81.700000000000728</v>
      </c>
    </row>
    <row r="968" spans="1:36" x14ac:dyDescent="0.25">
      <c r="A968">
        <v>10967</v>
      </c>
      <c r="B968">
        <v>32</v>
      </c>
      <c r="C968" s="1" t="s">
        <v>60</v>
      </c>
      <c r="D968" s="1" t="s">
        <v>48</v>
      </c>
      <c r="E968" s="2">
        <v>44781</v>
      </c>
      <c r="F968" s="2">
        <v>44930</v>
      </c>
      <c r="G968" s="1" t="s">
        <v>62</v>
      </c>
      <c r="H968">
        <v>1353</v>
      </c>
      <c r="I968">
        <v>24</v>
      </c>
      <c r="J968">
        <v>1</v>
      </c>
      <c r="K968">
        <v>118.59</v>
      </c>
      <c r="L968">
        <v>20</v>
      </c>
      <c r="M968" s="1" t="s">
        <v>39</v>
      </c>
      <c r="N968" s="1" t="s">
        <v>56</v>
      </c>
      <c r="O968">
        <v>32201.4</v>
      </c>
      <c r="P968" t="b">
        <v>1</v>
      </c>
      <c r="Q968">
        <v>2</v>
      </c>
      <c r="R968">
        <v>1341.7250000000001</v>
      </c>
      <c r="S968">
        <v>59.295000000000002</v>
      </c>
      <c r="T968" s="2">
        <v>44774</v>
      </c>
      <c r="U968" s="1" t="s">
        <v>57</v>
      </c>
      <c r="V968">
        <v>0</v>
      </c>
      <c r="W968" s="1" t="s">
        <v>40</v>
      </c>
      <c r="X968">
        <v>149</v>
      </c>
      <c r="Y968" s="1" t="s">
        <v>43</v>
      </c>
      <c r="Z968" s="1" t="s">
        <v>52</v>
      </c>
      <c r="AA968">
        <v>0.04</v>
      </c>
      <c r="AB968" s="1" t="s">
        <v>43</v>
      </c>
      <c r="AC968">
        <v>2</v>
      </c>
      <c r="AD968" s="2">
        <v>44774</v>
      </c>
      <c r="AE968" s="1" t="s">
        <v>53</v>
      </c>
      <c r="AF968" s="1" t="s">
        <v>54</v>
      </c>
      <c r="AG968" s="1" t="s">
        <v>63</v>
      </c>
      <c r="AH968" s="1" t="s">
        <v>47</v>
      </c>
      <c r="AI968">
        <v>32472</v>
      </c>
      <c r="AJ968">
        <v>-270.59999999999854</v>
      </c>
    </row>
    <row r="969" spans="1:36" x14ac:dyDescent="0.25">
      <c r="A969">
        <v>10968</v>
      </c>
      <c r="B969">
        <v>28</v>
      </c>
      <c r="C969" s="1" t="s">
        <v>36</v>
      </c>
      <c r="D969" s="1" t="s">
        <v>71</v>
      </c>
      <c r="E969" s="2">
        <v>44884</v>
      </c>
      <c r="F969" s="2">
        <v>45221</v>
      </c>
      <c r="G969" s="1" t="s">
        <v>62</v>
      </c>
      <c r="H969">
        <v>1220</v>
      </c>
      <c r="I969">
        <v>20</v>
      </c>
      <c r="J969">
        <v>1</v>
      </c>
      <c r="K969">
        <v>73.17</v>
      </c>
      <c r="L969">
        <v>20</v>
      </c>
      <c r="M969" s="1" t="s">
        <v>39</v>
      </c>
      <c r="N969" s="1" t="s">
        <v>56</v>
      </c>
      <c r="O969">
        <v>24156</v>
      </c>
      <c r="P969" t="b">
        <v>1</v>
      </c>
      <c r="Q969">
        <v>1.6666666666666667</v>
      </c>
      <c r="R969">
        <v>1207.8</v>
      </c>
      <c r="S969">
        <v>36.585000000000001</v>
      </c>
      <c r="T969" s="2">
        <v>44866</v>
      </c>
      <c r="U969" s="1" t="s">
        <v>57</v>
      </c>
      <c r="V969">
        <v>0</v>
      </c>
      <c r="W969" s="1" t="s">
        <v>40</v>
      </c>
      <c r="X969">
        <v>337</v>
      </c>
      <c r="Y969" s="1" t="s">
        <v>43</v>
      </c>
      <c r="Z969" s="1" t="s">
        <v>52</v>
      </c>
      <c r="AA969">
        <v>4.7619047619047616E-2</v>
      </c>
      <c r="AB969" s="1" t="s">
        <v>43</v>
      </c>
      <c r="AC969">
        <v>2</v>
      </c>
      <c r="AD969" s="2">
        <v>44866</v>
      </c>
      <c r="AE969" s="1" t="s">
        <v>53</v>
      </c>
      <c r="AF969" s="1" t="s">
        <v>54</v>
      </c>
      <c r="AG969" s="1" t="s">
        <v>63</v>
      </c>
      <c r="AH969" s="1" t="s">
        <v>47</v>
      </c>
      <c r="AI969">
        <v>24400</v>
      </c>
      <c r="AJ969">
        <v>-244</v>
      </c>
    </row>
    <row r="970" spans="1:36" x14ac:dyDescent="0.25">
      <c r="A970">
        <v>10969</v>
      </c>
      <c r="B970">
        <v>25</v>
      </c>
      <c r="C970" s="1" t="s">
        <v>75</v>
      </c>
      <c r="D970" s="1" t="s">
        <v>73</v>
      </c>
      <c r="E970" s="2">
        <v>44592</v>
      </c>
      <c r="F970" s="2">
        <v>44913</v>
      </c>
      <c r="G970" s="1" t="s">
        <v>62</v>
      </c>
      <c r="H970">
        <v>1479</v>
      </c>
      <c r="I970">
        <v>32</v>
      </c>
      <c r="J970">
        <v>3</v>
      </c>
      <c r="K970">
        <v>23.46</v>
      </c>
      <c r="L970">
        <v>5</v>
      </c>
      <c r="M970" s="1" t="s">
        <v>67</v>
      </c>
      <c r="N970" s="1" t="s">
        <v>56</v>
      </c>
      <c r="O970">
        <v>47254.05</v>
      </c>
      <c r="P970" t="b">
        <v>1</v>
      </c>
      <c r="Q970">
        <v>2.6666666666666665</v>
      </c>
      <c r="R970">
        <v>1476.6890625000001</v>
      </c>
      <c r="S970">
        <v>5.8650000000000002</v>
      </c>
      <c r="T970" s="2">
        <v>44562</v>
      </c>
      <c r="U970" s="1" t="s">
        <v>66</v>
      </c>
      <c r="V970">
        <v>0</v>
      </c>
      <c r="W970" s="1" t="s">
        <v>40</v>
      </c>
      <c r="X970">
        <v>321</v>
      </c>
      <c r="Y970" s="1" t="s">
        <v>52</v>
      </c>
      <c r="Z970" s="1" t="s">
        <v>42</v>
      </c>
      <c r="AA970">
        <v>9.0909090909090912E-2</v>
      </c>
      <c r="AB970" s="1" t="s">
        <v>43</v>
      </c>
      <c r="AC970">
        <v>2</v>
      </c>
      <c r="AD970" s="2">
        <v>44562</v>
      </c>
      <c r="AE970" s="1" t="s">
        <v>44</v>
      </c>
      <c r="AF970" s="1" t="s">
        <v>72</v>
      </c>
      <c r="AG970" s="1" t="s">
        <v>70</v>
      </c>
      <c r="AH970" s="1" t="s">
        <v>47</v>
      </c>
      <c r="AI970">
        <v>47328</v>
      </c>
      <c r="AJ970">
        <v>-73.94999999999709</v>
      </c>
    </row>
    <row r="971" spans="1:36" x14ac:dyDescent="0.25">
      <c r="A971">
        <v>10970</v>
      </c>
      <c r="B971">
        <v>43</v>
      </c>
      <c r="C971" s="1" t="s">
        <v>60</v>
      </c>
      <c r="D971" s="1" t="s">
        <v>76</v>
      </c>
      <c r="E971" s="2">
        <v>44804</v>
      </c>
      <c r="F971" s="2">
        <v>44592</v>
      </c>
      <c r="G971" s="1" t="s">
        <v>38</v>
      </c>
      <c r="H971">
        <v>1151</v>
      </c>
      <c r="I971">
        <v>26</v>
      </c>
      <c r="J971">
        <v>1</v>
      </c>
      <c r="K971">
        <v>26.85</v>
      </c>
      <c r="L971">
        <v>0</v>
      </c>
      <c r="M971" s="1" t="s">
        <v>39</v>
      </c>
      <c r="N971" s="1" t="s">
        <v>56</v>
      </c>
      <c r="O971">
        <v>29926</v>
      </c>
      <c r="P971" t="b">
        <v>0</v>
      </c>
      <c r="Q971">
        <v>2.1666666666666665</v>
      </c>
      <c r="R971">
        <v>1151</v>
      </c>
      <c r="S971">
        <v>13.425000000000001</v>
      </c>
      <c r="T971" s="2">
        <v>44774</v>
      </c>
      <c r="U971" s="1" t="s">
        <v>51</v>
      </c>
      <c r="V971">
        <v>0</v>
      </c>
      <c r="W971" s="1" t="s">
        <v>40</v>
      </c>
      <c r="Y971" s="1" t="s">
        <v>52</v>
      </c>
      <c r="Z971" s="1" t="s">
        <v>42</v>
      </c>
      <c r="AA971">
        <v>3.7037037037037035E-2</v>
      </c>
      <c r="AB971" s="1" t="s">
        <v>43</v>
      </c>
      <c r="AC971">
        <v>1</v>
      </c>
      <c r="AD971" s="2">
        <v>44774</v>
      </c>
      <c r="AE971" s="1" t="s">
        <v>44</v>
      </c>
      <c r="AF971" s="1" t="s">
        <v>54</v>
      </c>
      <c r="AG971" s="1" t="s">
        <v>70</v>
      </c>
      <c r="AH971" s="1" t="s">
        <v>47</v>
      </c>
      <c r="AI971">
        <v>29926</v>
      </c>
      <c r="AJ971">
        <v>0</v>
      </c>
    </row>
    <row r="972" spans="1:36" x14ac:dyDescent="0.25">
      <c r="A972">
        <v>10971</v>
      </c>
      <c r="B972">
        <v>62</v>
      </c>
      <c r="C972" s="1" t="s">
        <v>36</v>
      </c>
      <c r="D972" s="1" t="s">
        <v>69</v>
      </c>
      <c r="E972" s="2">
        <v>45053</v>
      </c>
      <c r="F972" s="2">
        <v>45209</v>
      </c>
      <c r="G972" s="1" t="s">
        <v>38</v>
      </c>
      <c r="H972">
        <v>1234</v>
      </c>
      <c r="I972">
        <v>26</v>
      </c>
      <c r="J972">
        <v>1</v>
      </c>
      <c r="K972">
        <v>87.35</v>
      </c>
      <c r="L972">
        <v>15</v>
      </c>
      <c r="M972" s="1" t="s">
        <v>65</v>
      </c>
      <c r="N972" s="1" t="s">
        <v>40</v>
      </c>
      <c r="O972">
        <v>31898.9</v>
      </c>
      <c r="P972" t="b">
        <v>1</v>
      </c>
      <c r="Q972">
        <v>2.1666666666666665</v>
      </c>
      <c r="R972">
        <v>1226.8807692307694</v>
      </c>
      <c r="S972">
        <v>43.674999999999997</v>
      </c>
      <c r="T972" s="2">
        <v>45047</v>
      </c>
      <c r="U972" s="1" t="s">
        <v>41</v>
      </c>
      <c r="V972">
        <v>1</v>
      </c>
      <c r="W972" s="1" t="s">
        <v>40</v>
      </c>
      <c r="X972">
        <v>156</v>
      </c>
      <c r="Y972" s="1" t="s">
        <v>43</v>
      </c>
      <c r="Z972" s="1" t="s">
        <v>42</v>
      </c>
      <c r="AA972">
        <v>3.7037037037037035E-2</v>
      </c>
      <c r="AB972" s="1" t="s">
        <v>43</v>
      </c>
      <c r="AC972">
        <v>1</v>
      </c>
      <c r="AD972" s="2">
        <v>45047</v>
      </c>
      <c r="AE972" s="1" t="s">
        <v>44</v>
      </c>
      <c r="AF972" s="1" t="s">
        <v>54</v>
      </c>
      <c r="AG972" s="1" t="s">
        <v>63</v>
      </c>
      <c r="AH972" s="1" t="s">
        <v>47</v>
      </c>
      <c r="AI972">
        <v>32084</v>
      </c>
      <c r="AJ972">
        <v>-185.09999999999854</v>
      </c>
    </row>
    <row r="973" spans="1:36" x14ac:dyDescent="0.25">
      <c r="A973">
        <v>10972</v>
      </c>
      <c r="B973">
        <v>61</v>
      </c>
      <c r="C973" s="1" t="s">
        <v>60</v>
      </c>
      <c r="D973" s="1" t="s">
        <v>48</v>
      </c>
      <c r="E973" s="2">
        <v>44299</v>
      </c>
      <c r="F973" s="2">
        <v>44423</v>
      </c>
      <c r="G973" s="1" t="s">
        <v>38</v>
      </c>
      <c r="H973">
        <v>1200</v>
      </c>
      <c r="I973">
        <v>35</v>
      </c>
      <c r="J973">
        <v>2</v>
      </c>
      <c r="K973">
        <v>10.8</v>
      </c>
      <c r="L973">
        <v>15</v>
      </c>
      <c r="M973" s="1" t="s">
        <v>39</v>
      </c>
      <c r="N973" s="1" t="s">
        <v>56</v>
      </c>
      <c r="O973">
        <v>41820</v>
      </c>
      <c r="P973" t="b">
        <v>1</v>
      </c>
      <c r="Q973">
        <v>2.9166666666666665</v>
      </c>
      <c r="R973">
        <v>1194.8571428571429</v>
      </c>
      <c r="S973">
        <v>3.6</v>
      </c>
      <c r="T973" s="2">
        <v>44287</v>
      </c>
      <c r="U973" s="1" t="s">
        <v>41</v>
      </c>
      <c r="V973">
        <v>0</v>
      </c>
      <c r="W973" s="1" t="s">
        <v>40</v>
      </c>
      <c r="X973">
        <v>124</v>
      </c>
      <c r="Y973" s="1" t="s">
        <v>42</v>
      </c>
      <c r="Z973" s="1" t="s">
        <v>42</v>
      </c>
      <c r="AA973">
        <v>5.5555555555555552E-2</v>
      </c>
      <c r="AB973" s="1" t="s">
        <v>43</v>
      </c>
      <c r="AC973">
        <v>1</v>
      </c>
      <c r="AD973" s="2">
        <v>44287</v>
      </c>
      <c r="AE973" s="1" t="s">
        <v>44</v>
      </c>
      <c r="AF973" s="1" t="s">
        <v>72</v>
      </c>
      <c r="AG973" s="1" t="s">
        <v>46</v>
      </c>
      <c r="AH973" s="1" t="s">
        <v>47</v>
      </c>
      <c r="AI973">
        <v>42000</v>
      </c>
      <c r="AJ973">
        <v>-180</v>
      </c>
    </row>
    <row r="974" spans="1:36" x14ac:dyDescent="0.25">
      <c r="A974">
        <v>10973</v>
      </c>
      <c r="B974">
        <v>22</v>
      </c>
      <c r="C974" s="1" t="s">
        <v>36</v>
      </c>
      <c r="D974" s="1" t="s">
        <v>61</v>
      </c>
      <c r="E974" s="2">
        <v>44598</v>
      </c>
      <c r="F974" s="2">
        <v>44894</v>
      </c>
      <c r="G974" s="1" t="s">
        <v>38</v>
      </c>
      <c r="H974">
        <v>698</v>
      </c>
      <c r="I974">
        <v>35</v>
      </c>
      <c r="J974">
        <v>3</v>
      </c>
      <c r="K974">
        <v>60.24</v>
      </c>
      <c r="L974">
        <v>10</v>
      </c>
      <c r="M974" s="1" t="s">
        <v>39</v>
      </c>
      <c r="N974" s="1" t="s">
        <v>56</v>
      </c>
      <c r="O974">
        <v>24360.2</v>
      </c>
      <c r="P974" t="b">
        <v>1</v>
      </c>
      <c r="Q974">
        <v>2.9166666666666665</v>
      </c>
      <c r="R974">
        <v>696.00571428571436</v>
      </c>
      <c r="S974">
        <v>15.06</v>
      </c>
      <c r="T974" s="2">
        <v>44593</v>
      </c>
      <c r="U974" s="1" t="s">
        <v>66</v>
      </c>
      <c r="V974">
        <v>0</v>
      </c>
      <c r="W974" s="1" t="s">
        <v>40</v>
      </c>
      <c r="X974">
        <v>296</v>
      </c>
      <c r="Y974" s="1" t="s">
        <v>43</v>
      </c>
      <c r="Z974" s="1" t="s">
        <v>42</v>
      </c>
      <c r="AA974">
        <v>8.3333333333333329E-2</v>
      </c>
      <c r="AB974" s="1" t="s">
        <v>43</v>
      </c>
      <c r="AC974">
        <v>1</v>
      </c>
      <c r="AD974" s="2">
        <v>44593</v>
      </c>
      <c r="AE974" s="1" t="s">
        <v>44</v>
      </c>
      <c r="AF974" s="1" t="s">
        <v>72</v>
      </c>
      <c r="AG974" s="1" t="s">
        <v>63</v>
      </c>
      <c r="AH974" s="1" t="s">
        <v>64</v>
      </c>
      <c r="AI974">
        <v>24430</v>
      </c>
      <c r="AJ974">
        <v>-69.799999999999272</v>
      </c>
    </row>
    <row r="975" spans="1:36" x14ac:dyDescent="0.25">
      <c r="A975">
        <v>10974</v>
      </c>
      <c r="B975">
        <v>23</v>
      </c>
      <c r="C975" s="1" t="s">
        <v>60</v>
      </c>
      <c r="D975" s="1" t="s">
        <v>61</v>
      </c>
      <c r="E975" s="2">
        <v>44420</v>
      </c>
      <c r="F975" s="2">
        <v>44614</v>
      </c>
      <c r="G975" s="1" t="s">
        <v>38</v>
      </c>
      <c r="H975">
        <v>467</v>
      </c>
      <c r="I975">
        <v>12</v>
      </c>
      <c r="J975">
        <v>1</v>
      </c>
      <c r="K975">
        <v>22.05</v>
      </c>
      <c r="L975">
        <v>15</v>
      </c>
      <c r="M975" s="1" t="s">
        <v>39</v>
      </c>
      <c r="N975" s="1" t="s">
        <v>56</v>
      </c>
      <c r="O975">
        <v>5533.95</v>
      </c>
      <c r="P975" t="b">
        <v>1</v>
      </c>
      <c r="Q975">
        <v>1</v>
      </c>
      <c r="R975">
        <v>461.16249999999997</v>
      </c>
      <c r="S975">
        <v>11.025</v>
      </c>
      <c r="T975" s="2">
        <v>44409</v>
      </c>
      <c r="U975" s="1" t="s">
        <v>66</v>
      </c>
      <c r="V975">
        <v>0</v>
      </c>
      <c r="W975" s="1" t="s">
        <v>56</v>
      </c>
      <c r="X975">
        <v>194</v>
      </c>
      <c r="Y975" s="1" t="s">
        <v>52</v>
      </c>
      <c r="Z975" s="1" t="s">
        <v>42</v>
      </c>
      <c r="AA975">
        <v>7.6923076923076927E-2</v>
      </c>
      <c r="AB975" s="1" t="s">
        <v>42</v>
      </c>
      <c r="AC975">
        <v>1</v>
      </c>
      <c r="AD975" s="2">
        <v>44409</v>
      </c>
      <c r="AE975" s="1" t="s">
        <v>74</v>
      </c>
      <c r="AF975" s="1" t="s">
        <v>54</v>
      </c>
      <c r="AG975" s="1" t="s">
        <v>70</v>
      </c>
      <c r="AH975" s="1" t="s">
        <v>68</v>
      </c>
      <c r="AI975">
        <v>5604</v>
      </c>
      <c r="AJ975">
        <v>-70.050000000000182</v>
      </c>
    </row>
    <row r="976" spans="1:36" x14ac:dyDescent="0.25">
      <c r="A976">
        <v>10975</v>
      </c>
      <c r="B976">
        <v>43</v>
      </c>
      <c r="C976" s="1" t="s">
        <v>60</v>
      </c>
      <c r="D976" s="1" t="s">
        <v>69</v>
      </c>
      <c r="E976" s="2">
        <v>44714</v>
      </c>
      <c r="F976" s="2">
        <v>44664</v>
      </c>
      <c r="G976" s="1" t="s">
        <v>62</v>
      </c>
      <c r="H976">
        <v>676</v>
      </c>
      <c r="I976">
        <v>33</v>
      </c>
      <c r="J976">
        <v>4</v>
      </c>
      <c r="K976">
        <v>54.82</v>
      </c>
      <c r="L976">
        <v>15</v>
      </c>
      <c r="M976" s="1" t="s">
        <v>50</v>
      </c>
      <c r="N976" s="1" t="s">
        <v>56</v>
      </c>
      <c r="O976">
        <v>22206.6</v>
      </c>
      <c r="P976" t="b">
        <v>0</v>
      </c>
      <c r="Q976">
        <v>2.75</v>
      </c>
      <c r="R976">
        <v>672.92727272727268</v>
      </c>
      <c r="S976">
        <v>10.964</v>
      </c>
      <c r="T976" s="2">
        <v>44713</v>
      </c>
      <c r="U976" s="1" t="s">
        <v>51</v>
      </c>
      <c r="V976">
        <v>0</v>
      </c>
      <c r="W976" s="1" t="s">
        <v>40</v>
      </c>
      <c r="Y976" s="1" t="s">
        <v>52</v>
      </c>
      <c r="Z976" s="1" t="s">
        <v>42</v>
      </c>
      <c r="AA976">
        <v>0.11764705882352941</v>
      </c>
      <c r="AB976" s="1" t="s">
        <v>43</v>
      </c>
      <c r="AC976">
        <v>2</v>
      </c>
      <c r="AD976" s="2">
        <v>44713</v>
      </c>
      <c r="AE976" s="1" t="s">
        <v>44</v>
      </c>
      <c r="AF976" s="1" t="s">
        <v>45</v>
      </c>
      <c r="AG976" s="1" t="s">
        <v>63</v>
      </c>
      <c r="AH976" s="1" t="s">
        <v>64</v>
      </c>
      <c r="AI976">
        <v>22308</v>
      </c>
      <c r="AJ976">
        <v>-101.40000000000146</v>
      </c>
    </row>
    <row r="977" spans="1:36" x14ac:dyDescent="0.25">
      <c r="A977">
        <v>10976</v>
      </c>
      <c r="B977">
        <v>21</v>
      </c>
      <c r="C977" s="1" t="s">
        <v>36</v>
      </c>
      <c r="D977" s="1" t="s">
        <v>48</v>
      </c>
      <c r="E977" s="2">
        <v>44830</v>
      </c>
      <c r="F977" s="2">
        <v>45159</v>
      </c>
      <c r="G977" s="1" t="s">
        <v>62</v>
      </c>
      <c r="H977">
        <v>906</v>
      </c>
      <c r="I977">
        <v>14</v>
      </c>
      <c r="J977">
        <v>0</v>
      </c>
      <c r="K977">
        <v>91.24</v>
      </c>
      <c r="L977">
        <v>5</v>
      </c>
      <c r="M977" s="1" t="s">
        <v>50</v>
      </c>
      <c r="N977" s="1" t="s">
        <v>56</v>
      </c>
      <c r="O977">
        <v>12638.7</v>
      </c>
      <c r="P977" t="b">
        <v>1</v>
      </c>
      <c r="Q977">
        <v>1.1666666666666667</v>
      </c>
      <c r="R977">
        <v>902.76428571428573</v>
      </c>
      <c r="S977">
        <v>91.24</v>
      </c>
      <c r="T977" s="2">
        <v>44805</v>
      </c>
      <c r="U977" s="1" t="s">
        <v>66</v>
      </c>
      <c r="V977">
        <v>0</v>
      </c>
      <c r="W977" s="1" t="s">
        <v>56</v>
      </c>
      <c r="X977">
        <v>329</v>
      </c>
      <c r="Y977" s="1" t="s">
        <v>43</v>
      </c>
      <c r="Z977" s="1" t="s">
        <v>42</v>
      </c>
      <c r="AA977">
        <v>0</v>
      </c>
      <c r="AB977" s="1" t="s">
        <v>52</v>
      </c>
      <c r="AC977">
        <v>2</v>
      </c>
      <c r="AD977" s="2">
        <v>44805</v>
      </c>
      <c r="AE977" s="1" t="s">
        <v>53</v>
      </c>
      <c r="AF977" s="1" t="s">
        <v>54</v>
      </c>
      <c r="AG977" s="1" t="s">
        <v>63</v>
      </c>
      <c r="AH977" s="1" t="s">
        <v>59</v>
      </c>
      <c r="AI977">
        <v>12684</v>
      </c>
      <c r="AJ977">
        <v>-45.299999999999272</v>
      </c>
    </row>
    <row r="978" spans="1:36" x14ac:dyDescent="0.25">
      <c r="A978">
        <v>10977</v>
      </c>
      <c r="B978">
        <v>36</v>
      </c>
      <c r="C978" s="1" t="s">
        <v>36</v>
      </c>
      <c r="D978" s="1" t="s">
        <v>71</v>
      </c>
      <c r="E978" s="2">
        <v>44432</v>
      </c>
      <c r="F978" s="2">
        <v>44468</v>
      </c>
      <c r="G978" s="1" t="s">
        <v>49</v>
      </c>
      <c r="H978">
        <v>1310</v>
      </c>
      <c r="I978">
        <v>33</v>
      </c>
      <c r="J978">
        <v>2</v>
      </c>
      <c r="K978">
        <v>57.76</v>
      </c>
      <c r="L978">
        <v>0</v>
      </c>
      <c r="M978" s="1" t="s">
        <v>65</v>
      </c>
      <c r="N978" s="1" t="s">
        <v>56</v>
      </c>
      <c r="O978">
        <v>43230</v>
      </c>
      <c r="P978" t="b">
        <v>1</v>
      </c>
      <c r="Q978">
        <v>2.75</v>
      </c>
      <c r="R978">
        <v>1310</v>
      </c>
      <c r="S978">
        <v>19.253333333333334</v>
      </c>
      <c r="T978" s="2">
        <v>44409</v>
      </c>
      <c r="U978" s="1" t="s">
        <v>51</v>
      </c>
      <c r="V978">
        <v>0</v>
      </c>
      <c r="W978" s="1" t="s">
        <v>40</v>
      </c>
      <c r="X978">
        <v>36</v>
      </c>
      <c r="Y978" s="1" t="s">
        <v>52</v>
      </c>
      <c r="Z978" s="1" t="s">
        <v>42</v>
      </c>
      <c r="AA978">
        <v>5.8823529411764705E-2</v>
      </c>
      <c r="AB978" s="1" t="s">
        <v>43</v>
      </c>
      <c r="AC978">
        <v>3</v>
      </c>
      <c r="AD978" s="2">
        <v>44409</v>
      </c>
      <c r="AE978" s="1" t="s">
        <v>44</v>
      </c>
      <c r="AF978" s="1" t="s">
        <v>72</v>
      </c>
      <c r="AG978" s="1" t="s">
        <v>63</v>
      </c>
      <c r="AH978" s="1" t="s">
        <v>47</v>
      </c>
      <c r="AI978">
        <v>43230</v>
      </c>
      <c r="AJ978">
        <v>0</v>
      </c>
    </row>
    <row r="979" spans="1:36" x14ac:dyDescent="0.25">
      <c r="A979">
        <v>10978</v>
      </c>
      <c r="B979">
        <v>37</v>
      </c>
      <c r="C979" s="1" t="s">
        <v>36</v>
      </c>
      <c r="D979" s="1" t="s">
        <v>71</v>
      </c>
      <c r="E979" s="2">
        <v>44623</v>
      </c>
      <c r="F979" s="2">
        <v>45183</v>
      </c>
      <c r="G979" s="1" t="s">
        <v>38</v>
      </c>
      <c r="H979">
        <v>888</v>
      </c>
      <c r="I979">
        <v>24</v>
      </c>
      <c r="J979">
        <v>1</v>
      </c>
      <c r="K979">
        <v>62.59</v>
      </c>
      <c r="L979">
        <v>20</v>
      </c>
      <c r="M979" s="1" t="s">
        <v>67</v>
      </c>
      <c r="N979" s="1" t="s">
        <v>56</v>
      </c>
      <c r="O979">
        <v>21134.400000000001</v>
      </c>
      <c r="P979" t="b">
        <v>1</v>
      </c>
      <c r="Q979">
        <v>2</v>
      </c>
      <c r="R979">
        <v>880.6</v>
      </c>
      <c r="S979">
        <v>31.295000000000002</v>
      </c>
      <c r="T979" s="2">
        <v>44621</v>
      </c>
      <c r="U979" s="1" t="s">
        <v>51</v>
      </c>
      <c r="V979">
        <v>0</v>
      </c>
      <c r="W979" s="1" t="s">
        <v>40</v>
      </c>
      <c r="X979">
        <v>560</v>
      </c>
      <c r="Y979" s="1" t="s">
        <v>43</v>
      </c>
      <c r="Z979" s="1" t="s">
        <v>52</v>
      </c>
      <c r="AA979">
        <v>0.04</v>
      </c>
      <c r="AB979" s="1" t="s">
        <v>43</v>
      </c>
      <c r="AC979">
        <v>1</v>
      </c>
      <c r="AD979" s="2">
        <v>44621</v>
      </c>
      <c r="AE979" s="1" t="s">
        <v>53</v>
      </c>
      <c r="AF979" s="1" t="s">
        <v>54</v>
      </c>
      <c r="AG979" s="1" t="s">
        <v>63</v>
      </c>
      <c r="AH979" s="1" t="s">
        <v>59</v>
      </c>
      <c r="AI979">
        <v>21312</v>
      </c>
      <c r="AJ979">
        <v>-177.59999999999854</v>
      </c>
    </row>
    <row r="980" spans="1:36" x14ac:dyDescent="0.25">
      <c r="A980">
        <v>10979</v>
      </c>
      <c r="B980">
        <v>50</v>
      </c>
      <c r="C980" s="1" t="s">
        <v>36</v>
      </c>
      <c r="D980" s="1" t="s">
        <v>71</v>
      </c>
      <c r="E980" s="2">
        <v>44312</v>
      </c>
      <c r="F980" s="2">
        <v>44372</v>
      </c>
      <c r="G980" s="1" t="s">
        <v>62</v>
      </c>
      <c r="H980">
        <v>1494</v>
      </c>
      <c r="I980">
        <v>15</v>
      </c>
      <c r="J980">
        <v>2</v>
      </c>
      <c r="K980">
        <v>33.97</v>
      </c>
      <c r="L980">
        <v>5</v>
      </c>
      <c r="M980" s="1" t="s">
        <v>50</v>
      </c>
      <c r="N980" s="1" t="s">
        <v>40</v>
      </c>
      <c r="O980">
        <v>22335.3</v>
      </c>
      <c r="P980" t="b">
        <v>1</v>
      </c>
      <c r="Q980">
        <v>1.25</v>
      </c>
      <c r="R980">
        <v>1489.02</v>
      </c>
      <c r="S980">
        <v>11.323333333333332</v>
      </c>
      <c r="T980" s="2">
        <v>44287</v>
      </c>
      <c r="U980" s="1" t="s">
        <v>51</v>
      </c>
      <c r="V980">
        <v>1</v>
      </c>
      <c r="W980" s="1" t="s">
        <v>40</v>
      </c>
      <c r="X980">
        <v>60</v>
      </c>
      <c r="Y980" s="1" t="s">
        <v>52</v>
      </c>
      <c r="Z980" s="1" t="s">
        <v>42</v>
      </c>
      <c r="AA980">
        <v>0.125</v>
      </c>
      <c r="AB980" s="1" t="s">
        <v>43</v>
      </c>
      <c r="AC980">
        <v>2</v>
      </c>
      <c r="AD980" s="2">
        <v>44287</v>
      </c>
      <c r="AE980" s="1" t="s">
        <v>53</v>
      </c>
      <c r="AF980" s="1" t="s">
        <v>72</v>
      </c>
      <c r="AG980" s="1" t="s">
        <v>55</v>
      </c>
      <c r="AH980" s="1" t="s">
        <v>47</v>
      </c>
      <c r="AI980">
        <v>22410</v>
      </c>
      <c r="AJ980">
        <v>-74.700000000000728</v>
      </c>
    </row>
    <row r="981" spans="1:36" x14ac:dyDescent="0.25">
      <c r="A981">
        <v>10980</v>
      </c>
      <c r="B981">
        <v>37</v>
      </c>
      <c r="C981" s="1" t="s">
        <v>60</v>
      </c>
      <c r="D981" s="1" t="s">
        <v>61</v>
      </c>
      <c r="E981" s="2">
        <v>44359</v>
      </c>
      <c r="F981" s="2">
        <v>44779</v>
      </c>
      <c r="G981" s="1" t="s">
        <v>49</v>
      </c>
      <c r="H981">
        <v>1477</v>
      </c>
      <c r="I981">
        <v>31</v>
      </c>
      <c r="J981">
        <v>2</v>
      </c>
      <c r="K981">
        <v>47.27</v>
      </c>
      <c r="L981">
        <v>20</v>
      </c>
      <c r="M981" s="1" t="s">
        <v>50</v>
      </c>
      <c r="N981" s="1" t="s">
        <v>56</v>
      </c>
      <c r="O981">
        <v>45491.6</v>
      </c>
      <c r="P981" t="b">
        <v>1</v>
      </c>
      <c r="Q981">
        <v>2.5833333333333335</v>
      </c>
      <c r="R981">
        <v>1467.4709677419355</v>
      </c>
      <c r="S981">
        <v>15.756666666666668</v>
      </c>
      <c r="T981" s="2">
        <v>44348</v>
      </c>
      <c r="U981" s="1" t="s">
        <v>51</v>
      </c>
      <c r="V981">
        <v>0</v>
      </c>
      <c r="W981" s="1" t="s">
        <v>40</v>
      </c>
      <c r="X981">
        <v>420</v>
      </c>
      <c r="Y981" s="1" t="s">
        <v>52</v>
      </c>
      <c r="Z981" s="1" t="s">
        <v>52</v>
      </c>
      <c r="AA981">
        <v>6.25E-2</v>
      </c>
      <c r="AB981" s="1" t="s">
        <v>43</v>
      </c>
      <c r="AC981">
        <v>3</v>
      </c>
      <c r="AD981" s="2">
        <v>44348</v>
      </c>
      <c r="AE981" s="1" t="s">
        <v>44</v>
      </c>
      <c r="AF981" s="1" t="s">
        <v>72</v>
      </c>
      <c r="AG981" s="1" t="s">
        <v>63</v>
      </c>
      <c r="AH981" s="1" t="s">
        <v>47</v>
      </c>
      <c r="AI981">
        <v>45787</v>
      </c>
      <c r="AJ981">
        <v>-295.40000000000146</v>
      </c>
    </row>
    <row r="982" spans="1:36" x14ac:dyDescent="0.25">
      <c r="A982">
        <v>10981</v>
      </c>
      <c r="B982">
        <v>29</v>
      </c>
      <c r="C982" s="1" t="s">
        <v>36</v>
      </c>
      <c r="D982" s="1" t="s">
        <v>48</v>
      </c>
      <c r="E982" s="2">
        <v>44422</v>
      </c>
      <c r="F982" s="2">
        <v>44507</v>
      </c>
      <c r="G982" s="1" t="s">
        <v>62</v>
      </c>
      <c r="H982">
        <v>347</v>
      </c>
      <c r="I982">
        <v>17</v>
      </c>
      <c r="J982">
        <v>2</v>
      </c>
      <c r="K982">
        <v>13</v>
      </c>
      <c r="L982">
        <v>5</v>
      </c>
      <c r="M982" s="1" t="s">
        <v>65</v>
      </c>
      <c r="N982" s="1" t="s">
        <v>56</v>
      </c>
      <c r="O982">
        <v>5881.65</v>
      </c>
      <c r="P982" t="b">
        <v>1</v>
      </c>
      <c r="Q982">
        <v>1.4166666666666667</v>
      </c>
      <c r="R982">
        <v>345.97941176470584</v>
      </c>
      <c r="S982">
        <v>4.333333333333333</v>
      </c>
      <c r="T982" s="2">
        <v>44409</v>
      </c>
      <c r="U982" s="1" t="s">
        <v>57</v>
      </c>
      <c r="V982">
        <v>0</v>
      </c>
      <c r="W982" s="1" t="s">
        <v>56</v>
      </c>
      <c r="X982">
        <v>85</v>
      </c>
      <c r="Y982" s="1" t="s">
        <v>42</v>
      </c>
      <c r="Z982" s="1" t="s">
        <v>42</v>
      </c>
      <c r="AA982">
        <v>0.1111111111111111</v>
      </c>
      <c r="AB982" s="1" t="s">
        <v>42</v>
      </c>
      <c r="AC982">
        <v>2</v>
      </c>
      <c r="AD982" s="2">
        <v>44409</v>
      </c>
      <c r="AE982" s="1" t="s">
        <v>53</v>
      </c>
      <c r="AF982" s="1" t="s">
        <v>72</v>
      </c>
      <c r="AG982" s="1" t="s">
        <v>46</v>
      </c>
      <c r="AH982" s="1" t="s">
        <v>68</v>
      </c>
      <c r="AI982">
        <v>5899</v>
      </c>
      <c r="AJ982">
        <v>-17.350000000000364</v>
      </c>
    </row>
    <row r="983" spans="1:36" x14ac:dyDescent="0.25">
      <c r="A983">
        <v>10982</v>
      </c>
      <c r="B983">
        <v>64</v>
      </c>
      <c r="C983" s="1" t="s">
        <v>60</v>
      </c>
      <c r="D983" s="1" t="s">
        <v>48</v>
      </c>
      <c r="E983" s="2">
        <v>44426</v>
      </c>
      <c r="F983" s="2">
        <v>44943</v>
      </c>
      <c r="G983" s="1" t="s">
        <v>38</v>
      </c>
      <c r="H983">
        <v>1324</v>
      </c>
      <c r="I983">
        <v>12</v>
      </c>
      <c r="J983">
        <v>3</v>
      </c>
      <c r="K983">
        <v>72.2</v>
      </c>
      <c r="L983">
        <v>5</v>
      </c>
      <c r="M983" s="1" t="s">
        <v>65</v>
      </c>
      <c r="N983" s="1" t="s">
        <v>40</v>
      </c>
      <c r="O983">
        <v>15821.8</v>
      </c>
      <c r="P983" t="b">
        <v>1</v>
      </c>
      <c r="Q983">
        <v>1</v>
      </c>
      <c r="R983">
        <v>1318.4833333333333</v>
      </c>
      <c r="S983">
        <v>18.05</v>
      </c>
      <c r="T983" s="2">
        <v>44409</v>
      </c>
      <c r="U983" s="1" t="s">
        <v>41</v>
      </c>
      <c r="V983">
        <v>1</v>
      </c>
      <c r="W983" s="1" t="s">
        <v>40</v>
      </c>
      <c r="X983">
        <v>517</v>
      </c>
      <c r="Y983" s="1" t="s">
        <v>43</v>
      </c>
      <c r="Z983" s="1" t="s">
        <v>42</v>
      </c>
      <c r="AA983">
        <v>0.23076923076923078</v>
      </c>
      <c r="AB983" s="1" t="s">
        <v>52</v>
      </c>
      <c r="AC983">
        <v>1</v>
      </c>
      <c r="AD983" s="2">
        <v>44409</v>
      </c>
      <c r="AE983" s="1" t="s">
        <v>74</v>
      </c>
      <c r="AF983" s="1" t="s">
        <v>72</v>
      </c>
      <c r="AG983" s="1" t="s">
        <v>63</v>
      </c>
      <c r="AH983" s="1" t="s">
        <v>47</v>
      </c>
      <c r="AI983">
        <v>15888</v>
      </c>
      <c r="AJ983">
        <v>-66.200000000000728</v>
      </c>
    </row>
    <row r="984" spans="1:36" x14ac:dyDescent="0.25">
      <c r="A984">
        <v>10983</v>
      </c>
      <c r="B984">
        <v>18</v>
      </c>
      <c r="C984" s="1" t="s">
        <v>36</v>
      </c>
      <c r="D984" s="1" t="s">
        <v>61</v>
      </c>
      <c r="E984" s="2">
        <v>44378</v>
      </c>
      <c r="F984" s="2">
        <v>44461</v>
      </c>
      <c r="G984" s="1" t="s">
        <v>38</v>
      </c>
      <c r="H984">
        <v>1430</v>
      </c>
      <c r="I984">
        <v>22</v>
      </c>
      <c r="J984">
        <v>3</v>
      </c>
      <c r="K984">
        <v>74.87</v>
      </c>
      <c r="L984">
        <v>15</v>
      </c>
      <c r="M984" s="1" t="s">
        <v>67</v>
      </c>
      <c r="N984" s="1" t="s">
        <v>56</v>
      </c>
      <c r="O984">
        <v>31245.5</v>
      </c>
      <c r="P984" t="b">
        <v>1</v>
      </c>
      <c r="Q984">
        <v>1.8333333333333333</v>
      </c>
      <c r="R984">
        <v>1420.25</v>
      </c>
      <c r="S984">
        <v>18.717500000000001</v>
      </c>
      <c r="T984" s="2">
        <v>44378</v>
      </c>
      <c r="U984" s="1" t="s">
        <v>66</v>
      </c>
      <c r="V984">
        <v>0</v>
      </c>
      <c r="W984" s="1" t="s">
        <v>40</v>
      </c>
      <c r="X984">
        <v>83</v>
      </c>
      <c r="Y984" s="1" t="s">
        <v>43</v>
      </c>
      <c r="Z984" s="1" t="s">
        <v>42</v>
      </c>
      <c r="AA984">
        <v>0.13043478260869565</v>
      </c>
      <c r="AB984" s="1" t="s">
        <v>43</v>
      </c>
      <c r="AC984">
        <v>1</v>
      </c>
      <c r="AD984" s="2">
        <v>44378</v>
      </c>
      <c r="AE984" s="1" t="s">
        <v>53</v>
      </c>
      <c r="AF984" s="1" t="s">
        <v>72</v>
      </c>
      <c r="AG984" s="1" t="s">
        <v>63</v>
      </c>
      <c r="AH984" s="1" t="s">
        <v>47</v>
      </c>
      <c r="AI984">
        <v>31460</v>
      </c>
      <c r="AJ984">
        <v>-214.5</v>
      </c>
    </row>
    <row r="985" spans="1:36" x14ac:dyDescent="0.25">
      <c r="A985">
        <v>10984</v>
      </c>
      <c r="B985">
        <v>43</v>
      </c>
      <c r="C985" s="1" t="s">
        <v>36</v>
      </c>
      <c r="D985" s="1" t="s">
        <v>71</v>
      </c>
      <c r="E985" s="2">
        <v>44445</v>
      </c>
      <c r="F985" s="2">
        <v>45082</v>
      </c>
      <c r="G985" s="1" t="s">
        <v>38</v>
      </c>
      <c r="H985">
        <v>472</v>
      </c>
      <c r="I985">
        <v>23</v>
      </c>
      <c r="J985">
        <v>3</v>
      </c>
      <c r="K985">
        <v>12.15</v>
      </c>
      <c r="L985">
        <v>20</v>
      </c>
      <c r="M985" s="1" t="s">
        <v>39</v>
      </c>
      <c r="N985" s="1" t="s">
        <v>40</v>
      </c>
      <c r="O985">
        <v>10761.6</v>
      </c>
      <c r="P985" t="b">
        <v>1</v>
      </c>
      <c r="Q985">
        <v>1.9166666666666667</v>
      </c>
      <c r="R985">
        <v>467.89565217391305</v>
      </c>
      <c r="S985">
        <v>3.0375000000000001</v>
      </c>
      <c r="T985" s="2">
        <v>44440</v>
      </c>
      <c r="U985" s="1" t="s">
        <v>51</v>
      </c>
      <c r="V985">
        <v>1</v>
      </c>
      <c r="W985" s="1" t="s">
        <v>56</v>
      </c>
      <c r="X985">
        <v>637</v>
      </c>
      <c r="Y985" s="1" t="s">
        <v>42</v>
      </c>
      <c r="Z985" s="1" t="s">
        <v>52</v>
      </c>
      <c r="AA985">
        <v>0.125</v>
      </c>
      <c r="AB985" s="1" t="s">
        <v>52</v>
      </c>
      <c r="AC985">
        <v>1</v>
      </c>
      <c r="AD985" s="2">
        <v>44440</v>
      </c>
      <c r="AE985" s="1" t="s">
        <v>53</v>
      </c>
      <c r="AF985" s="1" t="s">
        <v>72</v>
      </c>
      <c r="AG985" s="1" t="s">
        <v>46</v>
      </c>
      <c r="AH985" s="1" t="s">
        <v>68</v>
      </c>
      <c r="AI985">
        <v>10856</v>
      </c>
      <c r="AJ985">
        <v>-94.399999999999636</v>
      </c>
    </row>
    <row r="986" spans="1:36" x14ac:dyDescent="0.25">
      <c r="A986">
        <v>10985</v>
      </c>
      <c r="B986">
        <v>31</v>
      </c>
      <c r="C986" s="1" t="s">
        <v>36</v>
      </c>
      <c r="D986" s="1" t="s">
        <v>71</v>
      </c>
      <c r="E986" s="2">
        <v>44514</v>
      </c>
      <c r="F986" s="2">
        <v>45247</v>
      </c>
      <c r="G986" s="1" t="s">
        <v>38</v>
      </c>
      <c r="H986">
        <v>805</v>
      </c>
      <c r="I986">
        <v>26</v>
      </c>
      <c r="J986">
        <v>2</v>
      </c>
      <c r="K986">
        <v>51.27</v>
      </c>
      <c r="L986">
        <v>5</v>
      </c>
      <c r="M986" s="1" t="s">
        <v>39</v>
      </c>
      <c r="N986" s="1" t="s">
        <v>40</v>
      </c>
      <c r="O986">
        <v>20889.75</v>
      </c>
      <c r="P986" t="b">
        <v>1</v>
      </c>
      <c r="Q986">
        <v>2.1666666666666665</v>
      </c>
      <c r="R986">
        <v>803.45192307692309</v>
      </c>
      <c r="S986">
        <v>17.09</v>
      </c>
      <c r="T986" s="2">
        <v>44501</v>
      </c>
      <c r="U986" s="1" t="s">
        <v>57</v>
      </c>
      <c r="V986">
        <v>1</v>
      </c>
      <c r="W986" s="1" t="s">
        <v>40</v>
      </c>
      <c r="X986">
        <v>733</v>
      </c>
      <c r="Y986" s="1" t="s">
        <v>52</v>
      </c>
      <c r="Z986" s="1" t="s">
        <v>42</v>
      </c>
      <c r="AA986">
        <v>7.407407407407407E-2</v>
      </c>
      <c r="AB986" s="1" t="s">
        <v>43</v>
      </c>
      <c r="AC986">
        <v>1</v>
      </c>
      <c r="AD986" s="2">
        <v>44501</v>
      </c>
      <c r="AE986" s="1" t="s">
        <v>44</v>
      </c>
      <c r="AF986" s="1" t="s">
        <v>72</v>
      </c>
      <c r="AG986" s="1" t="s">
        <v>63</v>
      </c>
      <c r="AH986" s="1" t="s">
        <v>59</v>
      </c>
      <c r="AI986">
        <v>20930</v>
      </c>
      <c r="AJ986">
        <v>-40.25</v>
      </c>
    </row>
    <row r="987" spans="1:36" x14ac:dyDescent="0.25">
      <c r="A987">
        <v>10986</v>
      </c>
      <c r="B987">
        <v>55</v>
      </c>
      <c r="C987" s="1" t="s">
        <v>36</v>
      </c>
      <c r="D987" s="1" t="s">
        <v>69</v>
      </c>
      <c r="E987" s="2">
        <v>44406</v>
      </c>
      <c r="F987" s="2">
        <v>44849</v>
      </c>
      <c r="G987" s="1" t="s">
        <v>62</v>
      </c>
      <c r="H987">
        <v>1453</v>
      </c>
      <c r="I987">
        <v>14</v>
      </c>
      <c r="J987">
        <v>4</v>
      </c>
      <c r="K987">
        <v>52.61</v>
      </c>
      <c r="L987">
        <v>15</v>
      </c>
      <c r="M987" s="1" t="s">
        <v>67</v>
      </c>
      <c r="N987" s="1" t="s">
        <v>56</v>
      </c>
      <c r="O987">
        <v>20124.05</v>
      </c>
      <c r="P987" t="b">
        <v>1</v>
      </c>
      <c r="Q987">
        <v>1.1666666666666667</v>
      </c>
      <c r="R987">
        <v>1437.4321428571427</v>
      </c>
      <c r="S987">
        <v>10.522</v>
      </c>
      <c r="T987" s="2">
        <v>44378</v>
      </c>
      <c r="U987" s="1" t="s">
        <v>41</v>
      </c>
      <c r="V987">
        <v>0</v>
      </c>
      <c r="W987" s="1" t="s">
        <v>40</v>
      </c>
      <c r="X987">
        <v>443</v>
      </c>
      <c r="Y987" s="1" t="s">
        <v>52</v>
      </c>
      <c r="Z987" s="1" t="s">
        <v>42</v>
      </c>
      <c r="AA987">
        <v>0.26666666666666666</v>
      </c>
      <c r="AB987" s="1" t="s">
        <v>43</v>
      </c>
      <c r="AC987">
        <v>2</v>
      </c>
      <c r="AD987" s="2">
        <v>44378</v>
      </c>
      <c r="AE987" s="1" t="s">
        <v>53</v>
      </c>
      <c r="AF987" s="1" t="s">
        <v>45</v>
      </c>
      <c r="AG987" s="1" t="s">
        <v>63</v>
      </c>
      <c r="AH987" s="1" t="s">
        <v>47</v>
      </c>
      <c r="AI987">
        <v>20342</v>
      </c>
      <c r="AJ987">
        <v>-217.95000000000073</v>
      </c>
    </row>
    <row r="988" spans="1:36" x14ac:dyDescent="0.25">
      <c r="A988">
        <v>10987</v>
      </c>
      <c r="B988">
        <v>54</v>
      </c>
      <c r="C988" s="1" t="s">
        <v>60</v>
      </c>
      <c r="D988" s="1" t="s">
        <v>76</v>
      </c>
      <c r="E988" s="2">
        <v>44852</v>
      </c>
      <c r="F988" s="2">
        <v>44513</v>
      </c>
      <c r="G988" s="1" t="s">
        <v>38</v>
      </c>
      <c r="H988">
        <v>697</v>
      </c>
      <c r="I988">
        <v>12</v>
      </c>
      <c r="J988">
        <v>3</v>
      </c>
      <c r="K988">
        <v>43.39</v>
      </c>
      <c r="L988">
        <v>10</v>
      </c>
      <c r="M988" s="1" t="s">
        <v>67</v>
      </c>
      <c r="N988" s="1" t="s">
        <v>56</v>
      </c>
      <c r="O988">
        <v>8294.2999999999993</v>
      </c>
      <c r="P988" t="b">
        <v>0</v>
      </c>
      <c r="Q988">
        <v>1</v>
      </c>
      <c r="R988">
        <v>691.19166666666661</v>
      </c>
      <c r="S988">
        <v>10.8475</v>
      </c>
      <c r="T988" s="2">
        <v>44835</v>
      </c>
      <c r="U988" s="1" t="s">
        <v>41</v>
      </c>
      <c r="V988">
        <v>0</v>
      </c>
      <c r="W988" s="1" t="s">
        <v>56</v>
      </c>
      <c r="Y988" s="1" t="s">
        <v>52</v>
      </c>
      <c r="Z988" s="1" t="s">
        <v>42</v>
      </c>
      <c r="AA988">
        <v>0.23076923076923078</v>
      </c>
      <c r="AB988" s="1" t="s">
        <v>42</v>
      </c>
      <c r="AC988">
        <v>1</v>
      </c>
      <c r="AD988" s="2">
        <v>44835</v>
      </c>
      <c r="AE988" s="1" t="s">
        <v>74</v>
      </c>
      <c r="AF988" s="1" t="s">
        <v>72</v>
      </c>
      <c r="AG988" s="1" t="s">
        <v>55</v>
      </c>
      <c r="AH988" s="1" t="s">
        <v>64</v>
      </c>
      <c r="AI988">
        <v>8364</v>
      </c>
      <c r="AJ988">
        <v>-69.700000000000728</v>
      </c>
    </row>
    <row r="989" spans="1:36" x14ac:dyDescent="0.25">
      <c r="A989">
        <v>10988</v>
      </c>
      <c r="B989">
        <v>28</v>
      </c>
      <c r="C989" s="1" t="s">
        <v>36</v>
      </c>
      <c r="D989" s="1" t="s">
        <v>37</v>
      </c>
      <c r="E989" s="2">
        <v>44588</v>
      </c>
      <c r="F989" s="2">
        <v>45050</v>
      </c>
      <c r="G989" s="1" t="s">
        <v>38</v>
      </c>
      <c r="H989">
        <v>593</v>
      </c>
      <c r="I989">
        <v>4</v>
      </c>
      <c r="J989">
        <v>6</v>
      </c>
      <c r="K989">
        <v>69.14</v>
      </c>
      <c r="L989">
        <v>20</v>
      </c>
      <c r="M989" s="1" t="s">
        <v>67</v>
      </c>
      <c r="N989" s="1" t="s">
        <v>40</v>
      </c>
      <c r="O989">
        <v>2253.4</v>
      </c>
      <c r="P989" t="b">
        <v>1</v>
      </c>
      <c r="Q989">
        <v>0.33333333333333331</v>
      </c>
      <c r="R989">
        <v>563.35</v>
      </c>
      <c r="S989">
        <v>9.8771428571428572</v>
      </c>
      <c r="T989" s="2">
        <v>44562</v>
      </c>
      <c r="U989" s="1" t="s">
        <v>57</v>
      </c>
      <c r="V989">
        <v>1</v>
      </c>
      <c r="W989" s="1" t="s">
        <v>56</v>
      </c>
      <c r="X989">
        <v>462</v>
      </c>
      <c r="Y989" s="1" t="s">
        <v>43</v>
      </c>
      <c r="Z989" s="1" t="s">
        <v>52</v>
      </c>
      <c r="AA989">
        <v>1.2</v>
      </c>
      <c r="AB989" s="1" t="s">
        <v>42</v>
      </c>
      <c r="AC989">
        <v>1</v>
      </c>
      <c r="AD989" s="2">
        <v>44562</v>
      </c>
      <c r="AE989" s="1" t="s">
        <v>58</v>
      </c>
      <c r="AF989" s="1" t="s">
        <v>78</v>
      </c>
      <c r="AG989" s="1" t="s">
        <v>63</v>
      </c>
      <c r="AH989" s="1" t="s">
        <v>64</v>
      </c>
      <c r="AI989">
        <v>2372</v>
      </c>
      <c r="AJ989">
        <v>-118.59999999999991</v>
      </c>
    </row>
    <row r="990" spans="1:36" x14ac:dyDescent="0.25">
      <c r="A990">
        <v>10989</v>
      </c>
      <c r="B990">
        <v>53</v>
      </c>
      <c r="C990" s="1" t="s">
        <v>60</v>
      </c>
      <c r="D990" s="1" t="s">
        <v>73</v>
      </c>
      <c r="E990" s="2">
        <v>45053</v>
      </c>
      <c r="F990" s="2">
        <v>44522</v>
      </c>
      <c r="G990" s="1" t="s">
        <v>62</v>
      </c>
      <c r="H990">
        <v>851</v>
      </c>
      <c r="I990">
        <v>13</v>
      </c>
      <c r="J990">
        <v>3</v>
      </c>
      <c r="K990">
        <v>44.79</v>
      </c>
      <c r="L990">
        <v>5</v>
      </c>
      <c r="M990" s="1" t="s">
        <v>65</v>
      </c>
      <c r="N990" s="1" t="s">
        <v>40</v>
      </c>
      <c r="O990">
        <v>11020.45</v>
      </c>
      <c r="P990" t="b">
        <v>0</v>
      </c>
      <c r="Q990">
        <v>1.0833333333333333</v>
      </c>
      <c r="R990">
        <v>847.72692307692319</v>
      </c>
      <c r="S990">
        <v>11.1975</v>
      </c>
      <c r="T990" s="2">
        <v>45047</v>
      </c>
      <c r="U990" s="1" t="s">
        <v>41</v>
      </c>
      <c r="V990">
        <v>1</v>
      </c>
      <c r="W990" s="1" t="s">
        <v>56</v>
      </c>
      <c r="Y990" s="1" t="s">
        <v>52</v>
      </c>
      <c r="Z990" s="1" t="s">
        <v>42</v>
      </c>
      <c r="AA990">
        <v>0.21428571428571427</v>
      </c>
      <c r="AB990" s="1" t="s">
        <v>52</v>
      </c>
      <c r="AC990">
        <v>2</v>
      </c>
      <c r="AD990" s="2">
        <v>45047</v>
      </c>
      <c r="AE990" s="1" t="s">
        <v>53</v>
      </c>
      <c r="AF990" s="1" t="s">
        <v>72</v>
      </c>
      <c r="AG990" s="1" t="s">
        <v>55</v>
      </c>
      <c r="AH990" s="1" t="s">
        <v>59</v>
      </c>
      <c r="AI990">
        <v>11063</v>
      </c>
      <c r="AJ990">
        <v>-42.549999999999272</v>
      </c>
    </row>
    <row r="991" spans="1:36" x14ac:dyDescent="0.25">
      <c r="A991">
        <v>10990</v>
      </c>
      <c r="B991">
        <v>30</v>
      </c>
      <c r="C991" s="1" t="s">
        <v>36</v>
      </c>
      <c r="D991" s="1" t="s">
        <v>48</v>
      </c>
      <c r="E991" s="2">
        <v>44292</v>
      </c>
      <c r="F991" s="2">
        <v>44348</v>
      </c>
      <c r="G991" s="1" t="s">
        <v>62</v>
      </c>
      <c r="H991">
        <v>1149</v>
      </c>
      <c r="I991">
        <v>18</v>
      </c>
      <c r="J991">
        <v>1</v>
      </c>
      <c r="K991">
        <v>52.89</v>
      </c>
      <c r="L991">
        <v>10</v>
      </c>
      <c r="M991" s="1" t="s">
        <v>39</v>
      </c>
      <c r="N991" s="1" t="s">
        <v>56</v>
      </c>
      <c r="O991">
        <v>20567.099999999999</v>
      </c>
      <c r="P991" t="b">
        <v>1</v>
      </c>
      <c r="Q991">
        <v>1.5</v>
      </c>
      <c r="R991">
        <v>1142.6166666666666</v>
      </c>
      <c r="S991">
        <v>26.445</v>
      </c>
      <c r="T991" s="2">
        <v>44287</v>
      </c>
      <c r="U991" s="1" t="s">
        <v>57</v>
      </c>
      <c r="V991">
        <v>0</v>
      </c>
      <c r="W991" s="1" t="s">
        <v>40</v>
      </c>
      <c r="X991">
        <v>56</v>
      </c>
      <c r="Y991" s="1" t="s">
        <v>52</v>
      </c>
      <c r="Z991" s="1" t="s">
        <v>42</v>
      </c>
      <c r="AA991">
        <v>5.2631578947368418E-2</v>
      </c>
      <c r="AB991" s="1" t="s">
        <v>43</v>
      </c>
      <c r="AC991">
        <v>2</v>
      </c>
      <c r="AD991" s="2">
        <v>44287</v>
      </c>
      <c r="AE991" s="1" t="s">
        <v>53</v>
      </c>
      <c r="AF991" s="1" t="s">
        <v>54</v>
      </c>
      <c r="AG991" s="1" t="s">
        <v>63</v>
      </c>
      <c r="AH991" s="1" t="s">
        <v>47</v>
      </c>
      <c r="AI991">
        <v>20682</v>
      </c>
      <c r="AJ991">
        <v>-114.90000000000146</v>
      </c>
    </row>
    <row r="992" spans="1:36" x14ac:dyDescent="0.25">
      <c r="A992">
        <v>10991</v>
      </c>
      <c r="B992">
        <v>60</v>
      </c>
      <c r="C992" s="1" t="s">
        <v>60</v>
      </c>
      <c r="D992" s="1" t="s">
        <v>48</v>
      </c>
      <c r="E992" s="2">
        <v>45090</v>
      </c>
      <c r="F992" s="2">
        <v>45246</v>
      </c>
      <c r="G992" s="1" t="s">
        <v>62</v>
      </c>
      <c r="H992">
        <v>1339</v>
      </c>
      <c r="I992">
        <v>28</v>
      </c>
      <c r="J992">
        <v>2</v>
      </c>
      <c r="K992">
        <v>96.72</v>
      </c>
      <c r="L992">
        <v>15</v>
      </c>
      <c r="M992" s="1" t="s">
        <v>67</v>
      </c>
      <c r="N992" s="1" t="s">
        <v>56</v>
      </c>
      <c r="O992">
        <v>37291.15</v>
      </c>
      <c r="P992" t="b">
        <v>1</v>
      </c>
      <c r="Q992">
        <v>2.3333333333333335</v>
      </c>
      <c r="R992">
        <v>1331.8267857142857</v>
      </c>
      <c r="S992">
        <v>32.24</v>
      </c>
      <c r="T992" s="2">
        <v>45078</v>
      </c>
      <c r="U992" s="1" t="s">
        <v>41</v>
      </c>
      <c r="V992">
        <v>0</v>
      </c>
      <c r="W992" s="1" t="s">
        <v>40</v>
      </c>
      <c r="X992">
        <v>156</v>
      </c>
      <c r="Y992" s="1" t="s">
        <v>43</v>
      </c>
      <c r="Z992" s="1" t="s">
        <v>42</v>
      </c>
      <c r="AA992">
        <v>6.8965517241379309E-2</v>
      </c>
      <c r="AB992" s="1" t="s">
        <v>43</v>
      </c>
      <c r="AC992">
        <v>2</v>
      </c>
      <c r="AD992" s="2">
        <v>45078</v>
      </c>
      <c r="AE992" s="1" t="s">
        <v>44</v>
      </c>
      <c r="AF992" s="1" t="s">
        <v>72</v>
      </c>
      <c r="AG992" s="1" t="s">
        <v>63</v>
      </c>
      <c r="AH992" s="1" t="s">
        <v>47</v>
      </c>
      <c r="AI992">
        <v>37492</v>
      </c>
      <c r="AJ992">
        <v>-200.84999999999854</v>
      </c>
    </row>
    <row r="993" spans="1:36" x14ac:dyDescent="0.25">
      <c r="A993">
        <v>10992</v>
      </c>
      <c r="B993">
        <v>20</v>
      </c>
      <c r="C993" s="1" t="s">
        <v>36</v>
      </c>
      <c r="D993" s="1" t="s">
        <v>48</v>
      </c>
      <c r="E993" s="2">
        <v>45054</v>
      </c>
      <c r="F993" s="2">
        <v>45088</v>
      </c>
      <c r="G993" s="1" t="s">
        <v>62</v>
      </c>
      <c r="H993">
        <v>1184</v>
      </c>
      <c r="I993">
        <v>19</v>
      </c>
      <c r="J993">
        <v>7</v>
      </c>
      <c r="K993">
        <v>23.64</v>
      </c>
      <c r="L993">
        <v>5</v>
      </c>
      <c r="M993" s="1" t="s">
        <v>67</v>
      </c>
      <c r="N993" s="1" t="s">
        <v>56</v>
      </c>
      <c r="O993">
        <v>22436.799999999999</v>
      </c>
      <c r="P993" t="b">
        <v>1</v>
      </c>
      <c r="Q993">
        <v>1.5833333333333333</v>
      </c>
      <c r="R993">
        <v>1180.8842105263157</v>
      </c>
      <c r="S993">
        <v>2.9550000000000001</v>
      </c>
      <c r="T993" s="2">
        <v>45047</v>
      </c>
      <c r="U993" s="1" t="s">
        <v>66</v>
      </c>
      <c r="V993">
        <v>0</v>
      </c>
      <c r="W993" s="1" t="s">
        <v>40</v>
      </c>
      <c r="X993">
        <v>34</v>
      </c>
      <c r="Y993" s="1" t="s">
        <v>52</v>
      </c>
      <c r="Z993" s="1" t="s">
        <v>42</v>
      </c>
      <c r="AA993">
        <v>0.35</v>
      </c>
      <c r="AB993" s="1" t="s">
        <v>43</v>
      </c>
      <c r="AC993">
        <v>2</v>
      </c>
      <c r="AD993" s="2">
        <v>45047</v>
      </c>
      <c r="AE993" s="1" t="s">
        <v>53</v>
      </c>
      <c r="AF993" s="1" t="s">
        <v>78</v>
      </c>
      <c r="AG993" s="1" t="s">
        <v>70</v>
      </c>
      <c r="AH993" s="1" t="s">
        <v>47</v>
      </c>
      <c r="AI993">
        <v>22496</v>
      </c>
      <c r="AJ993">
        <v>-59.200000000000728</v>
      </c>
    </row>
    <row r="994" spans="1:36" x14ac:dyDescent="0.25">
      <c r="A994">
        <v>10993</v>
      </c>
      <c r="B994">
        <v>50</v>
      </c>
      <c r="C994" s="1" t="s">
        <v>36</v>
      </c>
      <c r="D994" s="1" t="s">
        <v>76</v>
      </c>
      <c r="E994" s="2">
        <v>44952</v>
      </c>
      <c r="F994" s="2">
        <v>44433</v>
      </c>
      <c r="G994" s="1" t="s">
        <v>38</v>
      </c>
      <c r="H994">
        <v>1303</v>
      </c>
      <c r="I994">
        <v>3</v>
      </c>
      <c r="J994">
        <v>2</v>
      </c>
      <c r="K994">
        <v>76.2</v>
      </c>
      <c r="L994">
        <v>10</v>
      </c>
      <c r="M994" s="1" t="s">
        <v>39</v>
      </c>
      <c r="N994" s="1" t="s">
        <v>56</v>
      </c>
      <c r="O994">
        <v>3713.55</v>
      </c>
      <c r="P994" t="b">
        <v>0</v>
      </c>
      <c r="Q994">
        <v>0.25</v>
      </c>
      <c r="R994">
        <v>1237.8500000000001</v>
      </c>
      <c r="S994">
        <v>25.400000000000002</v>
      </c>
      <c r="T994" s="2">
        <v>44927</v>
      </c>
      <c r="U994" s="1" t="s">
        <v>51</v>
      </c>
      <c r="V994">
        <v>0</v>
      </c>
      <c r="W994" s="1" t="s">
        <v>56</v>
      </c>
      <c r="Y994" s="1" t="s">
        <v>43</v>
      </c>
      <c r="Z994" s="1" t="s">
        <v>42</v>
      </c>
      <c r="AA994">
        <v>0.5</v>
      </c>
      <c r="AB994" s="1" t="s">
        <v>42</v>
      </c>
      <c r="AC994">
        <v>1</v>
      </c>
      <c r="AD994" s="2">
        <v>44927</v>
      </c>
      <c r="AE994" s="1" t="s">
        <v>58</v>
      </c>
      <c r="AF994" s="1" t="s">
        <v>72</v>
      </c>
      <c r="AG994" s="1" t="s">
        <v>63</v>
      </c>
      <c r="AH994" s="1" t="s">
        <v>47</v>
      </c>
      <c r="AI994">
        <v>3909</v>
      </c>
      <c r="AJ994">
        <v>-195.44999999999982</v>
      </c>
    </row>
    <row r="995" spans="1:36" x14ac:dyDescent="0.25">
      <c r="A995">
        <v>10994</v>
      </c>
      <c r="B995">
        <v>23</v>
      </c>
      <c r="C995" s="1" t="s">
        <v>60</v>
      </c>
      <c r="D995" s="1" t="s">
        <v>37</v>
      </c>
      <c r="E995" s="2">
        <v>44282</v>
      </c>
      <c r="F995" s="2">
        <v>44921</v>
      </c>
      <c r="G995" s="1" t="s">
        <v>38</v>
      </c>
      <c r="H995">
        <v>433</v>
      </c>
      <c r="I995">
        <v>19</v>
      </c>
      <c r="J995">
        <v>1</v>
      </c>
      <c r="K995">
        <v>63.14</v>
      </c>
      <c r="L995">
        <v>15</v>
      </c>
      <c r="M995" s="1" t="s">
        <v>39</v>
      </c>
      <c r="N995" s="1" t="s">
        <v>56</v>
      </c>
      <c r="O995">
        <v>8162.05</v>
      </c>
      <c r="P995" t="b">
        <v>1</v>
      </c>
      <c r="Q995">
        <v>1.5833333333333333</v>
      </c>
      <c r="R995">
        <v>429.58157894736843</v>
      </c>
      <c r="S995">
        <v>31.57</v>
      </c>
      <c r="T995" s="2">
        <v>44256</v>
      </c>
      <c r="U995" s="1" t="s">
        <v>66</v>
      </c>
      <c r="V995">
        <v>0</v>
      </c>
      <c r="W995" s="1" t="s">
        <v>56</v>
      </c>
      <c r="X995">
        <v>639</v>
      </c>
      <c r="Y995" s="1" t="s">
        <v>43</v>
      </c>
      <c r="Z995" s="1" t="s">
        <v>42</v>
      </c>
      <c r="AA995">
        <v>0.05</v>
      </c>
      <c r="AB995" s="1" t="s">
        <v>42</v>
      </c>
      <c r="AC995">
        <v>1</v>
      </c>
      <c r="AD995" s="2">
        <v>44256</v>
      </c>
      <c r="AE995" s="1" t="s">
        <v>53</v>
      </c>
      <c r="AF995" s="1" t="s">
        <v>54</v>
      </c>
      <c r="AG995" s="1" t="s">
        <v>63</v>
      </c>
      <c r="AH995" s="1" t="s">
        <v>68</v>
      </c>
      <c r="AI995">
        <v>8227</v>
      </c>
      <c r="AJ995">
        <v>-64.949999999999818</v>
      </c>
    </row>
    <row r="996" spans="1:36" x14ac:dyDescent="0.25">
      <c r="A996">
        <v>10995</v>
      </c>
      <c r="B996">
        <v>27</v>
      </c>
      <c r="C996" s="1" t="s">
        <v>60</v>
      </c>
      <c r="D996" s="1" t="s">
        <v>69</v>
      </c>
      <c r="E996" s="2">
        <v>44611</v>
      </c>
      <c r="F996" s="2">
        <v>44667</v>
      </c>
      <c r="G996" s="1" t="s">
        <v>38</v>
      </c>
      <c r="H996">
        <v>1070</v>
      </c>
      <c r="I996">
        <v>20</v>
      </c>
      <c r="J996">
        <v>5</v>
      </c>
      <c r="K996">
        <v>40.08</v>
      </c>
      <c r="L996">
        <v>10</v>
      </c>
      <c r="M996" s="1" t="s">
        <v>65</v>
      </c>
      <c r="N996" s="1" t="s">
        <v>56</v>
      </c>
      <c r="O996">
        <v>21239.5</v>
      </c>
      <c r="P996" t="b">
        <v>1</v>
      </c>
      <c r="Q996">
        <v>1.6666666666666667</v>
      </c>
      <c r="R996">
        <v>1061.9749999999999</v>
      </c>
      <c r="S996">
        <v>6.68</v>
      </c>
      <c r="T996" s="2">
        <v>44593</v>
      </c>
      <c r="U996" s="1" t="s">
        <v>57</v>
      </c>
      <c r="V996">
        <v>0</v>
      </c>
      <c r="W996" s="1" t="s">
        <v>40</v>
      </c>
      <c r="X996">
        <v>56</v>
      </c>
      <c r="Y996" s="1" t="s">
        <v>52</v>
      </c>
      <c r="Z996" s="1" t="s">
        <v>42</v>
      </c>
      <c r="AA996">
        <v>0.23809523809523808</v>
      </c>
      <c r="AB996" s="1" t="s">
        <v>43</v>
      </c>
      <c r="AC996">
        <v>1</v>
      </c>
      <c r="AD996" s="2">
        <v>44593</v>
      </c>
      <c r="AE996" s="1" t="s">
        <v>53</v>
      </c>
      <c r="AF996" s="1" t="s">
        <v>45</v>
      </c>
      <c r="AG996" s="1" t="s">
        <v>55</v>
      </c>
      <c r="AH996" s="1" t="s">
        <v>47</v>
      </c>
      <c r="AI996">
        <v>21400</v>
      </c>
      <c r="AJ996">
        <v>-160.5</v>
      </c>
    </row>
    <row r="997" spans="1:36" x14ac:dyDescent="0.25">
      <c r="A997">
        <v>10996</v>
      </c>
      <c r="B997">
        <v>22</v>
      </c>
      <c r="C997" s="1" t="s">
        <v>36</v>
      </c>
      <c r="D997" s="1" t="s">
        <v>73</v>
      </c>
      <c r="E997" s="2">
        <v>44590</v>
      </c>
      <c r="F997" s="2">
        <v>44748</v>
      </c>
      <c r="G997" s="1" t="s">
        <v>62</v>
      </c>
      <c r="H997">
        <v>807</v>
      </c>
      <c r="I997">
        <v>25</v>
      </c>
      <c r="J997">
        <v>3</v>
      </c>
      <c r="K997">
        <v>88.67</v>
      </c>
      <c r="L997">
        <v>20</v>
      </c>
      <c r="M997" s="1" t="s">
        <v>50</v>
      </c>
      <c r="N997" s="1" t="s">
        <v>56</v>
      </c>
      <c r="O997">
        <v>20013.599999999999</v>
      </c>
      <c r="P997" t="b">
        <v>1</v>
      </c>
      <c r="Q997">
        <v>2.0833333333333335</v>
      </c>
      <c r="R997">
        <v>800.54399999999998</v>
      </c>
      <c r="S997">
        <v>22.1675</v>
      </c>
      <c r="T997" s="2">
        <v>44562</v>
      </c>
      <c r="U997" s="1" t="s">
        <v>66</v>
      </c>
      <c r="V997">
        <v>0</v>
      </c>
      <c r="W997" s="1" t="s">
        <v>40</v>
      </c>
      <c r="X997">
        <v>158</v>
      </c>
      <c r="Y997" s="1" t="s">
        <v>43</v>
      </c>
      <c r="Z997" s="1" t="s">
        <v>52</v>
      </c>
      <c r="AA997">
        <v>0.11538461538461539</v>
      </c>
      <c r="AB997" s="1" t="s">
        <v>43</v>
      </c>
      <c r="AC997">
        <v>2</v>
      </c>
      <c r="AD997" s="2">
        <v>44562</v>
      </c>
      <c r="AE997" s="1" t="s">
        <v>44</v>
      </c>
      <c r="AF997" s="1" t="s">
        <v>72</v>
      </c>
      <c r="AG997" s="1" t="s">
        <v>63</v>
      </c>
      <c r="AH997" s="1" t="s">
        <v>59</v>
      </c>
      <c r="AI997">
        <v>20175</v>
      </c>
      <c r="AJ997">
        <v>-161.40000000000146</v>
      </c>
    </row>
    <row r="998" spans="1:36" x14ac:dyDescent="0.25">
      <c r="A998">
        <v>10997</v>
      </c>
      <c r="B998">
        <v>40</v>
      </c>
      <c r="C998" s="1" t="s">
        <v>60</v>
      </c>
      <c r="D998" s="1" t="s">
        <v>37</v>
      </c>
      <c r="E998" s="2">
        <v>44892</v>
      </c>
      <c r="F998" s="2">
        <v>44729</v>
      </c>
      <c r="G998" s="1" t="s">
        <v>49</v>
      </c>
      <c r="H998">
        <v>1389</v>
      </c>
      <c r="I998">
        <v>11</v>
      </c>
      <c r="J998">
        <v>5</v>
      </c>
      <c r="K998">
        <v>68.39</v>
      </c>
      <c r="L998">
        <v>10</v>
      </c>
      <c r="M998" s="1" t="s">
        <v>50</v>
      </c>
      <c r="N998" s="1" t="s">
        <v>56</v>
      </c>
      <c r="O998">
        <v>15140.1</v>
      </c>
      <c r="P998" t="b">
        <v>0</v>
      </c>
      <c r="Q998">
        <v>0.91666666666666663</v>
      </c>
      <c r="R998">
        <v>1376.3727272727274</v>
      </c>
      <c r="S998">
        <v>11.398333333333333</v>
      </c>
      <c r="T998" s="2">
        <v>44866</v>
      </c>
      <c r="U998" s="1" t="s">
        <v>51</v>
      </c>
      <c r="V998">
        <v>0</v>
      </c>
      <c r="W998" s="1" t="s">
        <v>40</v>
      </c>
      <c r="Y998" s="1" t="s">
        <v>43</v>
      </c>
      <c r="Z998" s="1" t="s">
        <v>42</v>
      </c>
      <c r="AA998">
        <v>0.41666666666666669</v>
      </c>
      <c r="AB998" s="1" t="s">
        <v>52</v>
      </c>
      <c r="AC998">
        <v>3</v>
      </c>
      <c r="AD998" s="2">
        <v>44866</v>
      </c>
      <c r="AE998" s="1" t="s">
        <v>74</v>
      </c>
      <c r="AF998" s="1" t="s">
        <v>45</v>
      </c>
      <c r="AG998" s="1" t="s">
        <v>63</v>
      </c>
      <c r="AH998" s="1" t="s">
        <v>47</v>
      </c>
      <c r="AI998">
        <v>15279</v>
      </c>
      <c r="AJ998">
        <v>-138.89999999999964</v>
      </c>
    </row>
    <row r="999" spans="1:36" x14ac:dyDescent="0.25">
      <c r="A999">
        <v>10998</v>
      </c>
      <c r="B999">
        <v>27</v>
      </c>
      <c r="C999" s="1" t="s">
        <v>60</v>
      </c>
      <c r="D999" s="1" t="s">
        <v>71</v>
      </c>
      <c r="E999" s="2">
        <v>44829</v>
      </c>
      <c r="F999" s="2">
        <v>45065</v>
      </c>
      <c r="G999" s="1" t="s">
        <v>38</v>
      </c>
      <c r="H999">
        <v>779</v>
      </c>
      <c r="I999">
        <v>17</v>
      </c>
      <c r="J999">
        <v>2</v>
      </c>
      <c r="K999">
        <v>59.9</v>
      </c>
      <c r="L999">
        <v>10</v>
      </c>
      <c r="M999" s="1" t="s">
        <v>65</v>
      </c>
      <c r="N999" s="1" t="s">
        <v>56</v>
      </c>
      <c r="O999">
        <v>13165.1</v>
      </c>
      <c r="P999" t="b">
        <v>1</v>
      </c>
      <c r="Q999">
        <v>1.4166666666666667</v>
      </c>
      <c r="R999">
        <v>774.4176470588236</v>
      </c>
      <c r="S999">
        <v>19.966666666666665</v>
      </c>
      <c r="T999" s="2">
        <v>44805</v>
      </c>
      <c r="U999" s="1" t="s">
        <v>57</v>
      </c>
      <c r="V999">
        <v>0</v>
      </c>
      <c r="W999" s="1" t="s">
        <v>56</v>
      </c>
      <c r="X999">
        <v>236</v>
      </c>
      <c r="Y999" s="1" t="s">
        <v>52</v>
      </c>
      <c r="Z999" s="1" t="s">
        <v>42</v>
      </c>
      <c r="AA999">
        <v>0.1111111111111111</v>
      </c>
      <c r="AB999" s="1" t="s">
        <v>52</v>
      </c>
      <c r="AC999">
        <v>1</v>
      </c>
      <c r="AD999" s="2">
        <v>44805</v>
      </c>
      <c r="AE999" s="1" t="s">
        <v>53</v>
      </c>
      <c r="AF999" s="1" t="s">
        <v>72</v>
      </c>
      <c r="AG999" s="1" t="s">
        <v>63</v>
      </c>
      <c r="AH999" s="1" t="s">
        <v>59</v>
      </c>
      <c r="AI999">
        <v>13243</v>
      </c>
      <c r="AJ999">
        <v>-77.899999999999636</v>
      </c>
    </row>
    <row r="1000" spans="1:36" x14ac:dyDescent="0.25">
      <c r="A1000">
        <v>10999</v>
      </c>
      <c r="B1000">
        <v>61</v>
      </c>
      <c r="C1000" s="1" t="s">
        <v>60</v>
      </c>
      <c r="D1000" s="1" t="s">
        <v>71</v>
      </c>
      <c r="E1000" s="2">
        <v>45040</v>
      </c>
      <c r="F1000" s="2">
        <v>44964</v>
      </c>
      <c r="G1000" s="1" t="s">
        <v>62</v>
      </c>
      <c r="H1000">
        <v>1162</v>
      </c>
      <c r="I1000">
        <v>35</v>
      </c>
      <c r="J1000">
        <v>0</v>
      </c>
      <c r="K1000">
        <v>62.59</v>
      </c>
      <c r="L1000">
        <v>0</v>
      </c>
      <c r="M1000" s="1" t="s">
        <v>65</v>
      </c>
      <c r="N1000" s="1" t="s">
        <v>56</v>
      </c>
      <c r="O1000">
        <v>40670</v>
      </c>
      <c r="P1000" t="b">
        <v>0</v>
      </c>
      <c r="Q1000">
        <v>2.9166666666666665</v>
      </c>
      <c r="R1000">
        <v>1162</v>
      </c>
      <c r="S1000">
        <v>62.59</v>
      </c>
      <c r="T1000" s="2">
        <v>45017</v>
      </c>
      <c r="U1000" s="1" t="s">
        <v>41</v>
      </c>
      <c r="V1000">
        <v>0</v>
      </c>
      <c r="W1000" s="1" t="s">
        <v>40</v>
      </c>
      <c r="Y1000" s="1" t="s">
        <v>43</v>
      </c>
      <c r="Z1000" s="1" t="s">
        <v>42</v>
      </c>
      <c r="AA1000">
        <v>0</v>
      </c>
      <c r="AB1000" s="1" t="s">
        <v>43</v>
      </c>
      <c r="AC1000">
        <v>2</v>
      </c>
      <c r="AD1000" s="2">
        <v>45017</v>
      </c>
      <c r="AE1000" s="1" t="s">
        <v>44</v>
      </c>
      <c r="AF1000" s="1" t="s">
        <v>54</v>
      </c>
      <c r="AG1000" s="1" t="s">
        <v>63</v>
      </c>
      <c r="AH1000" s="1" t="s">
        <v>47</v>
      </c>
      <c r="AI1000">
        <v>40670</v>
      </c>
      <c r="AJ1000">
        <v>0</v>
      </c>
    </row>
    <row r="1001" spans="1:36" x14ac:dyDescent="0.25">
      <c r="A1001">
        <v>11000</v>
      </c>
      <c r="B1001">
        <v>19</v>
      </c>
      <c r="C1001" s="1" t="s">
        <v>60</v>
      </c>
      <c r="D1001" s="1" t="s">
        <v>48</v>
      </c>
      <c r="E1001" s="2">
        <v>44697</v>
      </c>
      <c r="F1001" s="2">
        <v>44665</v>
      </c>
      <c r="G1001" s="1" t="s">
        <v>38</v>
      </c>
      <c r="H1001">
        <v>758</v>
      </c>
      <c r="I1001">
        <v>14</v>
      </c>
      <c r="J1001">
        <v>0</v>
      </c>
      <c r="K1001">
        <v>97.26</v>
      </c>
      <c r="L1001">
        <v>5</v>
      </c>
      <c r="M1001" s="1" t="s">
        <v>39</v>
      </c>
      <c r="N1001" s="1" t="s">
        <v>56</v>
      </c>
      <c r="O1001">
        <v>10574.1</v>
      </c>
      <c r="P1001" t="b">
        <v>0</v>
      </c>
      <c r="Q1001">
        <v>1.1666666666666667</v>
      </c>
      <c r="R1001">
        <v>755.2928571428572</v>
      </c>
      <c r="S1001">
        <v>97.26</v>
      </c>
      <c r="T1001" s="2">
        <v>44682</v>
      </c>
      <c r="U1001" s="1" t="s">
        <v>66</v>
      </c>
      <c r="V1001">
        <v>0</v>
      </c>
      <c r="W1001" s="1" t="s">
        <v>56</v>
      </c>
      <c r="Y1001" s="1" t="s">
        <v>43</v>
      </c>
      <c r="Z1001" s="1" t="s">
        <v>42</v>
      </c>
      <c r="AA1001">
        <v>0</v>
      </c>
      <c r="AB1001" s="1" t="s">
        <v>52</v>
      </c>
      <c r="AC1001">
        <v>1</v>
      </c>
      <c r="AD1001" s="2">
        <v>44682</v>
      </c>
      <c r="AE1001" s="1" t="s">
        <v>53</v>
      </c>
      <c r="AF1001" s="1" t="s">
        <v>54</v>
      </c>
      <c r="AG1001" s="1" t="s">
        <v>63</v>
      </c>
      <c r="AH1001" s="1" t="s">
        <v>59</v>
      </c>
      <c r="AI1001">
        <v>10612</v>
      </c>
      <c r="AJ1001">
        <v>-37.899999999999636</v>
      </c>
    </row>
    <row r="1002" spans="1:36" x14ac:dyDescent="0.25">
      <c r="A1002">
        <v>11001</v>
      </c>
      <c r="B1002">
        <v>30</v>
      </c>
      <c r="C1002" s="1" t="s">
        <v>36</v>
      </c>
      <c r="D1002" s="1" t="s">
        <v>61</v>
      </c>
      <c r="E1002" s="2">
        <v>44800</v>
      </c>
      <c r="F1002" s="2">
        <v>45150</v>
      </c>
      <c r="G1002" s="1" t="s">
        <v>62</v>
      </c>
      <c r="H1002">
        <v>925</v>
      </c>
      <c r="I1002">
        <v>19</v>
      </c>
      <c r="J1002">
        <v>1</v>
      </c>
      <c r="K1002">
        <v>116.86</v>
      </c>
      <c r="L1002">
        <v>15</v>
      </c>
      <c r="M1002" s="1" t="s">
        <v>65</v>
      </c>
      <c r="N1002" s="1" t="s">
        <v>56</v>
      </c>
      <c r="O1002">
        <v>17436.25</v>
      </c>
      <c r="P1002" t="b">
        <v>1</v>
      </c>
      <c r="Q1002">
        <v>1.5833333333333333</v>
      </c>
      <c r="R1002">
        <v>917.6973684210526</v>
      </c>
      <c r="S1002">
        <v>58.43</v>
      </c>
      <c r="T1002" s="2">
        <v>44774</v>
      </c>
      <c r="U1002" s="1" t="s">
        <v>57</v>
      </c>
      <c r="V1002">
        <v>0</v>
      </c>
      <c r="W1002" s="1" t="s">
        <v>40</v>
      </c>
      <c r="X1002">
        <v>350</v>
      </c>
      <c r="Y1002" s="1" t="s">
        <v>43</v>
      </c>
      <c r="Z1002" s="1" t="s">
        <v>42</v>
      </c>
      <c r="AA1002">
        <v>0.05</v>
      </c>
      <c r="AB1002" s="1" t="s">
        <v>52</v>
      </c>
      <c r="AC1002">
        <v>2</v>
      </c>
      <c r="AD1002" s="2">
        <v>44774</v>
      </c>
      <c r="AE1002" s="1" t="s">
        <v>53</v>
      </c>
      <c r="AF1002" s="1" t="s">
        <v>54</v>
      </c>
      <c r="AG1002" s="1" t="s">
        <v>63</v>
      </c>
      <c r="AH1002" s="1" t="s">
        <v>59</v>
      </c>
      <c r="AI1002">
        <v>17575</v>
      </c>
      <c r="AJ1002">
        <v>-138.75</v>
      </c>
    </row>
    <row r="1003" spans="1:36" x14ac:dyDescent="0.25">
      <c r="A1003">
        <v>11002</v>
      </c>
      <c r="B1003">
        <v>57</v>
      </c>
      <c r="C1003" s="1" t="s">
        <v>36</v>
      </c>
      <c r="D1003" s="1" t="s">
        <v>48</v>
      </c>
      <c r="E1003" s="2">
        <v>44778</v>
      </c>
      <c r="F1003" s="2">
        <v>44597</v>
      </c>
      <c r="G1003" s="1" t="s">
        <v>38</v>
      </c>
      <c r="H1003">
        <v>458</v>
      </c>
      <c r="I1003">
        <v>3</v>
      </c>
      <c r="J1003">
        <v>2</v>
      </c>
      <c r="K1003">
        <v>77.38</v>
      </c>
      <c r="L1003">
        <v>5</v>
      </c>
      <c r="M1003" s="1" t="s">
        <v>65</v>
      </c>
      <c r="N1003" s="1" t="s">
        <v>56</v>
      </c>
      <c r="O1003">
        <v>1351.1</v>
      </c>
      <c r="P1003" t="b">
        <v>0</v>
      </c>
      <c r="Q1003">
        <v>0.25</v>
      </c>
      <c r="R1003">
        <v>450.36666666666662</v>
      </c>
      <c r="S1003">
        <v>25.793333333333333</v>
      </c>
      <c r="T1003" s="2">
        <v>44774</v>
      </c>
      <c r="U1003" s="1" t="s">
        <v>41</v>
      </c>
      <c r="V1003">
        <v>0</v>
      </c>
      <c r="W1003" s="1" t="s">
        <v>56</v>
      </c>
      <c r="Y1003" s="1" t="s">
        <v>43</v>
      </c>
      <c r="Z1003" s="1" t="s">
        <v>42</v>
      </c>
      <c r="AA1003">
        <v>0.5</v>
      </c>
      <c r="AB1003" s="1" t="s">
        <v>42</v>
      </c>
      <c r="AC1003">
        <v>1</v>
      </c>
      <c r="AD1003" s="2">
        <v>44774</v>
      </c>
      <c r="AE1003" s="1" t="s">
        <v>58</v>
      </c>
      <c r="AF1003" s="1" t="s">
        <v>72</v>
      </c>
      <c r="AG1003" s="1" t="s">
        <v>63</v>
      </c>
      <c r="AH1003" s="1" t="s">
        <v>68</v>
      </c>
      <c r="AI1003">
        <v>1374</v>
      </c>
      <c r="AJ1003">
        <v>-22.900000000000091</v>
      </c>
    </row>
    <row r="1004" spans="1:36" x14ac:dyDescent="0.25">
      <c r="A1004">
        <v>11003</v>
      </c>
      <c r="B1004">
        <v>19</v>
      </c>
      <c r="C1004" s="1" t="s">
        <v>60</v>
      </c>
      <c r="D1004" s="1" t="s">
        <v>61</v>
      </c>
      <c r="E1004" s="2">
        <v>44329</v>
      </c>
      <c r="F1004" s="2">
        <v>44872</v>
      </c>
      <c r="G1004" s="1" t="s">
        <v>38</v>
      </c>
      <c r="H1004">
        <v>460</v>
      </c>
      <c r="I1004">
        <v>34</v>
      </c>
      <c r="J1004">
        <v>3</v>
      </c>
      <c r="K1004">
        <v>105.56</v>
      </c>
      <c r="L1004">
        <v>10</v>
      </c>
      <c r="M1004" s="1" t="s">
        <v>67</v>
      </c>
      <c r="N1004" s="1" t="s">
        <v>56</v>
      </c>
      <c r="O1004">
        <v>15594</v>
      </c>
      <c r="P1004" t="b">
        <v>1</v>
      </c>
      <c r="Q1004">
        <v>2.8333333333333335</v>
      </c>
      <c r="R1004">
        <v>458.64705882352939</v>
      </c>
      <c r="S1004">
        <v>26.39</v>
      </c>
      <c r="T1004" s="2">
        <v>44317</v>
      </c>
      <c r="U1004" s="1" t="s">
        <v>66</v>
      </c>
      <c r="V1004">
        <v>0</v>
      </c>
      <c r="W1004" s="1" t="s">
        <v>40</v>
      </c>
      <c r="X1004">
        <v>543</v>
      </c>
      <c r="Y1004" s="1" t="s">
        <v>43</v>
      </c>
      <c r="Z1004" s="1" t="s">
        <v>42</v>
      </c>
      <c r="AA1004">
        <v>8.5714285714285715E-2</v>
      </c>
      <c r="AB1004" s="1" t="s">
        <v>52</v>
      </c>
      <c r="AC1004">
        <v>1</v>
      </c>
      <c r="AD1004" s="2">
        <v>44317</v>
      </c>
      <c r="AE1004" s="1" t="s">
        <v>44</v>
      </c>
      <c r="AF1004" s="1" t="s">
        <v>72</v>
      </c>
      <c r="AG1004" s="1" t="s">
        <v>63</v>
      </c>
      <c r="AH1004" s="1" t="s">
        <v>68</v>
      </c>
      <c r="AI1004">
        <v>15640</v>
      </c>
      <c r="AJ1004">
        <v>-46</v>
      </c>
    </row>
    <row r="1005" spans="1:36" x14ac:dyDescent="0.25">
      <c r="A1005">
        <v>11004</v>
      </c>
      <c r="B1005">
        <v>37</v>
      </c>
      <c r="C1005" s="1" t="s">
        <v>60</v>
      </c>
      <c r="D1005" s="1" t="s">
        <v>37</v>
      </c>
      <c r="E1005" s="2">
        <v>44987</v>
      </c>
      <c r="F1005" s="2">
        <v>45022</v>
      </c>
      <c r="G1005" s="1" t="s">
        <v>49</v>
      </c>
      <c r="H1005">
        <v>1239</v>
      </c>
      <c r="I1005">
        <v>22</v>
      </c>
      <c r="J1005">
        <v>2</v>
      </c>
      <c r="K1005">
        <v>5.13</v>
      </c>
      <c r="L1005">
        <v>10</v>
      </c>
      <c r="M1005" s="1" t="s">
        <v>65</v>
      </c>
      <c r="N1005" s="1" t="s">
        <v>56</v>
      </c>
      <c r="O1005">
        <v>27134.1</v>
      </c>
      <c r="P1005" t="b">
        <v>1</v>
      </c>
      <c r="Q1005">
        <v>1.8333333333333333</v>
      </c>
      <c r="R1005">
        <v>1233.3681818181817</v>
      </c>
      <c r="S1005">
        <v>1.71</v>
      </c>
      <c r="T1005" s="2">
        <v>44986</v>
      </c>
      <c r="U1005" s="1" t="s">
        <v>51</v>
      </c>
      <c r="V1005">
        <v>0</v>
      </c>
      <c r="W1005" s="1" t="s">
        <v>40</v>
      </c>
      <c r="X1005">
        <v>35</v>
      </c>
      <c r="Y1005" s="1" t="s">
        <v>42</v>
      </c>
      <c r="Z1005" s="1" t="s">
        <v>42</v>
      </c>
      <c r="AA1005">
        <v>8.6956521739130432E-2</v>
      </c>
      <c r="AB1005" s="1" t="s">
        <v>43</v>
      </c>
      <c r="AC1005">
        <v>3</v>
      </c>
      <c r="AD1005" s="2">
        <v>44986</v>
      </c>
      <c r="AE1005" s="1" t="s">
        <v>53</v>
      </c>
      <c r="AF1005" s="1" t="s">
        <v>72</v>
      </c>
      <c r="AG1005" s="1" t="s">
        <v>77</v>
      </c>
      <c r="AH1005" s="1" t="s">
        <v>47</v>
      </c>
      <c r="AI1005">
        <v>27258</v>
      </c>
      <c r="AJ1005">
        <v>-123.90000000000146</v>
      </c>
    </row>
    <row r="1006" spans="1:36" x14ac:dyDescent="0.25">
      <c r="A1006">
        <v>11005</v>
      </c>
      <c r="B1006">
        <v>18</v>
      </c>
      <c r="C1006" s="1" t="s">
        <v>60</v>
      </c>
      <c r="D1006" s="1" t="s">
        <v>71</v>
      </c>
      <c r="E1006" s="2">
        <v>44845</v>
      </c>
      <c r="F1006" s="2">
        <v>44902</v>
      </c>
      <c r="G1006" s="1" t="s">
        <v>62</v>
      </c>
      <c r="H1006">
        <v>454</v>
      </c>
      <c r="I1006">
        <v>27</v>
      </c>
      <c r="J1006">
        <v>2</v>
      </c>
      <c r="K1006">
        <v>62.59</v>
      </c>
      <c r="L1006">
        <v>15</v>
      </c>
      <c r="M1006" s="1" t="s">
        <v>65</v>
      </c>
      <c r="N1006" s="1" t="s">
        <v>56</v>
      </c>
      <c r="O1006">
        <v>12189.9</v>
      </c>
      <c r="P1006" t="b">
        <v>1</v>
      </c>
      <c r="Q1006">
        <v>2.25</v>
      </c>
      <c r="R1006">
        <v>451.47777777777776</v>
      </c>
      <c r="S1006">
        <v>20.863333333333333</v>
      </c>
      <c r="T1006" s="2">
        <v>44835</v>
      </c>
      <c r="U1006" s="1" t="s">
        <v>66</v>
      </c>
      <c r="V1006">
        <v>0</v>
      </c>
      <c r="W1006" s="1" t="s">
        <v>56</v>
      </c>
      <c r="X1006">
        <v>57</v>
      </c>
      <c r="Y1006" s="1" t="s">
        <v>43</v>
      </c>
      <c r="Z1006" s="1" t="s">
        <v>42</v>
      </c>
      <c r="AA1006">
        <v>7.1428571428571425E-2</v>
      </c>
      <c r="AB1006" s="1" t="s">
        <v>52</v>
      </c>
      <c r="AC1006">
        <v>2</v>
      </c>
      <c r="AD1006" s="2">
        <v>44835</v>
      </c>
      <c r="AE1006" s="1" t="s">
        <v>44</v>
      </c>
      <c r="AF1006" s="1" t="s">
        <v>72</v>
      </c>
      <c r="AG1006" s="1" t="s">
        <v>63</v>
      </c>
      <c r="AH1006" s="1" t="s">
        <v>68</v>
      </c>
      <c r="AI1006">
        <v>12258</v>
      </c>
      <c r="AJ1006">
        <v>-68.100000000000364</v>
      </c>
    </row>
    <row r="1007" spans="1:36" x14ac:dyDescent="0.25">
      <c r="A1007">
        <v>11006</v>
      </c>
      <c r="B1007">
        <v>54</v>
      </c>
      <c r="C1007" s="1" t="s">
        <v>60</v>
      </c>
      <c r="D1007" s="1" t="s">
        <v>73</v>
      </c>
      <c r="E1007" s="2">
        <v>44510</v>
      </c>
      <c r="F1007" s="2">
        <v>45245</v>
      </c>
      <c r="G1007" s="1" t="s">
        <v>62</v>
      </c>
      <c r="H1007">
        <v>785</v>
      </c>
      <c r="I1007">
        <v>21</v>
      </c>
      <c r="J1007">
        <v>3</v>
      </c>
      <c r="K1007">
        <v>29.68</v>
      </c>
      <c r="L1007">
        <v>20</v>
      </c>
      <c r="M1007" s="1" t="s">
        <v>67</v>
      </c>
      <c r="N1007" s="1" t="s">
        <v>56</v>
      </c>
      <c r="O1007">
        <v>16328</v>
      </c>
      <c r="P1007" t="b">
        <v>1</v>
      </c>
      <c r="Q1007">
        <v>1.75</v>
      </c>
      <c r="R1007">
        <v>777.52380952380952</v>
      </c>
      <c r="S1007">
        <v>7.42</v>
      </c>
      <c r="T1007" s="2">
        <v>44501</v>
      </c>
      <c r="U1007" s="1" t="s">
        <v>41</v>
      </c>
      <c r="V1007">
        <v>0</v>
      </c>
      <c r="W1007" s="1" t="s">
        <v>40</v>
      </c>
      <c r="X1007">
        <v>735</v>
      </c>
      <c r="Y1007" s="1" t="s">
        <v>52</v>
      </c>
      <c r="Z1007" s="1" t="s">
        <v>52</v>
      </c>
      <c r="AA1007">
        <v>0.13636363636363635</v>
      </c>
      <c r="AB1007" s="1" t="s">
        <v>52</v>
      </c>
      <c r="AC1007">
        <v>2</v>
      </c>
      <c r="AD1007" s="2">
        <v>44501</v>
      </c>
      <c r="AE1007" s="1" t="s">
        <v>53</v>
      </c>
      <c r="AF1007" s="1" t="s">
        <v>72</v>
      </c>
      <c r="AG1007" s="1" t="s">
        <v>70</v>
      </c>
      <c r="AH1007" s="1" t="s">
        <v>59</v>
      </c>
      <c r="AI1007">
        <v>16485</v>
      </c>
      <c r="AJ1007">
        <v>-157</v>
      </c>
    </row>
    <row r="1008" spans="1:36" x14ac:dyDescent="0.25">
      <c r="A1008">
        <v>11007</v>
      </c>
      <c r="B1008">
        <v>26</v>
      </c>
      <c r="C1008" s="1" t="s">
        <v>60</v>
      </c>
      <c r="D1008" s="1" t="s">
        <v>61</v>
      </c>
      <c r="E1008" s="2">
        <v>44895</v>
      </c>
      <c r="F1008" s="2">
        <v>44970</v>
      </c>
      <c r="G1008" s="1" t="s">
        <v>38</v>
      </c>
      <c r="H1008">
        <v>731</v>
      </c>
      <c r="I1008">
        <v>31</v>
      </c>
      <c r="J1008">
        <v>1</v>
      </c>
      <c r="K1008">
        <v>15.83</v>
      </c>
      <c r="L1008">
        <v>15</v>
      </c>
      <c r="M1008" s="1" t="s">
        <v>39</v>
      </c>
      <c r="N1008" s="1" t="s">
        <v>40</v>
      </c>
      <c r="O1008">
        <v>22551.35</v>
      </c>
      <c r="P1008" t="b">
        <v>1</v>
      </c>
      <c r="Q1008">
        <v>2.5833333333333335</v>
      </c>
      <c r="R1008">
        <v>727.46290322580637</v>
      </c>
      <c r="S1008">
        <v>7.915</v>
      </c>
      <c r="T1008" s="2">
        <v>44866</v>
      </c>
      <c r="U1008" s="1" t="s">
        <v>57</v>
      </c>
      <c r="V1008">
        <v>1</v>
      </c>
      <c r="W1008" s="1" t="s">
        <v>40</v>
      </c>
      <c r="X1008">
        <v>75</v>
      </c>
      <c r="Y1008" s="1" t="s">
        <v>42</v>
      </c>
      <c r="Z1008" s="1" t="s">
        <v>42</v>
      </c>
      <c r="AA1008">
        <v>3.125E-2</v>
      </c>
      <c r="AB1008" s="1" t="s">
        <v>43</v>
      </c>
      <c r="AC1008">
        <v>1</v>
      </c>
      <c r="AD1008" s="2">
        <v>44866</v>
      </c>
      <c r="AE1008" s="1" t="s">
        <v>44</v>
      </c>
      <c r="AF1008" s="1" t="s">
        <v>54</v>
      </c>
      <c r="AG1008" s="1" t="s">
        <v>46</v>
      </c>
      <c r="AH1008" s="1" t="s">
        <v>59</v>
      </c>
      <c r="AI1008">
        <v>22661</v>
      </c>
      <c r="AJ1008">
        <v>-109.65000000000146</v>
      </c>
    </row>
    <row r="1009" spans="1:36" x14ac:dyDescent="0.25">
      <c r="A1009">
        <v>11008</v>
      </c>
      <c r="B1009">
        <v>41</v>
      </c>
      <c r="C1009" s="1" t="s">
        <v>60</v>
      </c>
      <c r="D1009" s="1" t="s">
        <v>37</v>
      </c>
      <c r="E1009" s="2">
        <v>44417</v>
      </c>
      <c r="F1009" s="2">
        <v>45064</v>
      </c>
      <c r="G1009" s="1" t="s">
        <v>38</v>
      </c>
      <c r="H1009">
        <v>1350</v>
      </c>
      <c r="I1009">
        <v>27</v>
      </c>
      <c r="J1009">
        <v>7</v>
      </c>
      <c r="K1009">
        <v>66.180000000000007</v>
      </c>
      <c r="L1009">
        <v>15</v>
      </c>
      <c r="M1009" s="1" t="s">
        <v>39</v>
      </c>
      <c r="N1009" s="1" t="s">
        <v>56</v>
      </c>
      <c r="O1009">
        <v>36247.5</v>
      </c>
      <c r="P1009" t="b">
        <v>1</v>
      </c>
      <c r="Q1009">
        <v>2.25</v>
      </c>
      <c r="R1009">
        <v>1342.5</v>
      </c>
      <c r="S1009">
        <v>8.2725000000000009</v>
      </c>
      <c r="T1009" s="2">
        <v>44409</v>
      </c>
      <c r="U1009" s="1" t="s">
        <v>51</v>
      </c>
      <c r="V1009">
        <v>0</v>
      </c>
      <c r="W1009" s="1" t="s">
        <v>40</v>
      </c>
      <c r="X1009">
        <v>647</v>
      </c>
      <c r="Y1009" s="1" t="s">
        <v>43</v>
      </c>
      <c r="Z1009" s="1" t="s">
        <v>42</v>
      </c>
      <c r="AA1009">
        <v>0.25</v>
      </c>
      <c r="AB1009" s="1" t="s">
        <v>43</v>
      </c>
      <c r="AC1009">
        <v>1</v>
      </c>
      <c r="AD1009" s="2">
        <v>44409</v>
      </c>
      <c r="AE1009" s="1" t="s">
        <v>44</v>
      </c>
      <c r="AF1009" s="1" t="s">
        <v>78</v>
      </c>
      <c r="AG1009" s="1" t="s">
        <v>63</v>
      </c>
      <c r="AH1009" s="1" t="s">
        <v>47</v>
      </c>
      <c r="AI1009">
        <v>36450</v>
      </c>
      <c r="AJ1009">
        <v>-202.5</v>
      </c>
    </row>
    <row r="1010" spans="1:36" x14ac:dyDescent="0.25">
      <c r="A1010">
        <v>11009</v>
      </c>
      <c r="B1010">
        <v>26</v>
      </c>
      <c r="C1010" s="1" t="s">
        <v>60</v>
      </c>
      <c r="D1010" s="1" t="s">
        <v>71</v>
      </c>
      <c r="E1010" s="2">
        <v>44634</v>
      </c>
      <c r="F1010" s="2">
        <v>45243</v>
      </c>
      <c r="G1010" s="1" t="s">
        <v>38</v>
      </c>
      <c r="H1010">
        <v>1303</v>
      </c>
      <c r="I1010">
        <v>2</v>
      </c>
      <c r="J1010">
        <v>2</v>
      </c>
      <c r="K1010">
        <v>90.89</v>
      </c>
      <c r="L1010">
        <v>0</v>
      </c>
      <c r="M1010" s="1" t="s">
        <v>65</v>
      </c>
      <c r="N1010" s="1" t="s">
        <v>56</v>
      </c>
      <c r="O1010">
        <v>2606</v>
      </c>
      <c r="P1010" t="b">
        <v>1</v>
      </c>
      <c r="Q1010">
        <v>0.16666666666666666</v>
      </c>
      <c r="R1010">
        <v>1303</v>
      </c>
      <c r="S1010">
        <v>30.296666666666667</v>
      </c>
      <c r="T1010" s="2">
        <v>44621</v>
      </c>
      <c r="U1010" s="1" t="s">
        <v>57</v>
      </c>
      <c r="V1010">
        <v>0</v>
      </c>
      <c r="W1010" s="1" t="s">
        <v>56</v>
      </c>
      <c r="X1010">
        <v>609</v>
      </c>
      <c r="Y1010" s="1" t="s">
        <v>43</v>
      </c>
      <c r="Z1010" s="1" t="s">
        <v>42</v>
      </c>
      <c r="AA1010">
        <v>0.66666666666666663</v>
      </c>
      <c r="AB1010" s="1" t="s">
        <v>42</v>
      </c>
      <c r="AC1010">
        <v>1</v>
      </c>
      <c r="AD1010" s="2">
        <v>44621</v>
      </c>
      <c r="AE1010" s="1" t="s">
        <v>58</v>
      </c>
      <c r="AF1010" s="1" t="s">
        <v>72</v>
      </c>
      <c r="AG1010" s="1" t="s">
        <v>63</v>
      </c>
      <c r="AH1010" s="1" t="s">
        <v>47</v>
      </c>
      <c r="AI1010">
        <v>2606</v>
      </c>
      <c r="AJ1010">
        <v>0</v>
      </c>
    </row>
    <row r="1011" spans="1:36" x14ac:dyDescent="0.25">
      <c r="A1011">
        <v>11010</v>
      </c>
      <c r="B1011">
        <v>28</v>
      </c>
      <c r="C1011" s="1" t="s">
        <v>36</v>
      </c>
      <c r="D1011" s="1" t="s">
        <v>73</v>
      </c>
      <c r="E1011" s="2">
        <v>44242</v>
      </c>
      <c r="F1011" s="2">
        <v>44603</v>
      </c>
      <c r="G1011" s="1" t="s">
        <v>49</v>
      </c>
      <c r="H1011">
        <v>1335</v>
      </c>
      <c r="I1011">
        <v>9</v>
      </c>
      <c r="J1011">
        <v>6</v>
      </c>
      <c r="K1011">
        <v>52.41</v>
      </c>
      <c r="L1011">
        <v>20</v>
      </c>
      <c r="M1011" s="1" t="s">
        <v>65</v>
      </c>
      <c r="N1011" s="1" t="s">
        <v>56</v>
      </c>
      <c r="O1011">
        <v>11748</v>
      </c>
      <c r="P1011" t="b">
        <v>1</v>
      </c>
      <c r="Q1011">
        <v>0.75</v>
      </c>
      <c r="R1011">
        <v>1305.3333333333333</v>
      </c>
      <c r="S1011">
        <v>7.4871428571428567</v>
      </c>
      <c r="T1011" s="2">
        <v>44228</v>
      </c>
      <c r="U1011" s="1" t="s">
        <v>57</v>
      </c>
      <c r="V1011">
        <v>0</v>
      </c>
      <c r="W1011" s="1" t="s">
        <v>56</v>
      </c>
      <c r="X1011">
        <v>361</v>
      </c>
      <c r="Y1011" s="1" t="s">
        <v>52</v>
      </c>
      <c r="Z1011" s="1" t="s">
        <v>52</v>
      </c>
      <c r="AA1011">
        <v>0.6</v>
      </c>
      <c r="AB1011" s="1" t="s">
        <v>52</v>
      </c>
      <c r="AC1011">
        <v>3</v>
      </c>
      <c r="AD1011" s="2">
        <v>44228</v>
      </c>
      <c r="AE1011" s="1" t="s">
        <v>74</v>
      </c>
      <c r="AF1011" s="1" t="s">
        <v>78</v>
      </c>
      <c r="AG1011" s="1" t="s">
        <v>63</v>
      </c>
      <c r="AH1011" s="1" t="s">
        <v>47</v>
      </c>
      <c r="AI1011">
        <v>12015</v>
      </c>
      <c r="AJ1011">
        <v>-267</v>
      </c>
    </row>
    <row r="1012" spans="1:36" x14ac:dyDescent="0.25">
      <c r="A1012">
        <v>11011</v>
      </c>
      <c r="B1012">
        <v>32</v>
      </c>
      <c r="C1012" s="1" t="s">
        <v>60</v>
      </c>
      <c r="D1012" s="1" t="s">
        <v>61</v>
      </c>
      <c r="E1012" s="2">
        <v>44986</v>
      </c>
      <c r="F1012" s="2">
        <v>44654</v>
      </c>
      <c r="G1012" s="1" t="s">
        <v>49</v>
      </c>
      <c r="H1012">
        <v>366</v>
      </c>
      <c r="I1012">
        <v>19</v>
      </c>
      <c r="J1012">
        <v>1</v>
      </c>
      <c r="K1012">
        <v>82.06</v>
      </c>
      <c r="L1012">
        <v>5</v>
      </c>
      <c r="M1012" s="1" t="s">
        <v>50</v>
      </c>
      <c r="N1012" s="1" t="s">
        <v>56</v>
      </c>
      <c r="O1012">
        <v>6935.7</v>
      </c>
      <c r="P1012" t="b">
        <v>0</v>
      </c>
      <c r="Q1012">
        <v>1.5833333333333333</v>
      </c>
      <c r="R1012">
        <v>365.03684210526313</v>
      </c>
      <c r="S1012">
        <v>41.03</v>
      </c>
      <c r="T1012" s="2">
        <v>44986</v>
      </c>
      <c r="U1012" s="1" t="s">
        <v>57</v>
      </c>
      <c r="V1012">
        <v>0</v>
      </c>
      <c r="W1012" s="1" t="s">
        <v>56</v>
      </c>
      <c r="Y1012" s="1" t="s">
        <v>43</v>
      </c>
      <c r="Z1012" s="1" t="s">
        <v>42</v>
      </c>
      <c r="AA1012">
        <v>0.05</v>
      </c>
      <c r="AB1012" s="1" t="s">
        <v>42</v>
      </c>
      <c r="AC1012">
        <v>3</v>
      </c>
      <c r="AD1012" s="2">
        <v>44986</v>
      </c>
      <c r="AE1012" s="1" t="s">
        <v>53</v>
      </c>
      <c r="AF1012" s="1" t="s">
        <v>54</v>
      </c>
      <c r="AG1012" s="1" t="s">
        <v>63</v>
      </c>
      <c r="AH1012" s="1" t="s">
        <v>68</v>
      </c>
      <c r="AI1012">
        <v>6954</v>
      </c>
      <c r="AJ1012">
        <v>-18.300000000000182</v>
      </c>
    </row>
    <row r="1013" spans="1:36" x14ac:dyDescent="0.25">
      <c r="A1013">
        <v>11012</v>
      </c>
      <c r="B1013">
        <v>41</v>
      </c>
      <c r="C1013" s="1" t="s">
        <v>36</v>
      </c>
      <c r="D1013" s="1" t="s">
        <v>48</v>
      </c>
      <c r="E1013" s="2">
        <v>44388</v>
      </c>
      <c r="F1013" s="2">
        <v>44491</v>
      </c>
      <c r="G1013" s="1" t="s">
        <v>38</v>
      </c>
      <c r="H1013">
        <v>841</v>
      </c>
      <c r="I1013">
        <v>10</v>
      </c>
      <c r="J1013">
        <v>0</v>
      </c>
      <c r="K1013">
        <v>61.32</v>
      </c>
      <c r="L1013">
        <v>20</v>
      </c>
      <c r="M1013" s="1" t="s">
        <v>67</v>
      </c>
      <c r="N1013" s="1" t="s">
        <v>40</v>
      </c>
      <c r="O1013">
        <v>8241.7999999999993</v>
      </c>
      <c r="P1013" t="b">
        <v>1</v>
      </c>
      <c r="Q1013">
        <v>0.83333333333333337</v>
      </c>
      <c r="R1013">
        <v>824.18</v>
      </c>
      <c r="S1013">
        <v>61.32</v>
      </c>
      <c r="T1013" s="2">
        <v>44378</v>
      </c>
      <c r="U1013" s="1" t="s">
        <v>51</v>
      </c>
      <c r="V1013">
        <v>1</v>
      </c>
      <c r="W1013" s="1" t="s">
        <v>56</v>
      </c>
      <c r="X1013">
        <v>103</v>
      </c>
      <c r="Y1013" s="1" t="s">
        <v>43</v>
      </c>
      <c r="Z1013" s="1" t="s">
        <v>52</v>
      </c>
      <c r="AA1013">
        <v>0</v>
      </c>
      <c r="AB1013" s="1" t="s">
        <v>42</v>
      </c>
      <c r="AC1013">
        <v>1</v>
      </c>
      <c r="AD1013" s="2">
        <v>44378</v>
      </c>
      <c r="AE1013" s="1" t="s">
        <v>74</v>
      </c>
      <c r="AF1013" s="1" t="s">
        <v>54</v>
      </c>
      <c r="AG1013" s="1" t="s">
        <v>63</v>
      </c>
      <c r="AH1013" s="1" t="s">
        <v>59</v>
      </c>
      <c r="AI1013">
        <v>8410</v>
      </c>
      <c r="AJ1013">
        <v>-168.20000000000073</v>
      </c>
    </row>
    <row r="1014" spans="1:36" x14ac:dyDescent="0.25">
      <c r="A1014">
        <v>11013</v>
      </c>
      <c r="B1014">
        <v>55</v>
      </c>
      <c r="C1014" s="1" t="s">
        <v>36</v>
      </c>
      <c r="D1014" s="1" t="s">
        <v>48</v>
      </c>
      <c r="E1014" s="2">
        <v>44716</v>
      </c>
      <c r="F1014" s="2">
        <v>45005</v>
      </c>
      <c r="G1014" s="1" t="s">
        <v>38</v>
      </c>
      <c r="H1014">
        <v>395</v>
      </c>
      <c r="I1014">
        <v>7</v>
      </c>
      <c r="J1014">
        <v>1</v>
      </c>
      <c r="K1014">
        <v>55.26</v>
      </c>
      <c r="L1014">
        <v>15</v>
      </c>
      <c r="M1014" s="1" t="s">
        <v>50</v>
      </c>
      <c r="N1014" s="1" t="s">
        <v>40</v>
      </c>
      <c r="O1014">
        <v>2705.75</v>
      </c>
      <c r="P1014" t="b">
        <v>1</v>
      </c>
      <c r="Q1014">
        <v>0.58333333333333337</v>
      </c>
      <c r="R1014">
        <v>386.53571428571428</v>
      </c>
      <c r="S1014">
        <v>27.63</v>
      </c>
      <c r="T1014" s="2">
        <v>44713</v>
      </c>
      <c r="U1014" s="1" t="s">
        <v>41</v>
      </c>
      <c r="V1014">
        <v>1</v>
      </c>
      <c r="W1014" s="1" t="s">
        <v>56</v>
      </c>
      <c r="X1014">
        <v>289</v>
      </c>
      <c r="Y1014" s="1" t="s">
        <v>52</v>
      </c>
      <c r="Z1014" s="1" t="s">
        <v>42</v>
      </c>
      <c r="AA1014">
        <v>0.125</v>
      </c>
      <c r="AB1014" s="1" t="s">
        <v>42</v>
      </c>
      <c r="AC1014">
        <v>1</v>
      </c>
      <c r="AD1014" s="2">
        <v>44713</v>
      </c>
      <c r="AE1014" s="1" t="s">
        <v>74</v>
      </c>
      <c r="AF1014" s="1" t="s">
        <v>54</v>
      </c>
      <c r="AG1014" s="1" t="s">
        <v>63</v>
      </c>
      <c r="AH1014" s="1" t="s">
        <v>68</v>
      </c>
      <c r="AI1014">
        <v>2765</v>
      </c>
      <c r="AJ1014">
        <v>-59.25</v>
      </c>
    </row>
    <row r="1015" spans="1:36" x14ac:dyDescent="0.25">
      <c r="A1015">
        <v>11014</v>
      </c>
      <c r="B1015">
        <v>52</v>
      </c>
      <c r="C1015" s="1" t="s">
        <v>36</v>
      </c>
      <c r="D1015" s="1" t="s">
        <v>48</v>
      </c>
      <c r="E1015" s="2">
        <v>44575</v>
      </c>
      <c r="F1015" s="2">
        <v>44738</v>
      </c>
      <c r="G1015" s="1" t="s">
        <v>49</v>
      </c>
      <c r="H1015">
        <v>514</v>
      </c>
      <c r="I1015">
        <v>4</v>
      </c>
      <c r="J1015">
        <v>6</v>
      </c>
      <c r="K1015">
        <v>38.380000000000003</v>
      </c>
      <c r="L1015">
        <v>15</v>
      </c>
      <c r="M1015" s="1" t="s">
        <v>65</v>
      </c>
      <c r="N1015" s="1" t="s">
        <v>40</v>
      </c>
      <c r="O1015">
        <v>1978.9</v>
      </c>
      <c r="P1015" t="b">
        <v>1</v>
      </c>
      <c r="Q1015">
        <v>0.33333333333333331</v>
      </c>
      <c r="R1015">
        <v>494.72500000000002</v>
      </c>
      <c r="S1015">
        <v>5.4828571428571431</v>
      </c>
      <c r="T1015" s="2">
        <v>44562</v>
      </c>
      <c r="U1015" s="1" t="s">
        <v>41</v>
      </c>
      <c r="V1015">
        <v>1</v>
      </c>
      <c r="W1015" s="1" t="s">
        <v>56</v>
      </c>
      <c r="X1015">
        <v>163</v>
      </c>
      <c r="Y1015" s="1" t="s">
        <v>52</v>
      </c>
      <c r="Z1015" s="1" t="s">
        <v>42</v>
      </c>
      <c r="AA1015">
        <v>1.2</v>
      </c>
      <c r="AB1015" s="1" t="s">
        <v>42</v>
      </c>
      <c r="AC1015">
        <v>3</v>
      </c>
      <c r="AD1015" s="2">
        <v>44562</v>
      </c>
      <c r="AE1015" s="1" t="s">
        <v>58</v>
      </c>
      <c r="AF1015" s="1" t="s">
        <v>78</v>
      </c>
      <c r="AG1015" s="1" t="s">
        <v>55</v>
      </c>
      <c r="AH1015" s="1" t="s">
        <v>64</v>
      </c>
      <c r="AI1015">
        <v>2056</v>
      </c>
      <c r="AJ1015">
        <v>-77.099999999999909</v>
      </c>
    </row>
    <row r="1016" spans="1:36" x14ac:dyDescent="0.25">
      <c r="A1016">
        <v>11015</v>
      </c>
      <c r="B1016">
        <v>47</v>
      </c>
      <c r="C1016" s="1" t="s">
        <v>36</v>
      </c>
      <c r="D1016" s="1" t="s">
        <v>37</v>
      </c>
      <c r="E1016" s="2">
        <v>44984</v>
      </c>
      <c r="F1016" s="2">
        <v>45160</v>
      </c>
      <c r="G1016" s="1" t="s">
        <v>38</v>
      </c>
      <c r="H1016">
        <v>493</v>
      </c>
      <c r="I1016">
        <v>15</v>
      </c>
      <c r="J1016">
        <v>2</v>
      </c>
      <c r="K1016">
        <v>49</v>
      </c>
      <c r="L1016">
        <v>15</v>
      </c>
      <c r="M1016" s="1" t="s">
        <v>50</v>
      </c>
      <c r="N1016" s="1" t="s">
        <v>40</v>
      </c>
      <c r="O1016">
        <v>7321.05</v>
      </c>
      <c r="P1016" t="b">
        <v>1</v>
      </c>
      <c r="Q1016">
        <v>1.25</v>
      </c>
      <c r="R1016">
        <v>488.07</v>
      </c>
      <c r="S1016">
        <v>16.333333333333332</v>
      </c>
      <c r="T1016" s="2">
        <v>44958</v>
      </c>
      <c r="U1016" s="1" t="s">
        <v>51</v>
      </c>
      <c r="V1016">
        <v>1</v>
      </c>
      <c r="W1016" s="1" t="s">
        <v>56</v>
      </c>
      <c r="X1016">
        <v>176</v>
      </c>
      <c r="Y1016" s="1" t="s">
        <v>52</v>
      </c>
      <c r="Z1016" s="1" t="s">
        <v>42</v>
      </c>
      <c r="AA1016">
        <v>0.125</v>
      </c>
      <c r="AB1016" s="1" t="s">
        <v>42</v>
      </c>
      <c r="AC1016">
        <v>1</v>
      </c>
      <c r="AD1016" s="2">
        <v>44958</v>
      </c>
      <c r="AE1016" s="1" t="s">
        <v>53</v>
      </c>
      <c r="AF1016" s="1" t="s">
        <v>72</v>
      </c>
      <c r="AG1016" s="1" t="s">
        <v>63</v>
      </c>
      <c r="AH1016" s="1" t="s">
        <v>68</v>
      </c>
      <c r="AI1016">
        <v>7395</v>
      </c>
      <c r="AJ1016">
        <v>-73.949999999999818</v>
      </c>
    </row>
    <row r="1017" spans="1:36" x14ac:dyDescent="0.25">
      <c r="A1017">
        <v>11016</v>
      </c>
      <c r="B1017">
        <v>48</v>
      </c>
      <c r="C1017" s="1" t="s">
        <v>36</v>
      </c>
      <c r="D1017" s="1" t="s">
        <v>48</v>
      </c>
      <c r="E1017" s="2">
        <v>44887</v>
      </c>
      <c r="F1017" s="2">
        <v>45023</v>
      </c>
      <c r="G1017" s="1" t="s">
        <v>62</v>
      </c>
      <c r="H1017">
        <v>1184</v>
      </c>
      <c r="I1017">
        <v>12</v>
      </c>
      <c r="J1017">
        <v>2</v>
      </c>
      <c r="K1017">
        <v>45.23</v>
      </c>
      <c r="L1017">
        <v>10</v>
      </c>
      <c r="M1017" s="1" t="s">
        <v>50</v>
      </c>
      <c r="N1017" s="1" t="s">
        <v>56</v>
      </c>
      <c r="O1017">
        <v>14030.4</v>
      </c>
      <c r="P1017" t="b">
        <v>1</v>
      </c>
      <c r="Q1017">
        <v>1</v>
      </c>
      <c r="R1017">
        <v>1169.2</v>
      </c>
      <c r="S1017">
        <v>15.076666666666666</v>
      </c>
      <c r="T1017" s="2">
        <v>44866</v>
      </c>
      <c r="U1017" s="1" t="s">
        <v>51</v>
      </c>
      <c r="V1017">
        <v>0</v>
      </c>
      <c r="W1017" s="1" t="s">
        <v>40</v>
      </c>
      <c r="X1017">
        <v>136</v>
      </c>
      <c r="Y1017" s="1" t="s">
        <v>52</v>
      </c>
      <c r="Z1017" s="1" t="s">
        <v>42</v>
      </c>
      <c r="AA1017">
        <v>0.15384615384615385</v>
      </c>
      <c r="AB1017" s="1" t="s">
        <v>52</v>
      </c>
      <c r="AC1017">
        <v>2</v>
      </c>
      <c r="AD1017" s="2">
        <v>44866</v>
      </c>
      <c r="AE1017" s="1" t="s">
        <v>74</v>
      </c>
      <c r="AF1017" s="1" t="s">
        <v>72</v>
      </c>
      <c r="AG1017" s="1" t="s">
        <v>63</v>
      </c>
      <c r="AH1017" s="1" t="s">
        <v>47</v>
      </c>
      <c r="AI1017">
        <v>14208</v>
      </c>
      <c r="AJ1017">
        <v>-177.60000000000036</v>
      </c>
    </row>
    <row r="1018" spans="1:36" x14ac:dyDescent="0.25">
      <c r="A1018">
        <v>11017</v>
      </c>
      <c r="B1018">
        <v>22</v>
      </c>
      <c r="C1018" s="1" t="s">
        <v>36</v>
      </c>
      <c r="D1018" s="1" t="s">
        <v>69</v>
      </c>
      <c r="E1018" s="2">
        <v>44530</v>
      </c>
      <c r="F1018" s="2">
        <v>44516</v>
      </c>
      <c r="G1018" s="1" t="s">
        <v>38</v>
      </c>
      <c r="H1018">
        <v>338</v>
      </c>
      <c r="I1018">
        <v>6</v>
      </c>
      <c r="J1018">
        <v>1</v>
      </c>
      <c r="K1018">
        <v>79.31</v>
      </c>
      <c r="L1018">
        <v>15</v>
      </c>
      <c r="M1018" s="1" t="s">
        <v>39</v>
      </c>
      <c r="N1018" s="1" t="s">
        <v>56</v>
      </c>
      <c r="O1018">
        <v>1977.3</v>
      </c>
      <c r="P1018" t="b">
        <v>0</v>
      </c>
      <c r="Q1018">
        <v>0.5</v>
      </c>
      <c r="R1018">
        <v>329.55</v>
      </c>
      <c r="S1018">
        <v>39.655000000000001</v>
      </c>
      <c r="T1018" s="2">
        <v>44501</v>
      </c>
      <c r="U1018" s="1" t="s">
        <v>66</v>
      </c>
      <c r="V1018">
        <v>0</v>
      </c>
      <c r="W1018" s="1" t="s">
        <v>56</v>
      </c>
      <c r="Y1018" s="1" t="s">
        <v>43</v>
      </c>
      <c r="Z1018" s="1" t="s">
        <v>42</v>
      </c>
      <c r="AA1018">
        <v>0.14285714285714285</v>
      </c>
      <c r="AB1018" s="1" t="s">
        <v>42</v>
      </c>
      <c r="AC1018">
        <v>1</v>
      </c>
      <c r="AD1018" s="2">
        <v>44501</v>
      </c>
      <c r="AE1018" s="1" t="s">
        <v>58</v>
      </c>
      <c r="AF1018" s="1" t="s">
        <v>54</v>
      </c>
      <c r="AG1018" s="1" t="s">
        <v>63</v>
      </c>
      <c r="AH1018" s="1" t="s">
        <v>68</v>
      </c>
      <c r="AI1018">
        <v>2028</v>
      </c>
      <c r="AJ1018">
        <v>-50.700000000000045</v>
      </c>
    </row>
    <row r="1019" spans="1:36" x14ac:dyDescent="0.25">
      <c r="A1019">
        <v>11018</v>
      </c>
      <c r="B1019">
        <v>61</v>
      </c>
      <c r="C1019" s="1" t="s">
        <v>36</v>
      </c>
      <c r="D1019" s="1" t="s">
        <v>71</v>
      </c>
      <c r="E1019" s="2">
        <v>44235</v>
      </c>
      <c r="F1019" s="2">
        <v>44645</v>
      </c>
      <c r="G1019" s="1" t="s">
        <v>62</v>
      </c>
      <c r="H1019">
        <v>1238</v>
      </c>
      <c r="I1019">
        <v>9</v>
      </c>
      <c r="J1019">
        <v>1</v>
      </c>
      <c r="K1019">
        <v>18.34</v>
      </c>
      <c r="L1019">
        <v>20</v>
      </c>
      <c r="M1019" s="1" t="s">
        <v>67</v>
      </c>
      <c r="N1019" s="1" t="s">
        <v>56</v>
      </c>
      <c r="O1019">
        <v>10894.4</v>
      </c>
      <c r="P1019" t="b">
        <v>1</v>
      </c>
      <c r="Q1019">
        <v>0.75</v>
      </c>
      <c r="R1019">
        <v>1210.4888888888888</v>
      </c>
      <c r="S1019">
        <v>9.17</v>
      </c>
      <c r="T1019" s="2">
        <v>44228</v>
      </c>
      <c r="U1019" s="1" t="s">
        <v>41</v>
      </c>
      <c r="V1019">
        <v>0</v>
      </c>
      <c r="W1019" s="1" t="s">
        <v>56</v>
      </c>
      <c r="X1019">
        <v>410</v>
      </c>
      <c r="Y1019" s="1" t="s">
        <v>42</v>
      </c>
      <c r="Z1019" s="1" t="s">
        <v>52</v>
      </c>
      <c r="AA1019">
        <v>0.1</v>
      </c>
      <c r="AB1019" s="1" t="s">
        <v>52</v>
      </c>
      <c r="AC1019">
        <v>2</v>
      </c>
      <c r="AD1019" s="2">
        <v>44228</v>
      </c>
      <c r="AE1019" s="1" t="s">
        <v>74</v>
      </c>
      <c r="AF1019" s="1" t="s">
        <v>54</v>
      </c>
      <c r="AG1019" s="1" t="s">
        <v>46</v>
      </c>
      <c r="AH1019" s="1" t="s">
        <v>47</v>
      </c>
      <c r="AI1019">
        <v>11142</v>
      </c>
      <c r="AJ1019">
        <v>-247.60000000000036</v>
      </c>
    </row>
    <row r="1020" spans="1:36" x14ac:dyDescent="0.25">
      <c r="A1020">
        <v>11019</v>
      </c>
      <c r="B1020">
        <v>31</v>
      </c>
      <c r="C1020" s="1" t="s">
        <v>36</v>
      </c>
      <c r="D1020" s="1" t="s">
        <v>37</v>
      </c>
      <c r="E1020" s="2">
        <v>44489</v>
      </c>
      <c r="F1020" s="2">
        <v>44580</v>
      </c>
      <c r="G1020" s="1" t="s">
        <v>62</v>
      </c>
      <c r="H1020">
        <v>1238</v>
      </c>
      <c r="I1020">
        <v>35</v>
      </c>
      <c r="J1020">
        <v>1</v>
      </c>
      <c r="K1020">
        <v>15.65</v>
      </c>
      <c r="L1020">
        <v>15</v>
      </c>
      <c r="M1020" s="1" t="s">
        <v>39</v>
      </c>
      <c r="N1020" s="1" t="s">
        <v>56</v>
      </c>
      <c r="O1020">
        <v>43144.3</v>
      </c>
      <c r="P1020" t="b">
        <v>1</v>
      </c>
      <c r="Q1020">
        <v>2.9166666666666665</v>
      </c>
      <c r="R1020">
        <v>1232.6942857142858</v>
      </c>
      <c r="S1020">
        <v>7.8250000000000002</v>
      </c>
      <c r="T1020" s="2">
        <v>44470</v>
      </c>
      <c r="U1020" s="1" t="s">
        <v>57</v>
      </c>
      <c r="V1020">
        <v>0</v>
      </c>
      <c r="W1020" s="1" t="s">
        <v>40</v>
      </c>
      <c r="X1020">
        <v>91</v>
      </c>
      <c r="Y1020" s="1" t="s">
        <v>42</v>
      </c>
      <c r="Z1020" s="1" t="s">
        <v>42</v>
      </c>
      <c r="AA1020">
        <v>2.7777777777777776E-2</v>
      </c>
      <c r="AB1020" s="1" t="s">
        <v>43</v>
      </c>
      <c r="AC1020">
        <v>2</v>
      </c>
      <c r="AD1020" s="2">
        <v>44470</v>
      </c>
      <c r="AE1020" s="1" t="s">
        <v>44</v>
      </c>
      <c r="AF1020" s="1" t="s">
        <v>54</v>
      </c>
      <c r="AG1020" s="1" t="s">
        <v>46</v>
      </c>
      <c r="AH1020" s="1" t="s">
        <v>47</v>
      </c>
      <c r="AI1020">
        <v>43330</v>
      </c>
      <c r="AJ1020">
        <v>-185.69999999999709</v>
      </c>
    </row>
    <row r="1021" spans="1:36" x14ac:dyDescent="0.25">
      <c r="A1021">
        <v>11020</v>
      </c>
      <c r="B1021">
        <v>41</v>
      </c>
      <c r="C1021" s="1" t="s">
        <v>36</v>
      </c>
      <c r="D1021" s="1" t="s">
        <v>73</v>
      </c>
      <c r="E1021" s="2">
        <v>44886</v>
      </c>
      <c r="F1021" s="2">
        <v>44618</v>
      </c>
      <c r="G1021" s="1" t="s">
        <v>49</v>
      </c>
      <c r="H1021">
        <v>505</v>
      </c>
      <c r="I1021">
        <v>8</v>
      </c>
      <c r="J1021">
        <v>1</v>
      </c>
      <c r="K1021">
        <v>62.59</v>
      </c>
      <c r="L1021">
        <v>10</v>
      </c>
      <c r="M1021" s="1" t="s">
        <v>39</v>
      </c>
      <c r="N1021" s="1" t="s">
        <v>56</v>
      </c>
      <c r="O1021">
        <v>3989.5</v>
      </c>
      <c r="P1021" t="b">
        <v>0</v>
      </c>
      <c r="Q1021">
        <v>0.66666666666666663</v>
      </c>
      <c r="R1021">
        <v>498.6875</v>
      </c>
      <c r="S1021">
        <v>31.295000000000002</v>
      </c>
      <c r="T1021" s="2">
        <v>44866</v>
      </c>
      <c r="U1021" s="1" t="s">
        <v>51</v>
      </c>
      <c r="V1021">
        <v>0</v>
      </c>
      <c r="W1021" s="1" t="s">
        <v>56</v>
      </c>
      <c r="Y1021" s="1" t="s">
        <v>43</v>
      </c>
      <c r="Z1021" s="1" t="s">
        <v>42</v>
      </c>
      <c r="AA1021">
        <v>0.1111111111111111</v>
      </c>
      <c r="AB1021" s="1" t="s">
        <v>42</v>
      </c>
      <c r="AC1021">
        <v>3</v>
      </c>
      <c r="AD1021" s="2">
        <v>44866</v>
      </c>
      <c r="AE1021" s="1" t="s">
        <v>74</v>
      </c>
      <c r="AF1021" s="1" t="s">
        <v>54</v>
      </c>
      <c r="AG1021" s="1" t="s">
        <v>63</v>
      </c>
      <c r="AH1021" s="1" t="s">
        <v>64</v>
      </c>
      <c r="AI1021">
        <v>4040</v>
      </c>
      <c r="AJ1021">
        <v>-50.5</v>
      </c>
    </row>
    <row r="1022" spans="1:36" x14ac:dyDescent="0.25">
      <c r="A1022">
        <v>11021</v>
      </c>
      <c r="B1022">
        <v>26</v>
      </c>
      <c r="C1022" s="1" t="s">
        <v>36</v>
      </c>
      <c r="D1022" s="1" t="s">
        <v>48</v>
      </c>
      <c r="E1022" s="2">
        <v>44358</v>
      </c>
      <c r="F1022" s="2">
        <v>44407</v>
      </c>
      <c r="G1022" s="1" t="s">
        <v>62</v>
      </c>
      <c r="H1022">
        <v>1241</v>
      </c>
      <c r="I1022">
        <v>7</v>
      </c>
      <c r="J1022">
        <v>2</v>
      </c>
      <c r="K1022">
        <v>67.819999999999993</v>
      </c>
      <c r="L1022">
        <v>10</v>
      </c>
      <c r="M1022" s="1" t="s">
        <v>50</v>
      </c>
      <c r="N1022" s="1" t="s">
        <v>40</v>
      </c>
      <c r="O1022">
        <v>8562.9</v>
      </c>
      <c r="P1022" t="b">
        <v>1</v>
      </c>
      <c r="Q1022">
        <v>0.58333333333333337</v>
      </c>
      <c r="R1022">
        <v>1223.2714285714285</v>
      </c>
      <c r="S1022">
        <v>22.606666666666666</v>
      </c>
      <c r="T1022" s="2">
        <v>44348</v>
      </c>
      <c r="U1022" s="1" t="s">
        <v>57</v>
      </c>
      <c r="V1022">
        <v>1</v>
      </c>
      <c r="W1022" s="1" t="s">
        <v>56</v>
      </c>
      <c r="X1022">
        <v>49</v>
      </c>
      <c r="Y1022" s="1" t="s">
        <v>43</v>
      </c>
      <c r="Z1022" s="1" t="s">
        <v>42</v>
      </c>
      <c r="AA1022">
        <v>0.25</v>
      </c>
      <c r="AB1022" s="1" t="s">
        <v>42</v>
      </c>
      <c r="AC1022">
        <v>2</v>
      </c>
      <c r="AD1022" s="2">
        <v>44348</v>
      </c>
      <c r="AE1022" s="1" t="s">
        <v>74</v>
      </c>
      <c r="AF1022" s="1" t="s">
        <v>72</v>
      </c>
      <c r="AG1022" s="1" t="s">
        <v>63</v>
      </c>
      <c r="AH1022" s="1" t="s">
        <v>47</v>
      </c>
      <c r="AI1022">
        <v>8687</v>
      </c>
      <c r="AJ1022">
        <v>-124.10000000000036</v>
      </c>
    </row>
    <row r="1023" spans="1:36" x14ac:dyDescent="0.25">
      <c r="A1023">
        <v>11022</v>
      </c>
      <c r="B1023">
        <v>51</v>
      </c>
      <c r="C1023" s="1" t="s">
        <v>60</v>
      </c>
      <c r="D1023" s="1" t="s">
        <v>71</v>
      </c>
      <c r="E1023" s="2">
        <v>44527</v>
      </c>
      <c r="F1023" s="2">
        <v>44643</v>
      </c>
      <c r="G1023" s="1" t="s">
        <v>38</v>
      </c>
      <c r="H1023">
        <v>854</v>
      </c>
      <c r="I1023">
        <v>4</v>
      </c>
      <c r="J1023">
        <v>2</v>
      </c>
      <c r="K1023">
        <v>54.47</v>
      </c>
      <c r="L1023">
        <v>0</v>
      </c>
      <c r="M1023" s="1" t="s">
        <v>67</v>
      </c>
      <c r="N1023" s="1" t="s">
        <v>56</v>
      </c>
      <c r="O1023">
        <v>3416</v>
      </c>
      <c r="P1023" t="b">
        <v>1</v>
      </c>
      <c r="Q1023">
        <v>0.33333333333333331</v>
      </c>
      <c r="R1023">
        <v>854</v>
      </c>
      <c r="S1023">
        <v>18.156666666666666</v>
      </c>
      <c r="T1023" s="2">
        <v>44501</v>
      </c>
      <c r="U1023" s="1" t="s">
        <v>41</v>
      </c>
      <c r="V1023">
        <v>0</v>
      </c>
      <c r="W1023" s="1" t="s">
        <v>56</v>
      </c>
      <c r="X1023">
        <v>116</v>
      </c>
      <c r="Y1023" s="1" t="s">
        <v>52</v>
      </c>
      <c r="Z1023" s="1" t="s">
        <v>42</v>
      </c>
      <c r="AA1023">
        <v>0.4</v>
      </c>
      <c r="AB1023" s="1" t="s">
        <v>42</v>
      </c>
      <c r="AC1023">
        <v>1</v>
      </c>
      <c r="AD1023" s="2">
        <v>44501</v>
      </c>
      <c r="AE1023" s="1" t="s">
        <v>58</v>
      </c>
      <c r="AF1023" s="1" t="s">
        <v>72</v>
      </c>
      <c r="AG1023" s="1" t="s">
        <v>63</v>
      </c>
      <c r="AH1023" s="1" t="s">
        <v>59</v>
      </c>
      <c r="AI1023">
        <v>3416</v>
      </c>
      <c r="AJ1023">
        <v>0</v>
      </c>
    </row>
    <row r="1024" spans="1:36" x14ac:dyDescent="0.25">
      <c r="A1024">
        <v>11023</v>
      </c>
      <c r="B1024">
        <v>29</v>
      </c>
      <c r="C1024" s="1" t="s">
        <v>60</v>
      </c>
      <c r="D1024" s="1" t="s">
        <v>61</v>
      </c>
      <c r="E1024" s="2">
        <v>45082</v>
      </c>
      <c r="F1024" s="2">
        <v>44814</v>
      </c>
      <c r="G1024" s="1" t="s">
        <v>62</v>
      </c>
      <c r="H1024">
        <v>783</v>
      </c>
      <c r="I1024">
        <v>13</v>
      </c>
      <c r="J1024">
        <v>2</v>
      </c>
      <c r="K1024">
        <v>22.53</v>
      </c>
      <c r="L1024">
        <v>5</v>
      </c>
      <c r="M1024" s="1" t="s">
        <v>65</v>
      </c>
      <c r="N1024" s="1" t="s">
        <v>40</v>
      </c>
      <c r="O1024">
        <v>10139.85</v>
      </c>
      <c r="P1024" t="b">
        <v>0</v>
      </c>
      <c r="Q1024">
        <v>1.0833333333333333</v>
      </c>
      <c r="R1024">
        <v>779.98846153846159</v>
      </c>
      <c r="S1024">
        <v>7.5100000000000007</v>
      </c>
      <c r="T1024" s="2">
        <v>45078</v>
      </c>
      <c r="U1024" s="1" t="s">
        <v>57</v>
      </c>
      <c r="V1024">
        <v>1</v>
      </c>
      <c r="W1024" s="1" t="s">
        <v>56</v>
      </c>
      <c r="Y1024" s="1" t="s">
        <v>52</v>
      </c>
      <c r="Z1024" s="1" t="s">
        <v>42</v>
      </c>
      <c r="AA1024">
        <v>0.14285714285714285</v>
      </c>
      <c r="AB1024" s="1" t="s">
        <v>52</v>
      </c>
      <c r="AC1024">
        <v>2</v>
      </c>
      <c r="AD1024" s="2">
        <v>45078</v>
      </c>
      <c r="AE1024" s="1" t="s">
        <v>53</v>
      </c>
      <c r="AF1024" s="1" t="s">
        <v>72</v>
      </c>
      <c r="AG1024" s="1" t="s">
        <v>70</v>
      </c>
      <c r="AH1024" s="1" t="s">
        <v>59</v>
      </c>
      <c r="AI1024">
        <v>10179</v>
      </c>
      <c r="AJ1024">
        <v>-39.149999999999636</v>
      </c>
    </row>
    <row r="1025" spans="1:36" x14ac:dyDescent="0.25">
      <c r="A1025">
        <v>11024</v>
      </c>
      <c r="B1025">
        <v>52</v>
      </c>
      <c r="C1025" s="1" t="s">
        <v>60</v>
      </c>
      <c r="D1025" s="1" t="s">
        <v>48</v>
      </c>
      <c r="E1025" s="2">
        <v>44300</v>
      </c>
      <c r="F1025" s="2">
        <v>44582</v>
      </c>
      <c r="G1025" s="1" t="s">
        <v>49</v>
      </c>
      <c r="H1025">
        <v>1070</v>
      </c>
      <c r="I1025">
        <v>19</v>
      </c>
      <c r="J1025">
        <v>0</v>
      </c>
      <c r="K1025">
        <v>52.27</v>
      </c>
      <c r="L1025">
        <v>10</v>
      </c>
      <c r="M1025" s="1" t="s">
        <v>67</v>
      </c>
      <c r="N1025" s="1" t="s">
        <v>56</v>
      </c>
      <c r="O1025">
        <v>20223</v>
      </c>
      <c r="P1025" t="b">
        <v>1</v>
      </c>
      <c r="Q1025">
        <v>1.5833333333333333</v>
      </c>
      <c r="R1025">
        <v>1064.3684210526317</v>
      </c>
      <c r="S1025">
        <v>52.27</v>
      </c>
      <c r="T1025" s="2">
        <v>44287</v>
      </c>
      <c r="U1025" s="1" t="s">
        <v>41</v>
      </c>
      <c r="V1025">
        <v>0</v>
      </c>
      <c r="W1025" s="1" t="s">
        <v>40</v>
      </c>
      <c r="X1025">
        <v>282</v>
      </c>
      <c r="Y1025" s="1" t="s">
        <v>52</v>
      </c>
      <c r="Z1025" s="1" t="s">
        <v>42</v>
      </c>
      <c r="AA1025">
        <v>0</v>
      </c>
      <c r="AB1025" s="1" t="s">
        <v>43</v>
      </c>
      <c r="AC1025">
        <v>3</v>
      </c>
      <c r="AD1025" s="2">
        <v>44287</v>
      </c>
      <c r="AE1025" s="1" t="s">
        <v>53</v>
      </c>
      <c r="AF1025" s="1" t="s">
        <v>54</v>
      </c>
      <c r="AG1025" s="1" t="s">
        <v>63</v>
      </c>
      <c r="AH1025" s="1" t="s">
        <v>47</v>
      </c>
      <c r="AI1025">
        <v>20330</v>
      </c>
      <c r="AJ1025">
        <v>-107</v>
      </c>
    </row>
    <row r="1026" spans="1:36" x14ac:dyDescent="0.25">
      <c r="A1026">
        <v>11025</v>
      </c>
      <c r="B1026">
        <v>52</v>
      </c>
      <c r="C1026" s="1" t="s">
        <v>36</v>
      </c>
      <c r="D1026" s="1" t="s">
        <v>71</v>
      </c>
      <c r="E1026" s="2">
        <v>44357</v>
      </c>
      <c r="F1026" s="2">
        <v>45024</v>
      </c>
      <c r="G1026" s="1" t="s">
        <v>38</v>
      </c>
      <c r="H1026">
        <v>548</v>
      </c>
      <c r="I1026">
        <v>7</v>
      </c>
      <c r="J1026">
        <v>1</v>
      </c>
      <c r="K1026">
        <v>95.82</v>
      </c>
      <c r="L1026">
        <v>0</v>
      </c>
      <c r="M1026" s="1" t="s">
        <v>39</v>
      </c>
      <c r="N1026" s="1" t="s">
        <v>56</v>
      </c>
      <c r="O1026">
        <v>3836</v>
      </c>
      <c r="P1026" t="b">
        <v>1</v>
      </c>
      <c r="Q1026">
        <v>0.58333333333333337</v>
      </c>
      <c r="R1026">
        <v>548</v>
      </c>
      <c r="S1026">
        <v>47.91</v>
      </c>
      <c r="T1026" s="2">
        <v>44348</v>
      </c>
      <c r="U1026" s="1" t="s">
        <v>41</v>
      </c>
      <c r="V1026">
        <v>0</v>
      </c>
      <c r="W1026" s="1" t="s">
        <v>56</v>
      </c>
      <c r="X1026">
        <v>667</v>
      </c>
      <c r="Y1026" s="1" t="s">
        <v>43</v>
      </c>
      <c r="Z1026" s="1" t="s">
        <v>42</v>
      </c>
      <c r="AA1026">
        <v>0.125</v>
      </c>
      <c r="AB1026" s="1" t="s">
        <v>42</v>
      </c>
      <c r="AC1026">
        <v>1</v>
      </c>
      <c r="AD1026" s="2">
        <v>44348</v>
      </c>
      <c r="AE1026" s="1" t="s">
        <v>74</v>
      </c>
      <c r="AF1026" s="1" t="s">
        <v>54</v>
      </c>
      <c r="AG1026" s="1" t="s">
        <v>63</v>
      </c>
      <c r="AH1026" s="1" t="s">
        <v>64</v>
      </c>
      <c r="AI1026">
        <v>3836</v>
      </c>
      <c r="AJ1026">
        <v>0</v>
      </c>
    </row>
    <row r="1027" spans="1:36" x14ac:dyDescent="0.25">
      <c r="A1027">
        <v>11026</v>
      </c>
      <c r="B1027">
        <v>18</v>
      </c>
      <c r="C1027" s="1" t="s">
        <v>36</v>
      </c>
      <c r="D1027" s="1" t="s">
        <v>69</v>
      </c>
      <c r="E1027" s="2">
        <v>44995</v>
      </c>
      <c r="F1027" s="2">
        <v>45053</v>
      </c>
      <c r="G1027" s="1" t="s">
        <v>38</v>
      </c>
      <c r="H1027">
        <v>1397</v>
      </c>
      <c r="I1027">
        <v>10</v>
      </c>
      <c r="J1027">
        <v>4</v>
      </c>
      <c r="K1027">
        <v>107.31</v>
      </c>
      <c r="L1027">
        <v>20</v>
      </c>
      <c r="M1027" s="1" t="s">
        <v>50</v>
      </c>
      <c r="N1027" s="1" t="s">
        <v>56</v>
      </c>
      <c r="O1027">
        <v>13690.6</v>
      </c>
      <c r="P1027" t="b">
        <v>1</v>
      </c>
      <c r="Q1027">
        <v>0.83333333333333337</v>
      </c>
      <c r="R1027">
        <v>1369.06</v>
      </c>
      <c r="S1027">
        <v>21.462</v>
      </c>
      <c r="T1027" s="2">
        <v>44986</v>
      </c>
      <c r="U1027" s="1" t="s">
        <v>66</v>
      </c>
      <c r="V1027">
        <v>0</v>
      </c>
      <c r="W1027" s="1" t="s">
        <v>40</v>
      </c>
      <c r="X1027">
        <v>58</v>
      </c>
      <c r="Y1027" s="1" t="s">
        <v>43</v>
      </c>
      <c r="Z1027" s="1" t="s">
        <v>52</v>
      </c>
      <c r="AA1027">
        <v>0.36363636363636365</v>
      </c>
      <c r="AB1027" s="1" t="s">
        <v>52</v>
      </c>
      <c r="AC1027">
        <v>1</v>
      </c>
      <c r="AD1027" s="2">
        <v>44986</v>
      </c>
      <c r="AE1027" s="1" t="s">
        <v>74</v>
      </c>
      <c r="AF1027" s="1" t="s">
        <v>45</v>
      </c>
      <c r="AG1027" s="1" t="s">
        <v>63</v>
      </c>
      <c r="AH1027" s="1" t="s">
        <v>47</v>
      </c>
      <c r="AI1027">
        <v>13970</v>
      </c>
      <c r="AJ1027">
        <v>-279.39999999999964</v>
      </c>
    </row>
    <row r="1028" spans="1:36" x14ac:dyDescent="0.25">
      <c r="A1028">
        <v>11027</v>
      </c>
      <c r="B1028">
        <v>57</v>
      </c>
      <c r="C1028" s="1" t="s">
        <v>36</v>
      </c>
      <c r="D1028" s="1" t="s">
        <v>61</v>
      </c>
      <c r="E1028" s="2">
        <v>44831</v>
      </c>
      <c r="F1028" s="2">
        <v>44581</v>
      </c>
      <c r="G1028" s="1" t="s">
        <v>38</v>
      </c>
      <c r="H1028">
        <v>672</v>
      </c>
      <c r="I1028">
        <v>25</v>
      </c>
      <c r="J1028">
        <v>5</v>
      </c>
      <c r="K1028">
        <v>85.8</v>
      </c>
      <c r="L1028">
        <v>5</v>
      </c>
      <c r="M1028" s="1" t="s">
        <v>65</v>
      </c>
      <c r="N1028" s="1" t="s">
        <v>40</v>
      </c>
      <c r="O1028">
        <v>16766.400000000001</v>
      </c>
      <c r="P1028" t="b">
        <v>0</v>
      </c>
      <c r="Q1028">
        <v>2.0833333333333335</v>
      </c>
      <c r="R1028">
        <v>670.65600000000006</v>
      </c>
      <c r="S1028">
        <v>14.299999999999999</v>
      </c>
      <c r="T1028" s="2">
        <v>44805</v>
      </c>
      <c r="U1028" s="1" t="s">
        <v>41</v>
      </c>
      <c r="V1028">
        <v>1</v>
      </c>
      <c r="W1028" s="1" t="s">
        <v>40</v>
      </c>
      <c r="Y1028" s="1" t="s">
        <v>43</v>
      </c>
      <c r="Z1028" s="1" t="s">
        <v>42</v>
      </c>
      <c r="AA1028">
        <v>0.19230769230769232</v>
      </c>
      <c r="AB1028" s="1" t="s">
        <v>52</v>
      </c>
      <c r="AC1028">
        <v>1</v>
      </c>
      <c r="AD1028" s="2">
        <v>44805</v>
      </c>
      <c r="AE1028" s="1" t="s">
        <v>44</v>
      </c>
      <c r="AF1028" s="1" t="s">
        <v>45</v>
      </c>
      <c r="AG1028" s="1" t="s">
        <v>63</v>
      </c>
      <c r="AH1028" s="1" t="s">
        <v>64</v>
      </c>
      <c r="AI1028">
        <v>16800</v>
      </c>
      <c r="AJ1028">
        <v>-33.599999999998545</v>
      </c>
    </row>
    <row r="1029" spans="1:36" x14ac:dyDescent="0.25">
      <c r="A1029">
        <v>11028</v>
      </c>
      <c r="B1029">
        <v>39</v>
      </c>
      <c r="C1029" s="1" t="s">
        <v>36</v>
      </c>
      <c r="D1029" s="1" t="s">
        <v>69</v>
      </c>
      <c r="E1029" s="2">
        <v>44250</v>
      </c>
      <c r="F1029" s="2">
        <v>44715</v>
      </c>
      <c r="G1029" s="1" t="s">
        <v>62</v>
      </c>
      <c r="H1029">
        <v>1178</v>
      </c>
      <c r="I1029">
        <v>35</v>
      </c>
      <c r="J1029">
        <v>2</v>
      </c>
      <c r="K1029">
        <v>11.89</v>
      </c>
      <c r="L1029">
        <v>15</v>
      </c>
      <c r="M1029" s="1" t="s">
        <v>39</v>
      </c>
      <c r="N1029" s="1" t="s">
        <v>56</v>
      </c>
      <c r="O1029">
        <v>41053.300000000003</v>
      </c>
      <c r="P1029" t="b">
        <v>1</v>
      </c>
      <c r="Q1029">
        <v>2.9166666666666665</v>
      </c>
      <c r="R1029">
        <v>1172.9514285714286</v>
      </c>
      <c r="S1029">
        <v>3.9633333333333334</v>
      </c>
      <c r="T1029" s="2">
        <v>44228</v>
      </c>
      <c r="U1029" s="1" t="s">
        <v>51</v>
      </c>
      <c r="V1029">
        <v>0</v>
      </c>
      <c r="W1029" s="1" t="s">
        <v>40</v>
      </c>
      <c r="X1029">
        <v>465</v>
      </c>
      <c r="Y1029" s="1" t="s">
        <v>42</v>
      </c>
      <c r="Z1029" s="1" t="s">
        <v>42</v>
      </c>
      <c r="AA1029">
        <v>5.5555555555555552E-2</v>
      </c>
      <c r="AB1029" s="1" t="s">
        <v>43</v>
      </c>
      <c r="AC1029">
        <v>2</v>
      </c>
      <c r="AD1029" s="2">
        <v>44228</v>
      </c>
      <c r="AE1029" s="1" t="s">
        <v>44</v>
      </c>
      <c r="AF1029" s="1" t="s">
        <v>72</v>
      </c>
      <c r="AG1029" s="1" t="s">
        <v>46</v>
      </c>
      <c r="AH1029" s="1" t="s">
        <v>47</v>
      </c>
      <c r="AI1029">
        <v>41230</v>
      </c>
      <c r="AJ1029">
        <v>-176.69999999999709</v>
      </c>
    </row>
    <row r="1030" spans="1:36" x14ac:dyDescent="0.25">
      <c r="A1030">
        <v>11029</v>
      </c>
      <c r="B1030">
        <v>46</v>
      </c>
      <c r="C1030" s="1" t="s">
        <v>60</v>
      </c>
      <c r="D1030" s="1" t="s">
        <v>73</v>
      </c>
      <c r="E1030" s="2">
        <v>44230</v>
      </c>
      <c r="F1030" s="2">
        <v>45042</v>
      </c>
      <c r="G1030" s="1" t="s">
        <v>38</v>
      </c>
      <c r="H1030">
        <v>1134</v>
      </c>
      <c r="I1030">
        <v>25</v>
      </c>
      <c r="J1030">
        <v>4</v>
      </c>
      <c r="K1030">
        <v>82.1</v>
      </c>
      <c r="L1030">
        <v>15</v>
      </c>
      <c r="M1030" s="1" t="s">
        <v>50</v>
      </c>
      <c r="N1030" s="1" t="s">
        <v>56</v>
      </c>
      <c r="O1030">
        <v>28179.9</v>
      </c>
      <c r="P1030" t="b">
        <v>1</v>
      </c>
      <c r="Q1030">
        <v>2.0833333333333335</v>
      </c>
      <c r="R1030">
        <v>1127.1960000000001</v>
      </c>
      <c r="S1030">
        <v>16.419999999999998</v>
      </c>
      <c r="T1030" s="2">
        <v>44228</v>
      </c>
      <c r="U1030" s="1" t="s">
        <v>51</v>
      </c>
      <c r="V1030">
        <v>0</v>
      </c>
      <c r="W1030" s="1" t="s">
        <v>40</v>
      </c>
      <c r="X1030">
        <v>812</v>
      </c>
      <c r="Y1030" s="1" t="s">
        <v>43</v>
      </c>
      <c r="Z1030" s="1" t="s">
        <v>42</v>
      </c>
      <c r="AA1030">
        <v>0.15384615384615385</v>
      </c>
      <c r="AB1030" s="1" t="s">
        <v>43</v>
      </c>
      <c r="AC1030">
        <v>1</v>
      </c>
      <c r="AD1030" s="2">
        <v>44228</v>
      </c>
      <c r="AE1030" s="1" t="s">
        <v>44</v>
      </c>
      <c r="AF1030" s="1" t="s">
        <v>45</v>
      </c>
      <c r="AG1030" s="1" t="s">
        <v>63</v>
      </c>
      <c r="AH1030" s="1" t="s">
        <v>47</v>
      </c>
      <c r="AI1030">
        <v>28350</v>
      </c>
      <c r="AJ1030">
        <v>-170.09999999999854</v>
      </c>
    </row>
    <row r="1031" spans="1:36" x14ac:dyDescent="0.25">
      <c r="A1031">
        <v>11030</v>
      </c>
      <c r="B1031">
        <v>25</v>
      </c>
      <c r="C1031" s="1" t="s">
        <v>60</v>
      </c>
      <c r="D1031" s="1" t="s">
        <v>71</v>
      </c>
      <c r="E1031" s="2">
        <v>44438</v>
      </c>
      <c r="F1031" s="2">
        <v>45192</v>
      </c>
      <c r="G1031" s="1" t="s">
        <v>62</v>
      </c>
      <c r="H1031">
        <v>1170</v>
      </c>
      <c r="I1031">
        <v>29</v>
      </c>
      <c r="J1031">
        <v>0</v>
      </c>
      <c r="K1031">
        <v>32.71</v>
      </c>
      <c r="L1031">
        <v>20</v>
      </c>
      <c r="M1031" s="1" t="s">
        <v>39</v>
      </c>
      <c r="N1031" s="1" t="s">
        <v>56</v>
      </c>
      <c r="O1031">
        <v>33696</v>
      </c>
      <c r="P1031" t="b">
        <v>1</v>
      </c>
      <c r="Q1031">
        <v>2.4166666666666665</v>
      </c>
      <c r="R1031">
        <v>1161.9310344827586</v>
      </c>
      <c r="S1031">
        <v>32.71</v>
      </c>
      <c r="T1031" s="2">
        <v>44409</v>
      </c>
      <c r="U1031" s="1" t="s">
        <v>66</v>
      </c>
      <c r="V1031">
        <v>0</v>
      </c>
      <c r="W1031" s="1" t="s">
        <v>40</v>
      </c>
      <c r="X1031">
        <v>754</v>
      </c>
      <c r="Y1031" s="1" t="s">
        <v>52</v>
      </c>
      <c r="Z1031" s="1" t="s">
        <v>52</v>
      </c>
      <c r="AA1031">
        <v>0</v>
      </c>
      <c r="AB1031" s="1" t="s">
        <v>43</v>
      </c>
      <c r="AC1031">
        <v>2</v>
      </c>
      <c r="AD1031" s="2">
        <v>44409</v>
      </c>
      <c r="AE1031" s="1" t="s">
        <v>44</v>
      </c>
      <c r="AF1031" s="1" t="s">
        <v>54</v>
      </c>
      <c r="AG1031" s="1" t="s">
        <v>55</v>
      </c>
      <c r="AH1031" s="1" t="s">
        <v>47</v>
      </c>
      <c r="AI1031">
        <v>33930</v>
      </c>
      <c r="AJ1031">
        <v>-234</v>
      </c>
    </row>
    <row r="1032" spans="1:36" x14ac:dyDescent="0.25">
      <c r="A1032">
        <v>11031</v>
      </c>
      <c r="B1032">
        <v>28</v>
      </c>
      <c r="C1032" s="1" t="s">
        <v>36</v>
      </c>
      <c r="D1032" s="1" t="s">
        <v>69</v>
      </c>
      <c r="E1032" s="2">
        <v>45086</v>
      </c>
      <c r="F1032" s="2">
        <v>44579</v>
      </c>
      <c r="G1032" s="1" t="s">
        <v>38</v>
      </c>
      <c r="H1032">
        <v>1001</v>
      </c>
      <c r="I1032">
        <v>12</v>
      </c>
      <c r="J1032">
        <v>3</v>
      </c>
      <c r="K1032">
        <v>41.25</v>
      </c>
      <c r="L1032">
        <v>5</v>
      </c>
      <c r="M1032" s="1" t="s">
        <v>50</v>
      </c>
      <c r="N1032" s="1" t="s">
        <v>56</v>
      </c>
      <c r="O1032">
        <v>11961.95</v>
      </c>
      <c r="P1032" t="b">
        <v>0</v>
      </c>
      <c r="Q1032">
        <v>1</v>
      </c>
      <c r="R1032">
        <v>996.82916666666677</v>
      </c>
      <c r="S1032">
        <v>10.3125</v>
      </c>
      <c r="T1032" s="2">
        <v>45078</v>
      </c>
      <c r="U1032" s="1" t="s">
        <v>57</v>
      </c>
      <c r="V1032">
        <v>0</v>
      </c>
      <c r="W1032" s="1" t="s">
        <v>56</v>
      </c>
      <c r="Y1032" s="1" t="s">
        <v>52</v>
      </c>
      <c r="Z1032" s="1" t="s">
        <v>42</v>
      </c>
      <c r="AA1032">
        <v>0.23076923076923078</v>
      </c>
      <c r="AB1032" s="1" t="s">
        <v>52</v>
      </c>
      <c r="AC1032">
        <v>1</v>
      </c>
      <c r="AD1032" s="2">
        <v>45078</v>
      </c>
      <c r="AE1032" s="1" t="s">
        <v>74</v>
      </c>
      <c r="AF1032" s="1" t="s">
        <v>72</v>
      </c>
      <c r="AG1032" s="1" t="s">
        <v>55</v>
      </c>
      <c r="AH1032" s="1" t="s">
        <v>47</v>
      </c>
      <c r="AI1032">
        <v>12012</v>
      </c>
      <c r="AJ1032">
        <v>-50.049999999999272</v>
      </c>
    </row>
    <row r="1033" spans="1:36" x14ac:dyDescent="0.25">
      <c r="A1033">
        <v>11032</v>
      </c>
      <c r="B1033">
        <v>58</v>
      </c>
      <c r="C1033" s="1" t="s">
        <v>36</v>
      </c>
      <c r="D1033" s="1" t="s">
        <v>73</v>
      </c>
      <c r="E1033" s="2">
        <v>44309</v>
      </c>
      <c r="F1033" s="2">
        <v>45220</v>
      </c>
      <c r="G1033" s="1" t="s">
        <v>49</v>
      </c>
      <c r="H1033">
        <v>437</v>
      </c>
      <c r="I1033">
        <v>12</v>
      </c>
      <c r="J1033">
        <v>6</v>
      </c>
      <c r="K1033">
        <v>27.53</v>
      </c>
      <c r="L1033">
        <v>10</v>
      </c>
      <c r="M1033" s="1" t="s">
        <v>67</v>
      </c>
      <c r="N1033" s="1" t="s">
        <v>40</v>
      </c>
      <c r="O1033">
        <v>5200.3</v>
      </c>
      <c r="P1033" t="b">
        <v>1</v>
      </c>
      <c r="Q1033">
        <v>1</v>
      </c>
      <c r="R1033">
        <v>433.35833333333335</v>
      </c>
      <c r="S1033">
        <v>3.9328571428571428</v>
      </c>
      <c r="T1033" s="2">
        <v>44287</v>
      </c>
      <c r="U1033" s="1" t="s">
        <v>41</v>
      </c>
      <c r="V1033">
        <v>1</v>
      </c>
      <c r="W1033" s="1" t="s">
        <v>56</v>
      </c>
      <c r="X1033">
        <v>911</v>
      </c>
      <c r="Y1033" s="1" t="s">
        <v>52</v>
      </c>
      <c r="Z1033" s="1" t="s">
        <v>42</v>
      </c>
      <c r="AA1033">
        <v>0.46153846153846156</v>
      </c>
      <c r="AB1033" s="1" t="s">
        <v>42</v>
      </c>
      <c r="AC1033">
        <v>3</v>
      </c>
      <c r="AD1033" s="2">
        <v>44287</v>
      </c>
      <c r="AE1033" s="1" t="s">
        <v>74</v>
      </c>
      <c r="AF1033" s="1" t="s">
        <v>78</v>
      </c>
      <c r="AG1033" s="1" t="s">
        <v>70</v>
      </c>
      <c r="AH1033" s="1" t="s">
        <v>68</v>
      </c>
      <c r="AI1033">
        <v>5244</v>
      </c>
      <c r="AJ1033">
        <v>-43.699999999999818</v>
      </c>
    </row>
    <row r="1034" spans="1:36" x14ac:dyDescent="0.25">
      <c r="A1034">
        <v>11033</v>
      </c>
      <c r="B1034">
        <v>54</v>
      </c>
      <c r="C1034" s="1" t="s">
        <v>75</v>
      </c>
      <c r="D1034" s="1" t="s">
        <v>71</v>
      </c>
      <c r="E1034" s="2">
        <v>44514</v>
      </c>
      <c r="F1034" s="2">
        <v>44838</v>
      </c>
      <c r="G1034" s="1" t="s">
        <v>38</v>
      </c>
      <c r="H1034">
        <v>1247</v>
      </c>
      <c r="I1034">
        <v>6</v>
      </c>
      <c r="J1034">
        <v>0</v>
      </c>
      <c r="K1034">
        <v>94.21</v>
      </c>
      <c r="L1034">
        <v>5</v>
      </c>
      <c r="M1034" s="1" t="s">
        <v>39</v>
      </c>
      <c r="N1034" s="1" t="s">
        <v>56</v>
      </c>
      <c r="O1034">
        <v>7419.65</v>
      </c>
      <c r="P1034" t="b">
        <v>1</v>
      </c>
      <c r="Q1034">
        <v>0.5</v>
      </c>
      <c r="R1034">
        <v>1236.6083333333333</v>
      </c>
      <c r="S1034">
        <v>94.21</v>
      </c>
      <c r="T1034" s="2">
        <v>44501</v>
      </c>
      <c r="U1034" s="1" t="s">
        <v>41</v>
      </c>
      <c r="V1034">
        <v>0</v>
      </c>
      <c r="W1034" s="1" t="s">
        <v>56</v>
      </c>
      <c r="X1034">
        <v>324</v>
      </c>
      <c r="Y1034" s="1" t="s">
        <v>43</v>
      </c>
      <c r="Z1034" s="1" t="s">
        <v>42</v>
      </c>
      <c r="AA1034">
        <v>0</v>
      </c>
      <c r="AB1034" s="1" t="s">
        <v>42</v>
      </c>
      <c r="AC1034">
        <v>1</v>
      </c>
      <c r="AD1034" s="2">
        <v>44501</v>
      </c>
      <c r="AE1034" s="1" t="s">
        <v>58</v>
      </c>
      <c r="AF1034" s="1" t="s">
        <v>54</v>
      </c>
      <c r="AG1034" s="1" t="s">
        <v>63</v>
      </c>
      <c r="AH1034" s="1" t="s">
        <v>47</v>
      </c>
      <c r="AI1034">
        <v>7482</v>
      </c>
      <c r="AJ1034">
        <v>-62.350000000000364</v>
      </c>
    </row>
    <row r="1035" spans="1:36" x14ac:dyDescent="0.25">
      <c r="A1035">
        <v>11034</v>
      </c>
      <c r="B1035">
        <v>31</v>
      </c>
      <c r="C1035" s="1" t="s">
        <v>60</v>
      </c>
      <c r="D1035" s="1" t="s">
        <v>71</v>
      </c>
      <c r="E1035" s="2">
        <v>44219</v>
      </c>
      <c r="F1035" s="2">
        <v>44966</v>
      </c>
      <c r="G1035" s="1" t="s">
        <v>38</v>
      </c>
      <c r="H1035">
        <v>756</v>
      </c>
      <c r="I1035">
        <v>10</v>
      </c>
      <c r="J1035">
        <v>6</v>
      </c>
      <c r="K1035">
        <v>79.59</v>
      </c>
      <c r="L1035">
        <v>10</v>
      </c>
      <c r="M1035" s="1" t="s">
        <v>67</v>
      </c>
      <c r="N1035" s="1" t="s">
        <v>56</v>
      </c>
      <c r="O1035">
        <v>7560</v>
      </c>
      <c r="P1035" t="b">
        <v>1</v>
      </c>
      <c r="Q1035">
        <v>0.83333333333333337</v>
      </c>
      <c r="R1035">
        <v>756</v>
      </c>
      <c r="S1035">
        <v>11.370000000000001</v>
      </c>
      <c r="T1035" s="2">
        <v>44197</v>
      </c>
      <c r="U1035" s="1" t="s">
        <v>57</v>
      </c>
      <c r="V1035">
        <v>0</v>
      </c>
      <c r="W1035" s="1" t="s">
        <v>56</v>
      </c>
      <c r="X1035">
        <v>747</v>
      </c>
      <c r="Y1035" s="1" t="s">
        <v>43</v>
      </c>
      <c r="Z1035" s="1" t="s">
        <v>42</v>
      </c>
      <c r="AA1035">
        <v>0.54545454545454541</v>
      </c>
      <c r="AB1035" s="1" t="s">
        <v>42</v>
      </c>
      <c r="AC1035">
        <v>1</v>
      </c>
      <c r="AD1035" s="2">
        <v>44197</v>
      </c>
      <c r="AE1035" s="1" t="s">
        <v>74</v>
      </c>
      <c r="AF1035" s="1" t="s">
        <v>78</v>
      </c>
      <c r="AG1035" s="1" t="s">
        <v>63</v>
      </c>
      <c r="AH1035" s="1" t="s">
        <v>59</v>
      </c>
      <c r="AI1035">
        <v>7560</v>
      </c>
      <c r="AJ1035">
        <v>0</v>
      </c>
    </row>
    <row r="1036" spans="1:36" x14ac:dyDescent="0.25">
      <c r="A1036">
        <v>11035</v>
      </c>
      <c r="B1036">
        <v>47</v>
      </c>
      <c r="C1036" s="1" t="s">
        <v>36</v>
      </c>
      <c r="D1036" s="1" t="s">
        <v>69</v>
      </c>
      <c r="E1036" s="2">
        <v>44754</v>
      </c>
      <c r="F1036" s="2">
        <v>44850</v>
      </c>
      <c r="G1036" s="1" t="s">
        <v>62</v>
      </c>
      <c r="H1036">
        <v>1113</v>
      </c>
      <c r="I1036">
        <v>2</v>
      </c>
      <c r="J1036">
        <v>2</v>
      </c>
      <c r="K1036">
        <v>75.36</v>
      </c>
      <c r="L1036">
        <v>20</v>
      </c>
      <c r="M1036" s="1" t="s">
        <v>67</v>
      </c>
      <c r="N1036" s="1" t="s">
        <v>56</v>
      </c>
      <c r="O1036">
        <v>2003.4</v>
      </c>
      <c r="P1036" t="b">
        <v>1</v>
      </c>
      <c r="Q1036">
        <v>0.16666666666666666</v>
      </c>
      <c r="R1036">
        <v>1001.7</v>
      </c>
      <c r="S1036">
        <v>25.12</v>
      </c>
      <c r="T1036" s="2">
        <v>44743</v>
      </c>
      <c r="U1036" s="1" t="s">
        <v>51</v>
      </c>
      <c r="V1036">
        <v>0</v>
      </c>
      <c r="W1036" s="1" t="s">
        <v>56</v>
      </c>
      <c r="X1036">
        <v>96</v>
      </c>
      <c r="Y1036" s="1" t="s">
        <v>43</v>
      </c>
      <c r="Z1036" s="1" t="s">
        <v>52</v>
      </c>
      <c r="AA1036">
        <v>0.66666666666666663</v>
      </c>
      <c r="AB1036" s="1" t="s">
        <v>42</v>
      </c>
      <c r="AC1036">
        <v>2</v>
      </c>
      <c r="AD1036" s="2">
        <v>44743</v>
      </c>
      <c r="AE1036" s="1" t="s">
        <v>58</v>
      </c>
      <c r="AF1036" s="1" t="s">
        <v>72</v>
      </c>
      <c r="AG1036" s="1" t="s">
        <v>63</v>
      </c>
      <c r="AH1036" s="1" t="s">
        <v>47</v>
      </c>
      <c r="AI1036">
        <v>2226</v>
      </c>
      <c r="AJ1036">
        <v>-222.59999999999991</v>
      </c>
    </row>
    <row r="1037" spans="1:36" x14ac:dyDescent="0.25">
      <c r="A1037">
        <v>11036</v>
      </c>
      <c r="B1037">
        <v>52</v>
      </c>
      <c r="C1037" s="1" t="s">
        <v>36</v>
      </c>
      <c r="D1037" s="1" t="s">
        <v>71</v>
      </c>
      <c r="E1037" s="2">
        <v>45020</v>
      </c>
      <c r="F1037" s="2">
        <v>45237</v>
      </c>
      <c r="G1037" s="1" t="s">
        <v>62</v>
      </c>
      <c r="H1037">
        <v>1122</v>
      </c>
      <c r="I1037">
        <v>25</v>
      </c>
      <c r="J1037">
        <v>3</v>
      </c>
      <c r="K1037">
        <v>81.819999999999993</v>
      </c>
      <c r="L1037">
        <v>10</v>
      </c>
      <c r="M1037" s="1" t="s">
        <v>50</v>
      </c>
      <c r="N1037" s="1" t="s">
        <v>56</v>
      </c>
      <c r="O1037">
        <v>27937.8</v>
      </c>
      <c r="P1037" t="b">
        <v>1</v>
      </c>
      <c r="Q1037">
        <v>2.0833333333333335</v>
      </c>
      <c r="R1037">
        <v>1117.5119999999999</v>
      </c>
      <c r="S1037">
        <v>20.454999999999998</v>
      </c>
      <c r="T1037" s="2">
        <v>45017</v>
      </c>
      <c r="U1037" s="1" t="s">
        <v>41</v>
      </c>
      <c r="V1037">
        <v>0</v>
      </c>
      <c r="W1037" s="1" t="s">
        <v>40</v>
      </c>
      <c r="X1037">
        <v>217</v>
      </c>
      <c r="Y1037" s="1" t="s">
        <v>43</v>
      </c>
      <c r="Z1037" s="1" t="s">
        <v>42</v>
      </c>
      <c r="AA1037">
        <v>0.11538461538461539</v>
      </c>
      <c r="AB1037" s="1" t="s">
        <v>43</v>
      </c>
      <c r="AC1037">
        <v>2</v>
      </c>
      <c r="AD1037" s="2">
        <v>45017</v>
      </c>
      <c r="AE1037" s="1" t="s">
        <v>44</v>
      </c>
      <c r="AF1037" s="1" t="s">
        <v>72</v>
      </c>
      <c r="AG1037" s="1" t="s">
        <v>63</v>
      </c>
      <c r="AH1037" s="1" t="s">
        <v>47</v>
      </c>
      <c r="AI1037">
        <v>28050</v>
      </c>
      <c r="AJ1037">
        <v>-112.20000000000073</v>
      </c>
    </row>
    <row r="1038" spans="1:36" x14ac:dyDescent="0.25">
      <c r="A1038">
        <v>11037</v>
      </c>
      <c r="B1038">
        <v>38</v>
      </c>
      <c r="C1038" s="1" t="s">
        <v>36</v>
      </c>
      <c r="D1038" s="1" t="s">
        <v>48</v>
      </c>
      <c r="E1038" s="2">
        <v>44843</v>
      </c>
      <c r="F1038" s="2">
        <v>45082</v>
      </c>
      <c r="G1038" s="1" t="s">
        <v>38</v>
      </c>
      <c r="H1038">
        <v>1241</v>
      </c>
      <c r="I1038">
        <v>7</v>
      </c>
      <c r="J1038">
        <v>3</v>
      </c>
      <c r="K1038">
        <v>32.229999999999997</v>
      </c>
      <c r="L1038">
        <v>5</v>
      </c>
      <c r="M1038" s="1" t="s">
        <v>65</v>
      </c>
      <c r="N1038" s="1" t="s">
        <v>40</v>
      </c>
      <c r="O1038">
        <v>8624.9500000000007</v>
      </c>
      <c r="P1038" t="b">
        <v>1</v>
      </c>
      <c r="Q1038">
        <v>0.58333333333333337</v>
      </c>
      <c r="R1038">
        <v>1232.1357142857144</v>
      </c>
      <c r="S1038">
        <v>8.0574999999999992</v>
      </c>
      <c r="T1038" s="2">
        <v>44835</v>
      </c>
      <c r="U1038" s="1" t="s">
        <v>51</v>
      </c>
      <c r="V1038">
        <v>1</v>
      </c>
      <c r="W1038" s="1" t="s">
        <v>56</v>
      </c>
      <c r="X1038">
        <v>239</v>
      </c>
      <c r="Y1038" s="1" t="s">
        <v>52</v>
      </c>
      <c r="Z1038" s="1" t="s">
        <v>42</v>
      </c>
      <c r="AA1038">
        <v>0.375</v>
      </c>
      <c r="AB1038" s="1" t="s">
        <v>42</v>
      </c>
      <c r="AC1038">
        <v>1</v>
      </c>
      <c r="AD1038" s="2">
        <v>44835</v>
      </c>
      <c r="AE1038" s="1" t="s">
        <v>74</v>
      </c>
      <c r="AF1038" s="1" t="s">
        <v>72</v>
      </c>
      <c r="AG1038" s="1" t="s">
        <v>55</v>
      </c>
      <c r="AH1038" s="1" t="s">
        <v>47</v>
      </c>
      <c r="AI1038">
        <v>8687</v>
      </c>
      <c r="AJ1038">
        <v>-62.049999999999272</v>
      </c>
    </row>
    <row r="1039" spans="1:36" x14ac:dyDescent="0.25">
      <c r="A1039">
        <v>11038</v>
      </c>
      <c r="B1039">
        <v>41</v>
      </c>
      <c r="C1039" s="1" t="s">
        <v>36</v>
      </c>
      <c r="D1039" s="1" t="s">
        <v>76</v>
      </c>
      <c r="E1039" s="2">
        <v>44314</v>
      </c>
      <c r="F1039" s="2">
        <v>44939</v>
      </c>
      <c r="G1039" s="1" t="s">
        <v>38</v>
      </c>
      <c r="H1039">
        <v>743</v>
      </c>
      <c r="I1039">
        <v>23</v>
      </c>
      <c r="J1039">
        <v>0</v>
      </c>
      <c r="K1039">
        <v>56.13</v>
      </c>
      <c r="L1039">
        <v>5</v>
      </c>
      <c r="M1039" s="1" t="s">
        <v>67</v>
      </c>
      <c r="N1039" s="1" t="s">
        <v>56</v>
      </c>
      <c r="O1039">
        <v>17051.849999999999</v>
      </c>
      <c r="P1039" t="b">
        <v>1</v>
      </c>
      <c r="Q1039">
        <v>1.9166666666666667</v>
      </c>
      <c r="R1039">
        <v>741.38478260869556</v>
      </c>
      <c r="S1039">
        <v>56.13</v>
      </c>
      <c r="T1039" s="2">
        <v>44287</v>
      </c>
      <c r="U1039" s="1" t="s">
        <v>51</v>
      </c>
      <c r="V1039">
        <v>0</v>
      </c>
      <c r="W1039" s="1" t="s">
        <v>40</v>
      </c>
      <c r="X1039">
        <v>625</v>
      </c>
      <c r="Y1039" s="1" t="s">
        <v>52</v>
      </c>
      <c r="Z1039" s="1" t="s">
        <v>42</v>
      </c>
      <c r="AA1039">
        <v>0</v>
      </c>
      <c r="AB1039" s="1" t="s">
        <v>52</v>
      </c>
      <c r="AC1039">
        <v>1</v>
      </c>
      <c r="AD1039" s="2">
        <v>44287</v>
      </c>
      <c r="AE1039" s="1" t="s">
        <v>53</v>
      </c>
      <c r="AF1039" s="1" t="s">
        <v>54</v>
      </c>
      <c r="AG1039" s="1" t="s">
        <v>63</v>
      </c>
      <c r="AH1039" s="1" t="s">
        <v>59</v>
      </c>
      <c r="AI1039">
        <v>17089</v>
      </c>
      <c r="AJ1039">
        <v>-37.150000000001455</v>
      </c>
    </row>
    <row r="1040" spans="1:36" x14ac:dyDescent="0.25">
      <c r="A1040">
        <v>11039</v>
      </c>
      <c r="B1040">
        <v>22</v>
      </c>
      <c r="C1040" s="1" t="s">
        <v>36</v>
      </c>
      <c r="D1040" s="1" t="s">
        <v>37</v>
      </c>
      <c r="E1040" s="2">
        <v>44897</v>
      </c>
      <c r="F1040" s="2">
        <v>45093</v>
      </c>
      <c r="G1040" s="1" t="s">
        <v>38</v>
      </c>
      <c r="H1040">
        <v>652</v>
      </c>
      <c r="I1040">
        <v>11</v>
      </c>
      <c r="J1040">
        <v>1</v>
      </c>
      <c r="K1040">
        <v>77.819999999999993</v>
      </c>
      <c r="L1040">
        <v>10</v>
      </c>
      <c r="M1040" s="1" t="s">
        <v>39</v>
      </c>
      <c r="N1040" s="1" t="s">
        <v>56</v>
      </c>
      <c r="O1040">
        <v>7106.8</v>
      </c>
      <c r="P1040" t="b">
        <v>1</v>
      </c>
      <c r="Q1040">
        <v>0.91666666666666663</v>
      </c>
      <c r="R1040">
        <v>646.07272727272732</v>
      </c>
      <c r="S1040">
        <v>38.909999999999997</v>
      </c>
      <c r="T1040" s="2">
        <v>44896</v>
      </c>
      <c r="U1040" s="1" t="s">
        <v>66</v>
      </c>
      <c r="V1040">
        <v>0</v>
      </c>
      <c r="W1040" s="1" t="s">
        <v>56</v>
      </c>
      <c r="X1040">
        <v>196</v>
      </c>
      <c r="Y1040" s="1" t="s">
        <v>43</v>
      </c>
      <c r="Z1040" s="1" t="s">
        <v>42</v>
      </c>
      <c r="AA1040">
        <v>8.3333333333333329E-2</v>
      </c>
      <c r="AB1040" s="1" t="s">
        <v>42</v>
      </c>
      <c r="AC1040">
        <v>1</v>
      </c>
      <c r="AD1040" s="2">
        <v>44896</v>
      </c>
      <c r="AE1040" s="1" t="s">
        <v>74</v>
      </c>
      <c r="AF1040" s="1" t="s">
        <v>54</v>
      </c>
      <c r="AG1040" s="1" t="s">
        <v>63</v>
      </c>
      <c r="AH1040" s="1" t="s">
        <v>64</v>
      </c>
      <c r="AI1040">
        <v>7172</v>
      </c>
      <c r="AJ1040">
        <v>-65.199999999999818</v>
      </c>
    </row>
    <row r="1041" spans="1:36" x14ac:dyDescent="0.25">
      <c r="A1041">
        <v>11040</v>
      </c>
      <c r="B1041">
        <v>36</v>
      </c>
      <c r="C1041" s="1" t="s">
        <v>60</v>
      </c>
      <c r="D1041" s="1" t="s">
        <v>73</v>
      </c>
      <c r="E1041" s="2">
        <v>44839</v>
      </c>
      <c r="F1041" s="2">
        <v>44728</v>
      </c>
      <c r="G1041" s="1" t="s">
        <v>62</v>
      </c>
      <c r="H1041">
        <v>1295</v>
      </c>
      <c r="I1041">
        <v>23</v>
      </c>
      <c r="J1041">
        <v>1</v>
      </c>
      <c r="K1041">
        <v>78.209999999999994</v>
      </c>
      <c r="L1041">
        <v>0</v>
      </c>
      <c r="M1041" s="1" t="s">
        <v>39</v>
      </c>
      <c r="N1041" s="1" t="s">
        <v>56</v>
      </c>
      <c r="O1041">
        <v>29785</v>
      </c>
      <c r="P1041" t="b">
        <v>0</v>
      </c>
      <c r="Q1041">
        <v>1.9166666666666667</v>
      </c>
      <c r="R1041">
        <v>1295</v>
      </c>
      <c r="S1041">
        <v>39.104999999999997</v>
      </c>
      <c r="T1041" s="2">
        <v>44835</v>
      </c>
      <c r="U1041" s="1" t="s">
        <v>51</v>
      </c>
      <c r="V1041">
        <v>0</v>
      </c>
      <c r="W1041" s="1" t="s">
        <v>40</v>
      </c>
      <c r="Y1041" s="1" t="s">
        <v>43</v>
      </c>
      <c r="Z1041" s="1" t="s">
        <v>42</v>
      </c>
      <c r="AA1041">
        <v>4.1666666666666664E-2</v>
      </c>
      <c r="AB1041" s="1" t="s">
        <v>43</v>
      </c>
      <c r="AC1041">
        <v>2</v>
      </c>
      <c r="AD1041" s="2">
        <v>44835</v>
      </c>
      <c r="AE1041" s="1" t="s">
        <v>53</v>
      </c>
      <c r="AF1041" s="1" t="s">
        <v>54</v>
      </c>
      <c r="AG1041" s="1" t="s">
        <v>63</v>
      </c>
      <c r="AH1041" s="1" t="s">
        <v>47</v>
      </c>
      <c r="AI1041">
        <v>29785</v>
      </c>
      <c r="AJ1041">
        <v>0</v>
      </c>
    </row>
    <row r="1042" spans="1:36" x14ac:dyDescent="0.25">
      <c r="A1042">
        <v>11041</v>
      </c>
      <c r="B1042">
        <v>31</v>
      </c>
      <c r="C1042" s="1" t="s">
        <v>36</v>
      </c>
      <c r="D1042" s="1" t="s">
        <v>71</v>
      </c>
      <c r="E1042" s="2">
        <v>44408</v>
      </c>
      <c r="F1042" s="2">
        <v>45043</v>
      </c>
      <c r="G1042" s="1" t="s">
        <v>62</v>
      </c>
      <c r="H1042">
        <v>1093</v>
      </c>
      <c r="I1042">
        <v>7</v>
      </c>
      <c r="J1042">
        <v>1</v>
      </c>
      <c r="K1042">
        <v>96.06</v>
      </c>
      <c r="L1042">
        <v>0</v>
      </c>
      <c r="M1042" s="1" t="s">
        <v>50</v>
      </c>
      <c r="N1042" s="1" t="s">
        <v>56</v>
      </c>
      <c r="O1042">
        <v>7651</v>
      </c>
      <c r="P1042" t="b">
        <v>1</v>
      </c>
      <c r="Q1042">
        <v>0.58333333333333337</v>
      </c>
      <c r="R1042">
        <v>1093</v>
      </c>
      <c r="S1042">
        <v>48.03</v>
      </c>
      <c r="T1042" s="2">
        <v>44378</v>
      </c>
      <c r="U1042" s="1" t="s">
        <v>57</v>
      </c>
      <c r="V1042">
        <v>0</v>
      </c>
      <c r="W1042" s="1" t="s">
        <v>56</v>
      </c>
      <c r="X1042">
        <v>635</v>
      </c>
      <c r="Y1042" s="1" t="s">
        <v>43</v>
      </c>
      <c r="Z1042" s="1" t="s">
        <v>42</v>
      </c>
      <c r="AA1042">
        <v>0.125</v>
      </c>
      <c r="AB1042" s="1" t="s">
        <v>42</v>
      </c>
      <c r="AC1042">
        <v>2</v>
      </c>
      <c r="AD1042" s="2">
        <v>44378</v>
      </c>
      <c r="AE1042" s="1" t="s">
        <v>74</v>
      </c>
      <c r="AF1042" s="1" t="s">
        <v>54</v>
      </c>
      <c r="AG1042" s="1" t="s">
        <v>63</v>
      </c>
      <c r="AH1042" s="1" t="s">
        <v>47</v>
      </c>
      <c r="AI1042">
        <v>7651</v>
      </c>
      <c r="AJ1042">
        <v>0</v>
      </c>
    </row>
    <row r="1043" spans="1:36" x14ac:dyDescent="0.25">
      <c r="A1043">
        <v>11042</v>
      </c>
      <c r="B1043">
        <v>43</v>
      </c>
      <c r="C1043" s="1" t="s">
        <v>36</v>
      </c>
      <c r="D1043" s="1" t="s">
        <v>37</v>
      </c>
      <c r="E1043" s="2">
        <v>44614</v>
      </c>
      <c r="F1043" s="2">
        <v>44775</v>
      </c>
      <c r="G1043" s="1" t="s">
        <v>62</v>
      </c>
      <c r="H1043">
        <v>710</v>
      </c>
      <c r="I1043">
        <v>27</v>
      </c>
      <c r="J1043">
        <v>2</v>
      </c>
      <c r="K1043">
        <v>38.020000000000003</v>
      </c>
      <c r="L1043">
        <v>5</v>
      </c>
      <c r="M1043" s="1" t="s">
        <v>67</v>
      </c>
      <c r="N1043" s="1" t="s">
        <v>56</v>
      </c>
      <c r="O1043">
        <v>19134.5</v>
      </c>
      <c r="P1043" t="b">
        <v>1</v>
      </c>
      <c r="Q1043">
        <v>2.25</v>
      </c>
      <c r="R1043">
        <v>708.68518518518522</v>
      </c>
      <c r="S1043">
        <v>12.673333333333334</v>
      </c>
      <c r="T1043" s="2">
        <v>44593</v>
      </c>
      <c r="U1043" s="1" t="s">
        <v>51</v>
      </c>
      <c r="V1043">
        <v>0</v>
      </c>
      <c r="W1043" s="1" t="s">
        <v>40</v>
      </c>
      <c r="X1043">
        <v>161</v>
      </c>
      <c r="Y1043" s="1" t="s">
        <v>52</v>
      </c>
      <c r="Z1043" s="1" t="s">
        <v>42</v>
      </c>
      <c r="AA1043">
        <v>7.1428571428571425E-2</v>
      </c>
      <c r="AB1043" s="1" t="s">
        <v>52</v>
      </c>
      <c r="AC1043">
        <v>2</v>
      </c>
      <c r="AD1043" s="2">
        <v>44593</v>
      </c>
      <c r="AE1043" s="1" t="s">
        <v>44</v>
      </c>
      <c r="AF1043" s="1" t="s">
        <v>72</v>
      </c>
      <c r="AG1043" s="1" t="s">
        <v>55</v>
      </c>
      <c r="AH1043" s="1" t="s">
        <v>59</v>
      </c>
      <c r="AI1043">
        <v>19170</v>
      </c>
      <c r="AJ1043">
        <v>-35.5</v>
      </c>
    </row>
    <row r="1044" spans="1:36" x14ac:dyDescent="0.25">
      <c r="A1044">
        <v>11043</v>
      </c>
      <c r="B1044">
        <v>21</v>
      </c>
      <c r="C1044" s="1" t="s">
        <v>36</v>
      </c>
      <c r="D1044" s="1" t="s">
        <v>71</v>
      </c>
      <c r="E1044" s="2">
        <v>44309</v>
      </c>
      <c r="F1044" s="2">
        <v>45044</v>
      </c>
      <c r="G1044" s="1" t="s">
        <v>62</v>
      </c>
      <c r="H1044">
        <v>977</v>
      </c>
      <c r="I1044">
        <v>13</v>
      </c>
      <c r="J1044">
        <v>6</v>
      </c>
      <c r="K1044">
        <v>93.59</v>
      </c>
      <c r="L1044">
        <v>15</v>
      </c>
      <c r="M1044" s="1" t="s">
        <v>65</v>
      </c>
      <c r="N1044" s="1" t="s">
        <v>56</v>
      </c>
      <c r="O1044">
        <v>12554.45</v>
      </c>
      <c r="P1044" t="b">
        <v>1</v>
      </c>
      <c r="Q1044">
        <v>1.0833333333333333</v>
      </c>
      <c r="R1044">
        <v>965.72692307692319</v>
      </c>
      <c r="S1044">
        <v>13.370000000000001</v>
      </c>
      <c r="T1044" s="2">
        <v>44287</v>
      </c>
      <c r="U1044" s="1" t="s">
        <v>66</v>
      </c>
      <c r="V1044">
        <v>0</v>
      </c>
      <c r="W1044" s="1" t="s">
        <v>56</v>
      </c>
      <c r="X1044">
        <v>735</v>
      </c>
      <c r="Y1044" s="1" t="s">
        <v>43</v>
      </c>
      <c r="Z1044" s="1" t="s">
        <v>42</v>
      </c>
      <c r="AA1044">
        <v>0.42857142857142855</v>
      </c>
      <c r="AB1044" s="1" t="s">
        <v>52</v>
      </c>
      <c r="AC1044">
        <v>2</v>
      </c>
      <c r="AD1044" s="2">
        <v>44287</v>
      </c>
      <c r="AE1044" s="1" t="s">
        <v>53</v>
      </c>
      <c r="AF1044" s="1" t="s">
        <v>78</v>
      </c>
      <c r="AG1044" s="1" t="s">
        <v>63</v>
      </c>
      <c r="AH1044" s="1" t="s">
        <v>59</v>
      </c>
      <c r="AI1044">
        <v>12701</v>
      </c>
      <c r="AJ1044">
        <v>-146.54999999999927</v>
      </c>
    </row>
    <row r="1045" spans="1:36" x14ac:dyDescent="0.25">
      <c r="A1045">
        <v>11044</v>
      </c>
      <c r="B1045">
        <v>42</v>
      </c>
      <c r="C1045" s="1" t="s">
        <v>36</v>
      </c>
      <c r="D1045" s="1" t="s">
        <v>71</v>
      </c>
      <c r="E1045" s="2">
        <v>44240</v>
      </c>
      <c r="F1045" s="2">
        <v>44993</v>
      </c>
      <c r="G1045" s="1" t="s">
        <v>62</v>
      </c>
      <c r="H1045">
        <v>752</v>
      </c>
      <c r="I1045">
        <v>17</v>
      </c>
      <c r="J1045">
        <v>2</v>
      </c>
      <c r="K1045">
        <v>55.62</v>
      </c>
      <c r="L1045">
        <v>10</v>
      </c>
      <c r="M1045" s="1" t="s">
        <v>65</v>
      </c>
      <c r="N1045" s="1" t="s">
        <v>56</v>
      </c>
      <c r="O1045">
        <v>12708.8</v>
      </c>
      <c r="P1045" t="b">
        <v>1</v>
      </c>
      <c r="Q1045">
        <v>1.4166666666666667</v>
      </c>
      <c r="R1045">
        <v>747.57647058823522</v>
      </c>
      <c r="S1045">
        <v>18.54</v>
      </c>
      <c r="T1045" s="2">
        <v>44228</v>
      </c>
      <c r="U1045" s="1" t="s">
        <v>51</v>
      </c>
      <c r="V1045">
        <v>0</v>
      </c>
      <c r="W1045" s="1" t="s">
        <v>56</v>
      </c>
      <c r="X1045">
        <v>753</v>
      </c>
      <c r="Y1045" s="1" t="s">
        <v>52</v>
      </c>
      <c r="Z1045" s="1" t="s">
        <v>42</v>
      </c>
      <c r="AA1045">
        <v>0.1111111111111111</v>
      </c>
      <c r="AB1045" s="1" t="s">
        <v>52</v>
      </c>
      <c r="AC1045">
        <v>2</v>
      </c>
      <c r="AD1045" s="2">
        <v>44228</v>
      </c>
      <c r="AE1045" s="1" t="s">
        <v>53</v>
      </c>
      <c r="AF1045" s="1" t="s">
        <v>72</v>
      </c>
      <c r="AG1045" s="1" t="s">
        <v>63</v>
      </c>
      <c r="AH1045" s="1" t="s">
        <v>59</v>
      </c>
      <c r="AI1045">
        <v>12784</v>
      </c>
      <c r="AJ1045">
        <v>-75.200000000000728</v>
      </c>
    </row>
    <row r="1046" spans="1:36" x14ac:dyDescent="0.25">
      <c r="A1046">
        <v>11045</v>
      </c>
      <c r="B1046">
        <v>62</v>
      </c>
      <c r="C1046" s="1" t="s">
        <v>60</v>
      </c>
      <c r="D1046" s="1" t="s">
        <v>69</v>
      </c>
      <c r="E1046" s="2">
        <v>44324</v>
      </c>
      <c r="F1046" s="2">
        <v>45079</v>
      </c>
      <c r="G1046" s="1" t="s">
        <v>38</v>
      </c>
      <c r="H1046">
        <v>718</v>
      </c>
      <c r="I1046">
        <v>32</v>
      </c>
      <c r="J1046">
        <v>3</v>
      </c>
      <c r="K1046">
        <v>82.07</v>
      </c>
      <c r="L1046">
        <v>0</v>
      </c>
      <c r="M1046" s="1" t="s">
        <v>39</v>
      </c>
      <c r="N1046" s="1" t="s">
        <v>56</v>
      </c>
      <c r="O1046">
        <v>22976</v>
      </c>
      <c r="P1046" t="b">
        <v>1</v>
      </c>
      <c r="Q1046">
        <v>2.6666666666666665</v>
      </c>
      <c r="R1046">
        <v>718</v>
      </c>
      <c r="S1046">
        <v>20.517499999999998</v>
      </c>
      <c r="T1046" s="2">
        <v>44317</v>
      </c>
      <c r="U1046" s="1" t="s">
        <v>41</v>
      </c>
      <c r="V1046">
        <v>0</v>
      </c>
      <c r="W1046" s="1" t="s">
        <v>40</v>
      </c>
      <c r="X1046">
        <v>755</v>
      </c>
      <c r="Y1046" s="1" t="s">
        <v>43</v>
      </c>
      <c r="Z1046" s="1" t="s">
        <v>42</v>
      </c>
      <c r="AA1046">
        <v>9.0909090909090912E-2</v>
      </c>
      <c r="AB1046" s="1" t="s">
        <v>43</v>
      </c>
      <c r="AC1046">
        <v>1</v>
      </c>
      <c r="AD1046" s="2">
        <v>44317</v>
      </c>
      <c r="AE1046" s="1" t="s">
        <v>44</v>
      </c>
      <c r="AF1046" s="1" t="s">
        <v>72</v>
      </c>
      <c r="AG1046" s="1" t="s">
        <v>63</v>
      </c>
      <c r="AH1046" s="1" t="s">
        <v>59</v>
      </c>
      <c r="AI1046">
        <v>22976</v>
      </c>
      <c r="AJ1046">
        <v>0</v>
      </c>
    </row>
    <row r="1047" spans="1:36" x14ac:dyDescent="0.25">
      <c r="A1047">
        <v>11046</v>
      </c>
      <c r="B1047">
        <v>41</v>
      </c>
      <c r="C1047" s="1" t="s">
        <v>60</v>
      </c>
      <c r="D1047" s="1" t="s">
        <v>48</v>
      </c>
      <c r="E1047" s="2">
        <v>45072</v>
      </c>
      <c r="F1047" s="2">
        <v>45147</v>
      </c>
      <c r="G1047" s="1" t="s">
        <v>49</v>
      </c>
      <c r="H1047">
        <v>749</v>
      </c>
      <c r="I1047">
        <v>26</v>
      </c>
      <c r="J1047">
        <v>2</v>
      </c>
      <c r="K1047">
        <v>57.41</v>
      </c>
      <c r="L1047">
        <v>0</v>
      </c>
      <c r="M1047" s="1" t="s">
        <v>50</v>
      </c>
      <c r="N1047" s="1" t="s">
        <v>56</v>
      </c>
      <c r="O1047">
        <v>19474</v>
      </c>
      <c r="P1047" t="b">
        <v>1</v>
      </c>
      <c r="Q1047">
        <v>2.1666666666666665</v>
      </c>
      <c r="R1047">
        <v>749</v>
      </c>
      <c r="S1047">
        <v>19.136666666666667</v>
      </c>
      <c r="T1047" s="2">
        <v>45047</v>
      </c>
      <c r="U1047" s="1" t="s">
        <v>51</v>
      </c>
      <c r="V1047">
        <v>0</v>
      </c>
      <c r="W1047" s="1" t="s">
        <v>40</v>
      </c>
      <c r="X1047">
        <v>75</v>
      </c>
      <c r="Y1047" s="1" t="s">
        <v>52</v>
      </c>
      <c r="Z1047" s="1" t="s">
        <v>42</v>
      </c>
      <c r="AA1047">
        <v>7.407407407407407E-2</v>
      </c>
      <c r="AB1047" s="1" t="s">
        <v>43</v>
      </c>
      <c r="AC1047">
        <v>3</v>
      </c>
      <c r="AD1047" s="2">
        <v>45047</v>
      </c>
      <c r="AE1047" s="1" t="s">
        <v>44</v>
      </c>
      <c r="AF1047" s="1" t="s">
        <v>72</v>
      </c>
      <c r="AG1047" s="1" t="s">
        <v>63</v>
      </c>
      <c r="AH1047" s="1" t="s">
        <v>59</v>
      </c>
      <c r="AI1047">
        <v>19474</v>
      </c>
      <c r="AJ1047">
        <v>0</v>
      </c>
    </row>
    <row r="1048" spans="1:36" x14ac:dyDescent="0.25">
      <c r="A1048">
        <v>11047</v>
      </c>
      <c r="B1048">
        <v>42</v>
      </c>
      <c r="C1048" s="1" t="s">
        <v>75</v>
      </c>
      <c r="D1048" s="1" t="s">
        <v>73</v>
      </c>
      <c r="E1048" s="2">
        <v>44354</v>
      </c>
      <c r="F1048" s="2">
        <v>44711</v>
      </c>
      <c r="G1048" s="1" t="s">
        <v>49</v>
      </c>
      <c r="H1048">
        <v>1294</v>
      </c>
      <c r="I1048">
        <v>22</v>
      </c>
      <c r="J1048">
        <v>7</v>
      </c>
      <c r="K1048">
        <v>114.09</v>
      </c>
      <c r="L1048">
        <v>0</v>
      </c>
      <c r="M1048" s="1" t="s">
        <v>67</v>
      </c>
      <c r="N1048" s="1" t="s">
        <v>56</v>
      </c>
      <c r="O1048">
        <v>28468</v>
      </c>
      <c r="P1048" t="b">
        <v>1</v>
      </c>
      <c r="Q1048">
        <v>1.8333333333333333</v>
      </c>
      <c r="R1048">
        <v>1294</v>
      </c>
      <c r="S1048">
        <v>14.26125</v>
      </c>
      <c r="T1048" s="2">
        <v>44348</v>
      </c>
      <c r="U1048" s="1" t="s">
        <v>51</v>
      </c>
      <c r="V1048">
        <v>0</v>
      </c>
      <c r="W1048" s="1" t="s">
        <v>40</v>
      </c>
      <c r="X1048">
        <v>357</v>
      </c>
      <c r="Y1048" s="1" t="s">
        <v>43</v>
      </c>
      <c r="Z1048" s="1" t="s">
        <v>42</v>
      </c>
      <c r="AA1048">
        <v>0.30434782608695654</v>
      </c>
      <c r="AB1048" s="1" t="s">
        <v>43</v>
      </c>
      <c r="AC1048">
        <v>3</v>
      </c>
      <c r="AD1048" s="2">
        <v>44348</v>
      </c>
      <c r="AE1048" s="1" t="s">
        <v>53</v>
      </c>
      <c r="AF1048" s="1" t="s">
        <v>78</v>
      </c>
      <c r="AG1048" s="1" t="s">
        <v>63</v>
      </c>
      <c r="AH1048" s="1" t="s">
        <v>47</v>
      </c>
      <c r="AI1048">
        <v>28468</v>
      </c>
      <c r="AJ1048">
        <v>0</v>
      </c>
    </row>
    <row r="1049" spans="1:36" x14ac:dyDescent="0.25">
      <c r="A1049">
        <v>11048</v>
      </c>
      <c r="B1049">
        <v>35</v>
      </c>
      <c r="C1049" s="1" t="s">
        <v>36</v>
      </c>
      <c r="D1049" s="1" t="s">
        <v>48</v>
      </c>
      <c r="E1049" s="2">
        <v>44981</v>
      </c>
      <c r="F1049" s="2">
        <v>44549</v>
      </c>
      <c r="G1049" s="1" t="s">
        <v>38</v>
      </c>
      <c r="H1049">
        <v>1438</v>
      </c>
      <c r="I1049">
        <v>13</v>
      </c>
      <c r="J1049">
        <v>3</v>
      </c>
      <c r="K1049">
        <v>25.62</v>
      </c>
      <c r="L1049">
        <v>20</v>
      </c>
      <c r="M1049" s="1" t="s">
        <v>39</v>
      </c>
      <c r="N1049" s="1" t="s">
        <v>56</v>
      </c>
      <c r="O1049">
        <v>18406.400000000001</v>
      </c>
      <c r="P1049" t="b">
        <v>0</v>
      </c>
      <c r="Q1049">
        <v>1.0833333333333333</v>
      </c>
      <c r="R1049">
        <v>1415.8769230769233</v>
      </c>
      <c r="S1049">
        <v>6.4050000000000002</v>
      </c>
      <c r="T1049" s="2">
        <v>44958</v>
      </c>
      <c r="U1049" s="1" t="s">
        <v>57</v>
      </c>
      <c r="V1049">
        <v>0</v>
      </c>
      <c r="W1049" s="1" t="s">
        <v>40</v>
      </c>
      <c r="Y1049" s="1" t="s">
        <v>52</v>
      </c>
      <c r="Z1049" s="1" t="s">
        <v>52</v>
      </c>
      <c r="AA1049">
        <v>0.21428571428571427</v>
      </c>
      <c r="AB1049" s="1" t="s">
        <v>52</v>
      </c>
      <c r="AC1049">
        <v>1</v>
      </c>
      <c r="AD1049" s="2">
        <v>44958</v>
      </c>
      <c r="AE1049" s="1" t="s">
        <v>53</v>
      </c>
      <c r="AF1049" s="1" t="s">
        <v>72</v>
      </c>
      <c r="AG1049" s="1" t="s">
        <v>70</v>
      </c>
      <c r="AH1049" s="1" t="s">
        <v>47</v>
      </c>
      <c r="AI1049">
        <v>18694</v>
      </c>
      <c r="AJ1049">
        <v>-287.59999999999854</v>
      </c>
    </row>
    <row r="1050" spans="1:36" x14ac:dyDescent="0.25">
      <c r="A1050">
        <v>11049</v>
      </c>
      <c r="B1050">
        <v>41</v>
      </c>
      <c r="C1050" s="1" t="s">
        <v>36</v>
      </c>
      <c r="D1050" s="1" t="s">
        <v>61</v>
      </c>
      <c r="E1050" s="2">
        <v>45023</v>
      </c>
      <c r="F1050" s="2">
        <v>45229</v>
      </c>
      <c r="G1050" s="1" t="s">
        <v>38</v>
      </c>
      <c r="H1050">
        <v>350</v>
      </c>
      <c r="I1050">
        <v>12</v>
      </c>
      <c r="J1050">
        <v>1</v>
      </c>
      <c r="K1050">
        <v>82.63</v>
      </c>
      <c r="L1050">
        <v>15</v>
      </c>
      <c r="M1050" s="1" t="s">
        <v>50</v>
      </c>
      <c r="N1050" s="1" t="s">
        <v>56</v>
      </c>
      <c r="O1050">
        <v>4147.5</v>
      </c>
      <c r="P1050" t="b">
        <v>1</v>
      </c>
      <c r="Q1050">
        <v>1</v>
      </c>
      <c r="R1050">
        <v>345.625</v>
      </c>
      <c r="S1050">
        <v>41.314999999999998</v>
      </c>
      <c r="T1050" s="2">
        <v>45017</v>
      </c>
      <c r="U1050" s="1" t="s">
        <v>51</v>
      </c>
      <c r="V1050">
        <v>0</v>
      </c>
      <c r="W1050" s="1" t="s">
        <v>56</v>
      </c>
      <c r="X1050">
        <v>206</v>
      </c>
      <c r="Y1050" s="1" t="s">
        <v>43</v>
      </c>
      <c r="Z1050" s="1" t="s">
        <v>42</v>
      </c>
      <c r="AA1050">
        <v>7.6923076923076927E-2</v>
      </c>
      <c r="AB1050" s="1" t="s">
        <v>42</v>
      </c>
      <c r="AC1050">
        <v>1</v>
      </c>
      <c r="AD1050" s="2">
        <v>45017</v>
      </c>
      <c r="AE1050" s="1" t="s">
        <v>74</v>
      </c>
      <c r="AF1050" s="1" t="s">
        <v>54</v>
      </c>
      <c r="AG1050" s="1" t="s">
        <v>63</v>
      </c>
      <c r="AH1050" s="1" t="s">
        <v>68</v>
      </c>
      <c r="AI1050">
        <v>4200</v>
      </c>
      <c r="AJ1050">
        <v>-52.5</v>
      </c>
    </row>
    <row r="1051" spans="1:36" x14ac:dyDescent="0.25">
      <c r="A1051">
        <v>11050</v>
      </c>
      <c r="B1051">
        <v>25</v>
      </c>
      <c r="C1051" s="1" t="s">
        <v>60</v>
      </c>
      <c r="D1051" s="1" t="s">
        <v>69</v>
      </c>
      <c r="E1051" s="2">
        <v>44590</v>
      </c>
      <c r="F1051" s="2">
        <v>44493</v>
      </c>
      <c r="G1051" s="1" t="s">
        <v>38</v>
      </c>
      <c r="H1051">
        <v>509</v>
      </c>
      <c r="I1051">
        <v>7</v>
      </c>
      <c r="J1051">
        <v>2</v>
      </c>
      <c r="K1051">
        <v>71.3</v>
      </c>
      <c r="L1051">
        <v>0</v>
      </c>
      <c r="M1051" s="1" t="s">
        <v>65</v>
      </c>
      <c r="N1051" s="1" t="s">
        <v>56</v>
      </c>
      <c r="O1051">
        <v>3563</v>
      </c>
      <c r="P1051" t="b">
        <v>0</v>
      </c>
      <c r="Q1051">
        <v>0.58333333333333337</v>
      </c>
      <c r="R1051">
        <v>509</v>
      </c>
      <c r="S1051">
        <v>23.766666666666666</v>
      </c>
      <c r="T1051" s="2">
        <v>44562</v>
      </c>
      <c r="U1051" s="1" t="s">
        <v>66</v>
      </c>
      <c r="V1051">
        <v>0</v>
      </c>
      <c r="W1051" s="1" t="s">
        <v>56</v>
      </c>
      <c r="Y1051" s="1" t="s">
        <v>43</v>
      </c>
      <c r="Z1051" s="1" t="s">
        <v>42</v>
      </c>
      <c r="AA1051">
        <v>0.25</v>
      </c>
      <c r="AB1051" s="1" t="s">
        <v>42</v>
      </c>
      <c r="AC1051">
        <v>1</v>
      </c>
      <c r="AD1051" s="2">
        <v>44562</v>
      </c>
      <c r="AE1051" s="1" t="s">
        <v>74</v>
      </c>
      <c r="AF1051" s="1" t="s">
        <v>72</v>
      </c>
      <c r="AG1051" s="1" t="s">
        <v>63</v>
      </c>
      <c r="AH1051" s="1" t="s">
        <v>64</v>
      </c>
      <c r="AI1051">
        <v>3563</v>
      </c>
      <c r="AJ1051">
        <v>0</v>
      </c>
    </row>
    <row r="1052" spans="1:36" x14ac:dyDescent="0.25">
      <c r="A1052">
        <v>11051</v>
      </c>
      <c r="B1052">
        <v>56</v>
      </c>
      <c r="C1052" s="1" t="s">
        <v>36</v>
      </c>
      <c r="D1052" s="1" t="s">
        <v>69</v>
      </c>
      <c r="E1052" s="2">
        <v>45063</v>
      </c>
      <c r="F1052" s="2">
        <v>45183</v>
      </c>
      <c r="G1052" s="1" t="s">
        <v>38</v>
      </c>
      <c r="H1052">
        <v>1187</v>
      </c>
      <c r="I1052">
        <v>1</v>
      </c>
      <c r="J1052">
        <v>2</v>
      </c>
      <c r="K1052">
        <v>24.86</v>
      </c>
      <c r="L1052">
        <v>15</v>
      </c>
      <c r="M1052" s="1" t="s">
        <v>39</v>
      </c>
      <c r="N1052" s="1" t="s">
        <v>40</v>
      </c>
      <c r="O1052">
        <v>1008.95</v>
      </c>
      <c r="P1052" t="b">
        <v>1</v>
      </c>
      <c r="Q1052">
        <v>8.3333333333333329E-2</v>
      </c>
      <c r="R1052">
        <v>1008.95</v>
      </c>
      <c r="S1052">
        <v>8.2866666666666671</v>
      </c>
      <c r="T1052" s="2">
        <v>45047</v>
      </c>
      <c r="U1052" s="1" t="s">
        <v>41</v>
      </c>
      <c r="V1052">
        <v>1</v>
      </c>
      <c r="W1052" s="1" t="s">
        <v>56</v>
      </c>
      <c r="X1052">
        <v>120</v>
      </c>
      <c r="Y1052" s="1" t="s">
        <v>52</v>
      </c>
      <c r="Z1052" s="1" t="s">
        <v>42</v>
      </c>
      <c r="AA1052">
        <v>1</v>
      </c>
      <c r="AB1052" s="1" t="s">
        <v>42</v>
      </c>
      <c r="AC1052">
        <v>1</v>
      </c>
      <c r="AD1052" s="2">
        <v>45047</v>
      </c>
      <c r="AE1052" s="1" t="s">
        <v>58</v>
      </c>
      <c r="AF1052" s="1" t="s">
        <v>72</v>
      </c>
      <c r="AG1052" s="1" t="s">
        <v>70</v>
      </c>
      <c r="AH1052" s="1" t="s">
        <v>47</v>
      </c>
      <c r="AI1052">
        <v>1187</v>
      </c>
      <c r="AJ1052">
        <v>-178.04999999999995</v>
      </c>
    </row>
    <row r="1053" spans="1:36" x14ac:dyDescent="0.25">
      <c r="A1053">
        <v>11052</v>
      </c>
      <c r="B1053">
        <v>57</v>
      </c>
      <c r="C1053" s="1" t="s">
        <v>36</v>
      </c>
      <c r="D1053" s="1" t="s">
        <v>48</v>
      </c>
      <c r="E1053" s="2">
        <v>45048</v>
      </c>
      <c r="F1053" s="2">
        <v>44986</v>
      </c>
      <c r="G1053" s="1" t="s">
        <v>62</v>
      </c>
      <c r="H1053">
        <v>1297</v>
      </c>
      <c r="I1053">
        <v>33</v>
      </c>
      <c r="J1053">
        <v>2</v>
      </c>
      <c r="K1053">
        <v>12.59</v>
      </c>
      <c r="L1053">
        <v>5</v>
      </c>
      <c r="M1053" s="1" t="s">
        <v>50</v>
      </c>
      <c r="N1053" s="1" t="s">
        <v>40</v>
      </c>
      <c r="O1053">
        <v>42736.15</v>
      </c>
      <c r="P1053" t="b">
        <v>0</v>
      </c>
      <c r="Q1053">
        <v>2.75</v>
      </c>
      <c r="R1053">
        <v>1295.0348484848485</v>
      </c>
      <c r="S1053">
        <v>4.1966666666666663</v>
      </c>
      <c r="T1053" s="2">
        <v>45047</v>
      </c>
      <c r="U1053" s="1" t="s">
        <v>41</v>
      </c>
      <c r="V1053">
        <v>1</v>
      </c>
      <c r="W1053" s="1" t="s">
        <v>40</v>
      </c>
      <c r="Y1053" s="1" t="s">
        <v>42</v>
      </c>
      <c r="Z1053" s="1" t="s">
        <v>42</v>
      </c>
      <c r="AA1053">
        <v>5.8823529411764705E-2</v>
      </c>
      <c r="AB1053" s="1" t="s">
        <v>43</v>
      </c>
      <c r="AC1053">
        <v>2</v>
      </c>
      <c r="AD1053" s="2">
        <v>45047</v>
      </c>
      <c r="AE1053" s="1" t="s">
        <v>44</v>
      </c>
      <c r="AF1053" s="1" t="s">
        <v>72</v>
      </c>
      <c r="AG1053" s="1" t="s">
        <v>46</v>
      </c>
      <c r="AH1053" s="1" t="s">
        <v>47</v>
      </c>
      <c r="AI1053">
        <v>42801</v>
      </c>
      <c r="AJ1053">
        <v>-64.849999999998545</v>
      </c>
    </row>
    <row r="1054" spans="1:36" x14ac:dyDescent="0.25">
      <c r="A1054">
        <v>11053</v>
      </c>
      <c r="B1054">
        <v>31</v>
      </c>
      <c r="C1054" s="1" t="s">
        <v>36</v>
      </c>
      <c r="D1054" s="1" t="s">
        <v>69</v>
      </c>
      <c r="E1054" s="2">
        <v>44708</v>
      </c>
      <c r="F1054" s="2">
        <v>44804</v>
      </c>
      <c r="G1054" s="1" t="s">
        <v>62</v>
      </c>
      <c r="H1054">
        <v>1292</v>
      </c>
      <c r="I1054">
        <v>14</v>
      </c>
      <c r="J1054">
        <v>1</v>
      </c>
      <c r="K1054">
        <v>96.9</v>
      </c>
      <c r="L1054">
        <v>5</v>
      </c>
      <c r="M1054" s="1" t="s">
        <v>65</v>
      </c>
      <c r="N1054" s="1" t="s">
        <v>40</v>
      </c>
      <c r="O1054">
        <v>18023.400000000001</v>
      </c>
      <c r="P1054" t="b">
        <v>1</v>
      </c>
      <c r="Q1054">
        <v>1.1666666666666667</v>
      </c>
      <c r="R1054">
        <v>1287.3857142857144</v>
      </c>
      <c r="S1054">
        <v>48.45</v>
      </c>
      <c r="T1054" s="2">
        <v>44682</v>
      </c>
      <c r="U1054" s="1" t="s">
        <v>57</v>
      </c>
      <c r="V1054">
        <v>1</v>
      </c>
      <c r="W1054" s="1" t="s">
        <v>40</v>
      </c>
      <c r="X1054">
        <v>96</v>
      </c>
      <c r="Y1054" s="1" t="s">
        <v>43</v>
      </c>
      <c r="Z1054" s="1" t="s">
        <v>42</v>
      </c>
      <c r="AA1054">
        <v>6.6666666666666666E-2</v>
      </c>
      <c r="AB1054" s="1" t="s">
        <v>52</v>
      </c>
      <c r="AC1054">
        <v>2</v>
      </c>
      <c r="AD1054" s="2">
        <v>44682</v>
      </c>
      <c r="AE1054" s="1" t="s">
        <v>53</v>
      </c>
      <c r="AF1054" s="1" t="s">
        <v>54</v>
      </c>
      <c r="AG1054" s="1" t="s">
        <v>63</v>
      </c>
      <c r="AH1054" s="1" t="s">
        <v>47</v>
      </c>
      <c r="AI1054">
        <v>18088</v>
      </c>
      <c r="AJ1054">
        <v>-64.599999999998545</v>
      </c>
    </row>
    <row r="1055" spans="1:36" x14ac:dyDescent="0.25">
      <c r="A1055">
        <v>11054</v>
      </c>
      <c r="B1055">
        <v>49</v>
      </c>
      <c r="C1055" s="1" t="s">
        <v>60</v>
      </c>
      <c r="D1055" s="1" t="s">
        <v>48</v>
      </c>
      <c r="E1055" s="2">
        <v>44241</v>
      </c>
      <c r="F1055" s="2">
        <v>44482</v>
      </c>
      <c r="G1055" s="1" t="s">
        <v>62</v>
      </c>
      <c r="H1055">
        <v>1149</v>
      </c>
      <c r="I1055">
        <v>17</v>
      </c>
      <c r="J1055">
        <v>1</v>
      </c>
      <c r="K1055">
        <v>23.11</v>
      </c>
      <c r="L1055">
        <v>20</v>
      </c>
      <c r="M1055" s="1" t="s">
        <v>50</v>
      </c>
      <c r="N1055" s="1" t="s">
        <v>56</v>
      </c>
      <c r="O1055">
        <v>19303.2</v>
      </c>
      <c r="P1055" t="b">
        <v>1</v>
      </c>
      <c r="Q1055">
        <v>1.4166666666666667</v>
      </c>
      <c r="R1055">
        <v>1135.4823529411765</v>
      </c>
      <c r="S1055">
        <v>11.555</v>
      </c>
      <c r="T1055" s="2">
        <v>44228</v>
      </c>
      <c r="U1055" s="1" t="s">
        <v>51</v>
      </c>
      <c r="V1055">
        <v>0</v>
      </c>
      <c r="W1055" s="1" t="s">
        <v>40</v>
      </c>
      <c r="X1055">
        <v>241</v>
      </c>
      <c r="Y1055" s="1" t="s">
        <v>52</v>
      </c>
      <c r="Z1055" s="1" t="s">
        <v>52</v>
      </c>
      <c r="AA1055">
        <v>5.5555555555555552E-2</v>
      </c>
      <c r="AB1055" s="1" t="s">
        <v>52</v>
      </c>
      <c r="AC1055">
        <v>2</v>
      </c>
      <c r="AD1055" s="2">
        <v>44228</v>
      </c>
      <c r="AE1055" s="1" t="s">
        <v>53</v>
      </c>
      <c r="AF1055" s="1" t="s">
        <v>54</v>
      </c>
      <c r="AG1055" s="1" t="s">
        <v>70</v>
      </c>
      <c r="AH1055" s="1" t="s">
        <v>47</v>
      </c>
      <c r="AI1055">
        <v>19533</v>
      </c>
      <c r="AJ1055">
        <v>-229.79999999999927</v>
      </c>
    </row>
    <row r="1056" spans="1:36" x14ac:dyDescent="0.25">
      <c r="A1056">
        <v>11055</v>
      </c>
      <c r="B1056">
        <v>55</v>
      </c>
      <c r="C1056" s="1" t="s">
        <v>36</v>
      </c>
      <c r="D1056" s="1" t="s">
        <v>69</v>
      </c>
      <c r="E1056" s="2">
        <v>44304</v>
      </c>
      <c r="F1056" s="2">
        <v>44973</v>
      </c>
      <c r="G1056" s="1" t="s">
        <v>62</v>
      </c>
      <c r="H1056">
        <v>926</v>
      </c>
      <c r="I1056">
        <v>4</v>
      </c>
      <c r="J1056">
        <v>1</v>
      </c>
      <c r="K1056">
        <v>62.59</v>
      </c>
      <c r="L1056">
        <v>15</v>
      </c>
      <c r="M1056" s="1" t="s">
        <v>39</v>
      </c>
      <c r="N1056" s="1" t="s">
        <v>56</v>
      </c>
      <c r="O1056">
        <v>3565.1</v>
      </c>
      <c r="P1056" t="b">
        <v>1</v>
      </c>
      <c r="Q1056">
        <v>0.33333333333333331</v>
      </c>
      <c r="R1056">
        <v>891.27499999999998</v>
      </c>
      <c r="S1056">
        <v>31.295000000000002</v>
      </c>
      <c r="T1056" s="2">
        <v>44287</v>
      </c>
      <c r="U1056" s="1" t="s">
        <v>41</v>
      </c>
      <c r="V1056">
        <v>0</v>
      </c>
      <c r="W1056" s="1" t="s">
        <v>56</v>
      </c>
      <c r="X1056">
        <v>669</v>
      </c>
      <c r="Y1056" s="1" t="s">
        <v>43</v>
      </c>
      <c r="Z1056" s="1" t="s">
        <v>42</v>
      </c>
      <c r="AA1056">
        <v>0.2</v>
      </c>
      <c r="AB1056" s="1" t="s">
        <v>42</v>
      </c>
      <c r="AC1056">
        <v>2</v>
      </c>
      <c r="AD1056" s="2">
        <v>44287</v>
      </c>
      <c r="AE1056" s="1" t="s">
        <v>58</v>
      </c>
      <c r="AF1056" s="1" t="s">
        <v>54</v>
      </c>
      <c r="AG1056" s="1" t="s">
        <v>63</v>
      </c>
      <c r="AH1056" s="1" t="s">
        <v>59</v>
      </c>
      <c r="AI1056">
        <v>3704</v>
      </c>
      <c r="AJ1056">
        <v>-138.90000000000009</v>
      </c>
    </row>
    <row r="1057" spans="1:36" x14ac:dyDescent="0.25">
      <c r="A1057">
        <v>11056</v>
      </c>
      <c r="B1057">
        <v>50</v>
      </c>
      <c r="C1057" s="1" t="s">
        <v>36</v>
      </c>
      <c r="D1057" s="1" t="s">
        <v>71</v>
      </c>
      <c r="E1057" s="2">
        <v>44415</v>
      </c>
      <c r="F1057" s="2">
        <v>44611</v>
      </c>
      <c r="G1057" s="1" t="s">
        <v>62</v>
      </c>
      <c r="H1057">
        <v>978</v>
      </c>
      <c r="I1057">
        <v>1</v>
      </c>
      <c r="J1057">
        <v>1</v>
      </c>
      <c r="K1057">
        <v>117.52</v>
      </c>
      <c r="L1057">
        <v>10</v>
      </c>
      <c r="M1057" s="1" t="s">
        <v>67</v>
      </c>
      <c r="N1057" s="1" t="s">
        <v>56</v>
      </c>
      <c r="O1057">
        <v>880.2</v>
      </c>
      <c r="P1057" t="b">
        <v>1</v>
      </c>
      <c r="Q1057">
        <v>8.3333333333333329E-2</v>
      </c>
      <c r="R1057">
        <v>880.2</v>
      </c>
      <c r="S1057">
        <v>58.76</v>
      </c>
      <c r="T1057" s="2">
        <v>44409</v>
      </c>
      <c r="U1057" s="1" t="s">
        <v>51</v>
      </c>
      <c r="V1057">
        <v>0</v>
      </c>
      <c r="W1057" s="1" t="s">
        <v>56</v>
      </c>
      <c r="X1057">
        <v>196</v>
      </c>
      <c r="Y1057" s="1" t="s">
        <v>43</v>
      </c>
      <c r="Z1057" s="1" t="s">
        <v>42</v>
      </c>
      <c r="AA1057">
        <v>0.5</v>
      </c>
      <c r="AB1057" s="1" t="s">
        <v>42</v>
      </c>
      <c r="AC1057">
        <v>2</v>
      </c>
      <c r="AD1057" s="2">
        <v>44409</v>
      </c>
      <c r="AE1057" s="1" t="s">
        <v>58</v>
      </c>
      <c r="AF1057" s="1" t="s">
        <v>54</v>
      </c>
      <c r="AG1057" s="1" t="s">
        <v>63</v>
      </c>
      <c r="AH1057" s="1" t="s">
        <v>59</v>
      </c>
      <c r="AI1057">
        <v>978</v>
      </c>
      <c r="AJ1057">
        <v>-97.799999999999955</v>
      </c>
    </row>
    <row r="1058" spans="1:36" x14ac:dyDescent="0.25">
      <c r="A1058">
        <v>11057</v>
      </c>
      <c r="B1058">
        <v>40</v>
      </c>
      <c r="C1058" s="1" t="s">
        <v>60</v>
      </c>
      <c r="D1058" s="1" t="s">
        <v>48</v>
      </c>
      <c r="E1058" s="2">
        <v>44639</v>
      </c>
      <c r="F1058" s="2">
        <v>44411</v>
      </c>
      <c r="G1058" s="1" t="s">
        <v>62</v>
      </c>
      <c r="H1058">
        <v>1076</v>
      </c>
      <c r="I1058">
        <v>24</v>
      </c>
      <c r="J1058">
        <v>2</v>
      </c>
      <c r="K1058">
        <v>87.48</v>
      </c>
      <c r="L1058">
        <v>20</v>
      </c>
      <c r="M1058" s="1" t="s">
        <v>50</v>
      </c>
      <c r="N1058" s="1" t="s">
        <v>56</v>
      </c>
      <c r="O1058">
        <v>25608.799999999999</v>
      </c>
      <c r="P1058" t="b">
        <v>0</v>
      </c>
      <c r="Q1058">
        <v>2</v>
      </c>
      <c r="R1058">
        <v>1067.0333333333333</v>
      </c>
      <c r="S1058">
        <v>29.16</v>
      </c>
      <c r="T1058" s="2">
        <v>44621</v>
      </c>
      <c r="U1058" s="1" t="s">
        <v>51</v>
      </c>
      <c r="V1058">
        <v>0</v>
      </c>
      <c r="W1058" s="1" t="s">
        <v>40</v>
      </c>
      <c r="Y1058" s="1" t="s">
        <v>43</v>
      </c>
      <c r="Z1058" s="1" t="s">
        <v>52</v>
      </c>
      <c r="AA1058">
        <v>0.08</v>
      </c>
      <c r="AB1058" s="1" t="s">
        <v>43</v>
      </c>
      <c r="AC1058">
        <v>2</v>
      </c>
      <c r="AD1058" s="2">
        <v>44621</v>
      </c>
      <c r="AE1058" s="1" t="s">
        <v>53</v>
      </c>
      <c r="AF1058" s="1" t="s">
        <v>72</v>
      </c>
      <c r="AG1058" s="1" t="s">
        <v>63</v>
      </c>
      <c r="AH1058" s="1" t="s">
        <v>47</v>
      </c>
      <c r="AI1058">
        <v>25824</v>
      </c>
      <c r="AJ1058">
        <v>-215.20000000000073</v>
      </c>
    </row>
    <row r="1059" spans="1:36" x14ac:dyDescent="0.25">
      <c r="A1059">
        <v>11058</v>
      </c>
      <c r="B1059">
        <v>32</v>
      </c>
      <c r="C1059" s="1" t="s">
        <v>36</v>
      </c>
      <c r="D1059" s="1" t="s">
        <v>48</v>
      </c>
      <c r="E1059" s="2">
        <v>45026</v>
      </c>
      <c r="F1059" s="2">
        <v>44838</v>
      </c>
      <c r="G1059" s="1" t="s">
        <v>38</v>
      </c>
      <c r="H1059">
        <v>962</v>
      </c>
      <c r="I1059">
        <v>34</v>
      </c>
      <c r="J1059">
        <v>2</v>
      </c>
      <c r="K1059">
        <v>33.81</v>
      </c>
      <c r="L1059">
        <v>0</v>
      </c>
      <c r="M1059" s="1" t="s">
        <v>67</v>
      </c>
      <c r="N1059" s="1" t="s">
        <v>56</v>
      </c>
      <c r="O1059">
        <v>32708</v>
      </c>
      <c r="P1059" t="b">
        <v>0</v>
      </c>
      <c r="Q1059">
        <v>2.8333333333333335</v>
      </c>
      <c r="R1059">
        <v>962</v>
      </c>
      <c r="S1059">
        <v>11.270000000000001</v>
      </c>
      <c r="T1059" s="2">
        <v>45017</v>
      </c>
      <c r="U1059" s="1" t="s">
        <v>57</v>
      </c>
      <c r="V1059">
        <v>0</v>
      </c>
      <c r="W1059" s="1" t="s">
        <v>40</v>
      </c>
      <c r="Y1059" s="1" t="s">
        <v>52</v>
      </c>
      <c r="Z1059" s="1" t="s">
        <v>42</v>
      </c>
      <c r="AA1059">
        <v>5.7142857142857141E-2</v>
      </c>
      <c r="AB1059" s="1" t="s">
        <v>43</v>
      </c>
      <c r="AC1059">
        <v>1</v>
      </c>
      <c r="AD1059" s="2">
        <v>45017</v>
      </c>
      <c r="AE1059" s="1" t="s">
        <v>44</v>
      </c>
      <c r="AF1059" s="1" t="s">
        <v>72</v>
      </c>
      <c r="AG1059" s="1" t="s">
        <v>55</v>
      </c>
      <c r="AH1059" s="1" t="s">
        <v>59</v>
      </c>
      <c r="AI1059">
        <v>32708</v>
      </c>
      <c r="AJ1059">
        <v>0</v>
      </c>
    </row>
    <row r="1060" spans="1:36" x14ac:dyDescent="0.25">
      <c r="A1060">
        <v>11059</v>
      </c>
      <c r="B1060">
        <v>50</v>
      </c>
      <c r="C1060" s="1" t="s">
        <v>36</v>
      </c>
      <c r="D1060" s="1" t="s">
        <v>37</v>
      </c>
      <c r="E1060" s="2">
        <v>44511</v>
      </c>
      <c r="F1060" s="2">
        <v>44994</v>
      </c>
      <c r="G1060" s="1" t="s">
        <v>38</v>
      </c>
      <c r="H1060">
        <v>567</v>
      </c>
      <c r="I1060">
        <v>34</v>
      </c>
      <c r="J1060">
        <v>2</v>
      </c>
      <c r="K1060">
        <v>72.959999999999994</v>
      </c>
      <c r="L1060">
        <v>5</v>
      </c>
      <c r="M1060" s="1" t="s">
        <v>39</v>
      </c>
      <c r="N1060" s="1" t="s">
        <v>56</v>
      </c>
      <c r="O1060">
        <v>19249.650000000001</v>
      </c>
      <c r="P1060" t="b">
        <v>1</v>
      </c>
      <c r="Q1060">
        <v>2.8333333333333335</v>
      </c>
      <c r="R1060">
        <v>566.16617647058831</v>
      </c>
      <c r="S1060">
        <v>24.319999999999997</v>
      </c>
      <c r="T1060" s="2">
        <v>44501</v>
      </c>
      <c r="U1060" s="1" t="s">
        <v>51</v>
      </c>
      <c r="V1060">
        <v>0</v>
      </c>
      <c r="W1060" s="1" t="s">
        <v>40</v>
      </c>
      <c r="X1060">
        <v>483</v>
      </c>
      <c r="Y1060" s="1" t="s">
        <v>43</v>
      </c>
      <c r="Z1060" s="1" t="s">
        <v>42</v>
      </c>
      <c r="AA1060">
        <v>5.7142857142857141E-2</v>
      </c>
      <c r="AB1060" s="1" t="s">
        <v>52</v>
      </c>
      <c r="AC1060">
        <v>1</v>
      </c>
      <c r="AD1060" s="2">
        <v>44501</v>
      </c>
      <c r="AE1060" s="1" t="s">
        <v>44</v>
      </c>
      <c r="AF1060" s="1" t="s">
        <v>72</v>
      </c>
      <c r="AG1060" s="1" t="s">
        <v>63</v>
      </c>
      <c r="AH1060" s="1" t="s">
        <v>64</v>
      </c>
      <c r="AI1060">
        <v>19278</v>
      </c>
      <c r="AJ1060">
        <v>-28.349999999998545</v>
      </c>
    </row>
    <row r="1061" spans="1:36" x14ac:dyDescent="0.25">
      <c r="A1061">
        <v>11060</v>
      </c>
      <c r="B1061">
        <v>42</v>
      </c>
      <c r="C1061" s="1" t="s">
        <v>36</v>
      </c>
      <c r="D1061" s="1" t="s">
        <v>69</v>
      </c>
      <c r="E1061" s="2">
        <v>44373</v>
      </c>
      <c r="F1061" s="2">
        <v>44388</v>
      </c>
      <c r="G1061" s="1" t="s">
        <v>62</v>
      </c>
      <c r="H1061">
        <v>415</v>
      </c>
      <c r="I1061">
        <v>24</v>
      </c>
      <c r="J1061">
        <v>0</v>
      </c>
      <c r="K1061">
        <v>66.42</v>
      </c>
      <c r="L1061">
        <v>5</v>
      </c>
      <c r="M1061" s="1" t="s">
        <v>65</v>
      </c>
      <c r="N1061" s="1" t="s">
        <v>56</v>
      </c>
      <c r="O1061">
        <v>9939.25</v>
      </c>
      <c r="P1061" t="b">
        <v>1</v>
      </c>
      <c r="Q1061">
        <v>2</v>
      </c>
      <c r="R1061">
        <v>414.13541666666669</v>
      </c>
      <c r="S1061">
        <v>66.42</v>
      </c>
      <c r="T1061" s="2">
        <v>44348</v>
      </c>
      <c r="U1061" s="1" t="s">
        <v>51</v>
      </c>
      <c r="V1061">
        <v>0</v>
      </c>
      <c r="W1061" s="1" t="s">
        <v>56</v>
      </c>
      <c r="X1061">
        <v>15</v>
      </c>
      <c r="Y1061" s="1" t="s">
        <v>43</v>
      </c>
      <c r="Z1061" s="1" t="s">
        <v>42</v>
      </c>
      <c r="AA1061">
        <v>0</v>
      </c>
      <c r="AB1061" s="1" t="s">
        <v>52</v>
      </c>
      <c r="AC1061">
        <v>2</v>
      </c>
      <c r="AD1061" s="2">
        <v>44348</v>
      </c>
      <c r="AE1061" s="1" t="s">
        <v>53</v>
      </c>
      <c r="AF1061" s="1" t="s">
        <v>54</v>
      </c>
      <c r="AG1061" s="1" t="s">
        <v>63</v>
      </c>
      <c r="AH1061" s="1" t="s">
        <v>68</v>
      </c>
      <c r="AI1061">
        <v>9960</v>
      </c>
      <c r="AJ1061">
        <v>-20.75</v>
      </c>
    </row>
    <row r="1062" spans="1:36" x14ac:dyDescent="0.25">
      <c r="A1062">
        <v>11061</v>
      </c>
      <c r="B1062">
        <v>34</v>
      </c>
      <c r="C1062" s="1" t="s">
        <v>36</v>
      </c>
      <c r="D1062" s="1" t="s">
        <v>69</v>
      </c>
      <c r="E1062" s="2">
        <v>44424</v>
      </c>
      <c r="F1062" s="2">
        <v>44643</v>
      </c>
      <c r="G1062" s="1" t="s">
        <v>38</v>
      </c>
      <c r="H1062">
        <v>1053</v>
      </c>
      <c r="I1062">
        <v>15</v>
      </c>
      <c r="J1062">
        <v>2</v>
      </c>
      <c r="K1062">
        <v>102.11</v>
      </c>
      <c r="L1062">
        <v>10</v>
      </c>
      <c r="M1062" s="1" t="s">
        <v>50</v>
      </c>
      <c r="N1062" s="1" t="s">
        <v>40</v>
      </c>
      <c r="O1062">
        <v>15689.7</v>
      </c>
      <c r="P1062" t="b">
        <v>1</v>
      </c>
      <c r="Q1062">
        <v>1.25</v>
      </c>
      <c r="R1062">
        <v>1045.98</v>
      </c>
      <c r="S1062">
        <v>34.036666666666669</v>
      </c>
      <c r="T1062" s="2">
        <v>44409</v>
      </c>
      <c r="U1062" s="1" t="s">
        <v>57</v>
      </c>
      <c r="V1062">
        <v>1</v>
      </c>
      <c r="W1062" s="1" t="s">
        <v>40</v>
      </c>
      <c r="X1062">
        <v>219</v>
      </c>
      <c r="Y1062" s="1" t="s">
        <v>43</v>
      </c>
      <c r="Z1062" s="1" t="s">
        <v>42</v>
      </c>
      <c r="AA1062">
        <v>0.125</v>
      </c>
      <c r="AB1062" s="1" t="s">
        <v>52</v>
      </c>
      <c r="AC1062">
        <v>1</v>
      </c>
      <c r="AD1062" s="2">
        <v>44409</v>
      </c>
      <c r="AE1062" s="1" t="s">
        <v>53</v>
      </c>
      <c r="AF1062" s="1" t="s">
        <v>72</v>
      </c>
      <c r="AG1062" s="1" t="s">
        <v>63</v>
      </c>
      <c r="AH1062" s="1" t="s">
        <v>47</v>
      </c>
      <c r="AI1062">
        <v>15795</v>
      </c>
      <c r="AJ1062">
        <v>-105.29999999999927</v>
      </c>
    </row>
    <row r="1063" spans="1:36" x14ac:dyDescent="0.25">
      <c r="A1063">
        <v>11062</v>
      </c>
      <c r="B1063">
        <v>50</v>
      </c>
      <c r="C1063" s="1" t="s">
        <v>60</v>
      </c>
      <c r="D1063" s="1" t="s">
        <v>48</v>
      </c>
      <c r="E1063" s="2">
        <v>44899</v>
      </c>
      <c r="F1063" s="2">
        <v>44350</v>
      </c>
      <c r="G1063" s="1" t="s">
        <v>38</v>
      </c>
      <c r="H1063">
        <v>1363</v>
      </c>
      <c r="I1063">
        <v>17</v>
      </c>
      <c r="J1063">
        <v>5</v>
      </c>
      <c r="K1063">
        <v>88.87</v>
      </c>
      <c r="L1063">
        <v>20</v>
      </c>
      <c r="M1063" s="1" t="s">
        <v>65</v>
      </c>
      <c r="N1063" s="1" t="s">
        <v>56</v>
      </c>
      <c r="O1063">
        <v>22898.400000000001</v>
      </c>
      <c r="P1063" t="b">
        <v>0</v>
      </c>
      <c r="Q1063">
        <v>1.4166666666666667</v>
      </c>
      <c r="R1063">
        <v>1346.964705882353</v>
      </c>
      <c r="S1063">
        <v>14.811666666666667</v>
      </c>
      <c r="T1063" s="2">
        <v>44896</v>
      </c>
      <c r="U1063" s="1" t="s">
        <v>51</v>
      </c>
      <c r="V1063">
        <v>0</v>
      </c>
      <c r="W1063" s="1" t="s">
        <v>40</v>
      </c>
      <c r="Y1063" s="1" t="s">
        <v>43</v>
      </c>
      <c r="Z1063" s="1" t="s">
        <v>52</v>
      </c>
      <c r="AA1063">
        <v>0.27777777777777779</v>
      </c>
      <c r="AB1063" s="1" t="s">
        <v>43</v>
      </c>
      <c r="AC1063">
        <v>1</v>
      </c>
      <c r="AD1063" s="2">
        <v>44896</v>
      </c>
      <c r="AE1063" s="1" t="s">
        <v>53</v>
      </c>
      <c r="AF1063" s="1" t="s">
        <v>45</v>
      </c>
      <c r="AG1063" s="1" t="s">
        <v>63</v>
      </c>
      <c r="AH1063" s="1" t="s">
        <v>47</v>
      </c>
      <c r="AI1063">
        <v>23171</v>
      </c>
      <c r="AJ1063">
        <v>-272.59999999999854</v>
      </c>
    </row>
    <row r="1064" spans="1:36" x14ac:dyDescent="0.25">
      <c r="A1064">
        <v>11063</v>
      </c>
      <c r="B1064">
        <v>64</v>
      </c>
      <c r="C1064" s="1" t="s">
        <v>60</v>
      </c>
      <c r="D1064" s="1" t="s">
        <v>71</v>
      </c>
      <c r="E1064" s="2">
        <v>44868</v>
      </c>
      <c r="F1064" s="2">
        <v>45053</v>
      </c>
      <c r="G1064" s="1" t="s">
        <v>49</v>
      </c>
      <c r="H1064">
        <v>481</v>
      </c>
      <c r="I1064">
        <v>13</v>
      </c>
      <c r="J1064">
        <v>2</v>
      </c>
      <c r="K1064">
        <v>100.65</v>
      </c>
      <c r="L1064">
        <v>15</v>
      </c>
      <c r="M1064" s="1" t="s">
        <v>67</v>
      </c>
      <c r="N1064" s="1" t="s">
        <v>56</v>
      </c>
      <c r="O1064">
        <v>6180.85</v>
      </c>
      <c r="P1064" t="b">
        <v>1</v>
      </c>
      <c r="Q1064">
        <v>1.0833333333333333</v>
      </c>
      <c r="R1064">
        <v>475.45000000000005</v>
      </c>
      <c r="S1064">
        <v>33.550000000000004</v>
      </c>
      <c r="T1064" s="2">
        <v>44866</v>
      </c>
      <c r="U1064" s="1" t="s">
        <v>41</v>
      </c>
      <c r="V1064">
        <v>0</v>
      </c>
      <c r="W1064" s="1" t="s">
        <v>56</v>
      </c>
      <c r="X1064">
        <v>185</v>
      </c>
      <c r="Y1064" s="1" t="s">
        <v>43</v>
      </c>
      <c r="Z1064" s="1" t="s">
        <v>42</v>
      </c>
      <c r="AA1064">
        <v>0.14285714285714285</v>
      </c>
      <c r="AB1064" s="1" t="s">
        <v>42</v>
      </c>
      <c r="AC1064">
        <v>3</v>
      </c>
      <c r="AD1064" s="2">
        <v>44866</v>
      </c>
      <c r="AE1064" s="1" t="s">
        <v>53</v>
      </c>
      <c r="AF1064" s="1" t="s">
        <v>72</v>
      </c>
      <c r="AG1064" s="1" t="s">
        <v>63</v>
      </c>
      <c r="AH1064" s="1" t="s">
        <v>68</v>
      </c>
      <c r="AI1064">
        <v>6253</v>
      </c>
      <c r="AJ1064">
        <v>-72.149999999999636</v>
      </c>
    </row>
    <row r="1065" spans="1:36" x14ac:dyDescent="0.25">
      <c r="A1065">
        <v>11064</v>
      </c>
      <c r="B1065">
        <v>19</v>
      </c>
      <c r="C1065" s="1" t="s">
        <v>60</v>
      </c>
      <c r="D1065" s="1" t="s">
        <v>71</v>
      </c>
      <c r="E1065" s="2">
        <v>44463</v>
      </c>
      <c r="F1065" s="2">
        <v>44457</v>
      </c>
      <c r="G1065" s="1" t="s">
        <v>62</v>
      </c>
      <c r="H1065">
        <v>1202</v>
      </c>
      <c r="I1065">
        <v>7</v>
      </c>
      <c r="J1065">
        <v>2</v>
      </c>
      <c r="K1065">
        <v>29.32</v>
      </c>
      <c r="L1065">
        <v>5</v>
      </c>
      <c r="M1065" s="1" t="s">
        <v>67</v>
      </c>
      <c r="N1065" s="1" t="s">
        <v>56</v>
      </c>
      <c r="O1065">
        <v>8353.9</v>
      </c>
      <c r="P1065" t="b">
        <v>0</v>
      </c>
      <c r="Q1065">
        <v>0.58333333333333337</v>
      </c>
      <c r="R1065">
        <v>1193.4142857142856</v>
      </c>
      <c r="S1065">
        <v>9.7733333333333334</v>
      </c>
      <c r="T1065" s="2">
        <v>44440</v>
      </c>
      <c r="U1065" s="1" t="s">
        <v>66</v>
      </c>
      <c r="V1065">
        <v>0</v>
      </c>
      <c r="W1065" s="1" t="s">
        <v>56</v>
      </c>
      <c r="Y1065" s="1" t="s">
        <v>52</v>
      </c>
      <c r="Z1065" s="1" t="s">
        <v>42</v>
      </c>
      <c r="AA1065">
        <v>0.25</v>
      </c>
      <c r="AB1065" s="1" t="s">
        <v>42</v>
      </c>
      <c r="AC1065">
        <v>2</v>
      </c>
      <c r="AD1065" s="2">
        <v>44440</v>
      </c>
      <c r="AE1065" s="1" t="s">
        <v>74</v>
      </c>
      <c r="AF1065" s="1" t="s">
        <v>72</v>
      </c>
      <c r="AG1065" s="1" t="s">
        <v>70</v>
      </c>
      <c r="AH1065" s="1" t="s">
        <v>47</v>
      </c>
      <c r="AI1065">
        <v>8414</v>
      </c>
      <c r="AJ1065">
        <v>-60.100000000000364</v>
      </c>
    </row>
    <row r="1066" spans="1:36" x14ac:dyDescent="0.25">
      <c r="A1066">
        <v>11065</v>
      </c>
      <c r="B1066">
        <v>31</v>
      </c>
      <c r="C1066" s="1" t="s">
        <v>60</v>
      </c>
      <c r="D1066" s="1" t="s">
        <v>73</v>
      </c>
      <c r="E1066" s="2">
        <v>45066</v>
      </c>
      <c r="F1066" s="2">
        <v>44568</v>
      </c>
      <c r="G1066" s="1" t="s">
        <v>38</v>
      </c>
      <c r="H1066">
        <v>1442</v>
      </c>
      <c r="I1066">
        <v>9</v>
      </c>
      <c r="J1066">
        <v>2</v>
      </c>
      <c r="K1066">
        <v>78.63</v>
      </c>
      <c r="L1066">
        <v>0</v>
      </c>
      <c r="M1066" s="1" t="s">
        <v>65</v>
      </c>
      <c r="N1066" s="1" t="s">
        <v>56</v>
      </c>
      <c r="O1066">
        <v>12978</v>
      </c>
      <c r="P1066" t="b">
        <v>0</v>
      </c>
      <c r="Q1066">
        <v>0.75</v>
      </c>
      <c r="R1066">
        <v>1442</v>
      </c>
      <c r="S1066">
        <v>26.209999999999997</v>
      </c>
      <c r="T1066" s="2">
        <v>45047</v>
      </c>
      <c r="U1066" s="1" t="s">
        <v>57</v>
      </c>
      <c r="V1066">
        <v>0</v>
      </c>
      <c r="W1066" s="1" t="s">
        <v>56</v>
      </c>
      <c r="Y1066" s="1" t="s">
        <v>43</v>
      </c>
      <c r="Z1066" s="1" t="s">
        <v>42</v>
      </c>
      <c r="AA1066">
        <v>0.2</v>
      </c>
      <c r="AB1066" s="1" t="s">
        <v>52</v>
      </c>
      <c r="AC1066">
        <v>1</v>
      </c>
      <c r="AD1066" s="2">
        <v>45047</v>
      </c>
      <c r="AE1066" s="1" t="s">
        <v>74</v>
      </c>
      <c r="AF1066" s="1" t="s">
        <v>72</v>
      </c>
      <c r="AG1066" s="1" t="s">
        <v>63</v>
      </c>
      <c r="AH1066" s="1" t="s">
        <v>47</v>
      </c>
      <c r="AI1066">
        <v>12978</v>
      </c>
      <c r="AJ1066">
        <v>0</v>
      </c>
    </row>
    <row r="1067" spans="1:36" x14ac:dyDescent="0.25">
      <c r="A1067">
        <v>11066</v>
      </c>
      <c r="B1067">
        <v>57</v>
      </c>
      <c r="C1067" s="1" t="s">
        <v>36</v>
      </c>
      <c r="D1067" s="1" t="s">
        <v>71</v>
      </c>
      <c r="E1067" s="2">
        <v>45034</v>
      </c>
      <c r="F1067" s="2">
        <v>44717</v>
      </c>
      <c r="G1067" s="1" t="s">
        <v>62</v>
      </c>
      <c r="H1067">
        <v>1245</v>
      </c>
      <c r="I1067">
        <v>35</v>
      </c>
      <c r="J1067">
        <v>2</v>
      </c>
      <c r="K1067">
        <v>9.6300000000000008</v>
      </c>
      <c r="L1067">
        <v>10</v>
      </c>
      <c r="M1067" s="1" t="s">
        <v>39</v>
      </c>
      <c r="N1067" s="1" t="s">
        <v>40</v>
      </c>
      <c r="O1067">
        <v>43450.5</v>
      </c>
      <c r="P1067" t="b">
        <v>0</v>
      </c>
      <c r="Q1067">
        <v>2.9166666666666665</v>
      </c>
      <c r="R1067">
        <v>1241.4428571428571</v>
      </c>
      <c r="S1067">
        <v>3.2100000000000004</v>
      </c>
      <c r="T1067" s="2">
        <v>45017</v>
      </c>
      <c r="U1067" s="1" t="s">
        <v>41</v>
      </c>
      <c r="V1067">
        <v>1</v>
      </c>
      <c r="W1067" s="1" t="s">
        <v>40</v>
      </c>
      <c r="Y1067" s="1" t="s">
        <v>42</v>
      </c>
      <c r="Z1067" s="1" t="s">
        <v>42</v>
      </c>
      <c r="AA1067">
        <v>5.5555555555555552E-2</v>
      </c>
      <c r="AB1067" s="1" t="s">
        <v>43</v>
      </c>
      <c r="AC1067">
        <v>2</v>
      </c>
      <c r="AD1067" s="2">
        <v>45017</v>
      </c>
      <c r="AE1067" s="1" t="s">
        <v>44</v>
      </c>
      <c r="AF1067" s="1" t="s">
        <v>72</v>
      </c>
      <c r="AG1067" s="1" t="s">
        <v>77</v>
      </c>
      <c r="AH1067" s="1" t="s">
        <v>47</v>
      </c>
      <c r="AI1067">
        <v>43575</v>
      </c>
      <c r="AJ1067">
        <v>-124.5</v>
      </c>
    </row>
    <row r="1068" spans="1:36" x14ac:dyDescent="0.25">
      <c r="A1068">
        <v>11067</v>
      </c>
      <c r="B1068">
        <v>57</v>
      </c>
      <c r="C1068" s="1" t="s">
        <v>60</v>
      </c>
      <c r="D1068" s="1" t="s">
        <v>69</v>
      </c>
      <c r="E1068" s="2">
        <v>44575</v>
      </c>
      <c r="F1068" s="2">
        <v>44715</v>
      </c>
      <c r="G1068" s="1" t="s">
        <v>62</v>
      </c>
      <c r="H1068">
        <v>557</v>
      </c>
      <c r="I1068">
        <v>23</v>
      </c>
      <c r="J1068">
        <v>2</v>
      </c>
      <c r="K1068">
        <v>12.93</v>
      </c>
      <c r="L1068">
        <v>10</v>
      </c>
      <c r="M1068" s="1" t="s">
        <v>67</v>
      </c>
      <c r="N1068" s="1" t="s">
        <v>56</v>
      </c>
      <c r="O1068">
        <v>12755.3</v>
      </c>
      <c r="P1068" t="b">
        <v>1</v>
      </c>
      <c r="Q1068">
        <v>1.9166666666666667</v>
      </c>
      <c r="R1068">
        <v>554.57826086956516</v>
      </c>
      <c r="S1068">
        <v>4.3099999999999996</v>
      </c>
      <c r="T1068" s="2">
        <v>44562</v>
      </c>
      <c r="U1068" s="1" t="s">
        <v>41</v>
      </c>
      <c r="V1068">
        <v>0</v>
      </c>
      <c r="W1068" s="1" t="s">
        <v>56</v>
      </c>
      <c r="X1068">
        <v>140</v>
      </c>
      <c r="Y1068" s="1" t="s">
        <v>42</v>
      </c>
      <c r="Z1068" s="1" t="s">
        <v>42</v>
      </c>
      <c r="AA1068">
        <v>8.3333333333333329E-2</v>
      </c>
      <c r="AB1068" s="1" t="s">
        <v>52</v>
      </c>
      <c r="AC1068">
        <v>2</v>
      </c>
      <c r="AD1068" s="2">
        <v>44562</v>
      </c>
      <c r="AE1068" s="1" t="s">
        <v>53</v>
      </c>
      <c r="AF1068" s="1" t="s">
        <v>72</v>
      </c>
      <c r="AG1068" s="1" t="s">
        <v>46</v>
      </c>
      <c r="AH1068" s="1" t="s">
        <v>64</v>
      </c>
      <c r="AI1068">
        <v>12811</v>
      </c>
      <c r="AJ1068">
        <v>-55.700000000000728</v>
      </c>
    </row>
    <row r="1069" spans="1:36" x14ac:dyDescent="0.25">
      <c r="A1069">
        <v>11068</v>
      </c>
      <c r="B1069">
        <v>56</v>
      </c>
      <c r="C1069" s="1" t="s">
        <v>36</v>
      </c>
      <c r="D1069" s="1" t="s">
        <v>37</v>
      </c>
      <c r="E1069" s="2">
        <v>44685</v>
      </c>
      <c r="F1069" s="2">
        <v>44783</v>
      </c>
      <c r="G1069" s="1" t="s">
        <v>38</v>
      </c>
      <c r="H1069">
        <v>808</v>
      </c>
      <c r="I1069">
        <v>23</v>
      </c>
      <c r="J1069">
        <v>4</v>
      </c>
      <c r="K1069">
        <v>87.06</v>
      </c>
      <c r="L1069">
        <v>10</v>
      </c>
      <c r="M1069" s="1" t="s">
        <v>39</v>
      </c>
      <c r="N1069" s="1" t="s">
        <v>56</v>
      </c>
      <c r="O1069">
        <v>18503.2</v>
      </c>
      <c r="P1069" t="b">
        <v>1</v>
      </c>
      <c r="Q1069">
        <v>1.9166666666666667</v>
      </c>
      <c r="R1069">
        <v>804.48695652173922</v>
      </c>
      <c r="S1069">
        <v>17.411999999999999</v>
      </c>
      <c r="T1069" s="2">
        <v>44682</v>
      </c>
      <c r="U1069" s="1" t="s">
        <v>41</v>
      </c>
      <c r="V1069">
        <v>0</v>
      </c>
      <c r="W1069" s="1" t="s">
        <v>40</v>
      </c>
      <c r="X1069">
        <v>98</v>
      </c>
      <c r="Y1069" s="1" t="s">
        <v>43</v>
      </c>
      <c r="Z1069" s="1" t="s">
        <v>42</v>
      </c>
      <c r="AA1069">
        <v>0.16666666666666666</v>
      </c>
      <c r="AB1069" s="1" t="s">
        <v>52</v>
      </c>
      <c r="AC1069">
        <v>1</v>
      </c>
      <c r="AD1069" s="2">
        <v>44682</v>
      </c>
      <c r="AE1069" s="1" t="s">
        <v>53</v>
      </c>
      <c r="AF1069" s="1" t="s">
        <v>45</v>
      </c>
      <c r="AG1069" s="1" t="s">
        <v>63</v>
      </c>
      <c r="AH1069" s="1" t="s">
        <v>59</v>
      </c>
      <c r="AI1069">
        <v>18584</v>
      </c>
      <c r="AJ1069">
        <v>-80.799999999999272</v>
      </c>
    </row>
    <row r="1070" spans="1:36" x14ac:dyDescent="0.25">
      <c r="A1070">
        <v>11069</v>
      </c>
      <c r="B1070">
        <v>23</v>
      </c>
      <c r="C1070" s="1" t="s">
        <v>75</v>
      </c>
      <c r="D1070" s="1" t="s">
        <v>48</v>
      </c>
      <c r="E1070" s="2">
        <v>44898</v>
      </c>
      <c r="F1070" s="2">
        <v>44351</v>
      </c>
      <c r="G1070" s="1" t="s">
        <v>38</v>
      </c>
      <c r="H1070">
        <v>391</v>
      </c>
      <c r="I1070">
        <v>26</v>
      </c>
      <c r="J1070">
        <v>4</v>
      </c>
      <c r="K1070">
        <v>7.81</v>
      </c>
      <c r="L1070">
        <v>0</v>
      </c>
      <c r="M1070" s="1" t="s">
        <v>65</v>
      </c>
      <c r="N1070" s="1" t="s">
        <v>56</v>
      </c>
      <c r="O1070">
        <v>10166</v>
      </c>
      <c r="P1070" t="b">
        <v>0</v>
      </c>
      <c r="Q1070">
        <v>2.1666666666666665</v>
      </c>
      <c r="R1070">
        <v>391</v>
      </c>
      <c r="S1070">
        <v>1.5619999999999998</v>
      </c>
      <c r="T1070" s="2">
        <v>44896</v>
      </c>
      <c r="U1070" s="1" t="s">
        <v>66</v>
      </c>
      <c r="V1070">
        <v>0</v>
      </c>
      <c r="W1070" s="1" t="s">
        <v>56</v>
      </c>
      <c r="Y1070" s="1" t="s">
        <v>42</v>
      </c>
      <c r="Z1070" s="1" t="s">
        <v>42</v>
      </c>
      <c r="AA1070">
        <v>0.14814814814814814</v>
      </c>
      <c r="AB1070" s="1" t="s">
        <v>52</v>
      </c>
      <c r="AC1070">
        <v>1</v>
      </c>
      <c r="AD1070" s="2">
        <v>44896</v>
      </c>
      <c r="AE1070" s="1" t="s">
        <v>44</v>
      </c>
      <c r="AF1070" s="1" t="s">
        <v>45</v>
      </c>
      <c r="AG1070" s="1" t="s">
        <v>77</v>
      </c>
      <c r="AH1070" s="1" t="s">
        <v>68</v>
      </c>
      <c r="AI1070">
        <v>10166</v>
      </c>
      <c r="AJ1070">
        <v>0</v>
      </c>
    </row>
    <row r="1071" spans="1:36" x14ac:dyDescent="0.25">
      <c r="A1071">
        <v>11070</v>
      </c>
      <c r="B1071">
        <v>23</v>
      </c>
      <c r="C1071" s="1" t="s">
        <v>36</v>
      </c>
      <c r="D1071" s="1" t="s">
        <v>61</v>
      </c>
      <c r="E1071" s="2">
        <v>44883</v>
      </c>
      <c r="F1071" s="2">
        <v>44591</v>
      </c>
      <c r="G1071" s="1" t="s">
        <v>49</v>
      </c>
      <c r="H1071">
        <v>1484</v>
      </c>
      <c r="I1071">
        <v>1</v>
      </c>
      <c r="J1071">
        <v>3</v>
      </c>
      <c r="K1071">
        <v>71.67</v>
      </c>
      <c r="L1071">
        <v>10</v>
      </c>
      <c r="M1071" s="1" t="s">
        <v>39</v>
      </c>
      <c r="N1071" s="1" t="s">
        <v>56</v>
      </c>
      <c r="O1071">
        <v>1335.6</v>
      </c>
      <c r="P1071" t="b">
        <v>0</v>
      </c>
      <c r="Q1071">
        <v>8.3333333333333329E-2</v>
      </c>
      <c r="R1071">
        <v>1335.6</v>
      </c>
      <c r="S1071">
        <v>17.9175</v>
      </c>
      <c r="T1071" s="2">
        <v>44866</v>
      </c>
      <c r="U1071" s="1" t="s">
        <v>66</v>
      </c>
      <c r="V1071">
        <v>0</v>
      </c>
      <c r="W1071" s="1" t="s">
        <v>56</v>
      </c>
      <c r="Y1071" s="1" t="s">
        <v>43</v>
      </c>
      <c r="Z1071" s="1" t="s">
        <v>42</v>
      </c>
      <c r="AA1071">
        <v>1.5</v>
      </c>
      <c r="AB1071" s="1" t="s">
        <v>42</v>
      </c>
      <c r="AC1071">
        <v>3</v>
      </c>
      <c r="AD1071" s="2">
        <v>44866</v>
      </c>
      <c r="AE1071" s="1" t="s">
        <v>58</v>
      </c>
      <c r="AF1071" s="1" t="s">
        <v>72</v>
      </c>
      <c r="AG1071" s="1" t="s">
        <v>63</v>
      </c>
      <c r="AH1071" s="1" t="s">
        <v>47</v>
      </c>
      <c r="AI1071">
        <v>1484</v>
      </c>
      <c r="AJ1071">
        <v>-148.40000000000009</v>
      </c>
    </row>
    <row r="1072" spans="1:36" x14ac:dyDescent="0.25">
      <c r="A1072">
        <v>11071</v>
      </c>
      <c r="B1072">
        <v>20</v>
      </c>
      <c r="C1072" s="1" t="s">
        <v>36</v>
      </c>
      <c r="D1072" s="1" t="s">
        <v>37</v>
      </c>
      <c r="E1072" s="2">
        <v>44486</v>
      </c>
      <c r="F1072" s="2">
        <v>44513</v>
      </c>
      <c r="G1072" s="1" t="s">
        <v>38</v>
      </c>
      <c r="H1072">
        <v>448</v>
      </c>
      <c r="I1072">
        <v>14</v>
      </c>
      <c r="J1072">
        <v>2</v>
      </c>
      <c r="K1072">
        <v>101.65</v>
      </c>
      <c r="L1072">
        <v>15</v>
      </c>
      <c r="M1072" s="1" t="s">
        <v>67</v>
      </c>
      <c r="N1072" s="1" t="s">
        <v>56</v>
      </c>
      <c r="O1072">
        <v>6204.8</v>
      </c>
      <c r="P1072" t="b">
        <v>1</v>
      </c>
      <c r="Q1072">
        <v>1.1666666666666667</v>
      </c>
      <c r="R1072">
        <v>443.2</v>
      </c>
      <c r="S1072">
        <v>33.883333333333333</v>
      </c>
      <c r="T1072" s="2">
        <v>44470</v>
      </c>
      <c r="U1072" s="1" t="s">
        <v>66</v>
      </c>
      <c r="V1072">
        <v>0</v>
      </c>
      <c r="W1072" s="1" t="s">
        <v>56</v>
      </c>
      <c r="X1072">
        <v>27</v>
      </c>
      <c r="Y1072" s="1" t="s">
        <v>43</v>
      </c>
      <c r="Z1072" s="1" t="s">
        <v>42</v>
      </c>
      <c r="AA1072">
        <v>0.13333333333333333</v>
      </c>
      <c r="AB1072" s="1" t="s">
        <v>42</v>
      </c>
      <c r="AC1072">
        <v>1</v>
      </c>
      <c r="AD1072" s="2">
        <v>44470</v>
      </c>
      <c r="AE1072" s="1" t="s">
        <v>53</v>
      </c>
      <c r="AF1072" s="1" t="s">
        <v>72</v>
      </c>
      <c r="AG1072" s="1" t="s">
        <v>63</v>
      </c>
      <c r="AH1072" s="1" t="s">
        <v>68</v>
      </c>
      <c r="AI1072">
        <v>6272</v>
      </c>
      <c r="AJ1072">
        <v>-67.199999999999818</v>
      </c>
    </row>
    <row r="1073" spans="1:36" x14ac:dyDescent="0.25">
      <c r="A1073">
        <v>11072</v>
      </c>
      <c r="B1073">
        <v>24</v>
      </c>
      <c r="C1073" s="1" t="s">
        <v>36</v>
      </c>
      <c r="D1073" s="1" t="s">
        <v>76</v>
      </c>
      <c r="E1073" s="2">
        <v>44553</v>
      </c>
      <c r="F1073" s="2">
        <v>44373</v>
      </c>
      <c r="G1073" s="1" t="s">
        <v>38</v>
      </c>
      <c r="H1073">
        <v>416</v>
      </c>
      <c r="I1073">
        <v>32</v>
      </c>
      <c r="J1073">
        <v>1</v>
      </c>
      <c r="K1073">
        <v>48.69</v>
      </c>
      <c r="L1073">
        <v>15</v>
      </c>
      <c r="M1073" s="1" t="s">
        <v>65</v>
      </c>
      <c r="N1073" s="1" t="s">
        <v>56</v>
      </c>
      <c r="O1073">
        <v>13249.6</v>
      </c>
      <c r="P1073" t="b">
        <v>0</v>
      </c>
      <c r="Q1073">
        <v>2.6666666666666665</v>
      </c>
      <c r="R1073">
        <v>414.05</v>
      </c>
      <c r="S1073">
        <v>24.344999999999999</v>
      </c>
      <c r="T1073" s="2">
        <v>44531</v>
      </c>
      <c r="U1073" s="1" t="s">
        <v>66</v>
      </c>
      <c r="V1073">
        <v>0</v>
      </c>
      <c r="W1073" s="1" t="s">
        <v>56</v>
      </c>
      <c r="Y1073" s="1" t="s">
        <v>52</v>
      </c>
      <c r="Z1073" s="1" t="s">
        <v>42</v>
      </c>
      <c r="AA1073">
        <v>3.0303030303030304E-2</v>
      </c>
      <c r="AB1073" s="1" t="s">
        <v>52</v>
      </c>
      <c r="AC1073">
        <v>1</v>
      </c>
      <c r="AD1073" s="2">
        <v>44531</v>
      </c>
      <c r="AE1073" s="1" t="s">
        <v>44</v>
      </c>
      <c r="AF1073" s="1" t="s">
        <v>54</v>
      </c>
      <c r="AG1073" s="1" t="s">
        <v>63</v>
      </c>
      <c r="AH1073" s="1" t="s">
        <v>68</v>
      </c>
      <c r="AI1073">
        <v>13312</v>
      </c>
      <c r="AJ1073">
        <v>-62.399999999999636</v>
      </c>
    </row>
    <row r="1074" spans="1:36" x14ac:dyDescent="0.25">
      <c r="A1074">
        <v>11073</v>
      </c>
      <c r="B1074">
        <v>25</v>
      </c>
      <c r="C1074" s="1" t="s">
        <v>36</v>
      </c>
      <c r="D1074" s="1" t="s">
        <v>37</v>
      </c>
      <c r="E1074" s="2">
        <v>44853</v>
      </c>
      <c r="F1074" s="2">
        <v>44742</v>
      </c>
      <c r="G1074" s="1" t="s">
        <v>62</v>
      </c>
      <c r="H1074">
        <v>757</v>
      </c>
      <c r="I1074">
        <v>10</v>
      </c>
      <c r="J1074">
        <v>1</v>
      </c>
      <c r="K1074">
        <v>62.59</v>
      </c>
      <c r="L1074">
        <v>20</v>
      </c>
      <c r="M1074" s="1" t="s">
        <v>39</v>
      </c>
      <c r="N1074" s="1" t="s">
        <v>56</v>
      </c>
      <c r="O1074">
        <v>7418.6</v>
      </c>
      <c r="P1074" t="b">
        <v>0</v>
      </c>
      <c r="Q1074">
        <v>0.83333333333333337</v>
      </c>
      <c r="R1074">
        <v>741.86</v>
      </c>
      <c r="S1074">
        <v>31.295000000000002</v>
      </c>
      <c r="T1074" s="2">
        <v>44835</v>
      </c>
      <c r="U1074" s="1" t="s">
        <v>66</v>
      </c>
      <c r="V1074">
        <v>0</v>
      </c>
      <c r="W1074" s="1" t="s">
        <v>56</v>
      </c>
      <c r="Y1074" s="1" t="s">
        <v>43</v>
      </c>
      <c r="Z1074" s="1" t="s">
        <v>52</v>
      </c>
      <c r="AA1074">
        <v>9.0909090909090912E-2</v>
      </c>
      <c r="AB1074" s="1" t="s">
        <v>42</v>
      </c>
      <c r="AC1074">
        <v>2</v>
      </c>
      <c r="AD1074" s="2">
        <v>44835</v>
      </c>
      <c r="AE1074" s="1" t="s">
        <v>74</v>
      </c>
      <c r="AF1074" s="1" t="s">
        <v>54</v>
      </c>
      <c r="AG1074" s="1" t="s">
        <v>63</v>
      </c>
      <c r="AH1074" s="1" t="s">
        <v>59</v>
      </c>
      <c r="AI1074">
        <v>7570</v>
      </c>
      <c r="AJ1074">
        <v>-151.39999999999964</v>
      </c>
    </row>
    <row r="1075" spans="1:36" x14ac:dyDescent="0.25">
      <c r="A1075">
        <v>11074</v>
      </c>
      <c r="B1075">
        <v>59</v>
      </c>
      <c r="C1075" s="1" t="s">
        <v>60</v>
      </c>
      <c r="D1075" s="1" t="s">
        <v>71</v>
      </c>
      <c r="E1075" s="2">
        <v>44940</v>
      </c>
      <c r="F1075" s="2">
        <v>44821</v>
      </c>
      <c r="G1075" s="1" t="s">
        <v>62</v>
      </c>
      <c r="H1075">
        <v>864</v>
      </c>
      <c r="I1075">
        <v>1</v>
      </c>
      <c r="J1075">
        <v>2</v>
      </c>
      <c r="K1075">
        <v>87.09</v>
      </c>
      <c r="L1075">
        <v>20</v>
      </c>
      <c r="M1075" s="1" t="s">
        <v>39</v>
      </c>
      <c r="N1075" s="1" t="s">
        <v>56</v>
      </c>
      <c r="O1075">
        <v>691.2</v>
      </c>
      <c r="P1075" t="b">
        <v>0</v>
      </c>
      <c r="Q1075">
        <v>8.3333333333333329E-2</v>
      </c>
      <c r="R1075">
        <v>691.2</v>
      </c>
      <c r="S1075">
        <v>29.03</v>
      </c>
      <c r="T1075" s="2">
        <v>44927</v>
      </c>
      <c r="U1075" s="1" t="s">
        <v>41</v>
      </c>
      <c r="V1075">
        <v>0</v>
      </c>
      <c r="W1075" s="1" t="s">
        <v>56</v>
      </c>
      <c r="Y1075" s="1" t="s">
        <v>43</v>
      </c>
      <c r="Z1075" s="1" t="s">
        <v>52</v>
      </c>
      <c r="AA1075">
        <v>1</v>
      </c>
      <c r="AB1075" s="1" t="s">
        <v>42</v>
      </c>
      <c r="AC1075">
        <v>2</v>
      </c>
      <c r="AD1075" s="2">
        <v>44927</v>
      </c>
      <c r="AE1075" s="1" t="s">
        <v>58</v>
      </c>
      <c r="AF1075" s="1" t="s">
        <v>72</v>
      </c>
      <c r="AG1075" s="1" t="s">
        <v>63</v>
      </c>
      <c r="AH1075" s="1" t="s">
        <v>59</v>
      </c>
      <c r="AI1075">
        <v>864</v>
      </c>
      <c r="AJ1075">
        <v>-172.79999999999995</v>
      </c>
    </row>
    <row r="1076" spans="1:36" x14ac:dyDescent="0.25">
      <c r="A1076">
        <v>11075</v>
      </c>
      <c r="B1076">
        <v>32</v>
      </c>
      <c r="C1076" s="1" t="s">
        <v>60</v>
      </c>
      <c r="D1076" s="1" t="s">
        <v>69</v>
      </c>
      <c r="E1076" s="2">
        <v>45068</v>
      </c>
      <c r="F1076" s="2">
        <v>44364</v>
      </c>
      <c r="G1076" s="1" t="s">
        <v>38</v>
      </c>
      <c r="H1076">
        <v>1113</v>
      </c>
      <c r="I1076">
        <v>5</v>
      </c>
      <c r="J1076">
        <v>3</v>
      </c>
      <c r="K1076">
        <v>111.91</v>
      </c>
      <c r="L1076">
        <v>10</v>
      </c>
      <c r="M1076" s="1" t="s">
        <v>50</v>
      </c>
      <c r="N1076" s="1" t="s">
        <v>40</v>
      </c>
      <c r="O1076">
        <v>5398.05</v>
      </c>
      <c r="P1076" t="b">
        <v>0</v>
      </c>
      <c r="Q1076">
        <v>0.41666666666666669</v>
      </c>
      <c r="R1076">
        <v>1079.6100000000001</v>
      </c>
      <c r="S1076">
        <v>27.977499999999999</v>
      </c>
      <c r="T1076" s="2">
        <v>45047</v>
      </c>
      <c r="U1076" s="1" t="s">
        <v>57</v>
      </c>
      <c r="V1076">
        <v>1</v>
      </c>
      <c r="W1076" s="1" t="s">
        <v>56</v>
      </c>
      <c r="Y1076" s="1" t="s">
        <v>43</v>
      </c>
      <c r="Z1076" s="1" t="s">
        <v>42</v>
      </c>
      <c r="AA1076">
        <v>0.5</v>
      </c>
      <c r="AB1076" s="1" t="s">
        <v>42</v>
      </c>
      <c r="AC1076">
        <v>1</v>
      </c>
      <c r="AD1076" s="2">
        <v>45047</v>
      </c>
      <c r="AE1076" s="1" t="s">
        <v>58</v>
      </c>
      <c r="AF1076" s="1" t="s">
        <v>72</v>
      </c>
      <c r="AG1076" s="1" t="s">
        <v>63</v>
      </c>
      <c r="AH1076" s="1" t="s">
        <v>47</v>
      </c>
      <c r="AI1076">
        <v>5565</v>
      </c>
      <c r="AJ1076">
        <v>-166.94999999999982</v>
      </c>
    </row>
    <row r="1077" spans="1:36" x14ac:dyDescent="0.25">
      <c r="A1077">
        <v>11076</v>
      </c>
      <c r="B1077">
        <v>64</v>
      </c>
      <c r="C1077" s="1" t="s">
        <v>36</v>
      </c>
      <c r="D1077" s="1" t="s">
        <v>61</v>
      </c>
      <c r="E1077" s="2">
        <v>44400</v>
      </c>
      <c r="F1077" s="2">
        <v>45075</v>
      </c>
      <c r="G1077" s="1" t="s">
        <v>38</v>
      </c>
      <c r="H1077">
        <v>344</v>
      </c>
      <c r="I1077">
        <v>3</v>
      </c>
      <c r="J1077">
        <v>2</v>
      </c>
      <c r="K1077">
        <v>87.47</v>
      </c>
      <c r="L1077">
        <v>0</v>
      </c>
      <c r="M1077" s="1" t="s">
        <v>67</v>
      </c>
      <c r="N1077" s="1" t="s">
        <v>56</v>
      </c>
      <c r="O1077">
        <v>1032</v>
      </c>
      <c r="P1077" t="b">
        <v>1</v>
      </c>
      <c r="Q1077">
        <v>0.25</v>
      </c>
      <c r="R1077">
        <v>344</v>
      </c>
      <c r="S1077">
        <v>29.156666666666666</v>
      </c>
      <c r="T1077" s="2">
        <v>44378</v>
      </c>
      <c r="U1077" s="1" t="s">
        <v>41</v>
      </c>
      <c r="V1077">
        <v>0</v>
      </c>
      <c r="W1077" s="1" t="s">
        <v>56</v>
      </c>
      <c r="X1077">
        <v>675</v>
      </c>
      <c r="Y1077" s="1" t="s">
        <v>43</v>
      </c>
      <c r="Z1077" s="1" t="s">
        <v>42</v>
      </c>
      <c r="AA1077">
        <v>0.5</v>
      </c>
      <c r="AB1077" s="1" t="s">
        <v>42</v>
      </c>
      <c r="AC1077">
        <v>1</v>
      </c>
      <c r="AD1077" s="2">
        <v>44378</v>
      </c>
      <c r="AE1077" s="1" t="s">
        <v>58</v>
      </c>
      <c r="AF1077" s="1" t="s">
        <v>72</v>
      </c>
      <c r="AG1077" s="1" t="s">
        <v>63</v>
      </c>
      <c r="AH1077" s="1" t="s">
        <v>68</v>
      </c>
      <c r="AI1077">
        <v>1032</v>
      </c>
      <c r="AJ1077">
        <v>0</v>
      </c>
    </row>
    <row r="1078" spans="1:36" x14ac:dyDescent="0.25">
      <c r="A1078">
        <v>11077</v>
      </c>
      <c r="B1078">
        <v>46</v>
      </c>
      <c r="C1078" s="1" t="s">
        <v>36</v>
      </c>
      <c r="D1078" s="1" t="s">
        <v>37</v>
      </c>
      <c r="E1078" s="2">
        <v>44409</v>
      </c>
      <c r="F1078" s="2">
        <v>44439</v>
      </c>
      <c r="G1078" s="1" t="s">
        <v>38</v>
      </c>
      <c r="H1078">
        <v>1073</v>
      </c>
      <c r="I1078">
        <v>27</v>
      </c>
      <c r="J1078">
        <v>2</v>
      </c>
      <c r="K1078">
        <v>71.52</v>
      </c>
      <c r="L1078">
        <v>20</v>
      </c>
      <c r="M1078" s="1" t="s">
        <v>50</v>
      </c>
      <c r="N1078" s="1" t="s">
        <v>56</v>
      </c>
      <c r="O1078">
        <v>28756.400000000001</v>
      </c>
      <c r="P1078" t="b">
        <v>1</v>
      </c>
      <c r="Q1078">
        <v>2.25</v>
      </c>
      <c r="R1078">
        <v>1065.051851851852</v>
      </c>
      <c r="S1078">
        <v>23.84</v>
      </c>
      <c r="T1078" s="2">
        <v>44409</v>
      </c>
      <c r="U1078" s="1" t="s">
        <v>51</v>
      </c>
      <c r="V1078">
        <v>0</v>
      </c>
      <c r="W1078" s="1" t="s">
        <v>40</v>
      </c>
      <c r="X1078">
        <v>30</v>
      </c>
      <c r="Y1078" s="1" t="s">
        <v>43</v>
      </c>
      <c r="Z1078" s="1" t="s">
        <v>52</v>
      </c>
      <c r="AA1078">
        <v>7.1428571428571425E-2</v>
      </c>
      <c r="AB1078" s="1" t="s">
        <v>43</v>
      </c>
      <c r="AC1078">
        <v>1</v>
      </c>
      <c r="AD1078" s="2">
        <v>44409</v>
      </c>
      <c r="AE1078" s="1" t="s">
        <v>44</v>
      </c>
      <c r="AF1078" s="1" t="s">
        <v>72</v>
      </c>
      <c r="AG1078" s="1" t="s">
        <v>63</v>
      </c>
      <c r="AH1078" s="1" t="s">
        <v>47</v>
      </c>
      <c r="AI1078">
        <v>28971</v>
      </c>
      <c r="AJ1078">
        <v>-214.59999999999854</v>
      </c>
    </row>
    <row r="1079" spans="1:36" x14ac:dyDescent="0.25">
      <c r="A1079">
        <v>11078</v>
      </c>
      <c r="B1079">
        <v>50</v>
      </c>
      <c r="C1079" s="1" t="s">
        <v>36</v>
      </c>
      <c r="D1079" s="1" t="s">
        <v>69</v>
      </c>
      <c r="E1079" s="2">
        <v>44748</v>
      </c>
      <c r="F1079" s="2">
        <v>44830</v>
      </c>
      <c r="G1079" s="1" t="s">
        <v>49</v>
      </c>
      <c r="H1079">
        <v>533</v>
      </c>
      <c r="I1079">
        <v>22</v>
      </c>
      <c r="J1079">
        <v>2</v>
      </c>
      <c r="K1079">
        <v>31.45</v>
      </c>
      <c r="L1079">
        <v>10</v>
      </c>
      <c r="M1079" s="1" t="s">
        <v>39</v>
      </c>
      <c r="N1079" s="1" t="s">
        <v>56</v>
      </c>
      <c r="O1079">
        <v>11672.7</v>
      </c>
      <c r="P1079" t="b">
        <v>1</v>
      </c>
      <c r="Q1079">
        <v>1.8333333333333333</v>
      </c>
      <c r="R1079">
        <v>530.57727272727277</v>
      </c>
      <c r="S1079">
        <v>10.483333333333333</v>
      </c>
      <c r="T1079" s="2">
        <v>44743</v>
      </c>
      <c r="U1079" s="1" t="s">
        <v>51</v>
      </c>
      <c r="V1079">
        <v>0</v>
      </c>
      <c r="W1079" s="1" t="s">
        <v>56</v>
      </c>
      <c r="X1079">
        <v>82</v>
      </c>
      <c r="Y1079" s="1" t="s">
        <v>52</v>
      </c>
      <c r="Z1079" s="1" t="s">
        <v>42</v>
      </c>
      <c r="AA1079">
        <v>8.6956521739130432E-2</v>
      </c>
      <c r="AB1079" s="1" t="s">
        <v>52</v>
      </c>
      <c r="AC1079">
        <v>3</v>
      </c>
      <c r="AD1079" s="2">
        <v>44743</v>
      </c>
      <c r="AE1079" s="1" t="s">
        <v>53</v>
      </c>
      <c r="AF1079" s="1" t="s">
        <v>72</v>
      </c>
      <c r="AG1079" s="1" t="s">
        <v>55</v>
      </c>
      <c r="AH1079" s="1" t="s">
        <v>64</v>
      </c>
      <c r="AI1079">
        <v>11726</v>
      </c>
      <c r="AJ1079">
        <v>-53.299999999999272</v>
      </c>
    </row>
    <row r="1080" spans="1:36" x14ac:dyDescent="0.25">
      <c r="A1080">
        <v>11079</v>
      </c>
      <c r="B1080">
        <v>47</v>
      </c>
      <c r="C1080" s="1" t="s">
        <v>36</v>
      </c>
      <c r="D1080" s="1" t="s">
        <v>61</v>
      </c>
      <c r="E1080" s="2">
        <v>44983</v>
      </c>
      <c r="F1080" s="2">
        <v>44890</v>
      </c>
      <c r="G1080" s="1" t="s">
        <v>38</v>
      </c>
      <c r="H1080">
        <v>496</v>
      </c>
      <c r="I1080">
        <v>18</v>
      </c>
      <c r="J1080">
        <v>4</v>
      </c>
      <c r="K1080">
        <v>6.77</v>
      </c>
      <c r="L1080">
        <v>15</v>
      </c>
      <c r="M1080" s="1" t="s">
        <v>67</v>
      </c>
      <c r="N1080" s="1" t="s">
        <v>56</v>
      </c>
      <c r="O1080">
        <v>8853.6</v>
      </c>
      <c r="P1080" t="b">
        <v>0</v>
      </c>
      <c r="Q1080">
        <v>1.5</v>
      </c>
      <c r="R1080">
        <v>491.86666666666667</v>
      </c>
      <c r="S1080">
        <v>1.3539999999999999</v>
      </c>
      <c r="T1080" s="2">
        <v>44958</v>
      </c>
      <c r="U1080" s="1" t="s">
        <v>51</v>
      </c>
      <c r="V1080">
        <v>0</v>
      </c>
      <c r="W1080" s="1" t="s">
        <v>56</v>
      </c>
      <c r="Y1080" s="1" t="s">
        <v>42</v>
      </c>
      <c r="Z1080" s="1" t="s">
        <v>42</v>
      </c>
      <c r="AA1080">
        <v>0.21052631578947367</v>
      </c>
      <c r="AB1080" s="1" t="s">
        <v>52</v>
      </c>
      <c r="AC1080">
        <v>1</v>
      </c>
      <c r="AD1080" s="2">
        <v>44958</v>
      </c>
      <c r="AE1080" s="1" t="s">
        <v>53</v>
      </c>
      <c r="AF1080" s="1" t="s">
        <v>45</v>
      </c>
      <c r="AG1080" s="1" t="s">
        <v>77</v>
      </c>
      <c r="AH1080" s="1" t="s">
        <v>68</v>
      </c>
      <c r="AI1080">
        <v>8928</v>
      </c>
      <c r="AJ1080">
        <v>-74.399999999999636</v>
      </c>
    </row>
    <row r="1081" spans="1:36" x14ac:dyDescent="0.25">
      <c r="A1081">
        <v>11080</v>
      </c>
      <c r="B1081">
        <v>56</v>
      </c>
      <c r="C1081" s="1" t="s">
        <v>36</v>
      </c>
      <c r="D1081" s="1" t="s">
        <v>48</v>
      </c>
      <c r="E1081" s="2">
        <v>44519</v>
      </c>
      <c r="F1081" s="2">
        <v>44552</v>
      </c>
      <c r="G1081" s="1" t="s">
        <v>62</v>
      </c>
      <c r="H1081">
        <v>324</v>
      </c>
      <c r="I1081">
        <v>16</v>
      </c>
      <c r="J1081">
        <v>4</v>
      </c>
      <c r="K1081">
        <v>84.89</v>
      </c>
      <c r="L1081">
        <v>5</v>
      </c>
      <c r="M1081" s="1" t="s">
        <v>65</v>
      </c>
      <c r="N1081" s="1" t="s">
        <v>56</v>
      </c>
      <c r="O1081">
        <v>5167.8</v>
      </c>
      <c r="P1081" t="b">
        <v>1</v>
      </c>
      <c r="Q1081">
        <v>1.3333333333333333</v>
      </c>
      <c r="R1081">
        <v>322.98750000000001</v>
      </c>
      <c r="S1081">
        <v>16.978000000000002</v>
      </c>
      <c r="T1081" s="2">
        <v>44501</v>
      </c>
      <c r="U1081" s="1" t="s">
        <v>41</v>
      </c>
      <c r="V1081">
        <v>0</v>
      </c>
      <c r="W1081" s="1" t="s">
        <v>56</v>
      </c>
      <c r="X1081">
        <v>33</v>
      </c>
      <c r="Y1081" s="1" t="s">
        <v>43</v>
      </c>
      <c r="Z1081" s="1" t="s">
        <v>42</v>
      </c>
      <c r="AA1081">
        <v>0.23529411764705882</v>
      </c>
      <c r="AB1081" s="1" t="s">
        <v>42</v>
      </c>
      <c r="AC1081">
        <v>2</v>
      </c>
      <c r="AD1081" s="2">
        <v>44501</v>
      </c>
      <c r="AE1081" s="1" t="s">
        <v>53</v>
      </c>
      <c r="AF1081" s="1" t="s">
        <v>45</v>
      </c>
      <c r="AG1081" s="1" t="s">
        <v>63</v>
      </c>
      <c r="AH1081" s="1" t="s">
        <v>68</v>
      </c>
      <c r="AI1081">
        <v>5184</v>
      </c>
      <c r="AJ1081">
        <v>-16.199999999999818</v>
      </c>
    </row>
    <row r="1082" spans="1:36" x14ac:dyDescent="0.25">
      <c r="A1082">
        <v>11081</v>
      </c>
      <c r="B1082">
        <v>44</v>
      </c>
      <c r="C1082" s="1" t="s">
        <v>60</v>
      </c>
      <c r="D1082" s="1" t="s">
        <v>37</v>
      </c>
      <c r="E1082" s="2">
        <v>44790</v>
      </c>
      <c r="F1082" s="2">
        <v>44849</v>
      </c>
      <c r="G1082" s="1" t="s">
        <v>49</v>
      </c>
      <c r="H1082">
        <v>694</v>
      </c>
      <c r="I1082">
        <v>2</v>
      </c>
      <c r="J1082">
        <v>4</v>
      </c>
      <c r="K1082">
        <v>31.57</v>
      </c>
      <c r="L1082">
        <v>0</v>
      </c>
      <c r="M1082" s="1" t="s">
        <v>65</v>
      </c>
      <c r="N1082" s="1" t="s">
        <v>56</v>
      </c>
      <c r="O1082">
        <v>1388</v>
      </c>
      <c r="P1082" t="b">
        <v>1</v>
      </c>
      <c r="Q1082">
        <v>0.16666666666666666</v>
      </c>
      <c r="R1082">
        <v>694</v>
      </c>
      <c r="S1082">
        <v>6.3140000000000001</v>
      </c>
      <c r="T1082" s="2">
        <v>44774</v>
      </c>
      <c r="U1082" s="1" t="s">
        <v>51</v>
      </c>
      <c r="V1082">
        <v>0</v>
      </c>
      <c r="W1082" s="1" t="s">
        <v>56</v>
      </c>
      <c r="X1082">
        <v>59</v>
      </c>
      <c r="Y1082" s="1" t="s">
        <v>52</v>
      </c>
      <c r="Z1082" s="1" t="s">
        <v>42</v>
      </c>
      <c r="AA1082">
        <v>1.3333333333333333</v>
      </c>
      <c r="AB1082" s="1" t="s">
        <v>42</v>
      </c>
      <c r="AC1082">
        <v>3</v>
      </c>
      <c r="AD1082" s="2">
        <v>44774</v>
      </c>
      <c r="AE1082" s="1" t="s">
        <v>58</v>
      </c>
      <c r="AF1082" s="1" t="s">
        <v>45</v>
      </c>
      <c r="AG1082" s="1" t="s">
        <v>55</v>
      </c>
      <c r="AH1082" s="1" t="s">
        <v>64</v>
      </c>
      <c r="AI1082">
        <v>1388</v>
      </c>
      <c r="AJ1082">
        <v>0</v>
      </c>
    </row>
    <row r="1083" spans="1:36" x14ac:dyDescent="0.25">
      <c r="A1083">
        <v>11082</v>
      </c>
      <c r="B1083">
        <v>53</v>
      </c>
      <c r="C1083" s="1" t="s">
        <v>75</v>
      </c>
      <c r="D1083" s="1" t="s">
        <v>48</v>
      </c>
      <c r="E1083" s="2">
        <v>44377</v>
      </c>
      <c r="F1083" s="2">
        <v>44747</v>
      </c>
      <c r="G1083" s="1" t="s">
        <v>38</v>
      </c>
      <c r="H1083">
        <v>1013</v>
      </c>
      <c r="I1083">
        <v>13</v>
      </c>
      <c r="J1083">
        <v>4</v>
      </c>
      <c r="K1083">
        <v>103.69</v>
      </c>
      <c r="L1083">
        <v>0</v>
      </c>
      <c r="M1083" s="1" t="s">
        <v>65</v>
      </c>
      <c r="N1083" s="1" t="s">
        <v>56</v>
      </c>
      <c r="O1083">
        <v>13169</v>
      </c>
      <c r="P1083" t="b">
        <v>1</v>
      </c>
      <c r="Q1083">
        <v>1.0833333333333333</v>
      </c>
      <c r="R1083">
        <v>1013</v>
      </c>
      <c r="S1083">
        <v>20.738</v>
      </c>
      <c r="T1083" s="2">
        <v>44348</v>
      </c>
      <c r="U1083" s="1" t="s">
        <v>41</v>
      </c>
      <c r="V1083">
        <v>0</v>
      </c>
      <c r="W1083" s="1" t="s">
        <v>56</v>
      </c>
      <c r="X1083">
        <v>370</v>
      </c>
      <c r="Y1083" s="1" t="s">
        <v>43</v>
      </c>
      <c r="Z1083" s="1" t="s">
        <v>42</v>
      </c>
      <c r="AA1083">
        <v>0.2857142857142857</v>
      </c>
      <c r="AB1083" s="1" t="s">
        <v>52</v>
      </c>
      <c r="AC1083">
        <v>1</v>
      </c>
      <c r="AD1083" s="2">
        <v>44348</v>
      </c>
      <c r="AE1083" s="1" t="s">
        <v>53</v>
      </c>
      <c r="AF1083" s="1" t="s">
        <v>45</v>
      </c>
      <c r="AG1083" s="1" t="s">
        <v>63</v>
      </c>
      <c r="AH1083" s="1" t="s">
        <v>47</v>
      </c>
      <c r="AI1083">
        <v>13169</v>
      </c>
      <c r="AJ1083">
        <v>0</v>
      </c>
    </row>
    <row r="1084" spans="1:36" x14ac:dyDescent="0.25">
      <c r="A1084">
        <v>11083</v>
      </c>
      <c r="B1084">
        <v>46</v>
      </c>
      <c r="C1084" s="1" t="s">
        <v>36</v>
      </c>
      <c r="D1084" s="1" t="s">
        <v>71</v>
      </c>
      <c r="E1084" s="2">
        <v>44695</v>
      </c>
      <c r="F1084" s="2">
        <v>44554</v>
      </c>
      <c r="G1084" s="1" t="s">
        <v>49</v>
      </c>
      <c r="H1084">
        <v>1359</v>
      </c>
      <c r="I1084">
        <v>16</v>
      </c>
      <c r="J1084">
        <v>1</v>
      </c>
      <c r="K1084">
        <v>58.63</v>
      </c>
      <c r="L1084">
        <v>15</v>
      </c>
      <c r="M1084" s="1" t="s">
        <v>39</v>
      </c>
      <c r="N1084" s="1" t="s">
        <v>56</v>
      </c>
      <c r="O1084">
        <v>21540.15</v>
      </c>
      <c r="P1084" t="b">
        <v>0</v>
      </c>
      <c r="Q1084">
        <v>1.3333333333333333</v>
      </c>
      <c r="R1084">
        <v>1346.2593750000001</v>
      </c>
      <c r="S1084">
        <v>29.315000000000001</v>
      </c>
      <c r="T1084" s="2">
        <v>44682</v>
      </c>
      <c r="U1084" s="1" t="s">
        <v>51</v>
      </c>
      <c r="V1084">
        <v>0</v>
      </c>
      <c r="W1084" s="1" t="s">
        <v>40</v>
      </c>
      <c r="Y1084" s="1" t="s">
        <v>52</v>
      </c>
      <c r="Z1084" s="1" t="s">
        <v>42</v>
      </c>
      <c r="AA1084">
        <v>5.8823529411764705E-2</v>
      </c>
      <c r="AB1084" s="1" t="s">
        <v>43</v>
      </c>
      <c r="AC1084">
        <v>3</v>
      </c>
      <c r="AD1084" s="2">
        <v>44682</v>
      </c>
      <c r="AE1084" s="1" t="s">
        <v>53</v>
      </c>
      <c r="AF1084" s="1" t="s">
        <v>54</v>
      </c>
      <c r="AG1084" s="1" t="s">
        <v>63</v>
      </c>
      <c r="AH1084" s="1" t="s">
        <v>47</v>
      </c>
      <c r="AI1084">
        <v>21744</v>
      </c>
      <c r="AJ1084">
        <v>-203.84999999999854</v>
      </c>
    </row>
    <row r="1085" spans="1:36" x14ac:dyDescent="0.25">
      <c r="A1085">
        <v>11084</v>
      </c>
      <c r="B1085">
        <v>55</v>
      </c>
      <c r="C1085" s="1" t="s">
        <v>60</v>
      </c>
      <c r="D1085" s="1" t="s">
        <v>48</v>
      </c>
      <c r="E1085" s="2">
        <v>44516</v>
      </c>
      <c r="F1085" s="2">
        <v>44966</v>
      </c>
      <c r="G1085" s="1" t="s">
        <v>49</v>
      </c>
      <c r="H1085">
        <v>522</v>
      </c>
      <c r="I1085">
        <v>8</v>
      </c>
      <c r="J1085">
        <v>1</v>
      </c>
      <c r="K1085">
        <v>66.02</v>
      </c>
      <c r="L1085">
        <v>5</v>
      </c>
      <c r="M1085" s="1" t="s">
        <v>39</v>
      </c>
      <c r="N1085" s="1" t="s">
        <v>56</v>
      </c>
      <c r="O1085">
        <v>4149.8999999999996</v>
      </c>
      <c r="P1085" t="b">
        <v>1</v>
      </c>
      <c r="Q1085">
        <v>0.66666666666666663</v>
      </c>
      <c r="R1085">
        <v>518.73749999999995</v>
      </c>
      <c r="S1085">
        <v>33.01</v>
      </c>
      <c r="T1085" s="2">
        <v>44501</v>
      </c>
      <c r="U1085" s="1" t="s">
        <v>41</v>
      </c>
      <c r="V1085">
        <v>0</v>
      </c>
      <c r="W1085" s="1" t="s">
        <v>56</v>
      </c>
      <c r="X1085">
        <v>450</v>
      </c>
      <c r="Y1085" s="1" t="s">
        <v>43</v>
      </c>
      <c r="Z1085" s="1" t="s">
        <v>42</v>
      </c>
      <c r="AA1085">
        <v>0.1111111111111111</v>
      </c>
      <c r="AB1085" s="1" t="s">
        <v>42</v>
      </c>
      <c r="AC1085">
        <v>3</v>
      </c>
      <c r="AD1085" s="2">
        <v>44501</v>
      </c>
      <c r="AE1085" s="1" t="s">
        <v>74</v>
      </c>
      <c r="AF1085" s="1" t="s">
        <v>54</v>
      </c>
      <c r="AG1085" s="1" t="s">
        <v>63</v>
      </c>
      <c r="AH1085" s="1" t="s">
        <v>64</v>
      </c>
      <c r="AI1085">
        <v>4176</v>
      </c>
      <c r="AJ1085">
        <v>-26.100000000000364</v>
      </c>
    </row>
    <row r="1086" spans="1:36" x14ac:dyDescent="0.25">
      <c r="A1086">
        <v>11085</v>
      </c>
      <c r="B1086">
        <v>41</v>
      </c>
      <c r="C1086" s="1" t="s">
        <v>36</v>
      </c>
      <c r="D1086" s="1" t="s">
        <v>48</v>
      </c>
      <c r="E1086" s="2">
        <v>44279</v>
      </c>
      <c r="F1086" s="2">
        <v>44493</v>
      </c>
      <c r="G1086" s="1" t="s">
        <v>49</v>
      </c>
      <c r="H1086">
        <v>1163</v>
      </c>
      <c r="I1086">
        <v>8</v>
      </c>
      <c r="J1086">
        <v>0</v>
      </c>
      <c r="K1086">
        <v>91.7</v>
      </c>
      <c r="L1086">
        <v>0</v>
      </c>
      <c r="M1086" s="1" t="s">
        <v>65</v>
      </c>
      <c r="N1086" s="1" t="s">
        <v>56</v>
      </c>
      <c r="O1086">
        <v>9304</v>
      </c>
      <c r="P1086" t="b">
        <v>1</v>
      </c>
      <c r="Q1086">
        <v>0.66666666666666663</v>
      </c>
      <c r="R1086">
        <v>1163</v>
      </c>
      <c r="S1086">
        <v>91.7</v>
      </c>
      <c r="T1086" s="2">
        <v>44256</v>
      </c>
      <c r="U1086" s="1" t="s">
        <v>51</v>
      </c>
      <c r="V1086">
        <v>0</v>
      </c>
      <c r="W1086" s="1" t="s">
        <v>56</v>
      </c>
      <c r="X1086">
        <v>214</v>
      </c>
      <c r="Y1086" s="1" t="s">
        <v>43</v>
      </c>
      <c r="Z1086" s="1" t="s">
        <v>42</v>
      </c>
      <c r="AA1086">
        <v>0</v>
      </c>
      <c r="AB1086" s="1" t="s">
        <v>52</v>
      </c>
      <c r="AC1086">
        <v>3</v>
      </c>
      <c r="AD1086" s="2">
        <v>44256</v>
      </c>
      <c r="AE1086" s="1" t="s">
        <v>74</v>
      </c>
      <c r="AF1086" s="1" t="s">
        <v>54</v>
      </c>
      <c r="AG1086" s="1" t="s">
        <v>63</v>
      </c>
      <c r="AH1086" s="1" t="s">
        <v>47</v>
      </c>
      <c r="AI1086">
        <v>9304</v>
      </c>
      <c r="AJ1086">
        <v>0</v>
      </c>
    </row>
    <row r="1087" spans="1:36" x14ac:dyDescent="0.25">
      <c r="A1087">
        <v>11086</v>
      </c>
      <c r="B1087">
        <v>54</v>
      </c>
      <c r="C1087" s="1" t="s">
        <v>60</v>
      </c>
      <c r="D1087" s="1" t="s">
        <v>73</v>
      </c>
      <c r="E1087" s="2">
        <v>44499</v>
      </c>
      <c r="F1087" s="2">
        <v>45226</v>
      </c>
      <c r="G1087" s="1" t="s">
        <v>38</v>
      </c>
      <c r="H1087">
        <v>829</v>
      </c>
      <c r="I1087">
        <v>10</v>
      </c>
      <c r="J1087">
        <v>1</v>
      </c>
      <c r="K1087">
        <v>94.63</v>
      </c>
      <c r="L1087">
        <v>20</v>
      </c>
      <c r="M1087" s="1" t="s">
        <v>50</v>
      </c>
      <c r="N1087" s="1" t="s">
        <v>40</v>
      </c>
      <c r="O1087">
        <v>8124.2</v>
      </c>
      <c r="P1087" t="b">
        <v>1</v>
      </c>
      <c r="Q1087">
        <v>0.83333333333333337</v>
      </c>
      <c r="R1087">
        <v>812.42</v>
      </c>
      <c r="S1087">
        <v>47.314999999999998</v>
      </c>
      <c r="T1087" s="2">
        <v>44470</v>
      </c>
      <c r="U1087" s="1" t="s">
        <v>41</v>
      </c>
      <c r="V1087">
        <v>1</v>
      </c>
      <c r="W1087" s="1" t="s">
        <v>56</v>
      </c>
      <c r="X1087">
        <v>727</v>
      </c>
      <c r="Y1087" s="1" t="s">
        <v>43</v>
      </c>
      <c r="Z1087" s="1" t="s">
        <v>52</v>
      </c>
      <c r="AA1087">
        <v>9.0909090909090912E-2</v>
      </c>
      <c r="AB1087" s="1" t="s">
        <v>42</v>
      </c>
      <c r="AC1087">
        <v>1</v>
      </c>
      <c r="AD1087" s="2">
        <v>44470</v>
      </c>
      <c r="AE1087" s="1" t="s">
        <v>74</v>
      </c>
      <c r="AF1087" s="1" t="s">
        <v>54</v>
      </c>
      <c r="AG1087" s="1" t="s">
        <v>63</v>
      </c>
      <c r="AH1087" s="1" t="s">
        <v>59</v>
      </c>
      <c r="AI1087">
        <v>8290</v>
      </c>
      <c r="AJ1087">
        <v>-165.80000000000018</v>
      </c>
    </row>
    <row r="1088" spans="1:36" x14ac:dyDescent="0.25">
      <c r="A1088">
        <v>11087</v>
      </c>
      <c r="B1088">
        <v>44</v>
      </c>
      <c r="C1088" s="1" t="s">
        <v>36</v>
      </c>
      <c r="D1088" s="1" t="s">
        <v>37</v>
      </c>
      <c r="E1088" s="2">
        <v>44458</v>
      </c>
      <c r="F1088" s="2">
        <v>44448</v>
      </c>
      <c r="G1088" s="1" t="s">
        <v>62</v>
      </c>
      <c r="H1088">
        <v>556</v>
      </c>
      <c r="I1088">
        <v>33</v>
      </c>
      <c r="J1088">
        <v>2</v>
      </c>
      <c r="K1088">
        <v>78.900000000000006</v>
      </c>
      <c r="L1088">
        <v>5</v>
      </c>
      <c r="M1088" s="1" t="s">
        <v>50</v>
      </c>
      <c r="N1088" s="1" t="s">
        <v>56</v>
      </c>
      <c r="O1088">
        <v>18320.2</v>
      </c>
      <c r="P1088" t="b">
        <v>0</v>
      </c>
      <c r="Q1088">
        <v>2.75</v>
      </c>
      <c r="R1088">
        <v>555.15757575757573</v>
      </c>
      <c r="S1088">
        <v>26.3</v>
      </c>
      <c r="T1088" s="2">
        <v>44440</v>
      </c>
      <c r="U1088" s="1" t="s">
        <v>51</v>
      </c>
      <c r="V1088">
        <v>0</v>
      </c>
      <c r="W1088" s="1" t="s">
        <v>40</v>
      </c>
      <c r="Y1088" s="1" t="s">
        <v>43</v>
      </c>
      <c r="Z1088" s="1" t="s">
        <v>42</v>
      </c>
      <c r="AA1088">
        <v>5.8823529411764705E-2</v>
      </c>
      <c r="AB1088" s="1" t="s">
        <v>52</v>
      </c>
      <c r="AC1088">
        <v>2</v>
      </c>
      <c r="AD1088" s="2">
        <v>44440</v>
      </c>
      <c r="AE1088" s="1" t="s">
        <v>44</v>
      </c>
      <c r="AF1088" s="1" t="s">
        <v>72</v>
      </c>
      <c r="AG1088" s="1" t="s">
        <v>63</v>
      </c>
      <c r="AH1088" s="1" t="s">
        <v>64</v>
      </c>
      <c r="AI1088">
        <v>18348</v>
      </c>
      <c r="AJ1088">
        <v>-27.799999999999272</v>
      </c>
    </row>
    <row r="1089" spans="1:36" x14ac:dyDescent="0.25">
      <c r="A1089">
        <v>11088</v>
      </c>
      <c r="B1089">
        <v>50</v>
      </c>
      <c r="C1089" s="1" t="s">
        <v>36</v>
      </c>
      <c r="D1089" s="1" t="s">
        <v>71</v>
      </c>
      <c r="E1089" s="2">
        <v>44980</v>
      </c>
      <c r="F1089" s="2">
        <v>45227</v>
      </c>
      <c r="G1089" s="1" t="s">
        <v>62</v>
      </c>
      <c r="H1089">
        <v>953</v>
      </c>
      <c r="I1089">
        <v>31</v>
      </c>
      <c r="J1089">
        <v>4</v>
      </c>
      <c r="K1089">
        <v>112.92</v>
      </c>
      <c r="L1089">
        <v>10</v>
      </c>
      <c r="M1089" s="1" t="s">
        <v>67</v>
      </c>
      <c r="N1089" s="1" t="s">
        <v>40</v>
      </c>
      <c r="O1089">
        <v>29447.7</v>
      </c>
      <c r="P1089" t="b">
        <v>1</v>
      </c>
      <c r="Q1089">
        <v>2.5833333333333335</v>
      </c>
      <c r="R1089">
        <v>949.92580645161297</v>
      </c>
      <c r="S1089">
        <v>22.584</v>
      </c>
      <c r="T1089" s="2">
        <v>44958</v>
      </c>
      <c r="U1089" s="1" t="s">
        <v>51</v>
      </c>
      <c r="V1089">
        <v>1</v>
      </c>
      <c r="W1089" s="1" t="s">
        <v>40</v>
      </c>
      <c r="X1089">
        <v>247</v>
      </c>
      <c r="Y1089" s="1" t="s">
        <v>43</v>
      </c>
      <c r="Z1089" s="1" t="s">
        <v>42</v>
      </c>
      <c r="AA1089">
        <v>0.125</v>
      </c>
      <c r="AB1089" s="1" t="s">
        <v>43</v>
      </c>
      <c r="AC1089">
        <v>2</v>
      </c>
      <c r="AD1089" s="2">
        <v>44958</v>
      </c>
      <c r="AE1089" s="1" t="s">
        <v>44</v>
      </c>
      <c r="AF1089" s="1" t="s">
        <v>45</v>
      </c>
      <c r="AG1089" s="1" t="s">
        <v>63</v>
      </c>
      <c r="AH1089" s="1" t="s">
        <v>59</v>
      </c>
      <c r="AI1089">
        <v>29543</v>
      </c>
      <c r="AJ1089">
        <v>-95.299999999999272</v>
      </c>
    </row>
    <row r="1090" spans="1:36" x14ac:dyDescent="0.25">
      <c r="A1090">
        <v>11089</v>
      </c>
      <c r="B1090">
        <v>21</v>
      </c>
      <c r="C1090" s="1" t="s">
        <v>60</v>
      </c>
      <c r="D1090" s="1" t="s">
        <v>48</v>
      </c>
      <c r="E1090" s="2">
        <v>44396</v>
      </c>
      <c r="F1090" s="2">
        <v>45177</v>
      </c>
      <c r="G1090" s="1" t="s">
        <v>49</v>
      </c>
      <c r="H1090">
        <v>1459</v>
      </c>
      <c r="I1090">
        <v>12</v>
      </c>
      <c r="J1090">
        <v>2</v>
      </c>
      <c r="K1090">
        <v>117.96</v>
      </c>
      <c r="L1090">
        <v>20</v>
      </c>
      <c r="M1090" s="1" t="s">
        <v>67</v>
      </c>
      <c r="N1090" s="1" t="s">
        <v>56</v>
      </c>
      <c r="O1090">
        <v>17216.2</v>
      </c>
      <c r="P1090" t="b">
        <v>1</v>
      </c>
      <c r="Q1090">
        <v>1</v>
      </c>
      <c r="R1090">
        <v>1434.6833333333334</v>
      </c>
      <c r="S1090">
        <v>39.32</v>
      </c>
      <c r="T1090" s="2">
        <v>44378</v>
      </c>
      <c r="U1090" s="1" t="s">
        <v>66</v>
      </c>
      <c r="V1090">
        <v>0</v>
      </c>
      <c r="W1090" s="1" t="s">
        <v>40</v>
      </c>
      <c r="X1090">
        <v>781</v>
      </c>
      <c r="Y1090" s="1" t="s">
        <v>43</v>
      </c>
      <c r="Z1090" s="1" t="s">
        <v>52</v>
      </c>
      <c r="AA1090">
        <v>0.15384615384615385</v>
      </c>
      <c r="AB1090" s="1" t="s">
        <v>52</v>
      </c>
      <c r="AC1090">
        <v>3</v>
      </c>
      <c r="AD1090" s="2">
        <v>44378</v>
      </c>
      <c r="AE1090" s="1" t="s">
        <v>74</v>
      </c>
      <c r="AF1090" s="1" t="s">
        <v>72</v>
      </c>
      <c r="AG1090" s="1" t="s">
        <v>63</v>
      </c>
      <c r="AH1090" s="1" t="s">
        <v>47</v>
      </c>
      <c r="AI1090">
        <v>17508</v>
      </c>
      <c r="AJ1090">
        <v>-291.79999999999927</v>
      </c>
    </row>
    <row r="1091" spans="1:36" x14ac:dyDescent="0.25">
      <c r="A1091">
        <v>11090</v>
      </c>
      <c r="B1091">
        <v>39</v>
      </c>
      <c r="C1091" s="1" t="s">
        <v>36</v>
      </c>
      <c r="D1091" s="1" t="s">
        <v>69</v>
      </c>
      <c r="E1091" s="2">
        <v>44436</v>
      </c>
      <c r="F1091" s="2">
        <v>45227</v>
      </c>
      <c r="G1091" s="1" t="s">
        <v>38</v>
      </c>
      <c r="H1091">
        <v>890</v>
      </c>
      <c r="I1091">
        <v>9</v>
      </c>
      <c r="J1091">
        <v>2</v>
      </c>
      <c r="K1091">
        <v>113.89</v>
      </c>
      <c r="L1091">
        <v>5</v>
      </c>
      <c r="M1091" s="1" t="s">
        <v>65</v>
      </c>
      <c r="N1091" s="1" t="s">
        <v>40</v>
      </c>
      <c r="O1091">
        <v>7965.5</v>
      </c>
      <c r="P1091" t="b">
        <v>1</v>
      </c>
      <c r="Q1091">
        <v>0.75</v>
      </c>
      <c r="R1091">
        <v>885.05555555555554</v>
      </c>
      <c r="S1091">
        <v>37.963333333333331</v>
      </c>
      <c r="T1091" s="2">
        <v>44409</v>
      </c>
      <c r="U1091" s="1" t="s">
        <v>51</v>
      </c>
      <c r="V1091">
        <v>1</v>
      </c>
      <c r="W1091" s="1" t="s">
        <v>56</v>
      </c>
      <c r="X1091">
        <v>791</v>
      </c>
      <c r="Y1091" s="1" t="s">
        <v>43</v>
      </c>
      <c r="Z1091" s="1" t="s">
        <v>42</v>
      </c>
      <c r="AA1091">
        <v>0.2</v>
      </c>
      <c r="AB1091" s="1" t="s">
        <v>42</v>
      </c>
      <c r="AC1091">
        <v>1</v>
      </c>
      <c r="AD1091" s="2">
        <v>44409</v>
      </c>
      <c r="AE1091" s="1" t="s">
        <v>74</v>
      </c>
      <c r="AF1091" s="1" t="s">
        <v>72</v>
      </c>
      <c r="AG1091" s="1" t="s">
        <v>63</v>
      </c>
      <c r="AH1091" s="1" t="s">
        <v>59</v>
      </c>
      <c r="AI1091">
        <v>8010</v>
      </c>
      <c r="AJ1091">
        <v>-44.5</v>
      </c>
    </row>
    <row r="1092" spans="1:36" x14ac:dyDescent="0.25">
      <c r="A1092">
        <v>11091</v>
      </c>
      <c r="B1092">
        <v>19</v>
      </c>
      <c r="C1092" s="1" t="s">
        <v>36</v>
      </c>
      <c r="D1092" s="1" t="s">
        <v>61</v>
      </c>
      <c r="E1092" s="2">
        <v>44888</v>
      </c>
      <c r="F1092" s="2">
        <v>44588</v>
      </c>
      <c r="G1092" s="1" t="s">
        <v>62</v>
      </c>
      <c r="H1092">
        <v>743</v>
      </c>
      <c r="I1092">
        <v>9</v>
      </c>
      <c r="J1092">
        <v>4</v>
      </c>
      <c r="K1092">
        <v>99.78</v>
      </c>
      <c r="L1092">
        <v>15</v>
      </c>
      <c r="M1092" s="1" t="s">
        <v>39</v>
      </c>
      <c r="N1092" s="1" t="s">
        <v>56</v>
      </c>
      <c r="O1092">
        <v>6575.55</v>
      </c>
      <c r="P1092" t="b">
        <v>0</v>
      </c>
      <c r="Q1092">
        <v>0.75</v>
      </c>
      <c r="R1092">
        <v>730.61666666666667</v>
      </c>
      <c r="S1092">
        <v>19.956</v>
      </c>
      <c r="T1092" s="2">
        <v>44866</v>
      </c>
      <c r="U1092" s="1" t="s">
        <v>66</v>
      </c>
      <c r="V1092">
        <v>0</v>
      </c>
      <c r="W1092" s="1" t="s">
        <v>56</v>
      </c>
      <c r="Y1092" s="1" t="s">
        <v>43</v>
      </c>
      <c r="Z1092" s="1" t="s">
        <v>42</v>
      </c>
      <c r="AA1092">
        <v>0.4</v>
      </c>
      <c r="AB1092" s="1" t="s">
        <v>42</v>
      </c>
      <c r="AC1092">
        <v>2</v>
      </c>
      <c r="AD1092" s="2">
        <v>44866</v>
      </c>
      <c r="AE1092" s="1" t="s">
        <v>74</v>
      </c>
      <c r="AF1092" s="1" t="s">
        <v>45</v>
      </c>
      <c r="AG1092" s="1" t="s">
        <v>63</v>
      </c>
      <c r="AH1092" s="1" t="s">
        <v>59</v>
      </c>
      <c r="AI1092">
        <v>6687</v>
      </c>
      <c r="AJ1092">
        <v>-111.44999999999982</v>
      </c>
    </row>
    <row r="1093" spans="1:36" x14ac:dyDescent="0.25">
      <c r="A1093">
        <v>11092</v>
      </c>
      <c r="B1093">
        <v>27</v>
      </c>
      <c r="C1093" s="1" t="s">
        <v>60</v>
      </c>
      <c r="D1093" s="1" t="s">
        <v>48</v>
      </c>
      <c r="E1093" s="2">
        <v>44879</v>
      </c>
      <c r="F1093" s="2">
        <v>45106</v>
      </c>
      <c r="G1093" s="1" t="s">
        <v>38</v>
      </c>
      <c r="H1093">
        <v>717</v>
      </c>
      <c r="I1093">
        <v>18</v>
      </c>
      <c r="J1093">
        <v>1</v>
      </c>
      <c r="K1093">
        <v>86.15</v>
      </c>
      <c r="L1093">
        <v>0</v>
      </c>
      <c r="M1093" s="1" t="s">
        <v>39</v>
      </c>
      <c r="N1093" s="1" t="s">
        <v>40</v>
      </c>
      <c r="O1093">
        <v>12906</v>
      </c>
      <c r="P1093" t="b">
        <v>1</v>
      </c>
      <c r="Q1093">
        <v>1.5</v>
      </c>
      <c r="R1093">
        <v>717</v>
      </c>
      <c r="S1093">
        <v>43.075000000000003</v>
      </c>
      <c r="T1093" s="2">
        <v>44866</v>
      </c>
      <c r="U1093" s="1" t="s">
        <v>57</v>
      </c>
      <c r="V1093">
        <v>1</v>
      </c>
      <c r="W1093" s="1" t="s">
        <v>56</v>
      </c>
      <c r="X1093">
        <v>227</v>
      </c>
      <c r="Y1093" s="1" t="s">
        <v>43</v>
      </c>
      <c r="Z1093" s="1" t="s">
        <v>42</v>
      </c>
      <c r="AA1093">
        <v>5.2631578947368418E-2</v>
      </c>
      <c r="AB1093" s="1" t="s">
        <v>52</v>
      </c>
      <c r="AC1093">
        <v>1</v>
      </c>
      <c r="AD1093" s="2">
        <v>44866</v>
      </c>
      <c r="AE1093" s="1" t="s">
        <v>53</v>
      </c>
      <c r="AF1093" s="1" t="s">
        <v>54</v>
      </c>
      <c r="AG1093" s="1" t="s">
        <v>63</v>
      </c>
      <c r="AH1093" s="1" t="s">
        <v>59</v>
      </c>
      <c r="AI1093">
        <v>12906</v>
      </c>
      <c r="AJ1093">
        <v>0</v>
      </c>
    </row>
    <row r="1094" spans="1:36" x14ac:dyDescent="0.25">
      <c r="A1094">
        <v>11093</v>
      </c>
      <c r="B1094">
        <v>22</v>
      </c>
      <c r="C1094" s="1" t="s">
        <v>60</v>
      </c>
      <c r="D1094" s="1" t="s">
        <v>71</v>
      </c>
      <c r="E1094" s="2">
        <v>44491</v>
      </c>
      <c r="F1094" s="2">
        <v>44510</v>
      </c>
      <c r="G1094" s="1" t="s">
        <v>38</v>
      </c>
      <c r="H1094">
        <v>873</v>
      </c>
      <c r="I1094">
        <v>30</v>
      </c>
      <c r="J1094">
        <v>1</v>
      </c>
      <c r="K1094">
        <v>81.28</v>
      </c>
      <c r="L1094">
        <v>20</v>
      </c>
      <c r="M1094" s="1" t="s">
        <v>67</v>
      </c>
      <c r="N1094" s="1" t="s">
        <v>56</v>
      </c>
      <c r="O1094">
        <v>26015.4</v>
      </c>
      <c r="P1094" t="b">
        <v>1</v>
      </c>
      <c r="Q1094">
        <v>2.5</v>
      </c>
      <c r="R1094">
        <v>867.18000000000006</v>
      </c>
      <c r="S1094">
        <v>40.64</v>
      </c>
      <c r="T1094" s="2">
        <v>44470</v>
      </c>
      <c r="U1094" s="1" t="s">
        <v>66</v>
      </c>
      <c r="V1094">
        <v>0</v>
      </c>
      <c r="W1094" s="1" t="s">
        <v>40</v>
      </c>
      <c r="X1094">
        <v>19</v>
      </c>
      <c r="Y1094" s="1" t="s">
        <v>43</v>
      </c>
      <c r="Z1094" s="1" t="s">
        <v>52</v>
      </c>
      <c r="AA1094">
        <v>3.2258064516129031E-2</v>
      </c>
      <c r="AB1094" s="1" t="s">
        <v>43</v>
      </c>
      <c r="AC1094">
        <v>1</v>
      </c>
      <c r="AD1094" s="2">
        <v>44470</v>
      </c>
      <c r="AE1094" s="1" t="s">
        <v>44</v>
      </c>
      <c r="AF1094" s="1" t="s">
        <v>54</v>
      </c>
      <c r="AG1094" s="1" t="s">
        <v>63</v>
      </c>
      <c r="AH1094" s="1" t="s">
        <v>59</v>
      </c>
      <c r="AI1094">
        <v>26190</v>
      </c>
      <c r="AJ1094">
        <v>-174.59999999999854</v>
      </c>
    </row>
    <row r="1095" spans="1:36" x14ac:dyDescent="0.25">
      <c r="A1095">
        <v>11094</v>
      </c>
      <c r="B1095">
        <v>27</v>
      </c>
      <c r="C1095" s="1" t="s">
        <v>36</v>
      </c>
      <c r="D1095" s="1" t="s">
        <v>48</v>
      </c>
      <c r="E1095" s="2">
        <v>44708</v>
      </c>
      <c r="F1095" s="2">
        <v>45231</v>
      </c>
      <c r="G1095" s="1" t="s">
        <v>38</v>
      </c>
      <c r="H1095">
        <v>428</v>
      </c>
      <c r="I1095">
        <v>32</v>
      </c>
      <c r="J1095">
        <v>3</v>
      </c>
      <c r="K1095">
        <v>16.93</v>
      </c>
      <c r="L1095">
        <v>15</v>
      </c>
      <c r="M1095" s="1" t="s">
        <v>65</v>
      </c>
      <c r="N1095" s="1" t="s">
        <v>56</v>
      </c>
      <c r="O1095">
        <v>13631.8</v>
      </c>
      <c r="P1095" t="b">
        <v>1</v>
      </c>
      <c r="Q1095">
        <v>2.6666666666666665</v>
      </c>
      <c r="R1095">
        <v>425.99374999999998</v>
      </c>
      <c r="S1095">
        <v>4.2324999999999999</v>
      </c>
      <c r="T1095" s="2">
        <v>44682</v>
      </c>
      <c r="U1095" s="1" t="s">
        <v>57</v>
      </c>
      <c r="V1095">
        <v>0</v>
      </c>
      <c r="W1095" s="1" t="s">
        <v>40</v>
      </c>
      <c r="X1095">
        <v>523</v>
      </c>
      <c r="Y1095" s="1" t="s">
        <v>42</v>
      </c>
      <c r="Z1095" s="1" t="s">
        <v>42</v>
      </c>
      <c r="AA1095">
        <v>9.0909090909090912E-2</v>
      </c>
      <c r="AB1095" s="1" t="s">
        <v>52</v>
      </c>
      <c r="AC1095">
        <v>1</v>
      </c>
      <c r="AD1095" s="2">
        <v>44682</v>
      </c>
      <c r="AE1095" s="1" t="s">
        <v>44</v>
      </c>
      <c r="AF1095" s="1" t="s">
        <v>72</v>
      </c>
      <c r="AG1095" s="1" t="s">
        <v>46</v>
      </c>
      <c r="AH1095" s="1" t="s">
        <v>68</v>
      </c>
      <c r="AI1095">
        <v>13696</v>
      </c>
      <c r="AJ1095">
        <v>-64.200000000000728</v>
      </c>
    </row>
    <row r="1096" spans="1:36" x14ac:dyDescent="0.25">
      <c r="A1096">
        <v>11095</v>
      </c>
      <c r="B1096">
        <v>50</v>
      </c>
      <c r="C1096" s="1" t="s">
        <v>60</v>
      </c>
      <c r="D1096" s="1" t="s">
        <v>61</v>
      </c>
      <c r="E1096" s="2">
        <v>44885</v>
      </c>
      <c r="F1096" s="2">
        <v>44520</v>
      </c>
      <c r="G1096" s="1" t="s">
        <v>62</v>
      </c>
      <c r="H1096">
        <v>1310</v>
      </c>
      <c r="I1096">
        <v>23</v>
      </c>
      <c r="J1096">
        <v>1</v>
      </c>
      <c r="K1096">
        <v>36.22</v>
      </c>
      <c r="L1096">
        <v>5</v>
      </c>
      <c r="M1096" s="1" t="s">
        <v>67</v>
      </c>
      <c r="N1096" s="1" t="s">
        <v>40</v>
      </c>
      <c r="O1096">
        <v>30064.5</v>
      </c>
      <c r="P1096" t="b">
        <v>0</v>
      </c>
      <c r="Q1096">
        <v>1.9166666666666667</v>
      </c>
      <c r="R1096">
        <v>1307.1521739130435</v>
      </c>
      <c r="S1096">
        <v>18.11</v>
      </c>
      <c r="T1096" s="2">
        <v>44866</v>
      </c>
      <c r="U1096" s="1" t="s">
        <v>51</v>
      </c>
      <c r="V1096">
        <v>1</v>
      </c>
      <c r="W1096" s="1" t="s">
        <v>40</v>
      </c>
      <c r="Y1096" s="1" t="s">
        <v>52</v>
      </c>
      <c r="Z1096" s="1" t="s">
        <v>42</v>
      </c>
      <c r="AA1096">
        <v>4.1666666666666664E-2</v>
      </c>
      <c r="AB1096" s="1" t="s">
        <v>43</v>
      </c>
      <c r="AC1096">
        <v>2</v>
      </c>
      <c r="AD1096" s="2">
        <v>44866</v>
      </c>
      <c r="AE1096" s="1" t="s">
        <v>53</v>
      </c>
      <c r="AF1096" s="1" t="s">
        <v>54</v>
      </c>
      <c r="AG1096" s="1" t="s">
        <v>55</v>
      </c>
      <c r="AH1096" s="1" t="s">
        <v>47</v>
      </c>
      <c r="AI1096">
        <v>30130</v>
      </c>
      <c r="AJ1096">
        <v>-65.5</v>
      </c>
    </row>
    <row r="1097" spans="1:36" x14ac:dyDescent="0.25">
      <c r="A1097">
        <v>11096</v>
      </c>
      <c r="B1097">
        <v>55</v>
      </c>
      <c r="C1097" s="1" t="s">
        <v>60</v>
      </c>
      <c r="D1097" s="1" t="s">
        <v>71</v>
      </c>
      <c r="E1097" s="2">
        <v>45077</v>
      </c>
      <c r="F1097" s="2">
        <v>44849</v>
      </c>
      <c r="G1097" s="1" t="s">
        <v>62</v>
      </c>
      <c r="H1097">
        <v>640</v>
      </c>
      <c r="I1097">
        <v>11</v>
      </c>
      <c r="J1097">
        <v>2</v>
      </c>
      <c r="K1097">
        <v>5.65</v>
      </c>
      <c r="L1097">
        <v>10</v>
      </c>
      <c r="M1097" s="1" t="s">
        <v>50</v>
      </c>
      <c r="N1097" s="1" t="s">
        <v>56</v>
      </c>
      <c r="O1097">
        <v>6976</v>
      </c>
      <c r="P1097" t="b">
        <v>0</v>
      </c>
      <c r="Q1097">
        <v>0.91666666666666663</v>
      </c>
      <c r="R1097">
        <v>634.18181818181813</v>
      </c>
      <c r="S1097">
        <v>1.8833333333333335</v>
      </c>
      <c r="T1097" s="2">
        <v>45047</v>
      </c>
      <c r="U1097" s="1" t="s">
        <v>41</v>
      </c>
      <c r="V1097">
        <v>0</v>
      </c>
      <c r="W1097" s="1" t="s">
        <v>56</v>
      </c>
      <c r="Y1097" s="1" t="s">
        <v>42</v>
      </c>
      <c r="Z1097" s="1" t="s">
        <v>42</v>
      </c>
      <c r="AA1097">
        <v>0.16666666666666666</v>
      </c>
      <c r="AB1097" s="1" t="s">
        <v>42</v>
      </c>
      <c r="AC1097">
        <v>2</v>
      </c>
      <c r="AD1097" s="2">
        <v>45047</v>
      </c>
      <c r="AE1097" s="1" t="s">
        <v>74</v>
      </c>
      <c r="AF1097" s="1" t="s">
        <v>72</v>
      </c>
      <c r="AG1097" s="1" t="s">
        <v>77</v>
      </c>
      <c r="AH1097" s="1" t="s">
        <v>64</v>
      </c>
      <c r="AI1097">
        <v>7040</v>
      </c>
      <c r="AJ1097">
        <v>-64</v>
      </c>
    </row>
    <row r="1098" spans="1:36" x14ac:dyDescent="0.25">
      <c r="A1098">
        <v>11097</v>
      </c>
      <c r="B1098">
        <v>30</v>
      </c>
      <c r="C1098" s="1" t="s">
        <v>60</v>
      </c>
      <c r="D1098" s="1" t="s">
        <v>37</v>
      </c>
      <c r="E1098" s="2">
        <v>44592</v>
      </c>
      <c r="F1098" s="2">
        <v>44894</v>
      </c>
      <c r="G1098" s="1" t="s">
        <v>62</v>
      </c>
      <c r="H1098">
        <v>1109</v>
      </c>
      <c r="I1098">
        <v>20</v>
      </c>
      <c r="J1098">
        <v>1</v>
      </c>
      <c r="K1098">
        <v>20.8</v>
      </c>
      <c r="L1098">
        <v>0</v>
      </c>
      <c r="M1098" s="1" t="s">
        <v>65</v>
      </c>
      <c r="N1098" s="1" t="s">
        <v>56</v>
      </c>
      <c r="O1098">
        <v>22180</v>
      </c>
      <c r="P1098" t="b">
        <v>1</v>
      </c>
      <c r="Q1098">
        <v>1.6666666666666667</v>
      </c>
      <c r="R1098">
        <v>1109</v>
      </c>
      <c r="S1098">
        <v>10.4</v>
      </c>
      <c r="T1098" s="2">
        <v>44562</v>
      </c>
      <c r="U1098" s="1" t="s">
        <v>57</v>
      </c>
      <c r="V1098">
        <v>0</v>
      </c>
      <c r="W1098" s="1" t="s">
        <v>40</v>
      </c>
      <c r="X1098">
        <v>302</v>
      </c>
      <c r="Y1098" s="1" t="s">
        <v>52</v>
      </c>
      <c r="Z1098" s="1" t="s">
        <v>42</v>
      </c>
      <c r="AA1098">
        <v>4.7619047619047616E-2</v>
      </c>
      <c r="AB1098" s="1" t="s">
        <v>43</v>
      </c>
      <c r="AC1098">
        <v>2</v>
      </c>
      <c r="AD1098" s="2">
        <v>44562</v>
      </c>
      <c r="AE1098" s="1" t="s">
        <v>53</v>
      </c>
      <c r="AF1098" s="1" t="s">
        <v>54</v>
      </c>
      <c r="AG1098" s="1" t="s">
        <v>70</v>
      </c>
      <c r="AH1098" s="1" t="s">
        <v>47</v>
      </c>
      <c r="AI1098">
        <v>22180</v>
      </c>
      <c r="AJ1098">
        <v>0</v>
      </c>
    </row>
    <row r="1099" spans="1:36" x14ac:dyDescent="0.25">
      <c r="A1099">
        <v>11098</v>
      </c>
      <c r="B1099">
        <v>41</v>
      </c>
      <c r="C1099" s="1" t="s">
        <v>60</v>
      </c>
      <c r="D1099" s="1" t="s">
        <v>71</v>
      </c>
      <c r="E1099" s="2">
        <v>44945</v>
      </c>
      <c r="F1099" s="2">
        <v>44631</v>
      </c>
      <c r="G1099" s="1" t="s">
        <v>49</v>
      </c>
      <c r="H1099">
        <v>1291</v>
      </c>
      <c r="I1099">
        <v>19</v>
      </c>
      <c r="J1099">
        <v>0</v>
      </c>
      <c r="K1099">
        <v>55.51</v>
      </c>
      <c r="L1099">
        <v>0</v>
      </c>
      <c r="M1099" s="1" t="s">
        <v>65</v>
      </c>
      <c r="N1099" s="1" t="s">
        <v>56</v>
      </c>
      <c r="O1099">
        <v>24529</v>
      </c>
      <c r="P1099" t="b">
        <v>0</v>
      </c>
      <c r="Q1099">
        <v>1.5833333333333333</v>
      </c>
      <c r="R1099">
        <v>1291</v>
      </c>
      <c r="S1099">
        <v>55.51</v>
      </c>
      <c r="T1099" s="2">
        <v>44927</v>
      </c>
      <c r="U1099" s="1" t="s">
        <v>51</v>
      </c>
      <c r="V1099">
        <v>0</v>
      </c>
      <c r="W1099" s="1" t="s">
        <v>40</v>
      </c>
      <c r="Y1099" s="1" t="s">
        <v>52</v>
      </c>
      <c r="Z1099" s="1" t="s">
        <v>42</v>
      </c>
      <c r="AA1099">
        <v>0</v>
      </c>
      <c r="AB1099" s="1" t="s">
        <v>43</v>
      </c>
      <c r="AC1099">
        <v>3</v>
      </c>
      <c r="AD1099" s="2">
        <v>44927</v>
      </c>
      <c r="AE1099" s="1" t="s">
        <v>53</v>
      </c>
      <c r="AF1099" s="1" t="s">
        <v>54</v>
      </c>
      <c r="AG1099" s="1" t="s">
        <v>63</v>
      </c>
      <c r="AH1099" s="1" t="s">
        <v>47</v>
      </c>
      <c r="AI1099">
        <v>24529</v>
      </c>
      <c r="AJ1099">
        <v>0</v>
      </c>
    </row>
    <row r="1100" spans="1:36" x14ac:dyDescent="0.25">
      <c r="A1100">
        <v>11099</v>
      </c>
      <c r="B1100">
        <v>41</v>
      </c>
      <c r="C1100" s="1" t="s">
        <v>36</v>
      </c>
      <c r="D1100" s="1" t="s">
        <v>37</v>
      </c>
      <c r="E1100" s="2">
        <v>44334</v>
      </c>
      <c r="F1100" s="2">
        <v>44706</v>
      </c>
      <c r="G1100" s="1" t="s">
        <v>38</v>
      </c>
      <c r="H1100">
        <v>399</v>
      </c>
      <c r="I1100">
        <v>26</v>
      </c>
      <c r="J1100">
        <v>4</v>
      </c>
      <c r="K1100">
        <v>21.85</v>
      </c>
      <c r="L1100">
        <v>20</v>
      </c>
      <c r="M1100" s="1" t="s">
        <v>65</v>
      </c>
      <c r="N1100" s="1" t="s">
        <v>56</v>
      </c>
      <c r="O1100">
        <v>10294.200000000001</v>
      </c>
      <c r="P1100" t="b">
        <v>1</v>
      </c>
      <c r="Q1100">
        <v>2.1666666666666665</v>
      </c>
      <c r="R1100">
        <v>395.93076923076927</v>
      </c>
      <c r="S1100">
        <v>4.37</v>
      </c>
      <c r="T1100" s="2">
        <v>44317</v>
      </c>
      <c r="U1100" s="1" t="s">
        <v>51</v>
      </c>
      <c r="V1100">
        <v>0</v>
      </c>
      <c r="W1100" s="1" t="s">
        <v>56</v>
      </c>
      <c r="X1100">
        <v>372</v>
      </c>
      <c r="Y1100" s="1" t="s">
        <v>52</v>
      </c>
      <c r="Z1100" s="1" t="s">
        <v>52</v>
      </c>
      <c r="AA1100">
        <v>0.14814814814814814</v>
      </c>
      <c r="AB1100" s="1" t="s">
        <v>52</v>
      </c>
      <c r="AC1100">
        <v>1</v>
      </c>
      <c r="AD1100" s="2">
        <v>44317</v>
      </c>
      <c r="AE1100" s="1" t="s">
        <v>44</v>
      </c>
      <c r="AF1100" s="1" t="s">
        <v>45</v>
      </c>
      <c r="AG1100" s="1" t="s">
        <v>70</v>
      </c>
      <c r="AH1100" s="1" t="s">
        <v>68</v>
      </c>
      <c r="AI1100">
        <v>10374</v>
      </c>
      <c r="AJ1100">
        <v>-79.799999999999272</v>
      </c>
    </row>
    <row r="1101" spans="1:36" x14ac:dyDescent="0.25">
      <c r="A1101">
        <v>11100</v>
      </c>
      <c r="B1101">
        <v>53</v>
      </c>
      <c r="C1101" s="1" t="s">
        <v>36</v>
      </c>
      <c r="D1101" s="1" t="s">
        <v>71</v>
      </c>
      <c r="E1101" s="2">
        <v>45035</v>
      </c>
      <c r="F1101" s="2">
        <v>44728</v>
      </c>
      <c r="G1101" s="1" t="s">
        <v>62</v>
      </c>
      <c r="H1101">
        <v>338</v>
      </c>
      <c r="I1101">
        <v>10</v>
      </c>
      <c r="J1101">
        <v>1</v>
      </c>
      <c r="K1101">
        <v>108.69</v>
      </c>
      <c r="L1101">
        <v>15</v>
      </c>
      <c r="M1101" s="1" t="s">
        <v>50</v>
      </c>
      <c r="N1101" s="1" t="s">
        <v>56</v>
      </c>
      <c r="O1101">
        <v>3329.3</v>
      </c>
      <c r="P1101" t="b">
        <v>0</v>
      </c>
      <c r="Q1101">
        <v>0.83333333333333337</v>
      </c>
      <c r="R1101">
        <v>332.93</v>
      </c>
      <c r="S1101">
        <v>54.344999999999999</v>
      </c>
      <c r="T1101" s="2">
        <v>45017</v>
      </c>
      <c r="U1101" s="1" t="s">
        <v>41</v>
      </c>
      <c r="V1101">
        <v>0</v>
      </c>
      <c r="W1101" s="1" t="s">
        <v>56</v>
      </c>
      <c r="Y1101" s="1" t="s">
        <v>43</v>
      </c>
      <c r="Z1101" s="1" t="s">
        <v>42</v>
      </c>
      <c r="AA1101">
        <v>9.0909090909090912E-2</v>
      </c>
      <c r="AB1101" s="1" t="s">
        <v>42</v>
      </c>
      <c r="AC1101">
        <v>2</v>
      </c>
      <c r="AD1101" s="2">
        <v>45017</v>
      </c>
      <c r="AE1101" s="1" t="s">
        <v>74</v>
      </c>
      <c r="AF1101" s="1" t="s">
        <v>54</v>
      </c>
      <c r="AG1101" s="1" t="s">
        <v>63</v>
      </c>
      <c r="AH1101" s="1" t="s">
        <v>68</v>
      </c>
      <c r="AI1101">
        <v>3380</v>
      </c>
      <c r="AJ1101">
        <v>-50.699999999999818</v>
      </c>
    </row>
    <row r="1102" spans="1:36" x14ac:dyDescent="0.25">
      <c r="A1102">
        <v>11101</v>
      </c>
      <c r="B1102">
        <v>62</v>
      </c>
      <c r="C1102" s="1" t="s">
        <v>60</v>
      </c>
      <c r="D1102" s="1" t="s">
        <v>61</v>
      </c>
      <c r="E1102" s="2">
        <v>45074</v>
      </c>
      <c r="F1102" s="2">
        <v>45217</v>
      </c>
      <c r="G1102" s="1" t="s">
        <v>38</v>
      </c>
      <c r="H1102">
        <v>562</v>
      </c>
      <c r="I1102">
        <v>24</v>
      </c>
      <c r="J1102">
        <v>2</v>
      </c>
      <c r="K1102">
        <v>97.66</v>
      </c>
      <c r="L1102">
        <v>5</v>
      </c>
      <c r="M1102" s="1" t="s">
        <v>65</v>
      </c>
      <c r="N1102" s="1" t="s">
        <v>56</v>
      </c>
      <c r="O1102">
        <v>13459.9</v>
      </c>
      <c r="P1102" t="b">
        <v>1</v>
      </c>
      <c r="Q1102">
        <v>2</v>
      </c>
      <c r="R1102">
        <v>560.82916666666665</v>
      </c>
      <c r="S1102">
        <v>32.553333333333335</v>
      </c>
      <c r="T1102" s="2">
        <v>45047</v>
      </c>
      <c r="U1102" s="1" t="s">
        <v>41</v>
      </c>
      <c r="V1102">
        <v>0</v>
      </c>
      <c r="W1102" s="1" t="s">
        <v>40</v>
      </c>
      <c r="X1102">
        <v>143</v>
      </c>
      <c r="Y1102" s="1" t="s">
        <v>43</v>
      </c>
      <c r="Z1102" s="1" t="s">
        <v>42</v>
      </c>
      <c r="AA1102">
        <v>0.08</v>
      </c>
      <c r="AB1102" s="1" t="s">
        <v>52</v>
      </c>
      <c r="AC1102">
        <v>1</v>
      </c>
      <c r="AD1102" s="2">
        <v>45047</v>
      </c>
      <c r="AE1102" s="1" t="s">
        <v>53</v>
      </c>
      <c r="AF1102" s="1" t="s">
        <v>72</v>
      </c>
      <c r="AG1102" s="1" t="s">
        <v>63</v>
      </c>
      <c r="AH1102" s="1" t="s">
        <v>64</v>
      </c>
      <c r="AI1102">
        <v>13488</v>
      </c>
      <c r="AJ1102">
        <v>-28.100000000000364</v>
      </c>
    </row>
    <row r="1103" spans="1:36" x14ac:dyDescent="0.25">
      <c r="A1103">
        <v>11102</v>
      </c>
      <c r="B1103">
        <v>41</v>
      </c>
      <c r="C1103" s="1" t="s">
        <v>36</v>
      </c>
      <c r="D1103" s="1" t="s">
        <v>61</v>
      </c>
      <c r="E1103" s="2">
        <v>45019</v>
      </c>
      <c r="F1103" s="2">
        <v>44880</v>
      </c>
      <c r="G1103" s="1" t="s">
        <v>38</v>
      </c>
      <c r="H1103">
        <v>449</v>
      </c>
      <c r="I1103">
        <v>13</v>
      </c>
      <c r="J1103">
        <v>0</v>
      </c>
      <c r="K1103">
        <v>13.24</v>
      </c>
      <c r="L1103">
        <v>5</v>
      </c>
      <c r="M1103" s="1" t="s">
        <v>67</v>
      </c>
      <c r="N1103" s="1" t="s">
        <v>56</v>
      </c>
      <c r="O1103">
        <v>5814.55</v>
      </c>
      <c r="P1103" t="b">
        <v>0</v>
      </c>
      <c r="Q1103">
        <v>1.0833333333333333</v>
      </c>
      <c r="R1103">
        <v>447.27307692307693</v>
      </c>
      <c r="S1103">
        <v>13.24</v>
      </c>
      <c r="T1103" s="2">
        <v>45017</v>
      </c>
      <c r="U1103" s="1" t="s">
        <v>51</v>
      </c>
      <c r="V1103">
        <v>0</v>
      </c>
      <c r="W1103" s="1" t="s">
        <v>56</v>
      </c>
      <c r="Y1103" s="1" t="s">
        <v>42</v>
      </c>
      <c r="Z1103" s="1" t="s">
        <v>42</v>
      </c>
      <c r="AA1103">
        <v>0</v>
      </c>
      <c r="AB1103" s="1" t="s">
        <v>42</v>
      </c>
      <c r="AC1103">
        <v>1</v>
      </c>
      <c r="AD1103" s="2">
        <v>45017</v>
      </c>
      <c r="AE1103" s="1" t="s">
        <v>53</v>
      </c>
      <c r="AF1103" s="1" t="s">
        <v>54</v>
      </c>
      <c r="AG1103" s="1" t="s">
        <v>46</v>
      </c>
      <c r="AH1103" s="1" t="s">
        <v>68</v>
      </c>
      <c r="AI1103">
        <v>5837</v>
      </c>
      <c r="AJ1103">
        <v>-22.449999999999818</v>
      </c>
    </row>
    <row r="1104" spans="1:36" x14ac:dyDescent="0.25">
      <c r="A1104">
        <v>11103</v>
      </c>
      <c r="B1104">
        <v>32</v>
      </c>
      <c r="C1104" s="1" t="s">
        <v>60</v>
      </c>
      <c r="D1104" s="1" t="s">
        <v>71</v>
      </c>
      <c r="E1104" s="2">
        <v>44325</v>
      </c>
      <c r="F1104" s="2">
        <v>45167</v>
      </c>
      <c r="G1104" s="1" t="s">
        <v>62</v>
      </c>
      <c r="H1104">
        <v>989</v>
      </c>
      <c r="I1104">
        <v>34</v>
      </c>
      <c r="J1104">
        <v>1</v>
      </c>
      <c r="K1104">
        <v>33.630000000000003</v>
      </c>
      <c r="L1104">
        <v>15</v>
      </c>
      <c r="M1104" s="1" t="s">
        <v>50</v>
      </c>
      <c r="N1104" s="1" t="s">
        <v>56</v>
      </c>
      <c r="O1104">
        <v>33477.65</v>
      </c>
      <c r="P1104" t="b">
        <v>1</v>
      </c>
      <c r="Q1104">
        <v>2.8333333333333335</v>
      </c>
      <c r="R1104">
        <v>984.63676470588234</v>
      </c>
      <c r="S1104">
        <v>16.815000000000001</v>
      </c>
      <c r="T1104" s="2">
        <v>44317</v>
      </c>
      <c r="U1104" s="1" t="s">
        <v>57</v>
      </c>
      <c r="V1104">
        <v>0</v>
      </c>
      <c r="W1104" s="1" t="s">
        <v>40</v>
      </c>
      <c r="X1104">
        <v>842</v>
      </c>
      <c r="Y1104" s="1" t="s">
        <v>52</v>
      </c>
      <c r="Z1104" s="1" t="s">
        <v>42</v>
      </c>
      <c r="AA1104">
        <v>2.8571428571428571E-2</v>
      </c>
      <c r="AB1104" s="1" t="s">
        <v>43</v>
      </c>
      <c r="AC1104">
        <v>2</v>
      </c>
      <c r="AD1104" s="2">
        <v>44317</v>
      </c>
      <c r="AE1104" s="1" t="s">
        <v>44</v>
      </c>
      <c r="AF1104" s="1" t="s">
        <v>54</v>
      </c>
      <c r="AG1104" s="1" t="s">
        <v>55</v>
      </c>
      <c r="AH1104" s="1" t="s">
        <v>59</v>
      </c>
      <c r="AI1104">
        <v>33626</v>
      </c>
      <c r="AJ1104">
        <v>-148.34999999999854</v>
      </c>
    </row>
    <row r="1105" spans="1:36" x14ac:dyDescent="0.25">
      <c r="A1105">
        <v>11104</v>
      </c>
      <c r="B1105">
        <v>46</v>
      </c>
      <c r="C1105" s="1" t="s">
        <v>36</v>
      </c>
      <c r="D1105" s="1" t="s">
        <v>48</v>
      </c>
      <c r="E1105" s="2">
        <v>44245</v>
      </c>
      <c r="F1105" s="2">
        <v>44510</v>
      </c>
      <c r="G1105" s="1" t="s">
        <v>49</v>
      </c>
      <c r="H1105">
        <v>1112</v>
      </c>
      <c r="I1105">
        <v>29</v>
      </c>
      <c r="J1105">
        <v>1</v>
      </c>
      <c r="K1105">
        <v>99.19</v>
      </c>
      <c r="L1105">
        <v>0</v>
      </c>
      <c r="M1105" s="1" t="s">
        <v>39</v>
      </c>
      <c r="N1105" s="1" t="s">
        <v>56</v>
      </c>
      <c r="O1105">
        <v>32248</v>
      </c>
      <c r="P1105" t="b">
        <v>1</v>
      </c>
      <c r="Q1105">
        <v>2.4166666666666665</v>
      </c>
      <c r="R1105">
        <v>1112</v>
      </c>
      <c r="S1105">
        <v>49.594999999999999</v>
      </c>
      <c r="T1105" s="2">
        <v>44228</v>
      </c>
      <c r="U1105" s="1" t="s">
        <v>51</v>
      </c>
      <c r="V1105">
        <v>0</v>
      </c>
      <c r="W1105" s="1" t="s">
        <v>40</v>
      </c>
      <c r="X1105">
        <v>265</v>
      </c>
      <c r="Y1105" s="1" t="s">
        <v>43</v>
      </c>
      <c r="Z1105" s="1" t="s">
        <v>42</v>
      </c>
      <c r="AA1105">
        <v>3.3333333333333333E-2</v>
      </c>
      <c r="AB1105" s="1" t="s">
        <v>43</v>
      </c>
      <c r="AC1105">
        <v>3</v>
      </c>
      <c r="AD1105" s="2">
        <v>44228</v>
      </c>
      <c r="AE1105" s="1" t="s">
        <v>44</v>
      </c>
      <c r="AF1105" s="1" t="s">
        <v>54</v>
      </c>
      <c r="AG1105" s="1" t="s">
        <v>63</v>
      </c>
      <c r="AH1105" s="1" t="s">
        <v>47</v>
      </c>
      <c r="AI1105">
        <v>32248</v>
      </c>
      <c r="AJ1105">
        <v>0</v>
      </c>
    </row>
    <row r="1106" spans="1:36" x14ac:dyDescent="0.25">
      <c r="A1106">
        <v>11105</v>
      </c>
      <c r="B1106">
        <v>25</v>
      </c>
      <c r="C1106" s="1" t="s">
        <v>75</v>
      </c>
      <c r="D1106" s="1" t="s">
        <v>61</v>
      </c>
      <c r="E1106" s="2">
        <v>44872</v>
      </c>
      <c r="F1106" s="2">
        <v>44956</v>
      </c>
      <c r="G1106" s="1" t="s">
        <v>62</v>
      </c>
      <c r="H1106">
        <v>1443</v>
      </c>
      <c r="I1106">
        <v>7</v>
      </c>
      <c r="J1106">
        <v>0</v>
      </c>
      <c r="K1106">
        <v>97.35</v>
      </c>
      <c r="L1106">
        <v>15</v>
      </c>
      <c r="M1106" s="1" t="s">
        <v>67</v>
      </c>
      <c r="N1106" s="1" t="s">
        <v>56</v>
      </c>
      <c r="O1106">
        <v>9884.5499999999993</v>
      </c>
      <c r="P1106" t="b">
        <v>1</v>
      </c>
      <c r="Q1106">
        <v>0.58333333333333337</v>
      </c>
      <c r="R1106">
        <v>1412.0785714285714</v>
      </c>
      <c r="S1106">
        <v>97.35</v>
      </c>
      <c r="T1106" s="2">
        <v>44866</v>
      </c>
      <c r="U1106" s="1" t="s">
        <v>66</v>
      </c>
      <c r="V1106">
        <v>0</v>
      </c>
      <c r="W1106" s="1" t="s">
        <v>56</v>
      </c>
      <c r="X1106">
        <v>84</v>
      </c>
      <c r="Y1106" s="1" t="s">
        <v>43</v>
      </c>
      <c r="Z1106" s="1" t="s">
        <v>42</v>
      </c>
      <c r="AA1106">
        <v>0</v>
      </c>
      <c r="AB1106" s="1" t="s">
        <v>52</v>
      </c>
      <c r="AC1106">
        <v>2</v>
      </c>
      <c r="AD1106" s="2">
        <v>44866</v>
      </c>
      <c r="AE1106" s="1" t="s">
        <v>74</v>
      </c>
      <c r="AF1106" s="1" t="s">
        <v>54</v>
      </c>
      <c r="AG1106" s="1" t="s">
        <v>63</v>
      </c>
      <c r="AH1106" s="1" t="s">
        <v>47</v>
      </c>
      <c r="AI1106">
        <v>10101</v>
      </c>
      <c r="AJ1106">
        <v>-216.45000000000073</v>
      </c>
    </row>
    <row r="1107" spans="1:36" x14ac:dyDescent="0.25">
      <c r="A1107">
        <v>11106</v>
      </c>
      <c r="B1107">
        <v>22</v>
      </c>
      <c r="C1107" s="1" t="s">
        <v>60</v>
      </c>
      <c r="D1107" s="1" t="s">
        <v>37</v>
      </c>
      <c r="E1107" s="2">
        <v>44985</v>
      </c>
      <c r="F1107" s="2">
        <v>44654</v>
      </c>
      <c r="G1107" s="1" t="s">
        <v>62</v>
      </c>
      <c r="H1107">
        <v>518</v>
      </c>
      <c r="I1107">
        <v>30</v>
      </c>
      <c r="J1107">
        <v>0</v>
      </c>
      <c r="K1107">
        <v>113.73</v>
      </c>
      <c r="L1107">
        <v>5</v>
      </c>
      <c r="M1107" s="1" t="s">
        <v>67</v>
      </c>
      <c r="N1107" s="1" t="s">
        <v>40</v>
      </c>
      <c r="O1107">
        <v>15514.1</v>
      </c>
      <c r="P1107" t="b">
        <v>0</v>
      </c>
      <c r="Q1107">
        <v>2.5</v>
      </c>
      <c r="R1107">
        <v>517.13666666666666</v>
      </c>
      <c r="S1107">
        <v>113.73</v>
      </c>
      <c r="T1107" s="2">
        <v>44958</v>
      </c>
      <c r="U1107" s="1" t="s">
        <v>66</v>
      </c>
      <c r="V1107">
        <v>1</v>
      </c>
      <c r="W1107" s="1" t="s">
        <v>40</v>
      </c>
      <c r="Y1107" s="1" t="s">
        <v>43</v>
      </c>
      <c r="Z1107" s="1" t="s">
        <v>42</v>
      </c>
      <c r="AA1107">
        <v>0</v>
      </c>
      <c r="AB1107" s="1" t="s">
        <v>52</v>
      </c>
      <c r="AC1107">
        <v>2</v>
      </c>
      <c r="AD1107" s="2">
        <v>44958</v>
      </c>
      <c r="AE1107" s="1" t="s">
        <v>44</v>
      </c>
      <c r="AF1107" s="1" t="s">
        <v>54</v>
      </c>
      <c r="AG1107" s="1" t="s">
        <v>63</v>
      </c>
      <c r="AH1107" s="1" t="s">
        <v>64</v>
      </c>
      <c r="AI1107">
        <v>15540</v>
      </c>
      <c r="AJ1107">
        <v>-25.899999999999636</v>
      </c>
    </row>
    <row r="1108" spans="1:36" x14ac:dyDescent="0.25">
      <c r="A1108">
        <v>11107</v>
      </c>
      <c r="B1108">
        <v>46</v>
      </c>
      <c r="C1108" s="1" t="s">
        <v>36</v>
      </c>
      <c r="D1108" s="1" t="s">
        <v>37</v>
      </c>
      <c r="E1108" s="2">
        <v>44489</v>
      </c>
      <c r="F1108" s="2">
        <v>44686</v>
      </c>
      <c r="G1108" s="1" t="s">
        <v>38</v>
      </c>
      <c r="H1108">
        <v>1205</v>
      </c>
      <c r="I1108">
        <v>17</v>
      </c>
      <c r="J1108">
        <v>4</v>
      </c>
      <c r="K1108">
        <v>119.72</v>
      </c>
      <c r="L1108">
        <v>15</v>
      </c>
      <c r="M1108" s="1" t="s">
        <v>67</v>
      </c>
      <c r="N1108" s="1" t="s">
        <v>56</v>
      </c>
      <c r="O1108">
        <v>20304.25</v>
      </c>
      <c r="P1108" t="b">
        <v>1</v>
      </c>
      <c r="Q1108">
        <v>1.4166666666666667</v>
      </c>
      <c r="R1108">
        <v>1194.3676470588234</v>
      </c>
      <c r="S1108">
        <v>23.943999999999999</v>
      </c>
      <c r="T1108" s="2">
        <v>44470</v>
      </c>
      <c r="U1108" s="1" t="s">
        <v>51</v>
      </c>
      <c r="V1108">
        <v>0</v>
      </c>
      <c r="W1108" s="1" t="s">
        <v>40</v>
      </c>
      <c r="X1108">
        <v>197</v>
      </c>
      <c r="Y1108" s="1" t="s">
        <v>43</v>
      </c>
      <c r="Z1108" s="1" t="s">
        <v>42</v>
      </c>
      <c r="AA1108">
        <v>0.22222222222222221</v>
      </c>
      <c r="AB1108" s="1" t="s">
        <v>43</v>
      </c>
      <c r="AC1108">
        <v>1</v>
      </c>
      <c r="AD1108" s="2">
        <v>44470</v>
      </c>
      <c r="AE1108" s="1" t="s">
        <v>53</v>
      </c>
      <c r="AF1108" s="1" t="s">
        <v>45</v>
      </c>
      <c r="AG1108" s="1" t="s">
        <v>63</v>
      </c>
      <c r="AH1108" s="1" t="s">
        <v>47</v>
      </c>
      <c r="AI1108">
        <v>20485</v>
      </c>
      <c r="AJ1108">
        <v>-180.75</v>
      </c>
    </row>
    <row r="1109" spans="1:36" x14ac:dyDescent="0.25">
      <c r="A1109">
        <v>11108</v>
      </c>
      <c r="B1109">
        <v>64</v>
      </c>
      <c r="C1109" s="1" t="s">
        <v>36</v>
      </c>
      <c r="D1109" s="1" t="s">
        <v>69</v>
      </c>
      <c r="E1109" s="2">
        <v>44824</v>
      </c>
      <c r="F1109" s="2">
        <v>44402</v>
      </c>
      <c r="G1109" s="1" t="s">
        <v>38</v>
      </c>
      <c r="H1109">
        <v>1446</v>
      </c>
      <c r="I1109">
        <v>13</v>
      </c>
      <c r="J1109">
        <v>1</v>
      </c>
      <c r="K1109">
        <v>117.27</v>
      </c>
      <c r="L1109">
        <v>0</v>
      </c>
      <c r="M1109" s="1" t="s">
        <v>50</v>
      </c>
      <c r="N1109" s="1" t="s">
        <v>56</v>
      </c>
      <c r="O1109">
        <v>18798</v>
      </c>
      <c r="P1109" t="b">
        <v>0</v>
      </c>
      <c r="Q1109">
        <v>1.0833333333333333</v>
      </c>
      <c r="R1109">
        <v>1446</v>
      </c>
      <c r="S1109">
        <v>58.634999999999998</v>
      </c>
      <c r="T1109" s="2">
        <v>44805</v>
      </c>
      <c r="U1109" s="1" t="s">
        <v>41</v>
      </c>
      <c r="V1109">
        <v>0</v>
      </c>
      <c r="W1109" s="1" t="s">
        <v>40</v>
      </c>
      <c r="Y1109" s="1" t="s">
        <v>43</v>
      </c>
      <c r="Z1109" s="1" t="s">
        <v>42</v>
      </c>
      <c r="AA1109">
        <v>7.1428571428571425E-2</v>
      </c>
      <c r="AB1109" s="1" t="s">
        <v>52</v>
      </c>
      <c r="AC1109">
        <v>1</v>
      </c>
      <c r="AD1109" s="2">
        <v>44805</v>
      </c>
      <c r="AE1109" s="1" t="s">
        <v>53</v>
      </c>
      <c r="AF1109" s="1" t="s">
        <v>54</v>
      </c>
      <c r="AG1109" s="1" t="s">
        <v>63</v>
      </c>
      <c r="AH1109" s="1" t="s">
        <v>47</v>
      </c>
      <c r="AI1109">
        <v>18798</v>
      </c>
      <c r="AJ1109">
        <v>0</v>
      </c>
    </row>
    <row r="1110" spans="1:36" x14ac:dyDescent="0.25">
      <c r="A1110">
        <v>11109</v>
      </c>
      <c r="B1110">
        <v>21</v>
      </c>
      <c r="C1110" s="1" t="s">
        <v>60</v>
      </c>
      <c r="D1110" s="1" t="s">
        <v>76</v>
      </c>
      <c r="E1110" s="2">
        <v>44732</v>
      </c>
      <c r="F1110" s="2">
        <v>44680</v>
      </c>
      <c r="G1110" s="1" t="s">
        <v>62</v>
      </c>
      <c r="H1110">
        <v>543</v>
      </c>
      <c r="I1110">
        <v>24</v>
      </c>
      <c r="J1110">
        <v>0</v>
      </c>
      <c r="K1110">
        <v>52.17</v>
      </c>
      <c r="L1110">
        <v>20</v>
      </c>
      <c r="M1110" s="1" t="s">
        <v>67</v>
      </c>
      <c r="N1110" s="1" t="s">
        <v>56</v>
      </c>
      <c r="O1110">
        <v>12923.4</v>
      </c>
      <c r="P1110" t="b">
        <v>0</v>
      </c>
      <c r="Q1110">
        <v>2</v>
      </c>
      <c r="R1110">
        <v>538.47500000000002</v>
      </c>
      <c r="S1110">
        <v>52.17</v>
      </c>
      <c r="T1110" s="2">
        <v>44713</v>
      </c>
      <c r="U1110" s="1" t="s">
        <v>66</v>
      </c>
      <c r="V1110">
        <v>0</v>
      </c>
      <c r="W1110" s="1" t="s">
        <v>56</v>
      </c>
      <c r="Y1110" s="1" t="s">
        <v>52</v>
      </c>
      <c r="Z1110" s="1" t="s">
        <v>52</v>
      </c>
      <c r="AA1110">
        <v>0</v>
      </c>
      <c r="AB1110" s="1" t="s">
        <v>52</v>
      </c>
      <c r="AC1110">
        <v>2</v>
      </c>
      <c r="AD1110" s="2">
        <v>44713</v>
      </c>
      <c r="AE1110" s="1" t="s">
        <v>53</v>
      </c>
      <c r="AF1110" s="1" t="s">
        <v>54</v>
      </c>
      <c r="AG1110" s="1" t="s">
        <v>63</v>
      </c>
      <c r="AH1110" s="1" t="s">
        <v>64</v>
      </c>
      <c r="AI1110">
        <v>13032</v>
      </c>
      <c r="AJ1110">
        <v>-108.60000000000036</v>
      </c>
    </row>
    <row r="1111" spans="1:36" x14ac:dyDescent="0.25">
      <c r="A1111">
        <v>11110</v>
      </c>
      <c r="B1111">
        <v>29</v>
      </c>
      <c r="C1111" s="1" t="s">
        <v>60</v>
      </c>
      <c r="D1111" s="1" t="s">
        <v>73</v>
      </c>
      <c r="E1111" s="2">
        <v>44507</v>
      </c>
      <c r="F1111" s="2">
        <v>44474</v>
      </c>
      <c r="G1111" s="1" t="s">
        <v>38</v>
      </c>
      <c r="H1111">
        <v>1185</v>
      </c>
      <c r="I1111">
        <v>31</v>
      </c>
      <c r="J1111">
        <v>0</v>
      </c>
      <c r="K1111">
        <v>33.79</v>
      </c>
      <c r="L1111">
        <v>0</v>
      </c>
      <c r="M1111" s="1" t="s">
        <v>50</v>
      </c>
      <c r="N1111" s="1" t="s">
        <v>40</v>
      </c>
      <c r="O1111">
        <v>36735</v>
      </c>
      <c r="P1111" t="b">
        <v>0</v>
      </c>
      <c r="Q1111">
        <v>2.5833333333333335</v>
      </c>
      <c r="R1111">
        <v>1185</v>
      </c>
      <c r="S1111">
        <v>33.79</v>
      </c>
      <c r="T1111" s="2">
        <v>44501</v>
      </c>
      <c r="U1111" s="1" t="s">
        <v>57</v>
      </c>
      <c r="V1111">
        <v>1</v>
      </c>
      <c r="W1111" s="1" t="s">
        <v>40</v>
      </c>
      <c r="Y1111" s="1" t="s">
        <v>52</v>
      </c>
      <c r="Z1111" s="1" t="s">
        <v>42</v>
      </c>
      <c r="AA1111">
        <v>0</v>
      </c>
      <c r="AB1111" s="1" t="s">
        <v>43</v>
      </c>
      <c r="AC1111">
        <v>1</v>
      </c>
      <c r="AD1111" s="2">
        <v>44501</v>
      </c>
      <c r="AE1111" s="1" t="s">
        <v>44</v>
      </c>
      <c r="AF1111" s="1" t="s">
        <v>54</v>
      </c>
      <c r="AG1111" s="1" t="s">
        <v>55</v>
      </c>
      <c r="AH1111" s="1" t="s">
        <v>47</v>
      </c>
      <c r="AI1111">
        <v>36735</v>
      </c>
      <c r="AJ1111">
        <v>0</v>
      </c>
    </row>
    <row r="1112" spans="1:36" x14ac:dyDescent="0.25">
      <c r="A1112">
        <v>11111</v>
      </c>
      <c r="B1112">
        <v>62</v>
      </c>
      <c r="C1112" s="1" t="s">
        <v>60</v>
      </c>
      <c r="D1112" s="1" t="s">
        <v>73</v>
      </c>
      <c r="E1112" s="2">
        <v>44733</v>
      </c>
      <c r="F1112" s="2">
        <v>45052</v>
      </c>
      <c r="G1112" s="1" t="s">
        <v>38</v>
      </c>
      <c r="H1112">
        <v>886</v>
      </c>
      <c r="I1112">
        <v>27</v>
      </c>
      <c r="J1112">
        <v>4</v>
      </c>
      <c r="K1112">
        <v>92.22</v>
      </c>
      <c r="L1112">
        <v>10</v>
      </c>
      <c r="M1112" s="1" t="s">
        <v>65</v>
      </c>
      <c r="N1112" s="1" t="s">
        <v>56</v>
      </c>
      <c r="O1112">
        <v>23833.4</v>
      </c>
      <c r="P1112" t="b">
        <v>1</v>
      </c>
      <c r="Q1112">
        <v>2.25</v>
      </c>
      <c r="R1112">
        <v>882.71851851851852</v>
      </c>
      <c r="S1112">
        <v>18.443999999999999</v>
      </c>
      <c r="T1112" s="2">
        <v>44713</v>
      </c>
      <c r="U1112" s="1" t="s">
        <v>41</v>
      </c>
      <c r="V1112">
        <v>0</v>
      </c>
      <c r="W1112" s="1" t="s">
        <v>40</v>
      </c>
      <c r="X1112">
        <v>319</v>
      </c>
      <c r="Y1112" s="1" t="s">
        <v>43</v>
      </c>
      <c r="Z1112" s="1" t="s">
        <v>42</v>
      </c>
      <c r="AA1112">
        <v>0.14285714285714285</v>
      </c>
      <c r="AB1112" s="1" t="s">
        <v>43</v>
      </c>
      <c r="AC1112">
        <v>1</v>
      </c>
      <c r="AD1112" s="2">
        <v>44713</v>
      </c>
      <c r="AE1112" s="1" t="s">
        <v>44</v>
      </c>
      <c r="AF1112" s="1" t="s">
        <v>45</v>
      </c>
      <c r="AG1112" s="1" t="s">
        <v>63</v>
      </c>
      <c r="AH1112" s="1" t="s">
        <v>59</v>
      </c>
      <c r="AI1112">
        <v>23922</v>
      </c>
      <c r="AJ1112">
        <v>-88.599999999998545</v>
      </c>
    </row>
    <row r="1113" spans="1:36" x14ac:dyDescent="0.25">
      <c r="A1113">
        <v>11112</v>
      </c>
      <c r="B1113">
        <v>19</v>
      </c>
      <c r="C1113" s="1" t="s">
        <v>36</v>
      </c>
      <c r="D1113" s="1" t="s">
        <v>37</v>
      </c>
      <c r="E1113" s="2">
        <v>44835</v>
      </c>
      <c r="F1113" s="2">
        <v>44590</v>
      </c>
      <c r="G1113" s="1" t="s">
        <v>62</v>
      </c>
      <c r="H1113">
        <v>817</v>
      </c>
      <c r="I1113">
        <v>21</v>
      </c>
      <c r="J1113">
        <v>4</v>
      </c>
      <c r="K1113">
        <v>39.42</v>
      </c>
      <c r="L1113">
        <v>10</v>
      </c>
      <c r="M1113" s="1" t="s">
        <v>39</v>
      </c>
      <c r="N1113" s="1" t="s">
        <v>56</v>
      </c>
      <c r="O1113">
        <v>17075.3</v>
      </c>
      <c r="P1113" t="b">
        <v>0</v>
      </c>
      <c r="Q1113">
        <v>1.75</v>
      </c>
      <c r="R1113">
        <v>813.10952380952381</v>
      </c>
      <c r="S1113">
        <v>7.8840000000000003</v>
      </c>
      <c r="T1113" s="2">
        <v>44835</v>
      </c>
      <c r="U1113" s="1" t="s">
        <v>66</v>
      </c>
      <c r="V1113">
        <v>0</v>
      </c>
      <c r="W1113" s="1" t="s">
        <v>40</v>
      </c>
      <c r="Y1113" s="1" t="s">
        <v>52</v>
      </c>
      <c r="Z1113" s="1" t="s">
        <v>42</v>
      </c>
      <c r="AA1113">
        <v>0.18181818181818182</v>
      </c>
      <c r="AB1113" s="1" t="s">
        <v>52</v>
      </c>
      <c r="AC1113">
        <v>2</v>
      </c>
      <c r="AD1113" s="2">
        <v>44835</v>
      </c>
      <c r="AE1113" s="1" t="s">
        <v>53</v>
      </c>
      <c r="AF1113" s="1" t="s">
        <v>45</v>
      </c>
      <c r="AG1113" s="1" t="s">
        <v>55</v>
      </c>
      <c r="AH1113" s="1" t="s">
        <v>59</v>
      </c>
      <c r="AI1113">
        <v>17157</v>
      </c>
      <c r="AJ1113">
        <v>-81.700000000000728</v>
      </c>
    </row>
    <row r="1114" spans="1:36" x14ac:dyDescent="0.25">
      <c r="A1114">
        <v>11113</v>
      </c>
      <c r="B1114">
        <v>44</v>
      </c>
      <c r="C1114" s="1" t="s">
        <v>75</v>
      </c>
      <c r="D1114" s="1" t="s">
        <v>69</v>
      </c>
      <c r="E1114" s="2">
        <v>44430</v>
      </c>
      <c r="F1114" s="2">
        <v>45208</v>
      </c>
      <c r="G1114" s="1" t="s">
        <v>38</v>
      </c>
      <c r="H1114">
        <v>1344</v>
      </c>
      <c r="I1114">
        <v>1</v>
      </c>
      <c r="J1114">
        <v>2</v>
      </c>
      <c r="K1114">
        <v>97.74</v>
      </c>
      <c r="L1114">
        <v>15</v>
      </c>
      <c r="M1114" s="1" t="s">
        <v>65</v>
      </c>
      <c r="N1114" s="1" t="s">
        <v>40</v>
      </c>
      <c r="O1114">
        <v>1142.4000000000001</v>
      </c>
      <c r="P1114" t="b">
        <v>1</v>
      </c>
      <c r="Q1114">
        <v>8.3333333333333329E-2</v>
      </c>
      <c r="R1114">
        <v>1142.4000000000001</v>
      </c>
      <c r="S1114">
        <v>32.58</v>
      </c>
      <c r="T1114" s="2">
        <v>44409</v>
      </c>
      <c r="U1114" s="1" t="s">
        <v>51</v>
      </c>
      <c r="V1114">
        <v>1</v>
      </c>
      <c r="W1114" s="1" t="s">
        <v>56</v>
      </c>
      <c r="X1114">
        <v>778</v>
      </c>
      <c r="Y1114" s="1" t="s">
        <v>43</v>
      </c>
      <c r="Z1114" s="1" t="s">
        <v>42</v>
      </c>
      <c r="AA1114">
        <v>1</v>
      </c>
      <c r="AB1114" s="1" t="s">
        <v>42</v>
      </c>
      <c r="AC1114">
        <v>1</v>
      </c>
      <c r="AD1114" s="2">
        <v>44409</v>
      </c>
      <c r="AE1114" s="1" t="s">
        <v>58</v>
      </c>
      <c r="AF1114" s="1" t="s">
        <v>72</v>
      </c>
      <c r="AG1114" s="1" t="s">
        <v>63</v>
      </c>
      <c r="AH1114" s="1" t="s">
        <v>47</v>
      </c>
      <c r="AI1114">
        <v>1344</v>
      </c>
      <c r="AJ1114">
        <v>-201.59999999999991</v>
      </c>
    </row>
    <row r="1115" spans="1:36" x14ac:dyDescent="0.25">
      <c r="A1115">
        <v>11114</v>
      </c>
      <c r="B1115">
        <v>48</v>
      </c>
      <c r="C1115" s="1" t="s">
        <v>36</v>
      </c>
      <c r="D1115" s="1" t="s">
        <v>73</v>
      </c>
      <c r="E1115" s="2">
        <v>44405</v>
      </c>
      <c r="F1115" s="2">
        <v>44947</v>
      </c>
      <c r="G1115" s="1" t="s">
        <v>38</v>
      </c>
      <c r="H1115">
        <v>489</v>
      </c>
      <c r="I1115">
        <v>15</v>
      </c>
      <c r="J1115">
        <v>2</v>
      </c>
      <c r="K1115">
        <v>66.400000000000006</v>
      </c>
      <c r="L1115">
        <v>0</v>
      </c>
      <c r="M1115" s="1" t="s">
        <v>67</v>
      </c>
      <c r="N1115" s="1" t="s">
        <v>40</v>
      </c>
      <c r="O1115">
        <v>7335</v>
      </c>
      <c r="P1115" t="b">
        <v>1</v>
      </c>
      <c r="Q1115">
        <v>1.25</v>
      </c>
      <c r="R1115">
        <v>489</v>
      </c>
      <c r="S1115">
        <v>22.133333333333336</v>
      </c>
      <c r="T1115" s="2">
        <v>44378</v>
      </c>
      <c r="U1115" s="1" t="s">
        <v>51</v>
      </c>
      <c r="V1115">
        <v>1</v>
      </c>
      <c r="W1115" s="1" t="s">
        <v>56</v>
      </c>
      <c r="X1115">
        <v>542</v>
      </c>
      <c r="Y1115" s="1" t="s">
        <v>43</v>
      </c>
      <c r="Z1115" s="1" t="s">
        <v>42</v>
      </c>
      <c r="AA1115">
        <v>0.125</v>
      </c>
      <c r="AB1115" s="1" t="s">
        <v>42</v>
      </c>
      <c r="AC1115">
        <v>1</v>
      </c>
      <c r="AD1115" s="2">
        <v>44378</v>
      </c>
      <c r="AE1115" s="1" t="s">
        <v>53</v>
      </c>
      <c r="AF1115" s="1" t="s">
        <v>72</v>
      </c>
      <c r="AG1115" s="1" t="s">
        <v>63</v>
      </c>
      <c r="AH1115" s="1" t="s">
        <v>68</v>
      </c>
      <c r="AI1115">
        <v>7335</v>
      </c>
      <c r="AJ1115">
        <v>0</v>
      </c>
    </row>
    <row r="1116" spans="1:36" x14ac:dyDescent="0.25">
      <c r="A1116">
        <v>11115</v>
      </c>
      <c r="B1116">
        <v>53</v>
      </c>
      <c r="C1116" s="1" t="s">
        <v>36</v>
      </c>
      <c r="D1116" s="1" t="s">
        <v>73</v>
      </c>
      <c r="E1116" s="2">
        <v>44801</v>
      </c>
      <c r="F1116" s="2">
        <v>45195</v>
      </c>
      <c r="G1116" s="1" t="s">
        <v>62</v>
      </c>
      <c r="H1116">
        <v>1214</v>
      </c>
      <c r="I1116">
        <v>3</v>
      </c>
      <c r="J1116">
        <v>1</v>
      </c>
      <c r="K1116">
        <v>96.3</v>
      </c>
      <c r="L1116">
        <v>0</v>
      </c>
      <c r="M1116" s="1" t="s">
        <v>50</v>
      </c>
      <c r="N1116" s="1" t="s">
        <v>40</v>
      </c>
      <c r="O1116">
        <v>3642</v>
      </c>
      <c r="P1116" t="b">
        <v>1</v>
      </c>
      <c r="Q1116">
        <v>0.25</v>
      </c>
      <c r="R1116">
        <v>1214</v>
      </c>
      <c r="S1116">
        <v>48.15</v>
      </c>
      <c r="T1116" s="2">
        <v>44774</v>
      </c>
      <c r="U1116" s="1" t="s">
        <v>41</v>
      </c>
      <c r="V1116">
        <v>1</v>
      </c>
      <c r="W1116" s="1" t="s">
        <v>56</v>
      </c>
      <c r="X1116">
        <v>394</v>
      </c>
      <c r="Y1116" s="1" t="s">
        <v>43</v>
      </c>
      <c r="Z1116" s="1" t="s">
        <v>42</v>
      </c>
      <c r="AA1116">
        <v>0.25</v>
      </c>
      <c r="AB1116" s="1" t="s">
        <v>42</v>
      </c>
      <c r="AC1116">
        <v>2</v>
      </c>
      <c r="AD1116" s="2">
        <v>44774</v>
      </c>
      <c r="AE1116" s="1" t="s">
        <v>58</v>
      </c>
      <c r="AF1116" s="1" t="s">
        <v>54</v>
      </c>
      <c r="AG1116" s="1" t="s">
        <v>63</v>
      </c>
      <c r="AH1116" s="1" t="s">
        <v>47</v>
      </c>
      <c r="AI1116">
        <v>3642</v>
      </c>
      <c r="AJ1116">
        <v>0</v>
      </c>
    </row>
    <row r="1117" spans="1:36" x14ac:dyDescent="0.25">
      <c r="A1117">
        <v>11116</v>
      </c>
      <c r="B1117">
        <v>53</v>
      </c>
      <c r="C1117" s="1" t="s">
        <v>36</v>
      </c>
      <c r="D1117" s="1" t="s">
        <v>71</v>
      </c>
      <c r="E1117" s="2">
        <v>44290</v>
      </c>
      <c r="F1117" s="2">
        <v>44756</v>
      </c>
      <c r="G1117" s="1" t="s">
        <v>62</v>
      </c>
      <c r="H1117">
        <v>914</v>
      </c>
      <c r="I1117">
        <v>6</v>
      </c>
      <c r="J1117">
        <v>1</v>
      </c>
      <c r="K1117">
        <v>36.729999999999997</v>
      </c>
      <c r="L1117">
        <v>5</v>
      </c>
      <c r="M1117" s="1" t="s">
        <v>50</v>
      </c>
      <c r="N1117" s="1" t="s">
        <v>56</v>
      </c>
      <c r="O1117">
        <v>5438.3</v>
      </c>
      <c r="P1117" t="b">
        <v>1</v>
      </c>
      <c r="Q1117">
        <v>0.5</v>
      </c>
      <c r="R1117">
        <v>906.38333333333333</v>
      </c>
      <c r="S1117">
        <v>18.364999999999998</v>
      </c>
      <c r="T1117" s="2">
        <v>44287</v>
      </c>
      <c r="U1117" s="1" t="s">
        <v>41</v>
      </c>
      <c r="V1117">
        <v>0</v>
      </c>
      <c r="W1117" s="1" t="s">
        <v>56</v>
      </c>
      <c r="X1117">
        <v>466</v>
      </c>
      <c r="Y1117" s="1" t="s">
        <v>52</v>
      </c>
      <c r="Z1117" s="1" t="s">
        <v>42</v>
      </c>
      <c r="AA1117">
        <v>0.14285714285714285</v>
      </c>
      <c r="AB1117" s="1" t="s">
        <v>42</v>
      </c>
      <c r="AC1117">
        <v>2</v>
      </c>
      <c r="AD1117" s="2">
        <v>44287</v>
      </c>
      <c r="AE1117" s="1" t="s">
        <v>58</v>
      </c>
      <c r="AF1117" s="1" t="s">
        <v>54</v>
      </c>
      <c r="AG1117" s="1" t="s">
        <v>55</v>
      </c>
      <c r="AH1117" s="1" t="s">
        <v>59</v>
      </c>
      <c r="AI1117">
        <v>5484</v>
      </c>
      <c r="AJ1117">
        <v>-45.699999999999818</v>
      </c>
    </row>
    <row r="1118" spans="1:36" x14ac:dyDescent="0.25">
      <c r="A1118">
        <v>11117</v>
      </c>
      <c r="B1118">
        <v>43</v>
      </c>
      <c r="C1118" s="1" t="s">
        <v>36</v>
      </c>
      <c r="D1118" s="1" t="s">
        <v>71</v>
      </c>
      <c r="E1118" s="2">
        <v>44523</v>
      </c>
      <c r="F1118" s="2">
        <v>44850</v>
      </c>
      <c r="G1118" s="1" t="s">
        <v>49</v>
      </c>
      <c r="H1118">
        <v>1155</v>
      </c>
      <c r="I1118">
        <v>14</v>
      </c>
      <c r="J1118">
        <v>1</v>
      </c>
      <c r="K1118">
        <v>63.42</v>
      </c>
      <c r="L1118">
        <v>10</v>
      </c>
      <c r="M1118" s="1" t="s">
        <v>65</v>
      </c>
      <c r="N1118" s="1" t="s">
        <v>56</v>
      </c>
      <c r="O1118">
        <v>15939</v>
      </c>
      <c r="P1118" t="b">
        <v>1</v>
      </c>
      <c r="Q1118">
        <v>1.1666666666666667</v>
      </c>
      <c r="R1118">
        <v>1138.5</v>
      </c>
      <c r="S1118">
        <v>31.71</v>
      </c>
      <c r="T1118" s="2">
        <v>44501</v>
      </c>
      <c r="U1118" s="1" t="s">
        <v>51</v>
      </c>
      <c r="V1118">
        <v>0</v>
      </c>
      <c r="W1118" s="1" t="s">
        <v>40</v>
      </c>
      <c r="X1118">
        <v>327</v>
      </c>
      <c r="Y1118" s="1" t="s">
        <v>43</v>
      </c>
      <c r="Z1118" s="1" t="s">
        <v>42</v>
      </c>
      <c r="AA1118">
        <v>6.6666666666666666E-2</v>
      </c>
      <c r="AB1118" s="1" t="s">
        <v>52</v>
      </c>
      <c r="AC1118">
        <v>3</v>
      </c>
      <c r="AD1118" s="2">
        <v>44501</v>
      </c>
      <c r="AE1118" s="1" t="s">
        <v>53</v>
      </c>
      <c r="AF1118" s="1" t="s">
        <v>54</v>
      </c>
      <c r="AG1118" s="1" t="s">
        <v>63</v>
      </c>
      <c r="AH1118" s="1" t="s">
        <v>47</v>
      </c>
      <c r="AI1118">
        <v>16170</v>
      </c>
      <c r="AJ1118">
        <v>-231</v>
      </c>
    </row>
    <row r="1119" spans="1:36" x14ac:dyDescent="0.25">
      <c r="A1119">
        <v>11118</v>
      </c>
      <c r="B1119">
        <v>60</v>
      </c>
      <c r="C1119" s="1" t="s">
        <v>36</v>
      </c>
      <c r="D1119" s="1" t="s">
        <v>71</v>
      </c>
      <c r="E1119" s="2">
        <v>44421</v>
      </c>
      <c r="F1119" s="2">
        <v>45074</v>
      </c>
      <c r="G1119" s="1" t="s">
        <v>62</v>
      </c>
      <c r="H1119">
        <v>765</v>
      </c>
      <c r="I1119">
        <v>33</v>
      </c>
      <c r="J1119">
        <v>5</v>
      </c>
      <c r="K1119">
        <v>69.86</v>
      </c>
      <c r="L1119">
        <v>0</v>
      </c>
      <c r="M1119" s="1" t="s">
        <v>67</v>
      </c>
      <c r="N1119" s="1" t="s">
        <v>56</v>
      </c>
      <c r="O1119">
        <v>25245</v>
      </c>
      <c r="P1119" t="b">
        <v>1</v>
      </c>
      <c r="Q1119">
        <v>2.75</v>
      </c>
      <c r="R1119">
        <v>765</v>
      </c>
      <c r="S1119">
        <v>11.643333333333333</v>
      </c>
      <c r="T1119" s="2">
        <v>44409</v>
      </c>
      <c r="U1119" s="1" t="s">
        <v>41</v>
      </c>
      <c r="V1119">
        <v>0</v>
      </c>
      <c r="W1119" s="1" t="s">
        <v>40</v>
      </c>
      <c r="X1119">
        <v>653</v>
      </c>
      <c r="Y1119" s="1" t="s">
        <v>43</v>
      </c>
      <c r="Z1119" s="1" t="s">
        <v>42</v>
      </c>
      <c r="AA1119">
        <v>0.14705882352941177</v>
      </c>
      <c r="AB1119" s="1" t="s">
        <v>43</v>
      </c>
      <c r="AC1119">
        <v>2</v>
      </c>
      <c r="AD1119" s="2">
        <v>44409</v>
      </c>
      <c r="AE1119" s="1" t="s">
        <v>44</v>
      </c>
      <c r="AF1119" s="1" t="s">
        <v>45</v>
      </c>
      <c r="AG1119" s="1" t="s">
        <v>63</v>
      </c>
      <c r="AH1119" s="1" t="s">
        <v>59</v>
      </c>
      <c r="AI1119">
        <v>25245</v>
      </c>
      <c r="AJ1119">
        <v>0</v>
      </c>
    </row>
    <row r="1120" spans="1:36" x14ac:dyDescent="0.25">
      <c r="A1120">
        <v>11119</v>
      </c>
      <c r="B1120">
        <v>44</v>
      </c>
      <c r="C1120" s="1" t="s">
        <v>60</v>
      </c>
      <c r="D1120" s="1" t="s">
        <v>48</v>
      </c>
      <c r="E1120" s="2">
        <v>45086</v>
      </c>
      <c r="F1120" s="2">
        <v>44951</v>
      </c>
      <c r="G1120" s="1" t="s">
        <v>38</v>
      </c>
      <c r="H1120">
        <v>398</v>
      </c>
      <c r="I1120">
        <v>8</v>
      </c>
      <c r="J1120">
        <v>0</v>
      </c>
      <c r="K1120">
        <v>113.46</v>
      </c>
      <c r="L1120">
        <v>15</v>
      </c>
      <c r="M1120" s="1" t="s">
        <v>39</v>
      </c>
      <c r="N1120" s="1" t="s">
        <v>40</v>
      </c>
      <c r="O1120">
        <v>3124.3</v>
      </c>
      <c r="P1120" t="b">
        <v>0</v>
      </c>
      <c r="Q1120">
        <v>0.66666666666666663</v>
      </c>
      <c r="R1120">
        <v>390.53750000000002</v>
      </c>
      <c r="S1120">
        <v>113.46</v>
      </c>
      <c r="T1120" s="2">
        <v>45078</v>
      </c>
      <c r="U1120" s="1" t="s">
        <v>51</v>
      </c>
      <c r="V1120">
        <v>1</v>
      </c>
      <c r="W1120" s="1" t="s">
        <v>56</v>
      </c>
      <c r="Y1120" s="1" t="s">
        <v>43</v>
      </c>
      <c r="Z1120" s="1" t="s">
        <v>42</v>
      </c>
      <c r="AA1120">
        <v>0</v>
      </c>
      <c r="AB1120" s="1" t="s">
        <v>42</v>
      </c>
      <c r="AC1120">
        <v>1</v>
      </c>
      <c r="AD1120" s="2">
        <v>45078</v>
      </c>
      <c r="AE1120" s="1" t="s">
        <v>74</v>
      </c>
      <c r="AF1120" s="1" t="s">
        <v>54</v>
      </c>
      <c r="AG1120" s="1" t="s">
        <v>63</v>
      </c>
      <c r="AH1120" s="1" t="s">
        <v>68</v>
      </c>
      <c r="AI1120">
        <v>3184</v>
      </c>
      <c r="AJ1120">
        <v>-59.699999999999818</v>
      </c>
    </row>
    <row r="1121" spans="1:36" x14ac:dyDescent="0.25">
      <c r="A1121">
        <v>11120</v>
      </c>
      <c r="B1121">
        <v>22</v>
      </c>
      <c r="C1121" s="1" t="s">
        <v>36</v>
      </c>
      <c r="D1121" s="1" t="s">
        <v>73</v>
      </c>
      <c r="E1121" s="2">
        <v>44988</v>
      </c>
      <c r="F1121" s="2">
        <v>44650</v>
      </c>
      <c r="G1121" s="1" t="s">
        <v>49</v>
      </c>
      <c r="H1121">
        <v>1129</v>
      </c>
      <c r="I1121">
        <v>26</v>
      </c>
      <c r="J1121">
        <v>5</v>
      </c>
      <c r="K1121">
        <v>35.659999999999997</v>
      </c>
      <c r="L1121">
        <v>5</v>
      </c>
      <c r="M1121" s="1" t="s">
        <v>50</v>
      </c>
      <c r="N1121" s="1" t="s">
        <v>56</v>
      </c>
      <c r="O1121">
        <v>29297.55</v>
      </c>
      <c r="P1121" t="b">
        <v>0</v>
      </c>
      <c r="Q1121">
        <v>2.1666666666666665</v>
      </c>
      <c r="R1121">
        <v>1126.8288461538461</v>
      </c>
      <c r="S1121">
        <v>5.9433333333333325</v>
      </c>
      <c r="T1121" s="2">
        <v>44986</v>
      </c>
      <c r="U1121" s="1" t="s">
        <v>66</v>
      </c>
      <c r="V1121">
        <v>0</v>
      </c>
      <c r="W1121" s="1" t="s">
        <v>40</v>
      </c>
      <c r="Y1121" s="1" t="s">
        <v>52</v>
      </c>
      <c r="Z1121" s="1" t="s">
        <v>42</v>
      </c>
      <c r="AA1121">
        <v>0.18518518518518517</v>
      </c>
      <c r="AB1121" s="1" t="s">
        <v>43</v>
      </c>
      <c r="AC1121">
        <v>3</v>
      </c>
      <c r="AD1121" s="2">
        <v>44986</v>
      </c>
      <c r="AE1121" s="1" t="s">
        <v>44</v>
      </c>
      <c r="AF1121" s="1" t="s">
        <v>45</v>
      </c>
      <c r="AG1121" s="1" t="s">
        <v>55</v>
      </c>
      <c r="AH1121" s="1" t="s">
        <v>47</v>
      </c>
      <c r="AI1121">
        <v>29354</v>
      </c>
      <c r="AJ1121">
        <v>-56.450000000000728</v>
      </c>
    </row>
    <row r="1122" spans="1:36" x14ac:dyDescent="0.25">
      <c r="A1122">
        <v>11121</v>
      </c>
      <c r="B1122">
        <v>37</v>
      </c>
      <c r="C1122" s="1" t="s">
        <v>36</v>
      </c>
      <c r="D1122" s="1" t="s">
        <v>48</v>
      </c>
      <c r="E1122" s="2">
        <v>44207</v>
      </c>
      <c r="F1122" s="2">
        <v>44811</v>
      </c>
      <c r="G1122" s="1" t="s">
        <v>62</v>
      </c>
      <c r="H1122">
        <v>1296</v>
      </c>
      <c r="I1122">
        <v>15</v>
      </c>
      <c r="J1122">
        <v>1</v>
      </c>
      <c r="K1122">
        <v>112.72</v>
      </c>
      <c r="L1122">
        <v>5</v>
      </c>
      <c r="M1122" s="1" t="s">
        <v>50</v>
      </c>
      <c r="N1122" s="1" t="s">
        <v>56</v>
      </c>
      <c r="O1122">
        <v>19375.2</v>
      </c>
      <c r="P1122" t="b">
        <v>1</v>
      </c>
      <c r="Q1122">
        <v>1.25</v>
      </c>
      <c r="R1122">
        <v>1291.68</v>
      </c>
      <c r="S1122">
        <v>56.36</v>
      </c>
      <c r="T1122" s="2">
        <v>44197</v>
      </c>
      <c r="U1122" s="1" t="s">
        <v>51</v>
      </c>
      <c r="V1122">
        <v>0</v>
      </c>
      <c r="W1122" s="1" t="s">
        <v>40</v>
      </c>
      <c r="X1122">
        <v>604</v>
      </c>
      <c r="Y1122" s="1" t="s">
        <v>43</v>
      </c>
      <c r="Z1122" s="1" t="s">
        <v>42</v>
      </c>
      <c r="AA1122">
        <v>6.25E-2</v>
      </c>
      <c r="AB1122" s="1" t="s">
        <v>52</v>
      </c>
      <c r="AC1122">
        <v>2</v>
      </c>
      <c r="AD1122" s="2">
        <v>44197</v>
      </c>
      <c r="AE1122" s="1" t="s">
        <v>53</v>
      </c>
      <c r="AF1122" s="1" t="s">
        <v>54</v>
      </c>
      <c r="AG1122" s="1" t="s">
        <v>63</v>
      </c>
      <c r="AH1122" s="1" t="s">
        <v>47</v>
      </c>
      <c r="AI1122">
        <v>19440</v>
      </c>
      <c r="AJ1122">
        <v>-64.799999999999272</v>
      </c>
    </row>
    <row r="1123" spans="1:36" x14ac:dyDescent="0.25">
      <c r="A1123">
        <v>11122</v>
      </c>
      <c r="B1123">
        <v>28</v>
      </c>
      <c r="C1123" s="1" t="s">
        <v>60</v>
      </c>
      <c r="D1123" s="1" t="s">
        <v>69</v>
      </c>
      <c r="E1123" s="2">
        <v>44525</v>
      </c>
      <c r="F1123" s="2">
        <v>44582</v>
      </c>
      <c r="G1123" s="1" t="s">
        <v>38</v>
      </c>
      <c r="H1123">
        <v>1406</v>
      </c>
      <c r="I1123">
        <v>14</v>
      </c>
      <c r="J1123">
        <v>1</v>
      </c>
      <c r="K1123">
        <v>97.56</v>
      </c>
      <c r="L1123">
        <v>15</v>
      </c>
      <c r="M1123" s="1" t="s">
        <v>67</v>
      </c>
      <c r="N1123" s="1" t="s">
        <v>56</v>
      </c>
      <c r="O1123">
        <v>19473.099999999999</v>
      </c>
      <c r="P1123" t="b">
        <v>1</v>
      </c>
      <c r="Q1123">
        <v>1.1666666666666667</v>
      </c>
      <c r="R1123">
        <v>1390.9357142857141</v>
      </c>
      <c r="S1123">
        <v>48.78</v>
      </c>
      <c r="T1123" s="2">
        <v>44501</v>
      </c>
      <c r="U1123" s="1" t="s">
        <v>57</v>
      </c>
      <c r="V1123">
        <v>0</v>
      </c>
      <c r="W1123" s="1" t="s">
        <v>40</v>
      </c>
      <c r="X1123">
        <v>57</v>
      </c>
      <c r="Y1123" s="1" t="s">
        <v>43</v>
      </c>
      <c r="Z1123" s="1" t="s">
        <v>42</v>
      </c>
      <c r="AA1123">
        <v>6.6666666666666666E-2</v>
      </c>
      <c r="AB1123" s="1" t="s">
        <v>43</v>
      </c>
      <c r="AC1123">
        <v>1</v>
      </c>
      <c r="AD1123" s="2">
        <v>44501</v>
      </c>
      <c r="AE1123" s="1" t="s">
        <v>53</v>
      </c>
      <c r="AF1123" s="1" t="s">
        <v>54</v>
      </c>
      <c r="AG1123" s="1" t="s">
        <v>63</v>
      </c>
      <c r="AH1123" s="1" t="s">
        <v>47</v>
      </c>
      <c r="AI1123">
        <v>19684</v>
      </c>
      <c r="AJ1123">
        <v>-210.90000000000146</v>
      </c>
    </row>
    <row r="1124" spans="1:36" x14ac:dyDescent="0.25">
      <c r="A1124">
        <v>11123</v>
      </c>
      <c r="B1124">
        <v>27</v>
      </c>
      <c r="C1124" s="1" t="s">
        <v>36</v>
      </c>
      <c r="D1124" s="1" t="s">
        <v>37</v>
      </c>
      <c r="E1124" s="2">
        <v>44208</v>
      </c>
      <c r="F1124" s="2">
        <v>45043</v>
      </c>
      <c r="G1124" s="1" t="s">
        <v>38</v>
      </c>
      <c r="H1124">
        <v>355</v>
      </c>
      <c r="I1124">
        <v>20</v>
      </c>
      <c r="J1124">
        <v>0</v>
      </c>
      <c r="K1124">
        <v>89.05</v>
      </c>
      <c r="L1124">
        <v>15</v>
      </c>
      <c r="M1124" s="1" t="s">
        <v>50</v>
      </c>
      <c r="N1124" s="1" t="s">
        <v>40</v>
      </c>
      <c r="O1124">
        <v>7046.75</v>
      </c>
      <c r="P1124" t="b">
        <v>1</v>
      </c>
      <c r="Q1124">
        <v>1.6666666666666667</v>
      </c>
      <c r="R1124">
        <v>352.33749999999998</v>
      </c>
      <c r="S1124">
        <v>89.05</v>
      </c>
      <c r="T1124" s="2">
        <v>44197</v>
      </c>
      <c r="U1124" s="1" t="s">
        <v>57</v>
      </c>
      <c r="V1124">
        <v>1</v>
      </c>
      <c r="W1124" s="1" t="s">
        <v>56</v>
      </c>
      <c r="X1124">
        <v>835</v>
      </c>
      <c r="Y1124" s="1" t="s">
        <v>43</v>
      </c>
      <c r="Z1124" s="1" t="s">
        <v>42</v>
      </c>
      <c r="AA1124">
        <v>0</v>
      </c>
      <c r="AB1124" s="1" t="s">
        <v>42</v>
      </c>
      <c r="AC1124">
        <v>1</v>
      </c>
      <c r="AD1124" s="2">
        <v>44197</v>
      </c>
      <c r="AE1124" s="1" t="s">
        <v>53</v>
      </c>
      <c r="AF1124" s="1" t="s">
        <v>54</v>
      </c>
      <c r="AG1124" s="1" t="s">
        <v>63</v>
      </c>
      <c r="AH1124" s="1" t="s">
        <v>68</v>
      </c>
      <c r="AI1124">
        <v>7100</v>
      </c>
      <c r="AJ1124">
        <v>-53.25</v>
      </c>
    </row>
    <row r="1125" spans="1:36" x14ac:dyDescent="0.25">
      <c r="A1125">
        <v>11124</v>
      </c>
      <c r="B1125">
        <v>57</v>
      </c>
      <c r="C1125" s="1" t="s">
        <v>60</v>
      </c>
      <c r="D1125" s="1" t="s">
        <v>73</v>
      </c>
      <c r="E1125" s="2">
        <v>44231</v>
      </c>
      <c r="F1125" s="2">
        <v>44385</v>
      </c>
      <c r="G1125" s="1" t="s">
        <v>62</v>
      </c>
      <c r="H1125">
        <v>1345</v>
      </c>
      <c r="I1125">
        <v>19</v>
      </c>
      <c r="J1125">
        <v>1</v>
      </c>
      <c r="K1125">
        <v>95.49</v>
      </c>
      <c r="L1125">
        <v>0</v>
      </c>
      <c r="M1125" s="1" t="s">
        <v>67</v>
      </c>
      <c r="N1125" s="1" t="s">
        <v>56</v>
      </c>
      <c r="O1125">
        <v>25555</v>
      </c>
      <c r="P1125" t="b">
        <v>1</v>
      </c>
      <c r="Q1125">
        <v>1.5833333333333333</v>
      </c>
      <c r="R1125">
        <v>1345</v>
      </c>
      <c r="S1125">
        <v>47.744999999999997</v>
      </c>
      <c r="T1125" s="2">
        <v>44228</v>
      </c>
      <c r="U1125" s="1" t="s">
        <v>41</v>
      </c>
      <c r="V1125">
        <v>0</v>
      </c>
      <c r="W1125" s="1" t="s">
        <v>40</v>
      </c>
      <c r="X1125">
        <v>154</v>
      </c>
      <c r="Y1125" s="1" t="s">
        <v>43</v>
      </c>
      <c r="Z1125" s="1" t="s">
        <v>42</v>
      </c>
      <c r="AA1125">
        <v>0.05</v>
      </c>
      <c r="AB1125" s="1" t="s">
        <v>43</v>
      </c>
      <c r="AC1125">
        <v>2</v>
      </c>
      <c r="AD1125" s="2">
        <v>44228</v>
      </c>
      <c r="AE1125" s="1" t="s">
        <v>53</v>
      </c>
      <c r="AF1125" s="1" t="s">
        <v>54</v>
      </c>
      <c r="AG1125" s="1" t="s">
        <v>63</v>
      </c>
      <c r="AH1125" s="1" t="s">
        <v>47</v>
      </c>
      <c r="AI1125">
        <v>25555</v>
      </c>
      <c r="AJ1125">
        <v>0</v>
      </c>
    </row>
    <row r="1126" spans="1:36" x14ac:dyDescent="0.25">
      <c r="A1126">
        <v>11125</v>
      </c>
      <c r="B1126">
        <v>55</v>
      </c>
      <c r="C1126" s="1" t="s">
        <v>36</v>
      </c>
      <c r="D1126" s="1" t="s">
        <v>37</v>
      </c>
      <c r="E1126" s="2">
        <v>44643</v>
      </c>
      <c r="F1126" s="2">
        <v>44486</v>
      </c>
      <c r="G1126" s="1" t="s">
        <v>62</v>
      </c>
      <c r="H1126">
        <v>879</v>
      </c>
      <c r="I1126">
        <v>33</v>
      </c>
      <c r="J1126">
        <v>2</v>
      </c>
      <c r="K1126">
        <v>74.62</v>
      </c>
      <c r="L1126">
        <v>0</v>
      </c>
      <c r="M1126" s="1" t="s">
        <v>67</v>
      </c>
      <c r="N1126" s="1" t="s">
        <v>56</v>
      </c>
      <c r="O1126">
        <v>29007</v>
      </c>
      <c r="P1126" t="b">
        <v>0</v>
      </c>
      <c r="Q1126">
        <v>2.75</v>
      </c>
      <c r="R1126">
        <v>879</v>
      </c>
      <c r="S1126">
        <v>24.873333333333335</v>
      </c>
      <c r="T1126" s="2">
        <v>44621</v>
      </c>
      <c r="U1126" s="1" t="s">
        <v>41</v>
      </c>
      <c r="V1126">
        <v>0</v>
      </c>
      <c r="W1126" s="1" t="s">
        <v>40</v>
      </c>
      <c r="Y1126" s="1" t="s">
        <v>43</v>
      </c>
      <c r="Z1126" s="1" t="s">
        <v>42</v>
      </c>
      <c r="AA1126">
        <v>5.8823529411764705E-2</v>
      </c>
      <c r="AB1126" s="1" t="s">
        <v>43</v>
      </c>
      <c r="AC1126">
        <v>2</v>
      </c>
      <c r="AD1126" s="2">
        <v>44621</v>
      </c>
      <c r="AE1126" s="1" t="s">
        <v>44</v>
      </c>
      <c r="AF1126" s="1" t="s">
        <v>72</v>
      </c>
      <c r="AG1126" s="1" t="s">
        <v>63</v>
      </c>
      <c r="AH1126" s="1" t="s">
        <v>59</v>
      </c>
      <c r="AI1126">
        <v>29007</v>
      </c>
      <c r="AJ1126">
        <v>0</v>
      </c>
    </row>
    <row r="1127" spans="1:36" x14ac:dyDescent="0.25">
      <c r="A1127">
        <v>11126</v>
      </c>
      <c r="B1127">
        <v>23</v>
      </c>
      <c r="C1127" s="1" t="s">
        <v>36</v>
      </c>
      <c r="D1127" s="1" t="s">
        <v>71</v>
      </c>
      <c r="E1127" s="2">
        <v>44648</v>
      </c>
      <c r="F1127" s="2">
        <v>44542</v>
      </c>
      <c r="G1127" s="1" t="s">
        <v>62</v>
      </c>
      <c r="H1127">
        <v>484</v>
      </c>
      <c r="I1127">
        <v>24</v>
      </c>
      <c r="J1127">
        <v>2</v>
      </c>
      <c r="K1127">
        <v>33.07</v>
      </c>
      <c r="L1127">
        <v>10</v>
      </c>
      <c r="M1127" s="1" t="s">
        <v>39</v>
      </c>
      <c r="N1127" s="1" t="s">
        <v>56</v>
      </c>
      <c r="O1127">
        <v>11591.8</v>
      </c>
      <c r="P1127" t="b">
        <v>0</v>
      </c>
      <c r="Q1127">
        <v>2</v>
      </c>
      <c r="R1127">
        <v>482.99166666666662</v>
      </c>
      <c r="S1127">
        <v>11.023333333333333</v>
      </c>
      <c r="T1127" s="2">
        <v>44621</v>
      </c>
      <c r="U1127" s="1" t="s">
        <v>66</v>
      </c>
      <c r="V1127">
        <v>0</v>
      </c>
      <c r="W1127" s="1" t="s">
        <v>56</v>
      </c>
      <c r="Y1127" s="1" t="s">
        <v>52</v>
      </c>
      <c r="Z1127" s="1" t="s">
        <v>42</v>
      </c>
      <c r="AA1127">
        <v>0.08</v>
      </c>
      <c r="AB1127" s="1" t="s">
        <v>52</v>
      </c>
      <c r="AC1127">
        <v>2</v>
      </c>
      <c r="AD1127" s="2">
        <v>44621</v>
      </c>
      <c r="AE1127" s="1" t="s">
        <v>53</v>
      </c>
      <c r="AF1127" s="1" t="s">
        <v>72</v>
      </c>
      <c r="AG1127" s="1" t="s">
        <v>55</v>
      </c>
      <c r="AH1127" s="1" t="s">
        <v>68</v>
      </c>
      <c r="AI1127">
        <v>11616</v>
      </c>
      <c r="AJ1127">
        <v>-24.200000000000728</v>
      </c>
    </row>
    <row r="1128" spans="1:36" x14ac:dyDescent="0.25">
      <c r="A1128">
        <v>11127</v>
      </c>
      <c r="B1128">
        <v>25</v>
      </c>
      <c r="C1128" s="1" t="s">
        <v>60</v>
      </c>
      <c r="D1128" s="1" t="s">
        <v>73</v>
      </c>
      <c r="E1128" s="2">
        <v>44936</v>
      </c>
      <c r="F1128" s="2">
        <v>44874</v>
      </c>
      <c r="G1128" s="1" t="s">
        <v>62</v>
      </c>
      <c r="H1128">
        <v>821</v>
      </c>
      <c r="I1128">
        <v>10</v>
      </c>
      <c r="J1128">
        <v>0</v>
      </c>
      <c r="K1128">
        <v>26.79</v>
      </c>
      <c r="L1128">
        <v>5</v>
      </c>
      <c r="M1128" s="1" t="s">
        <v>67</v>
      </c>
      <c r="N1128" s="1" t="s">
        <v>56</v>
      </c>
      <c r="O1128">
        <v>8168.95</v>
      </c>
      <c r="P1128" t="b">
        <v>0</v>
      </c>
      <c r="Q1128">
        <v>0.83333333333333337</v>
      </c>
      <c r="R1128">
        <v>816.89499999999998</v>
      </c>
      <c r="S1128">
        <v>26.79</v>
      </c>
      <c r="T1128" s="2">
        <v>44927</v>
      </c>
      <c r="U1128" s="1" t="s">
        <v>66</v>
      </c>
      <c r="V1128">
        <v>0</v>
      </c>
      <c r="W1128" s="1" t="s">
        <v>56</v>
      </c>
      <c r="Y1128" s="1" t="s">
        <v>52</v>
      </c>
      <c r="Z1128" s="1" t="s">
        <v>42</v>
      </c>
      <c r="AA1128">
        <v>0</v>
      </c>
      <c r="AB1128" s="1" t="s">
        <v>42</v>
      </c>
      <c r="AC1128">
        <v>2</v>
      </c>
      <c r="AD1128" s="2">
        <v>44927</v>
      </c>
      <c r="AE1128" s="1" t="s">
        <v>74</v>
      </c>
      <c r="AF1128" s="1" t="s">
        <v>54</v>
      </c>
      <c r="AG1128" s="1" t="s">
        <v>70</v>
      </c>
      <c r="AH1128" s="1" t="s">
        <v>59</v>
      </c>
      <c r="AI1128">
        <v>8210</v>
      </c>
      <c r="AJ1128">
        <v>-41.050000000000182</v>
      </c>
    </row>
    <row r="1129" spans="1:36" x14ac:dyDescent="0.25">
      <c r="A1129">
        <v>11128</v>
      </c>
      <c r="B1129">
        <v>40</v>
      </c>
      <c r="C1129" s="1" t="s">
        <v>60</v>
      </c>
      <c r="D1129" s="1" t="s">
        <v>61</v>
      </c>
      <c r="E1129" s="2">
        <v>44416</v>
      </c>
      <c r="F1129" s="2">
        <v>45116</v>
      </c>
      <c r="G1129" s="1" t="s">
        <v>62</v>
      </c>
      <c r="H1129">
        <v>563</v>
      </c>
      <c r="I1129">
        <v>34</v>
      </c>
      <c r="J1129">
        <v>3</v>
      </c>
      <c r="K1129">
        <v>104.63</v>
      </c>
      <c r="L1129">
        <v>20</v>
      </c>
      <c r="M1129" s="1" t="s">
        <v>65</v>
      </c>
      <c r="N1129" s="1" t="s">
        <v>56</v>
      </c>
      <c r="O1129">
        <v>19029.400000000001</v>
      </c>
      <c r="P1129" t="b">
        <v>1</v>
      </c>
      <c r="Q1129">
        <v>2.8333333333333335</v>
      </c>
      <c r="R1129">
        <v>559.6882352941177</v>
      </c>
      <c r="S1129">
        <v>26.157499999999999</v>
      </c>
      <c r="T1129" s="2">
        <v>44409</v>
      </c>
      <c r="U1129" s="1" t="s">
        <v>51</v>
      </c>
      <c r="V1129">
        <v>0</v>
      </c>
      <c r="W1129" s="1" t="s">
        <v>40</v>
      </c>
      <c r="X1129">
        <v>700</v>
      </c>
      <c r="Y1129" s="1" t="s">
        <v>43</v>
      </c>
      <c r="Z1129" s="1" t="s">
        <v>52</v>
      </c>
      <c r="AA1129">
        <v>8.5714285714285715E-2</v>
      </c>
      <c r="AB1129" s="1" t="s">
        <v>52</v>
      </c>
      <c r="AC1129">
        <v>2</v>
      </c>
      <c r="AD1129" s="2">
        <v>44409</v>
      </c>
      <c r="AE1129" s="1" t="s">
        <v>44</v>
      </c>
      <c r="AF1129" s="1" t="s">
        <v>72</v>
      </c>
      <c r="AG1129" s="1" t="s">
        <v>63</v>
      </c>
      <c r="AH1129" s="1" t="s">
        <v>64</v>
      </c>
      <c r="AI1129">
        <v>19142</v>
      </c>
      <c r="AJ1129">
        <v>-112.59999999999854</v>
      </c>
    </row>
    <row r="1130" spans="1:36" x14ac:dyDescent="0.25">
      <c r="A1130">
        <v>11129</v>
      </c>
      <c r="B1130">
        <v>64</v>
      </c>
      <c r="C1130" s="1" t="s">
        <v>60</v>
      </c>
      <c r="D1130" s="1" t="s">
        <v>48</v>
      </c>
      <c r="E1130" s="2">
        <v>44637</v>
      </c>
      <c r="F1130" s="2">
        <v>44994</v>
      </c>
      <c r="G1130" s="1" t="s">
        <v>49</v>
      </c>
      <c r="H1130">
        <v>1361</v>
      </c>
      <c r="I1130">
        <v>16</v>
      </c>
      <c r="J1130">
        <v>3</v>
      </c>
      <c r="K1130">
        <v>88.39</v>
      </c>
      <c r="L1130">
        <v>5</v>
      </c>
      <c r="M1130" s="1" t="s">
        <v>39</v>
      </c>
      <c r="N1130" s="1" t="s">
        <v>56</v>
      </c>
      <c r="O1130">
        <v>21707.95</v>
      </c>
      <c r="P1130" t="b">
        <v>1</v>
      </c>
      <c r="Q1130">
        <v>1.3333333333333333</v>
      </c>
      <c r="R1130">
        <v>1356.746875</v>
      </c>
      <c r="S1130">
        <v>22.0975</v>
      </c>
      <c r="T1130" s="2">
        <v>44621</v>
      </c>
      <c r="U1130" s="1" t="s">
        <v>41</v>
      </c>
      <c r="V1130">
        <v>0</v>
      </c>
      <c r="W1130" s="1" t="s">
        <v>40</v>
      </c>
      <c r="X1130">
        <v>357</v>
      </c>
      <c r="Y1130" s="1" t="s">
        <v>43</v>
      </c>
      <c r="Z1130" s="1" t="s">
        <v>42</v>
      </c>
      <c r="AA1130">
        <v>0.17647058823529413</v>
      </c>
      <c r="AB1130" s="1" t="s">
        <v>43</v>
      </c>
      <c r="AC1130">
        <v>3</v>
      </c>
      <c r="AD1130" s="2">
        <v>44621</v>
      </c>
      <c r="AE1130" s="1" t="s">
        <v>53</v>
      </c>
      <c r="AF1130" s="1" t="s">
        <v>72</v>
      </c>
      <c r="AG1130" s="1" t="s">
        <v>63</v>
      </c>
      <c r="AH1130" s="1" t="s">
        <v>47</v>
      </c>
      <c r="AI1130">
        <v>21776</v>
      </c>
      <c r="AJ1130">
        <v>-68.049999999999272</v>
      </c>
    </row>
    <row r="1131" spans="1:36" x14ac:dyDescent="0.25">
      <c r="A1131">
        <v>11130</v>
      </c>
      <c r="B1131">
        <v>43</v>
      </c>
      <c r="C1131" s="1" t="s">
        <v>36</v>
      </c>
      <c r="D1131" s="1" t="s">
        <v>48</v>
      </c>
      <c r="E1131" s="2">
        <v>44849</v>
      </c>
      <c r="F1131" s="2">
        <v>44348</v>
      </c>
      <c r="G1131" s="1" t="s">
        <v>62</v>
      </c>
      <c r="H1131">
        <v>1302</v>
      </c>
      <c r="I1131">
        <v>15</v>
      </c>
      <c r="J1131">
        <v>3</v>
      </c>
      <c r="K1131">
        <v>29.52</v>
      </c>
      <c r="L1131">
        <v>15</v>
      </c>
      <c r="M1131" s="1" t="s">
        <v>67</v>
      </c>
      <c r="N1131" s="1" t="s">
        <v>56</v>
      </c>
      <c r="O1131">
        <v>19334.7</v>
      </c>
      <c r="P1131" t="b">
        <v>0</v>
      </c>
      <c r="Q1131">
        <v>1.25</v>
      </c>
      <c r="R1131">
        <v>1288.98</v>
      </c>
      <c r="S1131">
        <v>7.38</v>
      </c>
      <c r="T1131" s="2">
        <v>44835</v>
      </c>
      <c r="U1131" s="1" t="s">
        <v>51</v>
      </c>
      <c r="V1131">
        <v>0</v>
      </c>
      <c r="W1131" s="1" t="s">
        <v>40</v>
      </c>
      <c r="Y1131" s="1" t="s">
        <v>52</v>
      </c>
      <c r="Z1131" s="1" t="s">
        <v>42</v>
      </c>
      <c r="AA1131">
        <v>0.1875</v>
      </c>
      <c r="AB1131" s="1" t="s">
        <v>52</v>
      </c>
      <c r="AC1131">
        <v>2</v>
      </c>
      <c r="AD1131" s="2">
        <v>44835</v>
      </c>
      <c r="AE1131" s="1" t="s">
        <v>53</v>
      </c>
      <c r="AF1131" s="1" t="s">
        <v>72</v>
      </c>
      <c r="AG1131" s="1" t="s">
        <v>70</v>
      </c>
      <c r="AH1131" s="1" t="s">
        <v>47</v>
      </c>
      <c r="AI1131">
        <v>19530</v>
      </c>
      <c r="AJ1131">
        <v>-195.29999999999927</v>
      </c>
    </row>
    <row r="1132" spans="1:36" x14ac:dyDescent="0.25">
      <c r="A1132">
        <v>11131</v>
      </c>
      <c r="B1132">
        <v>63</v>
      </c>
      <c r="C1132" s="1" t="s">
        <v>60</v>
      </c>
      <c r="D1132" s="1" t="s">
        <v>73</v>
      </c>
      <c r="E1132" s="2">
        <v>44731</v>
      </c>
      <c r="F1132" s="2">
        <v>44908</v>
      </c>
      <c r="G1132" s="1" t="s">
        <v>38</v>
      </c>
      <c r="H1132">
        <v>422</v>
      </c>
      <c r="I1132">
        <v>18</v>
      </c>
      <c r="J1132">
        <v>1</v>
      </c>
      <c r="K1132">
        <v>75.739999999999995</v>
      </c>
      <c r="L1132">
        <v>15</v>
      </c>
      <c r="M1132" s="1" t="s">
        <v>67</v>
      </c>
      <c r="N1132" s="1" t="s">
        <v>40</v>
      </c>
      <c r="O1132">
        <v>7532.7</v>
      </c>
      <c r="P1132" t="b">
        <v>1</v>
      </c>
      <c r="Q1132">
        <v>1.5</v>
      </c>
      <c r="R1132">
        <v>418.48333333333335</v>
      </c>
      <c r="S1132">
        <v>37.869999999999997</v>
      </c>
      <c r="T1132" s="2">
        <v>44713</v>
      </c>
      <c r="U1132" s="1" t="s">
        <v>41</v>
      </c>
      <c r="V1132">
        <v>1</v>
      </c>
      <c r="W1132" s="1" t="s">
        <v>56</v>
      </c>
      <c r="X1132">
        <v>177</v>
      </c>
      <c r="Y1132" s="1" t="s">
        <v>43</v>
      </c>
      <c r="Z1132" s="1" t="s">
        <v>42</v>
      </c>
      <c r="AA1132">
        <v>5.2631578947368418E-2</v>
      </c>
      <c r="AB1132" s="1" t="s">
        <v>42</v>
      </c>
      <c r="AC1132">
        <v>1</v>
      </c>
      <c r="AD1132" s="2">
        <v>44713</v>
      </c>
      <c r="AE1132" s="1" t="s">
        <v>53</v>
      </c>
      <c r="AF1132" s="1" t="s">
        <v>54</v>
      </c>
      <c r="AG1132" s="1" t="s">
        <v>63</v>
      </c>
      <c r="AH1132" s="1" t="s">
        <v>68</v>
      </c>
      <c r="AI1132">
        <v>7596</v>
      </c>
      <c r="AJ1132">
        <v>-63.300000000000182</v>
      </c>
    </row>
    <row r="1133" spans="1:36" x14ac:dyDescent="0.25">
      <c r="A1133">
        <v>11132</v>
      </c>
      <c r="B1133">
        <v>60</v>
      </c>
      <c r="C1133" s="1" t="s">
        <v>36</v>
      </c>
      <c r="D1133" s="1" t="s">
        <v>71</v>
      </c>
      <c r="E1133" s="2">
        <v>44791</v>
      </c>
      <c r="F1133" s="2">
        <v>44443</v>
      </c>
      <c r="G1133" s="1" t="s">
        <v>49</v>
      </c>
      <c r="H1133">
        <v>1479</v>
      </c>
      <c r="I1133">
        <v>7</v>
      </c>
      <c r="J1133">
        <v>1</v>
      </c>
      <c r="K1133">
        <v>56.47</v>
      </c>
      <c r="L1133">
        <v>20</v>
      </c>
      <c r="M1133" s="1" t="s">
        <v>39</v>
      </c>
      <c r="N1133" s="1" t="s">
        <v>40</v>
      </c>
      <c r="O1133">
        <v>10057.200000000001</v>
      </c>
      <c r="P1133" t="b">
        <v>0</v>
      </c>
      <c r="Q1133">
        <v>0.58333333333333337</v>
      </c>
      <c r="R1133">
        <v>1436.7428571428572</v>
      </c>
      <c r="S1133">
        <v>28.234999999999999</v>
      </c>
      <c r="T1133" s="2">
        <v>44774</v>
      </c>
      <c r="U1133" s="1" t="s">
        <v>41</v>
      </c>
      <c r="V1133">
        <v>1</v>
      </c>
      <c r="W1133" s="1" t="s">
        <v>56</v>
      </c>
      <c r="Y1133" s="1" t="s">
        <v>52</v>
      </c>
      <c r="Z1133" s="1" t="s">
        <v>52</v>
      </c>
      <c r="AA1133">
        <v>0.125</v>
      </c>
      <c r="AB1133" s="1" t="s">
        <v>52</v>
      </c>
      <c r="AC1133">
        <v>3</v>
      </c>
      <c r="AD1133" s="2">
        <v>44774</v>
      </c>
      <c r="AE1133" s="1" t="s">
        <v>74</v>
      </c>
      <c r="AF1133" s="1" t="s">
        <v>54</v>
      </c>
      <c r="AG1133" s="1" t="s">
        <v>63</v>
      </c>
      <c r="AH1133" s="1" t="s">
        <v>47</v>
      </c>
      <c r="AI1133">
        <v>10353</v>
      </c>
      <c r="AJ1133">
        <v>-295.79999999999927</v>
      </c>
    </row>
    <row r="1134" spans="1:36" x14ac:dyDescent="0.25">
      <c r="A1134">
        <v>11133</v>
      </c>
      <c r="B1134">
        <v>29</v>
      </c>
      <c r="C1134" s="1" t="s">
        <v>60</v>
      </c>
      <c r="D1134" s="1" t="s">
        <v>48</v>
      </c>
      <c r="E1134" s="2">
        <v>44425</v>
      </c>
      <c r="F1134" s="2">
        <v>45060</v>
      </c>
      <c r="G1134" s="1" t="s">
        <v>38</v>
      </c>
      <c r="H1134">
        <v>600</v>
      </c>
      <c r="I1134">
        <v>22</v>
      </c>
      <c r="J1134">
        <v>2</v>
      </c>
      <c r="K1134">
        <v>62.59</v>
      </c>
      <c r="L1134">
        <v>10</v>
      </c>
      <c r="M1134" s="1" t="s">
        <v>50</v>
      </c>
      <c r="N1134" s="1" t="s">
        <v>40</v>
      </c>
      <c r="O1134">
        <v>13140</v>
      </c>
      <c r="P1134" t="b">
        <v>1</v>
      </c>
      <c r="Q1134">
        <v>1.8333333333333333</v>
      </c>
      <c r="R1134">
        <v>597.27272727272725</v>
      </c>
      <c r="S1134">
        <v>20.863333333333333</v>
      </c>
      <c r="T1134" s="2">
        <v>44409</v>
      </c>
      <c r="U1134" s="1" t="s">
        <v>57</v>
      </c>
      <c r="V1134">
        <v>1</v>
      </c>
      <c r="W1134" s="1" t="s">
        <v>56</v>
      </c>
      <c r="X1134">
        <v>635</v>
      </c>
      <c r="Y1134" s="1" t="s">
        <v>43</v>
      </c>
      <c r="Z1134" s="1" t="s">
        <v>42</v>
      </c>
      <c r="AA1134">
        <v>8.6956521739130432E-2</v>
      </c>
      <c r="AB1134" s="1" t="s">
        <v>52</v>
      </c>
      <c r="AC1134">
        <v>1</v>
      </c>
      <c r="AD1134" s="2">
        <v>44409</v>
      </c>
      <c r="AE1134" s="1" t="s">
        <v>53</v>
      </c>
      <c r="AF1134" s="1" t="s">
        <v>72</v>
      </c>
      <c r="AG1134" s="1" t="s">
        <v>63</v>
      </c>
      <c r="AH1134" s="1" t="s">
        <v>64</v>
      </c>
      <c r="AI1134">
        <v>13200</v>
      </c>
      <c r="AJ1134">
        <v>-60</v>
      </c>
    </row>
    <row r="1135" spans="1:36" x14ac:dyDescent="0.25">
      <c r="A1135">
        <v>11134</v>
      </c>
      <c r="B1135">
        <v>43</v>
      </c>
      <c r="C1135" s="1" t="s">
        <v>75</v>
      </c>
      <c r="D1135" s="1" t="s">
        <v>71</v>
      </c>
      <c r="E1135" s="2">
        <v>44540</v>
      </c>
      <c r="F1135" s="2">
        <v>44760</v>
      </c>
      <c r="G1135" s="1" t="s">
        <v>62</v>
      </c>
      <c r="H1135">
        <v>1132</v>
      </c>
      <c r="I1135">
        <v>32</v>
      </c>
      <c r="J1135">
        <v>0</v>
      </c>
      <c r="K1135">
        <v>66.16</v>
      </c>
      <c r="L1135">
        <v>10</v>
      </c>
      <c r="M1135" s="1" t="s">
        <v>39</v>
      </c>
      <c r="N1135" s="1" t="s">
        <v>56</v>
      </c>
      <c r="O1135">
        <v>36110.800000000003</v>
      </c>
      <c r="P1135" t="b">
        <v>1</v>
      </c>
      <c r="Q1135">
        <v>2.6666666666666665</v>
      </c>
      <c r="R1135">
        <v>1128.4625000000001</v>
      </c>
      <c r="S1135">
        <v>66.16</v>
      </c>
      <c r="T1135" s="2">
        <v>44531</v>
      </c>
      <c r="U1135" s="1" t="s">
        <v>51</v>
      </c>
      <c r="V1135">
        <v>0</v>
      </c>
      <c r="W1135" s="1" t="s">
        <v>40</v>
      </c>
      <c r="X1135">
        <v>220</v>
      </c>
      <c r="Y1135" s="1" t="s">
        <v>43</v>
      </c>
      <c r="Z1135" s="1" t="s">
        <v>42</v>
      </c>
      <c r="AA1135">
        <v>0</v>
      </c>
      <c r="AB1135" s="1" t="s">
        <v>43</v>
      </c>
      <c r="AC1135">
        <v>2</v>
      </c>
      <c r="AD1135" s="2">
        <v>44531</v>
      </c>
      <c r="AE1135" s="1" t="s">
        <v>44</v>
      </c>
      <c r="AF1135" s="1" t="s">
        <v>54</v>
      </c>
      <c r="AG1135" s="1" t="s">
        <v>63</v>
      </c>
      <c r="AH1135" s="1" t="s">
        <v>47</v>
      </c>
      <c r="AI1135">
        <v>36224</v>
      </c>
      <c r="AJ1135">
        <v>-113.19999999999709</v>
      </c>
    </row>
    <row r="1136" spans="1:36" x14ac:dyDescent="0.25">
      <c r="A1136">
        <v>11135</v>
      </c>
      <c r="B1136">
        <v>30</v>
      </c>
      <c r="C1136" s="1" t="s">
        <v>36</v>
      </c>
      <c r="D1136" s="1" t="s">
        <v>69</v>
      </c>
      <c r="E1136" s="2">
        <v>44276</v>
      </c>
      <c r="F1136" s="2">
        <v>44885</v>
      </c>
      <c r="G1136" s="1" t="s">
        <v>49</v>
      </c>
      <c r="H1136">
        <v>1390</v>
      </c>
      <c r="I1136">
        <v>19</v>
      </c>
      <c r="J1136">
        <v>2</v>
      </c>
      <c r="K1136">
        <v>37.369999999999997</v>
      </c>
      <c r="L1136">
        <v>15</v>
      </c>
      <c r="M1136" s="1" t="s">
        <v>50</v>
      </c>
      <c r="N1136" s="1" t="s">
        <v>40</v>
      </c>
      <c r="O1136">
        <v>26201.5</v>
      </c>
      <c r="P1136" t="b">
        <v>1</v>
      </c>
      <c r="Q1136">
        <v>1.5833333333333333</v>
      </c>
      <c r="R1136">
        <v>1379.0263157894738</v>
      </c>
      <c r="S1136">
        <v>12.456666666666665</v>
      </c>
      <c r="T1136" s="2">
        <v>44256</v>
      </c>
      <c r="U1136" s="1" t="s">
        <v>57</v>
      </c>
      <c r="V1136">
        <v>1</v>
      </c>
      <c r="W1136" s="1" t="s">
        <v>40</v>
      </c>
      <c r="X1136">
        <v>609</v>
      </c>
      <c r="Y1136" s="1" t="s">
        <v>52</v>
      </c>
      <c r="Z1136" s="1" t="s">
        <v>42</v>
      </c>
      <c r="AA1136">
        <v>0.1</v>
      </c>
      <c r="AB1136" s="1" t="s">
        <v>43</v>
      </c>
      <c r="AC1136">
        <v>3</v>
      </c>
      <c r="AD1136" s="2">
        <v>44256</v>
      </c>
      <c r="AE1136" s="1" t="s">
        <v>53</v>
      </c>
      <c r="AF1136" s="1" t="s">
        <v>72</v>
      </c>
      <c r="AG1136" s="1" t="s">
        <v>55</v>
      </c>
      <c r="AH1136" s="1" t="s">
        <v>47</v>
      </c>
      <c r="AI1136">
        <v>26410</v>
      </c>
      <c r="AJ1136">
        <v>-208.5</v>
      </c>
    </row>
    <row r="1137" spans="1:36" x14ac:dyDescent="0.25">
      <c r="A1137">
        <v>11136</v>
      </c>
      <c r="B1137">
        <v>41</v>
      </c>
      <c r="C1137" s="1" t="s">
        <v>36</v>
      </c>
      <c r="D1137" s="1" t="s">
        <v>37</v>
      </c>
      <c r="E1137" s="2">
        <v>44549</v>
      </c>
      <c r="F1137" s="2">
        <v>45202</v>
      </c>
      <c r="G1137" s="1" t="s">
        <v>62</v>
      </c>
      <c r="H1137">
        <v>944</v>
      </c>
      <c r="I1137">
        <v>1</v>
      </c>
      <c r="J1137">
        <v>2</v>
      </c>
      <c r="K1137">
        <v>16.07</v>
      </c>
      <c r="L1137">
        <v>10</v>
      </c>
      <c r="M1137" s="1" t="s">
        <v>39</v>
      </c>
      <c r="N1137" s="1" t="s">
        <v>40</v>
      </c>
      <c r="O1137">
        <v>849.6</v>
      </c>
      <c r="P1137" t="b">
        <v>1</v>
      </c>
      <c r="Q1137">
        <v>8.3333333333333329E-2</v>
      </c>
      <c r="R1137">
        <v>849.6</v>
      </c>
      <c r="S1137">
        <v>5.3566666666666665</v>
      </c>
      <c r="T1137" s="2">
        <v>44531</v>
      </c>
      <c r="U1137" s="1" t="s">
        <v>51</v>
      </c>
      <c r="V1137">
        <v>1</v>
      </c>
      <c r="W1137" s="1" t="s">
        <v>56</v>
      </c>
      <c r="X1137">
        <v>653</v>
      </c>
      <c r="Y1137" s="1" t="s">
        <v>42</v>
      </c>
      <c r="Z1137" s="1" t="s">
        <v>42</v>
      </c>
      <c r="AA1137">
        <v>1</v>
      </c>
      <c r="AB1137" s="1" t="s">
        <v>42</v>
      </c>
      <c r="AC1137">
        <v>2</v>
      </c>
      <c r="AD1137" s="2">
        <v>44531</v>
      </c>
      <c r="AE1137" s="1" t="s">
        <v>58</v>
      </c>
      <c r="AF1137" s="1" t="s">
        <v>72</v>
      </c>
      <c r="AG1137" s="1" t="s">
        <v>46</v>
      </c>
      <c r="AH1137" s="1" t="s">
        <v>59</v>
      </c>
      <c r="AI1137">
        <v>944</v>
      </c>
      <c r="AJ1137">
        <v>-94.399999999999977</v>
      </c>
    </row>
    <row r="1138" spans="1:36" x14ac:dyDescent="0.25">
      <c r="A1138">
        <v>11137</v>
      </c>
      <c r="B1138">
        <v>35</v>
      </c>
      <c r="C1138" s="1" t="s">
        <v>36</v>
      </c>
      <c r="D1138" s="1" t="s">
        <v>61</v>
      </c>
      <c r="E1138" s="2">
        <v>44592</v>
      </c>
      <c r="F1138" s="2">
        <v>44776</v>
      </c>
      <c r="G1138" s="1" t="s">
        <v>62</v>
      </c>
      <c r="H1138">
        <v>1173</v>
      </c>
      <c r="I1138">
        <v>35</v>
      </c>
      <c r="J1138">
        <v>1</v>
      </c>
      <c r="K1138">
        <v>58.7</v>
      </c>
      <c r="L1138">
        <v>10</v>
      </c>
      <c r="M1138" s="1" t="s">
        <v>39</v>
      </c>
      <c r="N1138" s="1" t="s">
        <v>56</v>
      </c>
      <c r="O1138">
        <v>40937.699999999997</v>
      </c>
      <c r="P1138" t="b">
        <v>1</v>
      </c>
      <c r="Q1138">
        <v>2.9166666666666665</v>
      </c>
      <c r="R1138">
        <v>1169.6485714285714</v>
      </c>
      <c r="S1138">
        <v>29.35</v>
      </c>
      <c r="T1138" s="2">
        <v>44562</v>
      </c>
      <c r="U1138" s="1" t="s">
        <v>57</v>
      </c>
      <c r="V1138">
        <v>0</v>
      </c>
      <c r="W1138" s="1" t="s">
        <v>40</v>
      </c>
      <c r="X1138">
        <v>184</v>
      </c>
      <c r="Y1138" s="1" t="s">
        <v>52</v>
      </c>
      <c r="Z1138" s="1" t="s">
        <v>42</v>
      </c>
      <c r="AA1138">
        <v>2.7777777777777776E-2</v>
      </c>
      <c r="AB1138" s="1" t="s">
        <v>43</v>
      </c>
      <c r="AC1138">
        <v>2</v>
      </c>
      <c r="AD1138" s="2">
        <v>44562</v>
      </c>
      <c r="AE1138" s="1" t="s">
        <v>44</v>
      </c>
      <c r="AF1138" s="1" t="s">
        <v>54</v>
      </c>
      <c r="AG1138" s="1" t="s">
        <v>63</v>
      </c>
      <c r="AH1138" s="1" t="s">
        <v>47</v>
      </c>
      <c r="AI1138">
        <v>41055</v>
      </c>
      <c r="AJ1138">
        <v>-117.30000000000291</v>
      </c>
    </row>
    <row r="1139" spans="1:36" x14ac:dyDescent="0.25">
      <c r="A1139">
        <v>11138</v>
      </c>
      <c r="B1139">
        <v>42</v>
      </c>
      <c r="C1139" s="1" t="s">
        <v>36</v>
      </c>
      <c r="D1139" s="1" t="s">
        <v>37</v>
      </c>
      <c r="E1139" s="2">
        <v>44486</v>
      </c>
      <c r="F1139" s="2">
        <v>44582</v>
      </c>
      <c r="G1139" s="1" t="s">
        <v>62</v>
      </c>
      <c r="H1139">
        <v>693</v>
      </c>
      <c r="I1139">
        <v>5</v>
      </c>
      <c r="J1139">
        <v>0</v>
      </c>
      <c r="K1139">
        <v>72.86</v>
      </c>
      <c r="L1139">
        <v>20</v>
      </c>
      <c r="M1139" s="1" t="s">
        <v>65</v>
      </c>
      <c r="N1139" s="1" t="s">
        <v>56</v>
      </c>
      <c r="O1139">
        <v>3326.4</v>
      </c>
      <c r="P1139" t="b">
        <v>1</v>
      </c>
      <c r="Q1139">
        <v>0.41666666666666669</v>
      </c>
      <c r="R1139">
        <v>665.28</v>
      </c>
      <c r="S1139">
        <v>72.86</v>
      </c>
      <c r="T1139" s="2">
        <v>44470</v>
      </c>
      <c r="U1139" s="1" t="s">
        <v>51</v>
      </c>
      <c r="V1139">
        <v>0</v>
      </c>
      <c r="W1139" s="1" t="s">
        <v>56</v>
      </c>
      <c r="X1139">
        <v>96</v>
      </c>
      <c r="Y1139" s="1" t="s">
        <v>43</v>
      </c>
      <c r="Z1139" s="1" t="s">
        <v>52</v>
      </c>
      <c r="AA1139">
        <v>0</v>
      </c>
      <c r="AB1139" s="1" t="s">
        <v>42</v>
      </c>
      <c r="AC1139">
        <v>2</v>
      </c>
      <c r="AD1139" s="2">
        <v>44470</v>
      </c>
      <c r="AE1139" s="1" t="s">
        <v>58</v>
      </c>
      <c r="AF1139" s="1" t="s">
        <v>54</v>
      </c>
      <c r="AG1139" s="1" t="s">
        <v>63</v>
      </c>
      <c r="AH1139" s="1" t="s">
        <v>64</v>
      </c>
      <c r="AI1139">
        <v>3465</v>
      </c>
      <c r="AJ1139">
        <v>-138.59999999999991</v>
      </c>
    </row>
    <row r="1140" spans="1:36" x14ac:dyDescent="0.25">
      <c r="A1140">
        <v>11139</v>
      </c>
      <c r="B1140">
        <v>50</v>
      </c>
      <c r="C1140" s="1" t="s">
        <v>36</v>
      </c>
      <c r="D1140" s="1" t="s">
        <v>37</v>
      </c>
      <c r="E1140" s="2">
        <v>44651</v>
      </c>
      <c r="F1140" s="2">
        <v>44696</v>
      </c>
      <c r="G1140" s="1" t="s">
        <v>38</v>
      </c>
      <c r="H1140">
        <v>960</v>
      </c>
      <c r="I1140">
        <v>12</v>
      </c>
      <c r="J1140">
        <v>3</v>
      </c>
      <c r="K1140">
        <v>10.39</v>
      </c>
      <c r="L1140">
        <v>5</v>
      </c>
      <c r="M1140" s="1" t="s">
        <v>39</v>
      </c>
      <c r="N1140" s="1" t="s">
        <v>56</v>
      </c>
      <c r="O1140">
        <v>11472</v>
      </c>
      <c r="P1140" t="b">
        <v>1</v>
      </c>
      <c r="Q1140">
        <v>1</v>
      </c>
      <c r="R1140">
        <v>956</v>
      </c>
      <c r="S1140">
        <v>2.5975000000000001</v>
      </c>
      <c r="T1140" s="2">
        <v>44621</v>
      </c>
      <c r="U1140" s="1" t="s">
        <v>51</v>
      </c>
      <c r="V1140">
        <v>0</v>
      </c>
      <c r="W1140" s="1" t="s">
        <v>56</v>
      </c>
      <c r="X1140">
        <v>45</v>
      </c>
      <c r="Y1140" s="1" t="s">
        <v>42</v>
      </c>
      <c r="Z1140" s="1" t="s">
        <v>42</v>
      </c>
      <c r="AA1140">
        <v>0.23076923076923078</v>
      </c>
      <c r="AB1140" s="1" t="s">
        <v>52</v>
      </c>
      <c r="AC1140">
        <v>1</v>
      </c>
      <c r="AD1140" s="2">
        <v>44621</v>
      </c>
      <c r="AE1140" s="1" t="s">
        <v>74</v>
      </c>
      <c r="AF1140" s="1" t="s">
        <v>72</v>
      </c>
      <c r="AG1140" s="1" t="s">
        <v>46</v>
      </c>
      <c r="AH1140" s="1" t="s">
        <v>59</v>
      </c>
      <c r="AI1140">
        <v>11520</v>
      </c>
      <c r="AJ1140">
        <v>-48</v>
      </c>
    </row>
    <row r="1141" spans="1:36" x14ac:dyDescent="0.25">
      <c r="A1141">
        <v>11140</v>
      </c>
      <c r="B1141">
        <v>64</v>
      </c>
      <c r="C1141" s="1" t="s">
        <v>60</v>
      </c>
      <c r="D1141" s="1" t="s">
        <v>69</v>
      </c>
      <c r="E1141" s="2">
        <v>45039</v>
      </c>
      <c r="F1141" s="2">
        <v>45103</v>
      </c>
      <c r="G1141" s="1" t="s">
        <v>38</v>
      </c>
      <c r="H1141">
        <v>1454</v>
      </c>
      <c r="I1141">
        <v>12</v>
      </c>
      <c r="J1141">
        <v>2</v>
      </c>
      <c r="K1141">
        <v>51.24</v>
      </c>
      <c r="L1141">
        <v>5</v>
      </c>
      <c r="M1141" s="1" t="s">
        <v>65</v>
      </c>
      <c r="N1141" s="1" t="s">
        <v>56</v>
      </c>
      <c r="O1141">
        <v>17375.3</v>
      </c>
      <c r="P1141" t="b">
        <v>1</v>
      </c>
      <c r="Q1141">
        <v>1</v>
      </c>
      <c r="R1141">
        <v>1447.9416666666666</v>
      </c>
      <c r="S1141">
        <v>17.080000000000002</v>
      </c>
      <c r="T1141" s="2">
        <v>45017</v>
      </c>
      <c r="U1141" s="1" t="s">
        <v>41</v>
      </c>
      <c r="V1141">
        <v>0</v>
      </c>
      <c r="W1141" s="1" t="s">
        <v>40</v>
      </c>
      <c r="X1141">
        <v>64</v>
      </c>
      <c r="Y1141" s="1" t="s">
        <v>52</v>
      </c>
      <c r="Z1141" s="1" t="s">
        <v>42</v>
      </c>
      <c r="AA1141">
        <v>0.15384615384615385</v>
      </c>
      <c r="AB1141" s="1" t="s">
        <v>52</v>
      </c>
      <c r="AC1141">
        <v>1</v>
      </c>
      <c r="AD1141" s="2">
        <v>45017</v>
      </c>
      <c r="AE1141" s="1" t="s">
        <v>74</v>
      </c>
      <c r="AF1141" s="1" t="s">
        <v>72</v>
      </c>
      <c r="AG1141" s="1" t="s">
        <v>63</v>
      </c>
      <c r="AH1141" s="1" t="s">
        <v>47</v>
      </c>
      <c r="AI1141">
        <v>17448</v>
      </c>
      <c r="AJ1141">
        <v>-72.700000000000728</v>
      </c>
    </row>
    <row r="1142" spans="1:36" x14ac:dyDescent="0.25">
      <c r="A1142">
        <v>11141</v>
      </c>
      <c r="B1142">
        <v>57</v>
      </c>
      <c r="C1142" s="1" t="s">
        <v>60</v>
      </c>
      <c r="D1142" s="1" t="s">
        <v>48</v>
      </c>
      <c r="E1142" s="2">
        <v>44867</v>
      </c>
      <c r="F1142" s="2">
        <v>45217</v>
      </c>
      <c r="G1142" s="1" t="s">
        <v>62</v>
      </c>
      <c r="H1142">
        <v>368</v>
      </c>
      <c r="I1142">
        <v>21</v>
      </c>
      <c r="J1142">
        <v>1</v>
      </c>
      <c r="K1142">
        <v>34.630000000000003</v>
      </c>
      <c r="L1142">
        <v>10</v>
      </c>
      <c r="M1142" s="1" t="s">
        <v>67</v>
      </c>
      <c r="N1142" s="1" t="s">
        <v>56</v>
      </c>
      <c r="O1142">
        <v>7691.2</v>
      </c>
      <c r="P1142" t="b">
        <v>1</v>
      </c>
      <c r="Q1142">
        <v>1.75</v>
      </c>
      <c r="R1142">
        <v>366.24761904761903</v>
      </c>
      <c r="S1142">
        <v>17.315000000000001</v>
      </c>
      <c r="T1142" s="2">
        <v>44866</v>
      </c>
      <c r="U1142" s="1" t="s">
        <v>41</v>
      </c>
      <c r="V1142">
        <v>0</v>
      </c>
      <c r="W1142" s="1" t="s">
        <v>56</v>
      </c>
      <c r="X1142">
        <v>350</v>
      </c>
      <c r="Y1142" s="1" t="s">
        <v>52</v>
      </c>
      <c r="Z1142" s="1" t="s">
        <v>42</v>
      </c>
      <c r="AA1142">
        <v>4.5454545454545456E-2</v>
      </c>
      <c r="AB1142" s="1" t="s">
        <v>42</v>
      </c>
      <c r="AC1142">
        <v>2</v>
      </c>
      <c r="AD1142" s="2">
        <v>44866</v>
      </c>
      <c r="AE1142" s="1" t="s">
        <v>53</v>
      </c>
      <c r="AF1142" s="1" t="s">
        <v>54</v>
      </c>
      <c r="AG1142" s="1" t="s">
        <v>55</v>
      </c>
      <c r="AH1142" s="1" t="s">
        <v>68</v>
      </c>
      <c r="AI1142">
        <v>7728</v>
      </c>
      <c r="AJ1142">
        <v>-36.800000000000182</v>
      </c>
    </row>
    <row r="1143" spans="1:36" x14ac:dyDescent="0.25">
      <c r="A1143">
        <v>11142</v>
      </c>
      <c r="B1143">
        <v>60</v>
      </c>
      <c r="C1143" s="1" t="s">
        <v>60</v>
      </c>
      <c r="D1143" s="1" t="s">
        <v>61</v>
      </c>
      <c r="E1143" s="2">
        <v>44324</v>
      </c>
      <c r="F1143" s="2">
        <v>44828</v>
      </c>
      <c r="G1143" s="1" t="s">
        <v>62</v>
      </c>
      <c r="H1143">
        <v>1061</v>
      </c>
      <c r="I1143">
        <v>19</v>
      </c>
      <c r="J1143">
        <v>1</v>
      </c>
      <c r="K1143">
        <v>8.52</v>
      </c>
      <c r="L1143">
        <v>0</v>
      </c>
      <c r="M1143" s="1" t="s">
        <v>50</v>
      </c>
      <c r="N1143" s="1" t="s">
        <v>56</v>
      </c>
      <c r="O1143">
        <v>20159</v>
      </c>
      <c r="P1143" t="b">
        <v>1</v>
      </c>
      <c r="Q1143">
        <v>1.5833333333333333</v>
      </c>
      <c r="R1143">
        <v>1061</v>
      </c>
      <c r="S1143">
        <v>4.26</v>
      </c>
      <c r="T1143" s="2">
        <v>44317</v>
      </c>
      <c r="U1143" s="1" t="s">
        <v>41</v>
      </c>
      <c r="V1143">
        <v>0</v>
      </c>
      <c r="W1143" s="1" t="s">
        <v>40</v>
      </c>
      <c r="X1143">
        <v>504</v>
      </c>
      <c r="Y1143" s="1" t="s">
        <v>42</v>
      </c>
      <c r="Z1143" s="1" t="s">
        <v>42</v>
      </c>
      <c r="AA1143">
        <v>0.05</v>
      </c>
      <c r="AB1143" s="1" t="s">
        <v>43</v>
      </c>
      <c r="AC1143">
        <v>2</v>
      </c>
      <c r="AD1143" s="2">
        <v>44317</v>
      </c>
      <c r="AE1143" s="1" t="s">
        <v>53</v>
      </c>
      <c r="AF1143" s="1" t="s">
        <v>54</v>
      </c>
      <c r="AG1143" s="1" t="s">
        <v>77</v>
      </c>
      <c r="AH1143" s="1" t="s">
        <v>47</v>
      </c>
      <c r="AI1143">
        <v>20159</v>
      </c>
      <c r="AJ1143">
        <v>0</v>
      </c>
    </row>
    <row r="1144" spans="1:36" x14ac:dyDescent="0.25">
      <c r="A1144">
        <v>11143</v>
      </c>
      <c r="B1144">
        <v>29</v>
      </c>
      <c r="C1144" s="1" t="s">
        <v>60</v>
      </c>
      <c r="D1144" s="1" t="s">
        <v>48</v>
      </c>
      <c r="E1144" s="2">
        <v>44898</v>
      </c>
      <c r="F1144" s="2">
        <v>45186</v>
      </c>
      <c r="G1144" s="1" t="s">
        <v>62</v>
      </c>
      <c r="H1144">
        <v>619</v>
      </c>
      <c r="I1144">
        <v>9</v>
      </c>
      <c r="J1144">
        <v>1</v>
      </c>
      <c r="K1144">
        <v>19.45</v>
      </c>
      <c r="L1144">
        <v>20</v>
      </c>
      <c r="M1144" s="1" t="s">
        <v>50</v>
      </c>
      <c r="N1144" s="1" t="s">
        <v>56</v>
      </c>
      <c r="O1144">
        <v>5447.2</v>
      </c>
      <c r="P1144" t="b">
        <v>1</v>
      </c>
      <c r="Q1144">
        <v>0.75</v>
      </c>
      <c r="R1144">
        <v>605.24444444444441</v>
      </c>
      <c r="S1144">
        <v>9.7249999999999996</v>
      </c>
      <c r="T1144" s="2">
        <v>44896</v>
      </c>
      <c r="U1144" s="1" t="s">
        <v>57</v>
      </c>
      <c r="V1144">
        <v>0</v>
      </c>
      <c r="W1144" s="1" t="s">
        <v>56</v>
      </c>
      <c r="X1144">
        <v>288</v>
      </c>
      <c r="Y1144" s="1" t="s">
        <v>42</v>
      </c>
      <c r="Z1144" s="1" t="s">
        <v>52</v>
      </c>
      <c r="AA1144">
        <v>0.1</v>
      </c>
      <c r="AB1144" s="1" t="s">
        <v>42</v>
      </c>
      <c r="AC1144">
        <v>2</v>
      </c>
      <c r="AD1144" s="2">
        <v>44896</v>
      </c>
      <c r="AE1144" s="1" t="s">
        <v>74</v>
      </c>
      <c r="AF1144" s="1" t="s">
        <v>54</v>
      </c>
      <c r="AG1144" s="1" t="s">
        <v>46</v>
      </c>
      <c r="AH1144" s="1" t="s">
        <v>64</v>
      </c>
      <c r="AI1144">
        <v>5571</v>
      </c>
      <c r="AJ1144">
        <v>-123.80000000000018</v>
      </c>
    </row>
    <row r="1145" spans="1:36" x14ac:dyDescent="0.25">
      <c r="A1145">
        <v>11144</v>
      </c>
      <c r="B1145">
        <v>61</v>
      </c>
      <c r="C1145" s="1" t="s">
        <v>60</v>
      </c>
      <c r="D1145" s="1" t="s">
        <v>73</v>
      </c>
      <c r="E1145" s="2">
        <v>44739</v>
      </c>
      <c r="F1145" s="2">
        <v>44743</v>
      </c>
      <c r="G1145" s="1" t="s">
        <v>38</v>
      </c>
      <c r="H1145">
        <v>476</v>
      </c>
      <c r="I1145">
        <v>32</v>
      </c>
      <c r="J1145">
        <v>0</v>
      </c>
      <c r="K1145">
        <v>20.99</v>
      </c>
      <c r="L1145">
        <v>10</v>
      </c>
      <c r="M1145" s="1" t="s">
        <v>65</v>
      </c>
      <c r="N1145" s="1" t="s">
        <v>56</v>
      </c>
      <c r="O1145">
        <v>15184.4</v>
      </c>
      <c r="P1145" t="b">
        <v>1</v>
      </c>
      <c r="Q1145">
        <v>2.6666666666666665</v>
      </c>
      <c r="R1145">
        <v>474.51249999999999</v>
      </c>
      <c r="S1145">
        <v>20.99</v>
      </c>
      <c r="T1145" s="2">
        <v>44713</v>
      </c>
      <c r="U1145" s="1" t="s">
        <v>41</v>
      </c>
      <c r="V1145">
        <v>0</v>
      </c>
      <c r="W1145" s="1" t="s">
        <v>40</v>
      </c>
      <c r="X1145">
        <v>4</v>
      </c>
      <c r="Y1145" s="1" t="s">
        <v>52</v>
      </c>
      <c r="Z1145" s="1" t="s">
        <v>42</v>
      </c>
      <c r="AA1145">
        <v>0</v>
      </c>
      <c r="AB1145" s="1" t="s">
        <v>52</v>
      </c>
      <c r="AC1145">
        <v>1</v>
      </c>
      <c r="AD1145" s="2">
        <v>44713</v>
      </c>
      <c r="AE1145" s="1" t="s">
        <v>44</v>
      </c>
      <c r="AF1145" s="1" t="s">
        <v>54</v>
      </c>
      <c r="AG1145" s="1" t="s">
        <v>70</v>
      </c>
      <c r="AH1145" s="1" t="s">
        <v>68</v>
      </c>
      <c r="AI1145">
        <v>15232</v>
      </c>
      <c r="AJ1145">
        <v>-47.600000000000364</v>
      </c>
    </row>
    <row r="1146" spans="1:36" x14ac:dyDescent="0.25">
      <c r="A1146">
        <v>11145</v>
      </c>
      <c r="B1146">
        <v>53</v>
      </c>
      <c r="C1146" s="1" t="s">
        <v>36</v>
      </c>
      <c r="D1146" s="1" t="s">
        <v>37</v>
      </c>
      <c r="E1146" s="2">
        <v>45094</v>
      </c>
      <c r="F1146" s="2">
        <v>44698</v>
      </c>
      <c r="G1146" s="1" t="s">
        <v>62</v>
      </c>
      <c r="H1146">
        <v>883</v>
      </c>
      <c r="I1146">
        <v>35</v>
      </c>
      <c r="J1146">
        <v>3</v>
      </c>
      <c r="K1146">
        <v>26.03</v>
      </c>
      <c r="L1146">
        <v>0</v>
      </c>
      <c r="M1146" s="1" t="s">
        <v>50</v>
      </c>
      <c r="N1146" s="1" t="s">
        <v>56</v>
      </c>
      <c r="O1146">
        <v>30905</v>
      </c>
      <c r="P1146" t="b">
        <v>0</v>
      </c>
      <c r="Q1146">
        <v>2.9166666666666665</v>
      </c>
      <c r="R1146">
        <v>883</v>
      </c>
      <c r="S1146">
        <v>6.5075000000000003</v>
      </c>
      <c r="T1146" s="2">
        <v>45078</v>
      </c>
      <c r="U1146" s="1" t="s">
        <v>41</v>
      </c>
      <c r="V1146">
        <v>0</v>
      </c>
      <c r="W1146" s="1" t="s">
        <v>40</v>
      </c>
      <c r="Y1146" s="1" t="s">
        <v>52</v>
      </c>
      <c r="Z1146" s="1" t="s">
        <v>42</v>
      </c>
      <c r="AA1146">
        <v>8.3333333333333329E-2</v>
      </c>
      <c r="AB1146" s="1" t="s">
        <v>43</v>
      </c>
      <c r="AC1146">
        <v>2</v>
      </c>
      <c r="AD1146" s="2">
        <v>45078</v>
      </c>
      <c r="AE1146" s="1" t="s">
        <v>44</v>
      </c>
      <c r="AF1146" s="1" t="s">
        <v>72</v>
      </c>
      <c r="AG1146" s="1" t="s">
        <v>70</v>
      </c>
      <c r="AH1146" s="1" t="s">
        <v>59</v>
      </c>
      <c r="AI1146">
        <v>30905</v>
      </c>
      <c r="AJ1146">
        <v>0</v>
      </c>
    </row>
    <row r="1147" spans="1:36" x14ac:dyDescent="0.25">
      <c r="A1147">
        <v>11146</v>
      </c>
      <c r="B1147">
        <v>21</v>
      </c>
      <c r="C1147" s="1" t="s">
        <v>75</v>
      </c>
      <c r="D1147" s="1" t="s">
        <v>73</v>
      </c>
      <c r="E1147" s="2">
        <v>44555</v>
      </c>
      <c r="F1147" s="2">
        <v>44763</v>
      </c>
      <c r="G1147" s="1" t="s">
        <v>62</v>
      </c>
      <c r="H1147">
        <v>1483</v>
      </c>
      <c r="I1147">
        <v>31</v>
      </c>
      <c r="J1147">
        <v>3</v>
      </c>
      <c r="K1147">
        <v>97.39</v>
      </c>
      <c r="L1147">
        <v>0</v>
      </c>
      <c r="M1147" s="1" t="s">
        <v>50</v>
      </c>
      <c r="N1147" s="1" t="s">
        <v>56</v>
      </c>
      <c r="O1147">
        <v>45973</v>
      </c>
      <c r="P1147" t="b">
        <v>1</v>
      </c>
      <c r="Q1147">
        <v>2.5833333333333335</v>
      </c>
      <c r="R1147">
        <v>1483</v>
      </c>
      <c r="S1147">
        <v>24.3475</v>
      </c>
      <c r="T1147" s="2">
        <v>44531</v>
      </c>
      <c r="U1147" s="1" t="s">
        <v>66</v>
      </c>
      <c r="V1147">
        <v>0</v>
      </c>
      <c r="W1147" s="1" t="s">
        <v>40</v>
      </c>
      <c r="X1147">
        <v>208</v>
      </c>
      <c r="Y1147" s="1" t="s">
        <v>43</v>
      </c>
      <c r="Z1147" s="1" t="s">
        <v>42</v>
      </c>
      <c r="AA1147">
        <v>9.375E-2</v>
      </c>
      <c r="AB1147" s="1" t="s">
        <v>43</v>
      </c>
      <c r="AC1147">
        <v>2</v>
      </c>
      <c r="AD1147" s="2">
        <v>44531</v>
      </c>
      <c r="AE1147" s="1" t="s">
        <v>44</v>
      </c>
      <c r="AF1147" s="1" t="s">
        <v>72</v>
      </c>
      <c r="AG1147" s="1" t="s">
        <v>63</v>
      </c>
      <c r="AH1147" s="1" t="s">
        <v>47</v>
      </c>
      <c r="AI1147">
        <v>45973</v>
      </c>
      <c r="AJ1147">
        <v>0</v>
      </c>
    </row>
    <row r="1148" spans="1:36" x14ac:dyDescent="0.25">
      <c r="A1148">
        <v>11147</v>
      </c>
      <c r="B1148">
        <v>22</v>
      </c>
      <c r="C1148" s="1" t="s">
        <v>60</v>
      </c>
      <c r="D1148" s="1" t="s">
        <v>71</v>
      </c>
      <c r="E1148" s="2">
        <v>44723</v>
      </c>
      <c r="F1148" s="2">
        <v>45233</v>
      </c>
      <c r="G1148" s="1" t="s">
        <v>62</v>
      </c>
      <c r="H1148">
        <v>881</v>
      </c>
      <c r="I1148">
        <v>32</v>
      </c>
      <c r="J1148">
        <v>2</v>
      </c>
      <c r="K1148">
        <v>55.54</v>
      </c>
      <c r="L1148">
        <v>20</v>
      </c>
      <c r="M1148" s="1" t="s">
        <v>39</v>
      </c>
      <c r="N1148" s="1" t="s">
        <v>56</v>
      </c>
      <c r="O1148">
        <v>28015.8</v>
      </c>
      <c r="P1148" t="b">
        <v>1</v>
      </c>
      <c r="Q1148">
        <v>2.6666666666666665</v>
      </c>
      <c r="R1148">
        <v>875.49374999999998</v>
      </c>
      <c r="S1148">
        <v>18.513333333333332</v>
      </c>
      <c r="T1148" s="2">
        <v>44713</v>
      </c>
      <c r="U1148" s="1" t="s">
        <v>66</v>
      </c>
      <c r="V1148">
        <v>0</v>
      </c>
      <c r="W1148" s="1" t="s">
        <v>40</v>
      </c>
      <c r="X1148">
        <v>510</v>
      </c>
      <c r="Y1148" s="1" t="s">
        <v>52</v>
      </c>
      <c r="Z1148" s="1" t="s">
        <v>52</v>
      </c>
      <c r="AA1148">
        <v>6.0606060606060608E-2</v>
      </c>
      <c r="AB1148" s="1" t="s">
        <v>43</v>
      </c>
      <c r="AC1148">
        <v>2</v>
      </c>
      <c r="AD1148" s="2">
        <v>44713</v>
      </c>
      <c r="AE1148" s="1" t="s">
        <v>44</v>
      </c>
      <c r="AF1148" s="1" t="s">
        <v>72</v>
      </c>
      <c r="AG1148" s="1" t="s">
        <v>63</v>
      </c>
      <c r="AH1148" s="1" t="s">
        <v>59</v>
      </c>
      <c r="AI1148">
        <v>28192</v>
      </c>
      <c r="AJ1148">
        <v>-176.20000000000073</v>
      </c>
    </row>
    <row r="1149" spans="1:36" x14ac:dyDescent="0.25">
      <c r="A1149">
        <v>11148</v>
      </c>
      <c r="B1149">
        <v>41</v>
      </c>
      <c r="C1149" s="1" t="s">
        <v>36</v>
      </c>
      <c r="D1149" s="1" t="s">
        <v>37</v>
      </c>
      <c r="E1149" s="2">
        <v>44509</v>
      </c>
      <c r="F1149" s="2">
        <v>45234</v>
      </c>
      <c r="G1149" s="1" t="s">
        <v>62</v>
      </c>
      <c r="H1149">
        <v>1458</v>
      </c>
      <c r="I1149">
        <v>32</v>
      </c>
      <c r="J1149">
        <v>2</v>
      </c>
      <c r="K1149">
        <v>21.91</v>
      </c>
      <c r="L1149">
        <v>5</v>
      </c>
      <c r="M1149" s="1" t="s">
        <v>65</v>
      </c>
      <c r="N1149" s="1" t="s">
        <v>56</v>
      </c>
      <c r="O1149">
        <v>46583.1</v>
      </c>
      <c r="P1149" t="b">
        <v>1</v>
      </c>
      <c r="Q1149">
        <v>2.6666666666666665</v>
      </c>
      <c r="R1149">
        <v>1455.721875</v>
      </c>
      <c r="S1149">
        <v>7.3033333333333337</v>
      </c>
      <c r="T1149" s="2">
        <v>44501</v>
      </c>
      <c r="U1149" s="1" t="s">
        <v>51</v>
      </c>
      <c r="V1149">
        <v>0</v>
      </c>
      <c r="W1149" s="1" t="s">
        <v>40</v>
      </c>
      <c r="X1149">
        <v>725</v>
      </c>
      <c r="Y1149" s="1" t="s">
        <v>52</v>
      </c>
      <c r="Z1149" s="1" t="s">
        <v>42</v>
      </c>
      <c r="AA1149">
        <v>6.0606060606060608E-2</v>
      </c>
      <c r="AB1149" s="1" t="s">
        <v>43</v>
      </c>
      <c r="AC1149">
        <v>2</v>
      </c>
      <c r="AD1149" s="2">
        <v>44501</v>
      </c>
      <c r="AE1149" s="1" t="s">
        <v>44</v>
      </c>
      <c r="AF1149" s="1" t="s">
        <v>72</v>
      </c>
      <c r="AG1149" s="1" t="s">
        <v>70</v>
      </c>
      <c r="AH1149" s="1" t="s">
        <v>47</v>
      </c>
      <c r="AI1149">
        <v>46656</v>
      </c>
      <c r="AJ1149">
        <v>-72.900000000001455</v>
      </c>
    </row>
    <row r="1150" spans="1:36" x14ac:dyDescent="0.25">
      <c r="A1150">
        <v>11149</v>
      </c>
      <c r="B1150">
        <v>25</v>
      </c>
      <c r="C1150" s="1" t="s">
        <v>60</v>
      </c>
      <c r="D1150" s="1" t="s">
        <v>48</v>
      </c>
      <c r="E1150" s="2">
        <v>44271</v>
      </c>
      <c r="F1150" s="2">
        <v>44398</v>
      </c>
      <c r="G1150" s="1" t="s">
        <v>62</v>
      </c>
      <c r="H1150">
        <v>410</v>
      </c>
      <c r="I1150">
        <v>30</v>
      </c>
      <c r="J1150">
        <v>1</v>
      </c>
      <c r="K1150">
        <v>16.53</v>
      </c>
      <c r="L1150">
        <v>15</v>
      </c>
      <c r="M1150" s="1" t="s">
        <v>50</v>
      </c>
      <c r="N1150" s="1" t="s">
        <v>56</v>
      </c>
      <c r="O1150">
        <v>12238.5</v>
      </c>
      <c r="P1150" t="b">
        <v>1</v>
      </c>
      <c r="Q1150">
        <v>2.5</v>
      </c>
      <c r="R1150">
        <v>407.95</v>
      </c>
      <c r="S1150">
        <v>8.2650000000000006</v>
      </c>
      <c r="T1150" s="2">
        <v>44256</v>
      </c>
      <c r="U1150" s="1" t="s">
        <v>66</v>
      </c>
      <c r="V1150">
        <v>0</v>
      </c>
      <c r="W1150" s="1" t="s">
        <v>56</v>
      </c>
      <c r="X1150">
        <v>127</v>
      </c>
      <c r="Y1150" s="1" t="s">
        <v>42</v>
      </c>
      <c r="Z1150" s="1" t="s">
        <v>42</v>
      </c>
      <c r="AA1150">
        <v>3.2258064516129031E-2</v>
      </c>
      <c r="AB1150" s="1" t="s">
        <v>52</v>
      </c>
      <c r="AC1150">
        <v>2</v>
      </c>
      <c r="AD1150" s="2">
        <v>44256</v>
      </c>
      <c r="AE1150" s="1" t="s">
        <v>44</v>
      </c>
      <c r="AF1150" s="1" t="s">
        <v>54</v>
      </c>
      <c r="AG1150" s="1" t="s">
        <v>46</v>
      </c>
      <c r="AH1150" s="1" t="s">
        <v>68</v>
      </c>
      <c r="AI1150">
        <v>12300</v>
      </c>
      <c r="AJ1150">
        <v>-61.5</v>
      </c>
    </row>
    <row r="1151" spans="1:36" x14ac:dyDescent="0.25">
      <c r="A1151">
        <v>11150</v>
      </c>
      <c r="B1151">
        <v>59</v>
      </c>
      <c r="C1151" s="1" t="s">
        <v>36</v>
      </c>
      <c r="D1151" s="1" t="s">
        <v>37</v>
      </c>
      <c r="E1151" s="2">
        <v>44742</v>
      </c>
      <c r="F1151" s="2">
        <v>44428</v>
      </c>
      <c r="G1151" s="1" t="s">
        <v>62</v>
      </c>
      <c r="H1151">
        <v>1298</v>
      </c>
      <c r="I1151">
        <v>32</v>
      </c>
      <c r="J1151">
        <v>6</v>
      </c>
      <c r="K1151">
        <v>39.26</v>
      </c>
      <c r="L1151">
        <v>0</v>
      </c>
      <c r="M1151" s="1" t="s">
        <v>67</v>
      </c>
      <c r="N1151" s="1" t="s">
        <v>56</v>
      </c>
      <c r="O1151">
        <v>41536</v>
      </c>
      <c r="P1151" t="b">
        <v>0</v>
      </c>
      <c r="Q1151">
        <v>2.6666666666666665</v>
      </c>
      <c r="R1151">
        <v>1298</v>
      </c>
      <c r="S1151">
        <v>5.6085714285714285</v>
      </c>
      <c r="T1151" s="2">
        <v>44713</v>
      </c>
      <c r="U1151" s="1" t="s">
        <v>41</v>
      </c>
      <c r="V1151">
        <v>0</v>
      </c>
      <c r="W1151" s="1" t="s">
        <v>40</v>
      </c>
      <c r="Y1151" s="1" t="s">
        <v>52</v>
      </c>
      <c r="Z1151" s="1" t="s">
        <v>42</v>
      </c>
      <c r="AA1151">
        <v>0.18181818181818182</v>
      </c>
      <c r="AB1151" s="1" t="s">
        <v>43</v>
      </c>
      <c r="AC1151">
        <v>2</v>
      </c>
      <c r="AD1151" s="2">
        <v>44713</v>
      </c>
      <c r="AE1151" s="1" t="s">
        <v>44</v>
      </c>
      <c r="AF1151" s="1" t="s">
        <v>78</v>
      </c>
      <c r="AG1151" s="1" t="s">
        <v>55</v>
      </c>
      <c r="AH1151" s="1" t="s">
        <v>47</v>
      </c>
      <c r="AI1151">
        <v>41536</v>
      </c>
      <c r="AJ1151">
        <v>0</v>
      </c>
    </row>
    <row r="1152" spans="1:36" x14ac:dyDescent="0.25">
      <c r="A1152">
        <v>11151</v>
      </c>
      <c r="B1152">
        <v>45</v>
      </c>
      <c r="C1152" s="1" t="s">
        <v>36</v>
      </c>
      <c r="D1152" s="1" t="s">
        <v>71</v>
      </c>
      <c r="E1152" s="2">
        <v>45067</v>
      </c>
      <c r="F1152" s="2">
        <v>44383</v>
      </c>
      <c r="G1152" s="1" t="s">
        <v>38</v>
      </c>
      <c r="H1152">
        <v>1057</v>
      </c>
      <c r="I1152">
        <v>2</v>
      </c>
      <c r="J1152">
        <v>1</v>
      </c>
      <c r="K1152">
        <v>96.77</v>
      </c>
      <c r="L1152">
        <v>15</v>
      </c>
      <c r="M1152" s="1" t="s">
        <v>65</v>
      </c>
      <c r="N1152" s="1" t="s">
        <v>56</v>
      </c>
      <c r="O1152">
        <v>1955.45</v>
      </c>
      <c r="P1152" t="b">
        <v>0</v>
      </c>
      <c r="Q1152">
        <v>0.16666666666666666</v>
      </c>
      <c r="R1152">
        <v>977.72500000000002</v>
      </c>
      <c r="S1152">
        <v>48.384999999999998</v>
      </c>
      <c r="T1152" s="2">
        <v>45047</v>
      </c>
      <c r="U1152" s="1" t="s">
        <v>51</v>
      </c>
      <c r="V1152">
        <v>0</v>
      </c>
      <c r="W1152" s="1" t="s">
        <v>56</v>
      </c>
      <c r="Y1152" s="1" t="s">
        <v>43</v>
      </c>
      <c r="Z1152" s="1" t="s">
        <v>42</v>
      </c>
      <c r="AA1152">
        <v>0.33333333333333331</v>
      </c>
      <c r="AB1152" s="1" t="s">
        <v>42</v>
      </c>
      <c r="AC1152">
        <v>1</v>
      </c>
      <c r="AD1152" s="2">
        <v>45047</v>
      </c>
      <c r="AE1152" s="1" t="s">
        <v>58</v>
      </c>
      <c r="AF1152" s="1" t="s">
        <v>54</v>
      </c>
      <c r="AG1152" s="1" t="s">
        <v>63</v>
      </c>
      <c r="AH1152" s="1" t="s">
        <v>47</v>
      </c>
      <c r="AI1152">
        <v>2114</v>
      </c>
      <c r="AJ1152">
        <v>-158.54999999999995</v>
      </c>
    </row>
    <row r="1153" spans="1:36" x14ac:dyDescent="0.25">
      <c r="A1153">
        <v>11152</v>
      </c>
      <c r="B1153">
        <v>48</v>
      </c>
      <c r="C1153" s="1" t="s">
        <v>36</v>
      </c>
      <c r="D1153" s="1" t="s">
        <v>69</v>
      </c>
      <c r="E1153" s="2">
        <v>44392</v>
      </c>
      <c r="F1153" s="2">
        <v>44414</v>
      </c>
      <c r="G1153" s="1" t="s">
        <v>49</v>
      </c>
      <c r="H1153">
        <v>582</v>
      </c>
      <c r="I1153">
        <v>11</v>
      </c>
      <c r="J1153">
        <v>3</v>
      </c>
      <c r="K1153">
        <v>46.91</v>
      </c>
      <c r="L1153">
        <v>15</v>
      </c>
      <c r="M1153" s="1" t="s">
        <v>39</v>
      </c>
      <c r="N1153" s="1" t="s">
        <v>56</v>
      </c>
      <c r="O1153">
        <v>6314.7</v>
      </c>
      <c r="P1153" t="b">
        <v>1</v>
      </c>
      <c r="Q1153">
        <v>0.91666666666666663</v>
      </c>
      <c r="R1153">
        <v>574.06363636363631</v>
      </c>
      <c r="S1153">
        <v>11.727499999999999</v>
      </c>
      <c r="T1153" s="2">
        <v>44378</v>
      </c>
      <c r="U1153" s="1" t="s">
        <v>51</v>
      </c>
      <c r="V1153">
        <v>0</v>
      </c>
      <c r="W1153" s="1" t="s">
        <v>56</v>
      </c>
      <c r="X1153">
        <v>22</v>
      </c>
      <c r="Y1153" s="1" t="s">
        <v>52</v>
      </c>
      <c r="Z1153" s="1" t="s">
        <v>42</v>
      </c>
      <c r="AA1153">
        <v>0.25</v>
      </c>
      <c r="AB1153" s="1" t="s">
        <v>42</v>
      </c>
      <c r="AC1153">
        <v>3</v>
      </c>
      <c r="AD1153" s="2">
        <v>44378</v>
      </c>
      <c r="AE1153" s="1" t="s">
        <v>74</v>
      </c>
      <c r="AF1153" s="1" t="s">
        <v>72</v>
      </c>
      <c r="AG1153" s="1" t="s">
        <v>63</v>
      </c>
      <c r="AH1153" s="1" t="s">
        <v>64</v>
      </c>
      <c r="AI1153">
        <v>6402</v>
      </c>
      <c r="AJ1153">
        <v>-87.300000000000182</v>
      </c>
    </row>
    <row r="1154" spans="1:36" x14ac:dyDescent="0.25">
      <c r="A1154">
        <v>11153</v>
      </c>
      <c r="B1154">
        <v>26</v>
      </c>
      <c r="C1154" s="1" t="s">
        <v>75</v>
      </c>
      <c r="D1154" s="1" t="s">
        <v>73</v>
      </c>
      <c r="E1154" s="2">
        <v>45039</v>
      </c>
      <c r="F1154" s="2">
        <v>44988</v>
      </c>
      <c r="G1154" s="1" t="s">
        <v>38</v>
      </c>
      <c r="H1154">
        <v>493</v>
      </c>
      <c r="I1154">
        <v>20</v>
      </c>
      <c r="J1154">
        <v>1</v>
      </c>
      <c r="K1154">
        <v>23.39</v>
      </c>
      <c r="L1154">
        <v>20</v>
      </c>
      <c r="M1154" s="1" t="s">
        <v>67</v>
      </c>
      <c r="N1154" s="1" t="s">
        <v>56</v>
      </c>
      <c r="O1154">
        <v>9761.4</v>
      </c>
      <c r="P1154" t="b">
        <v>0</v>
      </c>
      <c r="Q1154">
        <v>1.6666666666666667</v>
      </c>
      <c r="R1154">
        <v>488.07</v>
      </c>
      <c r="S1154">
        <v>11.695</v>
      </c>
      <c r="T1154" s="2">
        <v>45017</v>
      </c>
      <c r="U1154" s="1" t="s">
        <v>57</v>
      </c>
      <c r="V1154">
        <v>0</v>
      </c>
      <c r="W1154" s="1" t="s">
        <v>56</v>
      </c>
      <c r="Y1154" s="1" t="s">
        <v>52</v>
      </c>
      <c r="Z1154" s="1" t="s">
        <v>52</v>
      </c>
      <c r="AA1154">
        <v>4.7619047619047616E-2</v>
      </c>
      <c r="AB1154" s="1" t="s">
        <v>52</v>
      </c>
      <c r="AC1154">
        <v>1</v>
      </c>
      <c r="AD1154" s="2">
        <v>45017</v>
      </c>
      <c r="AE1154" s="1" t="s">
        <v>53</v>
      </c>
      <c r="AF1154" s="1" t="s">
        <v>54</v>
      </c>
      <c r="AG1154" s="1" t="s">
        <v>70</v>
      </c>
      <c r="AH1154" s="1" t="s">
        <v>68</v>
      </c>
      <c r="AI1154">
        <v>9860</v>
      </c>
      <c r="AJ1154">
        <v>-98.600000000000364</v>
      </c>
    </row>
    <row r="1155" spans="1:36" x14ac:dyDescent="0.25">
      <c r="A1155">
        <v>11154</v>
      </c>
      <c r="B1155">
        <v>46</v>
      </c>
      <c r="C1155" s="1" t="s">
        <v>60</v>
      </c>
      <c r="D1155" s="1" t="s">
        <v>73</v>
      </c>
      <c r="E1155" s="2">
        <v>44225</v>
      </c>
      <c r="F1155" s="2">
        <v>45229</v>
      </c>
      <c r="G1155" s="1" t="s">
        <v>49</v>
      </c>
      <c r="H1155">
        <v>1266</v>
      </c>
      <c r="I1155">
        <v>9</v>
      </c>
      <c r="J1155">
        <v>2</v>
      </c>
      <c r="K1155">
        <v>51.47</v>
      </c>
      <c r="L1155">
        <v>5</v>
      </c>
      <c r="M1155" s="1" t="s">
        <v>50</v>
      </c>
      <c r="N1155" s="1" t="s">
        <v>56</v>
      </c>
      <c r="O1155">
        <v>11330.7</v>
      </c>
      <c r="P1155" t="b">
        <v>1</v>
      </c>
      <c r="Q1155">
        <v>0.75</v>
      </c>
      <c r="R1155">
        <v>1258.9666666666667</v>
      </c>
      <c r="S1155">
        <v>17.156666666666666</v>
      </c>
      <c r="T1155" s="2">
        <v>44197</v>
      </c>
      <c r="U1155" s="1" t="s">
        <v>51</v>
      </c>
      <c r="V1155">
        <v>0</v>
      </c>
      <c r="W1155" s="1" t="s">
        <v>56</v>
      </c>
      <c r="X1155">
        <v>1004</v>
      </c>
      <c r="Y1155" s="1" t="s">
        <v>52</v>
      </c>
      <c r="Z1155" s="1" t="s">
        <v>42</v>
      </c>
      <c r="AA1155">
        <v>0.2</v>
      </c>
      <c r="AB1155" s="1" t="s">
        <v>52</v>
      </c>
      <c r="AC1155">
        <v>3</v>
      </c>
      <c r="AD1155" s="2">
        <v>44197</v>
      </c>
      <c r="AE1155" s="1" t="s">
        <v>74</v>
      </c>
      <c r="AF1155" s="1" t="s">
        <v>72</v>
      </c>
      <c r="AG1155" s="1" t="s">
        <v>63</v>
      </c>
      <c r="AH1155" s="1" t="s">
        <v>47</v>
      </c>
      <c r="AI1155">
        <v>11394</v>
      </c>
      <c r="AJ1155">
        <v>-63.299999999999272</v>
      </c>
    </row>
    <row r="1156" spans="1:36" x14ac:dyDescent="0.25">
      <c r="A1156">
        <v>11155</v>
      </c>
      <c r="B1156">
        <v>31</v>
      </c>
      <c r="C1156" s="1" t="s">
        <v>36</v>
      </c>
      <c r="D1156" s="1" t="s">
        <v>48</v>
      </c>
      <c r="E1156" s="2">
        <v>44902</v>
      </c>
      <c r="F1156" s="2">
        <v>45014</v>
      </c>
      <c r="G1156" s="1" t="s">
        <v>38</v>
      </c>
      <c r="H1156">
        <v>1370</v>
      </c>
      <c r="I1156">
        <v>19</v>
      </c>
      <c r="J1156">
        <v>1</v>
      </c>
      <c r="K1156">
        <v>68.86</v>
      </c>
      <c r="L1156">
        <v>20</v>
      </c>
      <c r="M1156" s="1" t="s">
        <v>50</v>
      </c>
      <c r="N1156" s="1" t="s">
        <v>40</v>
      </c>
      <c r="O1156">
        <v>25756</v>
      </c>
      <c r="P1156" t="b">
        <v>1</v>
      </c>
      <c r="Q1156">
        <v>1.5833333333333333</v>
      </c>
      <c r="R1156">
        <v>1355.578947368421</v>
      </c>
      <c r="S1156">
        <v>34.43</v>
      </c>
      <c r="T1156" s="2">
        <v>44896</v>
      </c>
      <c r="U1156" s="1" t="s">
        <v>57</v>
      </c>
      <c r="V1156">
        <v>1</v>
      </c>
      <c r="W1156" s="1" t="s">
        <v>40</v>
      </c>
      <c r="X1156">
        <v>112</v>
      </c>
      <c r="Y1156" s="1" t="s">
        <v>43</v>
      </c>
      <c r="Z1156" s="1" t="s">
        <v>52</v>
      </c>
      <c r="AA1156">
        <v>0.05</v>
      </c>
      <c r="AB1156" s="1" t="s">
        <v>43</v>
      </c>
      <c r="AC1156">
        <v>1</v>
      </c>
      <c r="AD1156" s="2">
        <v>44896</v>
      </c>
      <c r="AE1156" s="1" t="s">
        <v>53</v>
      </c>
      <c r="AF1156" s="1" t="s">
        <v>54</v>
      </c>
      <c r="AG1156" s="1" t="s">
        <v>63</v>
      </c>
      <c r="AH1156" s="1" t="s">
        <v>47</v>
      </c>
      <c r="AI1156">
        <v>26030</v>
      </c>
      <c r="AJ1156">
        <v>-274</v>
      </c>
    </row>
    <row r="1157" spans="1:36" x14ac:dyDescent="0.25">
      <c r="A1157">
        <v>11156</v>
      </c>
      <c r="B1157">
        <v>57</v>
      </c>
      <c r="C1157" s="1" t="s">
        <v>36</v>
      </c>
      <c r="D1157" s="1" t="s">
        <v>37</v>
      </c>
      <c r="E1157" s="2">
        <v>44212</v>
      </c>
      <c r="F1157" s="2">
        <v>45104</v>
      </c>
      <c r="G1157" s="1" t="s">
        <v>38</v>
      </c>
      <c r="H1157">
        <v>1277</v>
      </c>
      <c r="I1157">
        <v>7</v>
      </c>
      <c r="J1157">
        <v>0</v>
      </c>
      <c r="K1157">
        <v>8.4</v>
      </c>
      <c r="L1157">
        <v>0</v>
      </c>
      <c r="M1157" s="1" t="s">
        <v>65</v>
      </c>
      <c r="N1157" s="1" t="s">
        <v>56</v>
      </c>
      <c r="O1157">
        <v>8939</v>
      </c>
      <c r="P1157" t="b">
        <v>1</v>
      </c>
      <c r="Q1157">
        <v>0.58333333333333337</v>
      </c>
      <c r="R1157">
        <v>1277</v>
      </c>
      <c r="S1157">
        <v>8.4</v>
      </c>
      <c r="T1157" s="2">
        <v>44197</v>
      </c>
      <c r="U1157" s="1" t="s">
        <v>41</v>
      </c>
      <c r="V1157">
        <v>0</v>
      </c>
      <c r="W1157" s="1" t="s">
        <v>56</v>
      </c>
      <c r="X1157">
        <v>892</v>
      </c>
      <c r="Y1157" s="1" t="s">
        <v>42</v>
      </c>
      <c r="Z1157" s="1" t="s">
        <v>42</v>
      </c>
      <c r="AA1157">
        <v>0</v>
      </c>
      <c r="AB1157" s="1" t="s">
        <v>52</v>
      </c>
      <c r="AC1157">
        <v>1</v>
      </c>
      <c r="AD1157" s="2">
        <v>44197</v>
      </c>
      <c r="AE1157" s="1" t="s">
        <v>74</v>
      </c>
      <c r="AF1157" s="1" t="s">
        <v>54</v>
      </c>
      <c r="AG1157" s="1" t="s">
        <v>77</v>
      </c>
      <c r="AH1157" s="1" t="s">
        <v>47</v>
      </c>
      <c r="AI1157">
        <v>8939</v>
      </c>
      <c r="AJ1157">
        <v>0</v>
      </c>
    </row>
    <row r="1158" spans="1:36" x14ac:dyDescent="0.25">
      <c r="A1158">
        <v>11157</v>
      </c>
      <c r="B1158">
        <v>58</v>
      </c>
      <c r="C1158" s="1" t="s">
        <v>60</v>
      </c>
      <c r="D1158" s="1" t="s">
        <v>48</v>
      </c>
      <c r="E1158" s="2">
        <v>44619</v>
      </c>
      <c r="F1158" s="2">
        <v>44970</v>
      </c>
      <c r="G1158" s="1" t="s">
        <v>49</v>
      </c>
      <c r="H1158">
        <v>641</v>
      </c>
      <c r="I1158">
        <v>5</v>
      </c>
      <c r="J1158">
        <v>2</v>
      </c>
      <c r="K1158">
        <v>77.180000000000007</v>
      </c>
      <c r="L1158">
        <v>5</v>
      </c>
      <c r="M1158" s="1" t="s">
        <v>50</v>
      </c>
      <c r="N1158" s="1" t="s">
        <v>56</v>
      </c>
      <c r="O1158">
        <v>3172.95</v>
      </c>
      <c r="P1158" t="b">
        <v>1</v>
      </c>
      <c r="Q1158">
        <v>0.41666666666666669</v>
      </c>
      <c r="R1158">
        <v>634.58999999999992</v>
      </c>
      <c r="S1158">
        <v>25.72666666666667</v>
      </c>
      <c r="T1158" s="2">
        <v>44593</v>
      </c>
      <c r="U1158" s="1" t="s">
        <v>41</v>
      </c>
      <c r="V1158">
        <v>0</v>
      </c>
      <c r="W1158" s="1" t="s">
        <v>56</v>
      </c>
      <c r="X1158">
        <v>351</v>
      </c>
      <c r="Y1158" s="1" t="s">
        <v>43</v>
      </c>
      <c r="Z1158" s="1" t="s">
        <v>42</v>
      </c>
      <c r="AA1158">
        <v>0.33333333333333331</v>
      </c>
      <c r="AB1158" s="1" t="s">
        <v>42</v>
      </c>
      <c r="AC1158">
        <v>3</v>
      </c>
      <c r="AD1158" s="2">
        <v>44593</v>
      </c>
      <c r="AE1158" s="1" t="s">
        <v>58</v>
      </c>
      <c r="AF1158" s="1" t="s">
        <v>72</v>
      </c>
      <c r="AG1158" s="1" t="s">
        <v>63</v>
      </c>
      <c r="AH1158" s="1" t="s">
        <v>64</v>
      </c>
      <c r="AI1158">
        <v>3205</v>
      </c>
      <c r="AJ1158">
        <v>-32.050000000000182</v>
      </c>
    </row>
    <row r="1159" spans="1:36" x14ac:dyDescent="0.25">
      <c r="A1159">
        <v>11158</v>
      </c>
      <c r="B1159">
        <v>39</v>
      </c>
      <c r="C1159" s="1" t="s">
        <v>36</v>
      </c>
      <c r="D1159" s="1" t="s">
        <v>69</v>
      </c>
      <c r="E1159" s="2">
        <v>44785</v>
      </c>
      <c r="F1159" s="2">
        <v>45027</v>
      </c>
      <c r="G1159" s="1" t="s">
        <v>38</v>
      </c>
      <c r="H1159">
        <v>821</v>
      </c>
      <c r="I1159">
        <v>24</v>
      </c>
      <c r="J1159">
        <v>1</v>
      </c>
      <c r="K1159">
        <v>50.44</v>
      </c>
      <c r="L1159">
        <v>10</v>
      </c>
      <c r="M1159" s="1" t="s">
        <v>65</v>
      </c>
      <c r="N1159" s="1" t="s">
        <v>40</v>
      </c>
      <c r="O1159">
        <v>19621.900000000001</v>
      </c>
      <c r="P1159" t="b">
        <v>1</v>
      </c>
      <c r="Q1159">
        <v>2</v>
      </c>
      <c r="R1159">
        <v>817.57916666666677</v>
      </c>
      <c r="S1159">
        <v>25.22</v>
      </c>
      <c r="T1159" s="2">
        <v>44774</v>
      </c>
      <c r="U1159" s="1" t="s">
        <v>51</v>
      </c>
      <c r="V1159">
        <v>1</v>
      </c>
      <c r="W1159" s="1" t="s">
        <v>40</v>
      </c>
      <c r="X1159">
        <v>242</v>
      </c>
      <c r="Y1159" s="1" t="s">
        <v>52</v>
      </c>
      <c r="Z1159" s="1" t="s">
        <v>42</v>
      </c>
      <c r="AA1159">
        <v>0.04</v>
      </c>
      <c r="AB1159" s="1" t="s">
        <v>43</v>
      </c>
      <c r="AC1159">
        <v>1</v>
      </c>
      <c r="AD1159" s="2">
        <v>44774</v>
      </c>
      <c r="AE1159" s="1" t="s">
        <v>53</v>
      </c>
      <c r="AF1159" s="1" t="s">
        <v>54</v>
      </c>
      <c r="AG1159" s="1" t="s">
        <v>63</v>
      </c>
      <c r="AH1159" s="1" t="s">
        <v>59</v>
      </c>
      <c r="AI1159">
        <v>19704</v>
      </c>
      <c r="AJ1159">
        <v>-82.099999999998545</v>
      </c>
    </row>
    <row r="1160" spans="1:36" x14ac:dyDescent="0.25">
      <c r="A1160">
        <v>11159</v>
      </c>
      <c r="B1160">
        <v>28</v>
      </c>
      <c r="C1160" s="1" t="s">
        <v>60</v>
      </c>
      <c r="D1160" s="1" t="s">
        <v>37</v>
      </c>
      <c r="E1160" s="2">
        <v>45001</v>
      </c>
      <c r="F1160" s="2">
        <v>44828</v>
      </c>
      <c r="G1160" s="1" t="s">
        <v>62</v>
      </c>
      <c r="H1160">
        <v>1100</v>
      </c>
      <c r="I1160">
        <v>7</v>
      </c>
      <c r="J1160">
        <v>2</v>
      </c>
      <c r="K1160">
        <v>62.59</v>
      </c>
      <c r="L1160">
        <v>5</v>
      </c>
      <c r="M1160" s="1" t="s">
        <v>50</v>
      </c>
      <c r="N1160" s="1" t="s">
        <v>56</v>
      </c>
      <c r="O1160">
        <v>7645</v>
      </c>
      <c r="P1160" t="b">
        <v>0</v>
      </c>
      <c r="Q1160">
        <v>0.58333333333333337</v>
      </c>
      <c r="R1160">
        <v>1092.1428571428571</v>
      </c>
      <c r="S1160">
        <v>20.863333333333333</v>
      </c>
      <c r="T1160" s="2">
        <v>44986</v>
      </c>
      <c r="U1160" s="1" t="s">
        <v>57</v>
      </c>
      <c r="V1160">
        <v>0</v>
      </c>
      <c r="W1160" s="1" t="s">
        <v>56</v>
      </c>
      <c r="Y1160" s="1" t="s">
        <v>43</v>
      </c>
      <c r="Z1160" s="1" t="s">
        <v>42</v>
      </c>
      <c r="AA1160">
        <v>0.25</v>
      </c>
      <c r="AB1160" s="1" t="s">
        <v>42</v>
      </c>
      <c r="AC1160">
        <v>2</v>
      </c>
      <c r="AD1160" s="2">
        <v>44986</v>
      </c>
      <c r="AE1160" s="1" t="s">
        <v>74</v>
      </c>
      <c r="AF1160" s="1" t="s">
        <v>72</v>
      </c>
      <c r="AG1160" s="1" t="s">
        <v>63</v>
      </c>
      <c r="AH1160" s="1" t="s">
        <v>47</v>
      </c>
      <c r="AI1160">
        <v>7700</v>
      </c>
      <c r="AJ1160">
        <v>-55</v>
      </c>
    </row>
    <row r="1161" spans="1:36" x14ac:dyDescent="0.25">
      <c r="A1161">
        <v>11160</v>
      </c>
      <c r="B1161">
        <v>40</v>
      </c>
      <c r="C1161" s="1" t="s">
        <v>36</v>
      </c>
      <c r="D1161" s="1" t="s">
        <v>37</v>
      </c>
      <c r="E1161" s="2">
        <v>44789</v>
      </c>
      <c r="F1161" s="2">
        <v>44815</v>
      </c>
      <c r="G1161" s="1" t="s">
        <v>49</v>
      </c>
      <c r="H1161">
        <v>1202</v>
      </c>
      <c r="I1161">
        <v>11</v>
      </c>
      <c r="J1161">
        <v>1</v>
      </c>
      <c r="K1161">
        <v>82.5</v>
      </c>
      <c r="L1161">
        <v>20</v>
      </c>
      <c r="M1161" s="1" t="s">
        <v>67</v>
      </c>
      <c r="N1161" s="1" t="s">
        <v>40</v>
      </c>
      <c r="O1161">
        <v>12981.6</v>
      </c>
      <c r="P1161" t="b">
        <v>1</v>
      </c>
      <c r="Q1161">
        <v>0.91666666666666663</v>
      </c>
      <c r="R1161">
        <v>1180.1454545454546</v>
      </c>
      <c r="S1161">
        <v>41.25</v>
      </c>
      <c r="T1161" s="2">
        <v>44774</v>
      </c>
      <c r="U1161" s="1" t="s">
        <v>51</v>
      </c>
      <c r="V1161">
        <v>1</v>
      </c>
      <c r="W1161" s="1" t="s">
        <v>56</v>
      </c>
      <c r="X1161">
        <v>26</v>
      </c>
      <c r="Y1161" s="1" t="s">
        <v>43</v>
      </c>
      <c r="Z1161" s="1" t="s">
        <v>52</v>
      </c>
      <c r="AA1161">
        <v>8.3333333333333329E-2</v>
      </c>
      <c r="AB1161" s="1" t="s">
        <v>52</v>
      </c>
      <c r="AC1161">
        <v>3</v>
      </c>
      <c r="AD1161" s="2">
        <v>44774</v>
      </c>
      <c r="AE1161" s="1" t="s">
        <v>74</v>
      </c>
      <c r="AF1161" s="1" t="s">
        <v>54</v>
      </c>
      <c r="AG1161" s="1" t="s">
        <v>63</v>
      </c>
      <c r="AH1161" s="1" t="s">
        <v>47</v>
      </c>
      <c r="AI1161">
        <v>13222</v>
      </c>
      <c r="AJ1161">
        <v>-240.39999999999964</v>
      </c>
    </row>
    <row r="1162" spans="1:36" x14ac:dyDescent="0.25">
      <c r="A1162">
        <v>11161</v>
      </c>
      <c r="B1162">
        <v>18</v>
      </c>
      <c r="C1162" s="1" t="s">
        <v>60</v>
      </c>
      <c r="D1162" s="1" t="s">
        <v>48</v>
      </c>
      <c r="E1162" s="2">
        <v>44601</v>
      </c>
      <c r="F1162" s="2">
        <v>44489</v>
      </c>
      <c r="G1162" s="1" t="s">
        <v>49</v>
      </c>
      <c r="H1162">
        <v>430</v>
      </c>
      <c r="I1162">
        <v>9</v>
      </c>
      <c r="J1162">
        <v>3</v>
      </c>
      <c r="K1162">
        <v>86.92</v>
      </c>
      <c r="L1162">
        <v>10</v>
      </c>
      <c r="M1162" s="1" t="s">
        <v>39</v>
      </c>
      <c r="N1162" s="1" t="s">
        <v>56</v>
      </c>
      <c r="O1162">
        <v>3784</v>
      </c>
      <c r="P1162" t="b">
        <v>0</v>
      </c>
      <c r="Q1162">
        <v>0.75</v>
      </c>
      <c r="R1162">
        <v>420.44444444444446</v>
      </c>
      <c r="S1162">
        <v>21.73</v>
      </c>
      <c r="T1162" s="2">
        <v>44593</v>
      </c>
      <c r="U1162" s="1" t="s">
        <v>66</v>
      </c>
      <c r="V1162">
        <v>0</v>
      </c>
      <c r="W1162" s="1" t="s">
        <v>56</v>
      </c>
      <c r="Y1162" s="1" t="s">
        <v>43</v>
      </c>
      <c r="Z1162" s="1" t="s">
        <v>42</v>
      </c>
      <c r="AA1162">
        <v>0.3</v>
      </c>
      <c r="AB1162" s="1" t="s">
        <v>42</v>
      </c>
      <c r="AC1162">
        <v>3</v>
      </c>
      <c r="AD1162" s="2">
        <v>44593</v>
      </c>
      <c r="AE1162" s="1" t="s">
        <v>74</v>
      </c>
      <c r="AF1162" s="1" t="s">
        <v>72</v>
      </c>
      <c r="AG1162" s="1" t="s">
        <v>63</v>
      </c>
      <c r="AH1162" s="1" t="s">
        <v>68</v>
      </c>
      <c r="AI1162">
        <v>3870</v>
      </c>
      <c r="AJ1162">
        <v>-86</v>
      </c>
    </row>
    <row r="1163" spans="1:36" x14ac:dyDescent="0.25">
      <c r="A1163">
        <v>11162</v>
      </c>
      <c r="B1163">
        <v>63</v>
      </c>
      <c r="C1163" s="1" t="s">
        <v>60</v>
      </c>
      <c r="D1163" s="1" t="s">
        <v>48</v>
      </c>
      <c r="E1163" s="2">
        <v>44832</v>
      </c>
      <c r="F1163" s="2">
        <v>44703</v>
      </c>
      <c r="G1163" s="1" t="s">
        <v>49</v>
      </c>
      <c r="H1163">
        <v>1113</v>
      </c>
      <c r="I1163">
        <v>30</v>
      </c>
      <c r="J1163">
        <v>1</v>
      </c>
      <c r="K1163">
        <v>77.319999999999993</v>
      </c>
      <c r="L1163">
        <v>15</v>
      </c>
      <c r="M1163" s="1" t="s">
        <v>67</v>
      </c>
      <c r="N1163" s="1" t="s">
        <v>56</v>
      </c>
      <c r="O1163">
        <v>33223.050000000003</v>
      </c>
      <c r="P1163" t="b">
        <v>0</v>
      </c>
      <c r="Q1163">
        <v>2.5</v>
      </c>
      <c r="R1163">
        <v>1107.4350000000002</v>
      </c>
      <c r="S1163">
        <v>38.659999999999997</v>
      </c>
      <c r="T1163" s="2">
        <v>44805</v>
      </c>
      <c r="U1163" s="1" t="s">
        <v>41</v>
      </c>
      <c r="V1163">
        <v>0</v>
      </c>
      <c r="W1163" s="1" t="s">
        <v>40</v>
      </c>
      <c r="Y1163" s="1" t="s">
        <v>43</v>
      </c>
      <c r="Z1163" s="1" t="s">
        <v>42</v>
      </c>
      <c r="AA1163">
        <v>3.2258064516129031E-2</v>
      </c>
      <c r="AB1163" s="1" t="s">
        <v>43</v>
      </c>
      <c r="AC1163">
        <v>3</v>
      </c>
      <c r="AD1163" s="2">
        <v>44805</v>
      </c>
      <c r="AE1163" s="1" t="s">
        <v>44</v>
      </c>
      <c r="AF1163" s="1" t="s">
        <v>54</v>
      </c>
      <c r="AG1163" s="1" t="s">
        <v>63</v>
      </c>
      <c r="AH1163" s="1" t="s">
        <v>47</v>
      </c>
      <c r="AI1163">
        <v>33390</v>
      </c>
      <c r="AJ1163">
        <v>-166.94999999999709</v>
      </c>
    </row>
    <row r="1164" spans="1:36" x14ac:dyDescent="0.25">
      <c r="A1164">
        <v>11163</v>
      </c>
      <c r="B1164">
        <v>54</v>
      </c>
      <c r="C1164" s="1" t="s">
        <v>36</v>
      </c>
      <c r="D1164" s="1" t="s">
        <v>71</v>
      </c>
      <c r="E1164" s="2">
        <v>44727</v>
      </c>
      <c r="F1164" s="2">
        <v>45056</v>
      </c>
      <c r="G1164" s="1" t="s">
        <v>38</v>
      </c>
      <c r="H1164">
        <v>360</v>
      </c>
      <c r="I1164">
        <v>3</v>
      </c>
      <c r="J1164">
        <v>2</v>
      </c>
      <c r="K1164">
        <v>44.32</v>
      </c>
      <c r="L1164">
        <v>10</v>
      </c>
      <c r="M1164" s="1" t="s">
        <v>39</v>
      </c>
      <c r="N1164" s="1" t="s">
        <v>40</v>
      </c>
      <c r="O1164">
        <v>1044</v>
      </c>
      <c r="P1164" t="b">
        <v>1</v>
      </c>
      <c r="Q1164">
        <v>0.25</v>
      </c>
      <c r="R1164">
        <v>348</v>
      </c>
      <c r="S1164">
        <v>14.773333333333333</v>
      </c>
      <c r="T1164" s="2">
        <v>44713</v>
      </c>
      <c r="U1164" s="1" t="s">
        <v>41</v>
      </c>
      <c r="V1164">
        <v>1</v>
      </c>
      <c r="W1164" s="1" t="s">
        <v>56</v>
      </c>
      <c r="X1164">
        <v>329</v>
      </c>
      <c r="Y1164" s="1" t="s">
        <v>52</v>
      </c>
      <c r="Z1164" s="1" t="s">
        <v>42</v>
      </c>
      <c r="AA1164">
        <v>0.5</v>
      </c>
      <c r="AB1164" s="1" t="s">
        <v>42</v>
      </c>
      <c r="AC1164">
        <v>1</v>
      </c>
      <c r="AD1164" s="2">
        <v>44713</v>
      </c>
      <c r="AE1164" s="1" t="s">
        <v>58</v>
      </c>
      <c r="AF1164" s="1" t="s">
        <v>72</v>
      </c>
      <c r="AG1164" s="1" t="s">
        <v>55</v>
      </c>
      <c r="AH1164" s="1" t="s">
        <v>68</v>
      </c>
      <c r="AI1164">
        <v>1080</v>
      </c>
      <c r="AJ1164">
        <v>-36</v>
      </c>
    </row>
    <row r="1165" spans="1:36" x14ac:dyDescent="0.25">
      <c r="A1165">
        <v>11164</v>
      </c>
      <c r="B1165">
        <v>41</v>
      </c>
      <c r="C1165" s="1" t="s">
        <v>36</v>
      </c>
      <c r="D1165" s="1" t="s">
        <v>69</v>
      </c>
      <c r="E1165" s="2">
        <v>44810</v>
      </c>
      <c r="F1165" s="2">
        <v>44818</v>
      </c>
      <c r="G1165" s="1" t="s">
        <v>62</v>
      </c>
      <c r="H1165">
        <v>463</v>
      </c>
      <c r="I1165">
        <v>22</v>
      </c>
      <c r="J1165">
        <v>3</v>
      </c>
      <c r="K1165">
        <v>65.900000000000006</v>
      </c>
      <c r="L1165">
        <v>5</v>
      </c>
      <c r="M1165" s="1" t="s">
        <v>65</v>
      </c>
      <c r="N1165" s="1" t="s">
        <v>56</v>
      </c>
      <c r="O1165">
        <v>10162.85</v>
      </c>
      <c r="P1165" t="b">
        <v>1</v>
      </c>
      <c r="Q1165">
        <v>1.8333333333333333</v>
      </c>
      <c r="R1165">
        <v>461.94772727272726</v>
      </c>
      <c r="S1165">
        <v>16.475000000000001</v>
      </c>
      <c r="T1165" s="2">
        <v>44805</v>
      </c>
      <c r="U1165" s="1" t="s">
        <v>51</v>
      </c>
      <c r="V1165">
        <v>0</v>
      </c>
      <c r="W1165" s="1" t="s">
        <v>56</v>
      </c>
      <c r="X1165">
        <v>8</v>
      </c>
      <c r="Y1165" s="1" t="s">
        <v>43</v>
      </c>
      <c r="Z1165" s="1" t="s">
        <v>42</v>
      </c>
      <c r="AA1165">
        <v>0.13043478260869565</v>
      </c>
      <c r="AB1165" s="1" t="s">
        <v>52</v>
      </c>
      <c r="AC1165">
        <v>2</v>
      </c>
      <c r="AD1165" s="2">
        <v>44805</v>
      </c>
      <c r="AE1165" s="1" t="s">
        <v>53</v>
      </c>
      <c r="AF1165" s="1" t="s">
        <v>72</v>
      </c>
      <c r="AG1165" s="1" t="s">
        <v>63</v>
      </c>
      <c r="AH1165" s="1" t="s">
        <v>68</v>
      </c>
      <c r="AI1165">
        <v>10186</v>
      </c>
      <c r="AJ1165">
        <v>-23.149999999999636</v>
      </c>
    </row>
    <row r="1166" spans="1:36" x14ac:dyDescent="0.25">
      <c r="A1166">
        <v>11165</v>
      </c>
      <c r="B1166">
        <v>43</v>
      </c>
      <c r="C1166" s="1" t="s">
        <v>60</v>
      </c>
      <c r="D1166" s="1" t="s">
        <v>71</v>
      </c>
      <c r="E1166" s="2">
        <v>44273</v>
      </c>
      <c r="F1166" s="2">
        <v>44968</v>
      </c>
      <c r="G1166" s="1" t="s">
        <v>38</v>
      </c>
      <c r="H1166">
        <v>571</v>
      </c>
      <c r="I1166">
        <v>20</v>
      </c>
      <c r="J1166">
        <v>6</v>
      </c>
      <c r="K1166">
        <v>49.52</v>
      </c>
      <c r="L1166">
        <v>10</v>
      </c>
      <c r="M1166" s="1" t="s">
        <v>50</v>
      </c>
      <c r="N1166" s="1" t="s">
        <v>40</v>
      </c>
      <c r="O1166">
        <v>11362.9</v>
      </c>
      <c r="P1166" t="b">
        <v>1</v>
      </c>
      <c r="Q1166">
        <v>1.6666666666666667</v>
      </c>
      <c r="R1166">
        <v>568.14499999999998</v>
      </c>
      <c r="S1166">
        <v>7.0742857142857147</v>
      </c>
      <c r="T1166" s="2">
        <v>44256</v>
      </c>
      <c r="U1166" s="1" t="s">
        <v>51</v>
      </c>
      <c r="V1166">
        <v>1</v>
      </c>
      <c r="W1166" s="1" t="s">
        <v>56</v>
      </c>
      <c r="X1166">
        <v>695</v>
      </c>
      <c r="Y1166" s="1" t="s">
        <v>52</v>
      </c>
      <c r="Z1166" s="1" t="s">
        <v>42</v>
      </c>
      <c r="AA1166">
        <v>0.2857142857142857</v>
      </c>
      <c r="AB1166" s="1" t="s">
        <v>52</v>
      </c>
      <c r="AC1166">
        <v>1</v>
      </c>
      <c r="AD1166" s="2">
        <v>44256</v>
      </c>
      <c r="AE1166" s="1" t="s">
        <v>53</v>
      </c>
      <c r="AF1166" s="1" t="s">
        <v>78</v>
      </c>
      <c r="AG1166" s="1" t="s">
        <v>63</v>
      </c>
      <c r="AH1166" s="1" t="s">
        <v>64</v>
      </c>
      <c r="AI1166">
        <v>11420</v>
      </c>
      <c r="AJ1166">
        <v>-57.100000000000364</v>
      </c>
    </row>
    <row r="1167" spans="1:36" x14ac:dyDescent="0.25">
      <c r="A1167">
        <v>11166</v>
      </c>
      <c r="B1167">
        <v>63</v>
      </c>
      <c r="C1167" s="1" t="s">
        <v>60</v>
      </c>
      <c r="D1167" s="1" t="s">
        <v>73</v>
      </c>
      <c r="E1167" s="2">
        <v>44425</v>
      </c>
      <c r="F1167" s="2">
        <v>45235</v>
      </c>
      <c r="G1167" s="1" t="s">
        <v>38</v>
      </c>
      <c r="H1167">
        <v>432</v>
      </c>
      <c r="I1167">
        <v>32</v>
      </c>
      <c r="J1167">
        <v>4</v>
      </c>
      <c r="K1167">
        <v>85.57</v>
      </c>
      <c r="L1167">
        <v>15</v>
      </c>
      <c r="M1167" s="1" t="s">
        <v>67</v>
      </c>
      <c r="N1167" s="1" t="s">
        <v>56</v>
      </c>
      <c r="O1167">
        <v>13759.2</v>
      </c>
      <c r="P1167" t="b">
        <v>1</v>
      </c>
      <c r="Q1167">
        <v>2.6666666666666665</v>
      </c>
      <c r="R1167">
        <v>429.97500000000002</v>
      </c>
      <c r="S1167">
        <v>17.113999999999997</v>
      </c>
      <c r="T1167" s="2">
        <v>44409</v>
      </c>
      <c r="U1167" s="1" t="s">
        <v>41</v>
      </c>
      <c r="V1167">
        <v>0</v>
      </c>
      <c r="W1167" s="1" t="s">
        <v>40</v>
      </c>
      <c r="X1167">
        <v>810</v>
      </c>
      <c r="Y1167" s="1" t="s">
        <v>43</v>
      </c>
      <c r="Z1167" s="1" t="s">
        <v>42</v>
      </c>
      <c r="AA1167">
        <v>0.12121212121212122</v>
      </c>
      <c r="AB1167" s="1" t="s">
        <v>52</v>
      </c>
      <c r="AC1167">
        <v>1</v>
      </c>
      <c r="AD1167" s="2">
        <v>44409</v>
      </c>
      <c r="AE1167" s="1" t="s">
        <v>44</v>
      </c>
      <c r="AF1167" s="1" t="s">
        <v>45</v>
      </c>
      <c r="AG1167" s="1" t="s">
        <v>63</v>
      </c>
      <c r="AH1167" s="1" t="s">
        <v>68</v>
      </c>
      <c r="AI1167">
        <v>13824</v>
      </c>
      <c r="AJ1167">
        <v>-64.799999999999272</v>
      </c>
    </row>
    <row r="1168" spans="1:36" x14ac:dyDescent="0.25">
      <c r="A1168">
        <v>11167</v>
      </c>
      <c r="B1168">
        <v>53</v>
      </c>
      <c r="C1168" s="1" t="s">
        <v>36</v>
      </c>
      <c r="D1168" s="1" t="s">
        <v>37</v>
      </c>
      <c r="E1168" s="2">
        <v>44493</v>
      </c>
      <c r="F1168" s="2">
        <v>44938</v>
      </c>
      <c r="G1168" s="1" t="s">
        <v>49</v>
      </c>
      <c r="H1168">
        <v>1297</v>
      </c>
      <c r="I1168">
        <v>7</v>
      </c>
      <c r="J1168">
        <v>2</v>
      </c>
      <c r="K1168">
        <v>72.11</v>
      </c>
      <c r="L1168">
        <v>10</v>
      </c>
      <c r="M1168" s="1" t="s">
        <v>50</v>
      </c>
      <c r="N1168" s="1" t="s">
        <v>56</v>
      </c>
      <c r="O1168">
        <v>8949.2999999999993</v>
      </c>
      <c r="P1168" t="b">
        <v>1</v>
      </c>
      <c r="Q1168">
        <v>0.58333333333333337</v>
      </c>
      <c r="R1168">
        <v>1278.4714285714285</v>
      </c>
      <c r="S1168">
        <v>24.036666666666665</v>
      </c>
      <c r="T1168" s="2">
        <v>44470</v>
      </c>
      <c r="U1168" s="1" t="s">
        <v>41</v>
      </c>
      <c r="V1168">
        <v>0</v>
      </c>
      <c r="W1168" s="1" t="s">
        <v>56</v>
      </c>
      <c r="X1168">
        <v>445</v>
      </c>
      <c r="Y1168" s="1" t="s">
        <v>43</v>
      </c>
      <c r="Z1168" s="1" t="s">
        <v>42</v>
      </c>
      <c r="AA1168">
        <v>0.25</v>
      </c>
      <c r="AB1168" s="1" t="s">
        <v>52</v>
      </c>
      <c r="AC1168">
        <v>3</v>
      </c>
      <c r="AD1168" s="2">
        <v>44470</v>
      </c>
      <c r="AE1168" s="1" t="s">
        <v>74</v>
      </c>
      <c r="AF1168" s="1" t="s">
        <v>72</v>
      </c>
      <c r="AG1168" s="1" t="s">
        <v>63</v>
      </c>
      <c r="AH1168" s="1" t="s">
        <v>47</v>
      </c>
      <c r="AI1168">
        <v>9079</v>
      </c>
      <c r="AJ1168">
        <v>-129.70000000000073</v>
      </c>
    </row>
    <row r="1169" spans="1:36" x14ac:dyDescent="0.25">
      <c r="A1169">
        <v>11168</v>
      </c>
      <c r="B1169">
        <v>40</v>
      </c>
      <c r="C1169" s="1" t="s">
        <v>60</v>
      </c>
      <c r="D1169" s="1" t="s">
        <v>48</v>
      </c>
      <c r="E1169" s="2">
        <v>44706</v>
      </c>
      <c r="F1169" s="2">
        <v>45020</v>
      </c>
      <c r="G1169" s="1" t="s">
        <v>38</v>
      </c>
      <c r="H1169">
        <v>337</v>
      </c>
      <c r="I1169">
        <v>7</v>
      </c>
      <c r="J1169">
        <v>2</v>
      </c>
      <c r="K1169">
        <v>14.41</v>
      </c>
      <c r="L1169">
        <v>10</v>
      </c>
      <c r="M1169" s="1" t="s">
        <v>65</v>
      </c>
      <c r="N1169" s="1" t="s">
        <v>56</v>
      </c>
      <c r="O1169">
        <v>2325.3000000000002</v>
      </c>
      <c r="P1169" t="b">
        <v>1</v>
      </c>
      <c r="Q1169">
        <v>0.58333333333333337</v>
      </c>
      <c r="R1169">
        <v>332.18571428571431</v>
      </c>
      <c r="S1169">
        <v>4.8033333333333337</v>
      </c>
      <c r="T1169" s="2">
        <v>44682</v>
      </c>
      <c r="U1169" s="1" t="s">
        <v>51</v>
      </c>
      <c r="V1169">
        <v>0</v>
      </c>
      <c r="W1169" s="1" t="s">
        <v>56</v>
      </c>
      <c r="X1169">
        <v>314</v>
      </c>
      <c r="Y1169" s="1" t="s">
        <v>42</v>
      </c>
      <c r="Z1169" s="1" t="s">
        <v>42</v>
      </c>
      <c r="AA1169">
        <v>0.25</v>
      </c>
      <c r="AB1169" s="1" t="s">
        <v>42</v>
      </c>
      <c r="AC1169">
        <v>1</v>
      </c>
      <c r="AD1169" s="2">
        <v>44682</v>
      </c>
      <c r="AE1169" s="1" t="s">
        <v>74</v>
      </c>
      <c r="AF1169" s="1" t="s">
        <v>72</v>
      </c>
      <c r="AG1169" s="1" t="s">
        <v>46</v>
      </c>
      <c r="AH1169" s="1" t="s">
        <v>68</v>
      </c>
      <c r="AI1169">
        <v>2359</v>
      </c>
      <c r="AJ1169">
        <v>-33.699999999999818</v>
      </c>
    </row>
    <row r="1170" spans="1:36" x14ac:dyDescent="0.25">
      <c r="A1170">
        <v>11169</v>
      </c>
      <c r="B1170">
        <v>18</v>
      </c>
      <c r="C1170" s="1" t="s">
        <v>60</v>
      </c>
      <c r="D1170" s="1" t="s">
        <v>37</v>
      </c>
      <c r="E1170" s="2">
        <v>44911</v>
      </c>
      <c r="F1170" s="2">
        <v>44786</v>
      </c>
      <c r="G1170" s="1" t="s">
        <v>62</v>
      </c>
      <c r="H1170">
        <v>916</v>
      </c>
      <c r="I1170">
        <v>20</v>
      </c>
      <c r="J1170">
        <v>0</v>
      </c>
      <c r="K1170">
        <v>78.959999999999994</v>
      </c>
      <c r="L1170">
        <v>5</v>
      </c>
      <c r="M1170" s="1" t="s">
        <v>39</v>
      </c>
      <c r="N1170" s="1" t="s">
        <v>40</v>
      </c>
      <c r="O1170">
        <v>18274.2</v>
      </c>
      <c r="P1170" t="b">
        <v>0</v>
      </c>
      <c r="Q1170">
        <v>1.6666666666666667</v>
      </c>
      <c r="R1170">
        <v>913.71</v>
      </c>
      <c r="S1170">
        <v>78.959999999999994</v>
      </c>
      <c r="T1170" s="2">
        <v>44896</v>
      </c>
      <c r="U1170" s="1" t="s">
        <v>66</v>
      </c>
      <c r="V1170">
        <v>1</v>
      </c>
      <c r="W1170" s="1" t="s">
        <v>40</v>
      </c>
      <c r="Y1170" s="1" t="s">
        <v>43</v>
      </c>
      <c r="Z1170" s="1" t="s">
        <v>42</v>
      </c>
      <c r="AA1170">
        <v>0</v>
      </c>
      <c r="AB1170" s="1" t="s">
        <v>52</v>
      </c>
      <c r="AC1170">
        <v>2</v>
      </c>
      <c r="AD1170" s="2">
        <v>44896</v>
      </c>
      <c r="AE1170" s="1" t="s">
        <v>53</v>
      </c>
      <c r="AF1170" s="1" t="s">
        <v>54</v>
      </c>
      <c r="AG1170" s="1" t="s">
        <v>63</v>
      </c>
      <c r="AH1170" s="1" t="s">
        <v>59</v>
      </c>
      <c r="AI1170">
        <v>18320</v>
      </c>
      <c r="AJ1170">
        <v>-45.799999999999272</v>
      </c>
    </row>
    <row r="1171" spans="1:36" x14ac:dyDescent="0.25">
      <c r="A1171">
        <v>11170</v>
      </c>
      <c r="B1171">
        <v>57</v>
      </c>
      <c r="C1171" s="1" t="s">
        <v>36</v>
      </c>
      <c r="D1171" s="1" t="s">
        <v>37</v>
      </c>
      <c r="E1171" s="2">
        <v>44769</v>
      </c>
      <c r="F1171" s="2">
        <v>44878</v>
      </c>
      <c r="G1171" s="1" t="s">
        <v>62</v>
      </c>
      <c r="H1171">
        <v>773</v>
      </c>
      <c r="I1171">
        <v>25</v>
      </c>
      <c r="J1171">
        <v>2</v>
      </c>
      <c r="K1171">
        <v>84.03</v>
      </c>
      <c r="L1171">
        <v>10</v>
      </c>
      <c r="M1171" s="1" t="s">
        <v>67</v>
      </c>
      <c r="N1171" s="1" t="s">
        <v>56</v>
      </c>
      <c r="O1171">
        <v>19247.7</v>
      </c>
      <c r="P1171" t="b">
        <v>1</v>
      </c>
      <c r="Q1171">
        <v>2.0833333333333335</v>
      </c>
      <c r="R1171">
        <v>769.90800000000002</v>
      </c>
      <c r="S1171">
        <v>28.01</v>
      </c>
      <c r="T1171" s="2">
        <v>44743</v>
      </c>
      <c r="U1171" s="1" t="s">
        <v>41</v>
      </c>
      <c r="V1171">
        <v>0</v>
      </c>
      <c r="W1171" s="1" t="s">
        <v>40</v>
      </c>
      <c r="X1171">
        <v>109</v>
      </c>
      <c r="Y1171" s="1" t="s">
        <v>43</v>
      </c>
      <c r="Z1171" s="1" t="s">
        <v>42</v>
      </c>
      <c r="AA1171">
        <v>7.6923076923076927E-2</v>
      </c>
      <c r="AB1171" s="1" t="s">
        <v>52</v>
      </c>
      <c r="AC1171">
        <v>2</v>
      </c>
      <c r="AD1171" s="2">
        <v>44743</v>
      </c>
      <c r="AE1171" s="1" t="s">
        <v>44</v>
      </c>
      <c r="AF1171" s="1" t="s">
        <v>72</v>
      </c>
      <c r="AG1171" s="1" t="s">
        <v>63</v>
      </c>
      <c r="AH1171" s="1" t="s">
        <v>59</v>
      </c>
      <c r="AI1171">
        <v>19325</v>
      </c>
      <c r="AJ1171">
        <v>-77.299999999999272</v>
      </c>
    </row>
    <row r="1172" spans="1:36" x14ac:dyDescent="0.25">
      <c r="A1172">
        <v>11171</v>
      </c>
      <c r="B1172">
        <v>32</v>
      </c>
      <c r="C1172" s="1" t="s">
        <v>36</v>
      </c>
      <c r="D1172" s="1" t="s">
        <v>61</v>
      </c>
      <c r="E1172" s="2">
        <v>44734</v>
      </c>
      <c r="F1172" s="2">
        <v>44474</v>
      </c>
      <c r="G1172" s="1" t="s">
        <v>62</v>
      </c>
      <c r="H1172">
        <v>358</v>
      </c>
      <c r="I1172">
        <v>35</v>
      </c>
      <c r="J1172">
        <v>4</v>
      </c>
      <c r="K1172">
        <v>47.63</v>
      </c>
      <c r="L1172">
        <v>15</v>
      </c>
      <c r="M1172" s="1" t="s">
        <v>39</v>
      </c>
      <c r="N1172" s="1" t="s">
        <v>56</v>
      </c>
      <c r="O1172">
        <v>12476.3</v>
      </c>
      <c r="P1172" t="b">
        <v>0</v>
      </c>
      <c r="Q1172">
        <v>2.9166666666666665</v>
      </c>
      <c r="R1172">
        <v>356.46571428571428</v>
      </c>
      <c r="S1172">
        <v>9.5259999999999998</v>
      </c>
      <c r="T1172" s="2">
        <v>44713</v>
      </c>
      <c r="U1172" s="1" t="s">
        <v>57</v>
      </c>
      <c r="V1172">
        <v>0</v>
      </c>
      <c r="W1172" s="1" t="s">
        <v>56</v>
      </c>
      <c r="Y1172" s="1" t="s">
        <v>52</v>
      </c>
      <c r="Z1172" s="1" t="s">
        <v>42</v>
      </c>
      <c r="AA1172">
        <v>0.1111111111111111</v>
      </c>
      <c r="AB1172" s="1" t="s">
        <v>52</v>
      </c>
      <c r="AC1172">
        <v>2</v>
      </c>
      <c r="AD1172" s="2">
        <v>44713</v>
      </c>
      <c r="AE1172" s="1" t="s">
        <v>44</v>
      </c>
      <c r="AF1172" s="1" t="s">
        <v>45</v>
      </c>
      <c r="AG1172" s="1" t="s">
        <v>63</v>
      </c>
      <c r="AH1172" s="1" t="s">
        <v>68</v>
      </c>
      <c r="AI1172">
        <v>12530</v>
      </c>
      <c r="AJ1172">
        <v>-53.700000000000728</v>
      </c>
    </row>
    <row r="1173" spans="1:36" x14ac:dyDescent="0.25">
      <c r="A1173">
        <v>11172</v>
      </c>
      <c r="B1173">
        <v>38</v>
      </c>
      <c r="C1173" s="1" t="s">
        <v>60</v>
      </c>
      <c r="D1173" s="1" t="s">
        <v>73</v>
      </c>
      <c r="E1173" s="2">
        <v>44779</v>
      </c>
      <c r="F1173" s="2">
        <v>44552</v>
      </c>
      <c r="G1173" s="1" t="s">
        <v>49</v>
      </c>
      <c r="H1173">
        <v>888</v>
      </c>
      <c r="I1173">
        <v>24</v>
      </c>
      <c r="J1173">
        <v>1</v>
      </c>
      <c r="K1173">
        <v>105.72</v>
      </c>
      <c r="L1173">
        <v>0</v>
      </c>
      <c r="M1173" s="1" t="s">
        <v>39</v>
      </c>
      <c r="N1173" s="1" t="s">
        <v>40</v>
      </c>
      <c r="O1173">
        <v>21312</v>
      </c>
      <c r="P1173" t="b">
        <v>0</v>
      </c>
      <c r="Q1173">
        <v>2</v>
      </c>
      <c r="R1173">
        <v>888</v>
      </c>
      <c r="S1173">
        <v>52.86</v>
      </c>
      <c r="T1173" s="2">
        <v>44774</v>
      </c>
      <c r="U1173" s="1" t="s">
        <v>51</v>
      </c>
      <c r="V1173">
        <v>1</v>
      </c>
      <c r="W1173" s="1" t="s">
        <v>40</v>
      </c>
      <c r="Y1173" s="1" t="s">
        <v>43</v>
      </c>
      <c r="Z1173" s="1" t="s">
        <v>42</v>
      </c>
      <c r="AA1173">
        <v>0.04</v>
      </c>
      <c r="AB1173" s="1" t="s">
        <v>43</v>
      </c>
      <c r="AC1173">
        <v>3</v>
      </c>
      <c r="AD1173" s="2">
        <v>44774</v>
      </c>
      <c r="AE1173" s="1" t="s">
        <v>53</v>
      </c>
      <c r="AF1173" s="1" t="s">
        <v>54</v>
      </c>
      <c r="AG1173" s="1" t="s">
        <v>63</v>
      </c>
      <c r="AH1173" s="1" t="s">
        <v>59</v>
      </c>
      <c r="AI1173">
        <v>21312</v>
      </c>
      <c r="AJ1173">
        <v>0</v>
      </c>
    </row>
    <row r="1174" spans="1:36" x14ac:dyDescent="0.25">
      <c r="A1174">
        <v>11173</v>
      </c>
      <c r="B1174">
        <v>64</v>
      </c>
      <c r="C1174" s="1" t="s">
        <v>36</v>
      </c>
      <c r="D1174" s="1" t="s">
        <v>61</v>
      </c>
      <c r="E1174" s="2">
        <v>44811</v>
      </c>
      <c r="F1174" s="2">
        <v>44376</v>
      </c>
      <c r="G1174" s="1" t="s">
        <v>38</v>
      </c>
      <c r="H1174">
        <v>798</v>
      </c>
      <c r="I1174">
        <v>13</v>
      </c>
      <c r="J1174">
        <v>2</v>
      </c>
      <c r="K1174">
        <v>101.95</v>
      </c>
      <c r="L1174">
        <v>0</v>
      </c>
      <c r="M1174" s="1" t="s">
        <v>65</v>
      </c>
      <c r="N1174" s="1" t="s">
        <v>40</v>
      </c>
      <c r="O1174">
        <v>10374</v>
      </c>
      <c r="P1174" t="b">
        <v>0</v>
      </c>
      <c r="Q1174">
        <v>1.0833333333333333</v>
      </c>
      <c r="R1174">
        <v>798</v>
      </c>
      <c r="S1174">
        <v>33.983333333333334</v>
      </c>
      <c r="T1174" s="2">
        <v>44805</v>
      </c>
      <c r="U1174" s="1" t="s">
        <v>41</v>
      </c>
      <c r="V1174">
        <v>1</v>
      </c>
      <c r="W1174" s="1" t="s">
        <v>56</v>
      </c>
      <c r="Y1174" s="1" t="s">
        <v>43</v>
      </c>
      <c r="Z1174" s="1" t="s">
        <v>42</v>
      </c>
      <c r="AA1174">
        <v>0.14285714285714285</v>
      </c>
      <c r="AB1174" s="1" t="s">
        <v>52</v>
      </c>
      <c r="AC1174">
        <v>1</v>
      </c>
      <c r="AD1174" s="2">
        <v>44805</v>
      </c>
      <c r="AE1174" s="1" t="s">
        <v>53</v>
      </c>
      <c r="AF1174" s="1" t="s">
        <v>72</v>
      </c>
      <c r="AG1174" s="1" t="s">
        <v>63</v>
      </c>
      <c r="AH1174" s="1" t="s">
        <v>59</v>
      </c>
      <c r="AI1174">
        <v>10374</v>
      </c>
      <c r="AJ1174">
        <v>0</v>
      </c>
    </row>
    <row r="1175" spans="1:36" x14ac:dyDescent="0.25">
      <c r="A1175">
        <v>11174</v>
      </c>
      <c r="B1175">
        <v>26</v>
      </c>
      <c r="C1175" s="1" t="s">
        <v>36</v>
      </c>
      <c r="D1175" s="1" t="s">
        <v>37</v>
      </c>
      <c r="E1175" s="2">
        <v>44522</v>
      </c>
      <c r="F1175" s="2">
        <v>44792</v>
      </c>
      <c r="G1175" s="1" t="s">
        <v>62</v>
      </c>
      <c r="H1175">
        <v>866</v>
      </c>
      <c r="I1175">
        <v>4</v>
      </c>
      <c r="J1175">
        <v>1</v>
      </c>
      <c r="K1175">
        <v>25.14</v>
      </c>
      <c r="L1175">
        <v>20</v>
      </c>
      <c r="M1175" s="1" t="s">
        <v>39</v>
      </c>
      <c r="N1175" s="1" t="s">
        <v>56</v>
      </c>
      <c r="O1175">
        <v>3290.8</v>
      </c>
      <c r="P1175" t="b">
        <v>1</v>
      </c>
      <c r="Q1175">
        <v>0.33333333333333331</v>
      </c>
      <c r="R1175">
        <v>822.7</v>
      </c>
      <c r="S1175">
        <v>12.57</v>
      </c>
      <c r="T1175" s="2">
        <v>44501</v>
      </c>
      <c r="U1175" s="1" t="s">
        <v>57</v>
      </c>
      <c r="V1175">
        <v>0</v>
      </c>
      <c r="W1175" s="1" t="s">
        <v>56</v>
      </c>
      <c r="X1175">
        <v>270</v>
      </c>
      <c r="Y1175" s="1" t="s">
        <v>52</v>
      </c>
      <c r="Z1175" s="1" t="s">
        <v>52</v>
      </c>
      <c r="AA1175">
        <v>0.2</v>
      </c>
      <c r="AB1175" s="1" t="s">
        <v>42</v>
      </c>
      <c r="AC1175">
        <v>2</v>
      </c>
      <c r="AD1175" s="2">
        <v>44501</v>
      </c>
      <c r="AE1175" s="1" t="s">
        <v>58</v>
      </c>
      <c r="AF1175" s="1" t="s">
        <v>54</v>
      </c>
      <c r="AG1175" s="1" t="s">
        <v>70</v>
      </c>
      <c r="AH1175" s="1" t="s">
        <v>59</v>
      </c>
      <c r="AI1175">
        <v>3464</v>
      </c>
      <c r="AJ1175">
        <v>-173.19999999999982</v>
      </c>
    </row>
    <row r="1176" spans="1:36" x14ac:dyDescent="0.25">
      <c r="A1176">
        <v>11175</v>
      </c>
      <c r="B1176">
        <v>26</v>
      </c>
      <c r="C1176" s="1" t="s">
        <v>36</v>
      </c>
      <c r="D1176" s="1" t="s">
        <v>48</v>
      </c>
      <c r="E1176" s="2">
        <v>44559</v>
      </c>
      <c r="F1176" s="2">
        <v>45066</v>
      </c>
      <c r="G1176" s="1" t="s">
        <v>49</v>
      </c>
      <c r="H1176">
        <v>866</v>
      </c>
      <c r="I1176">
        <v>12</v>
      </c>
      <c r="J1176">
        <v>3</v>
      </c>
      <c r="K1176">
        <v>108.99</v>
      </c>
      <c r="L1176">
        <v>0</v>
      </c>
      <c r="M1176" s="1" t="s">
        <v>65</v>
      </c>
      <c r="N1176" s="1" t="s">
        <v>40</v>
      </c>
      <c r="O1176">
        <v>10392</v>
      </c>
      <c r="P1176" t="b">
        <v>1</v>
      </c>
      <c r="Q1176">
        <v>1</v>
      </c>
      <c r="R1176">
        <v>866</v>
      </c>
      <c r="S1176">
        <v>27.247499999999999</v>
      </c>
      <c r="T1176" s="2">
        <v>44531</v>
      </c>
      <c r="U1176" s="1" t="s">
        <v>57</v>
      </c>
      <c r="V1176">
        <v>1</v>
      </c>
      <c r="W1176" s="1" t="s">
        <v>56</v>
      </c>
      <c r="X1176">
        <v>507</v>
      </c>
      <c r="Y1176" s="1" t="s">
        <v>43</v>
      </c>
      <c r="Z1176" s="1" t="s">
        <v>42</v>
      </c>
      <c r="AA1176">
        <v>0.23076923076923078</v>
      </c>
      <c r="AB1176" s="1" t="s">
        <v>52</v>
      </c>
      <c r="AC1176">
        <v>3</v>
      </c>
      <c r="AD1176" s="2">
        <v>44531</v>
      </c>
      <c r="AE1176" s="1" t="s">
        <v>74</v>
      </c>
      <c r="AF1176" s="1" t="s">
        <v>72</v>
      </c>
      <c r="AG1176" s="1" t="s">
        <v>63</v>
      </c>
      <c r="AH1176" s="1" t="s">
        <v>59</v>
      </c>
      <c r="AI1176">
        <v>10392</v>
      </c>
      <c r="AJ1176">
        <v>0</v>
      </c>
    </row>
    <row r="1177" spans="1:36" x14ac:dyDescent="0.25">
      <c r="A1177">
        <v>11176</v>
      </c>
      <c r="B1177">
        <v>27</v>
      </c>
      <c r="C1177" s="1" t="s">
        <v>36</v>
      </c>
      <c r="D1177" s="1" t="s">
        <v>37</v>
      </c>
      <c r="E1177" s="2">
        <v>44865</v>
      </c>
      <c r="F1177" s="2">
        <v>44811</v>
      </c>
      <c r="G1177" s="1" t="s">
        <v>62</v>
      </c>
      <c r="H1177">
        <v>1452</v>
      </c>
      <c r="I1177">
        <v>17</v>
      </c>
      <c r="J1177">
        <v>4</v>
      </c>
      <c r="K1177">
        <v>55.7</v>
      </c>
      <c r="L1177">
        <v>5</v>
      </c>
      <c r="M1177" s="1" t="s">
        <v>39</v>
      </c>
      <c r="N1177" s="1" t="s">
        <v>56</v>
      </c>
      <c r="O1177">
        <v>24611.4</v>
      </c>
      <c r="P1177" t="b">
        <v>0</v>
      </c>
      <c r="Q1177">
        <v>1.4166666666666667</v>
      </c>
      <c r="R1177">
        <v>1447.7294117647059</v>
      </c>
      <c r="S1177">
        <v>11.14</v>
      </c>
      <c r="T1177" s="2">
        <v>44835</v>
      </c>
      <c r="U1177" s="1" t="s">
        <v>57</v>
      </c>
      <c r="V1177">
        <v>0</v>
      </c>
      <c r="W1177" s="1" t="s">
        <v>40</v>
      </c>
      <c r="Y1177" s="1" t="s">
        <v>52</v>
      </c>
      <c r="Z1177" s="1" t="s">
        <v>42</v>
      </c>
      <c r="AA1177">
        <v>0.22222222222222221</v>
      </c>
      <c r="AB1177" s="1" t="s">
        <v>43</v>
      </c>
      <c r="AC1177">
        <v>2</v>
      </c>
      <c r="AD1177" s="2">
        <v>44835</v>
      </c>
      <c r="AE1177" s="1" t="s">
        <v>53</v>
      </c>
      <c r="AF1177" s="1" t="s">
        <v>45</v>
      </c>
      <c r="AG1177" s="1" t="s">
        <v>63</v>
      </c>
      <c r="AH1177" s="1" t="s">
        <v>47</v>
      </c>
      <c r="AI1177">
        <v>24684</v>
      </c>
      <c r="AJ1177">
        <v>-72.599999999998545</v>
      </c>
    </row>
    <row r="1178" spans="1:36" x14ac:dyDescent="0.25">
      <c r="A1178">
        <v>11177</v>
      </c>
      <c r="B1178">
        <v>43</v>
      </c>
      <c r="C1178" s="1" t="s">
        <v>60</v>
      </c>
      <c r="D1178" s="1" t="s">
        <v>73</v>
      </c>
      <c r="E1178" s="2">
        <v>45071</v>
      </c>
      <c r="F1178" s="2">
        <v>44627</v>
      </c>
      <c r="G1178" s="1" t="s">
        <v>38</v>
      </c>
      <c r="H1178">
        <v>1203</v>
      </c>
      <c r="I1178">
        <v>1</v>
      </c>
      <c r="J1178">
        <v>1</v>
      </c>
      <c r="K1178">
        <v>88.23</v>
      </c>
      <c r="L1178">
        <v>20</v>
      </c>
      <c r="M1178" s="1" t="s">
        <v>39</v>
      </c>
      <c r="N1178" s="1" t="s">
        <v>56</v>
      </c>
      <c r="O1178">
        <v>962.4</v>
      </c>
      <c r="P1178" t="b">
        <v>0</v>
      </c>
      <c r="Q1178">
        <v>8.3333333333333329E-2</v>
      </c>
      <c r="R1178">
        <v>962.4</v>
      </c>
      <c r="S1178">
        <v>44.115000000000002</v>
      </c>
      <c r="T1178" s="2">
        <v>45047</v>
      </c>
      <c r="U1178" s="1" t="s">
        <v>51</v>
      </c>
      <c r="V1178">
        <v>0</v>
      </c>
      <c r="W1178" s="1" t="s">
        <v>56</v>
      </c>
      <c r="Y1178" s="1" t="s">
        <v>43</v>
      </c>
      <c r="Z1178" s="1" t="s">
        <v>52</v>
      </c>
      <c r="AA1178">
        <v>0.5</v>
      </c>
      <c r="AB1178" s="1" t="s">
        <v>42</v>
      </c>
      <c r="AC1178">
        <v>1</v>
      </c>
      <c r="AD1178" s="2">
        <v>45047</v>
      </c>
      <c r="AE1178" s="1" t="s">
        <v>58</v>
      </c>
      <c r="AF1178" s="1" t="s">
        <v>54</v>
      </c>
      <c r="AG1178" s="1" t="s">
        <v>63</v>
      </c>
      <c r="AH1178" s="1" t="s">
        <v>47</v>
      </c>
      <c r="AI1178">
        <v>1203</v>
      </c>
      <c r="AJ1178">
        <v>-240.60000000000002</v>
      </c>
    </row>
    <row r="1179" spans="1:36" x14ac:dyDescent="0.25">
      <c r="A1179">
        <v>11178</v>
      </c>
      <c r="B1179">
        <v>41</v>
      </c>
      <c r="C1179" s="1" t="s">
        <v>60</v>
      </c>
      <c r="D1179" s="1" t="s">
        <v>61</v>
      </c>
      <c r="E1179" s="2">
        <v>44555</v>
      </c>
      <c r="F1179" s="2">
        <v>44498</v>
      </c>
      <c r="G1179" s="1" t="s">
        <v>62</v>
      </c>
      <c r="H1179">
        <v>682</v>
      </c>
      <c r="I1179">
        <v>17</v>
      </c>
      <c r="J1179">
        <v>1</v>
      </c>
      <c r="K1179">
        <v>98.62</v>
      </c>
      <c r="L1179">
        <v>0</v>
      </c>
      <c r="M1179" s="1" t="s">
        <v>67</v>
      </c>
      <c r="N1179" s="1" t="s">
        <v>40</v>
      </c>
      <c r="O1179">
        <v>11594</v>
      </c>
      <c r="P1179" t="b">
        <v>0</v>
      </c>
      <c r="Q1179">
        <v>1.4166666666666667</v>
      </c>
      <c r="R1179">
        <v>682</v>
      </c>
      <c r="S1179">
        <v>49.31</v>
      </c>
      <c r="T1179" s="2">
        <v>44531</v>
      </c>
      <c r="U1179" s="1" t="s">
        <v>51</v>
      </c>
      <c r="V1179">
        <v>1</v>
      </c>
      <c r="W1179" s="1" t="s">
        <v>56</v>
      </c>
      <c r="Y1179" s="1" t="s">
        <v>43</v>
      </c>
      <c r="Z1179" s="1" t="s">
        <v>42</v>
      </c>
      <c r="AA1179">
        <v>5.5555555555555552E-2</v>
      </c>
      <c r="AB1179" s="1" t="s">
        <v>52</v>
      </c>
      <c r="AC1179">
        <v>2</v>
      </c>
      <c r="AD1179" s="2">
        <v>44531</v>
      </c>
      <c r="AE1179" s="1" t="s">
        <v>53</v>
      </c>
      <c r="AF1179" s="1" t="s">
        <v>54</v>
      </c>
      <c r="AG1179" s="1" t="s">
        <v>63</v>
      </c>
      <c r="AH1179" s="1" t="s">
        <v>64</v>
      </c>
      <c r="AI1179">
        <v>11594</v>
      </c>
      <c r="AJ1179">
        <v>0</v>
      </c>
    </row>
    <row r="1180" spans="1:36" x14ac:dyDescent="0.25">
      <c r="A1180">
        <v>11179</v>
      </c>
      <c r="B1180">
        <v>52</v>
      </c>
      <c r="C1180" s="1" t="s">
        <v>60</v>
      </c>
      <c r="D1180" s="1" t="s">
        <v>48</v>
      </c>
      <c r="E1180" s="2">
        <v>44902</v>
      </c>
      <c r="F1180" s="2">
        <v>44587</v>
      </c>
      <c r="G1180" s="1" t="s">
        <v>38</v>
      </c>
      <c r="H1180">
        <v>384</v>
      </c>
      <c r="I1180">
        <v>2</v>
      </c>
      <c r="J1180">
        <v>2</v>
      </c>
      <c r="K1180">
        <v>63.09</v>
      </c>
      <c r="L1180">
        <v>0</v>
      </c>
      <c r="M1180" s="1" t="s">
        <v>65</v>
      </c>
      <c r="N1180" s="1" t="s">
        <v>56</v>
      </c>
      <c r="O1180">
        <v>768</v>
      </c>
      <c r="P1180" t="b">
        <v>0</v>
      </c>
      <c r="Q1180">
        <v>0.16666666666666666</v>
      </c>
      <c r="R1180">
        <v>384</v>
      </c>
      <c r="S1180">
        <v>21.03</v>
      </c>
      <c r="T1180" s="2">
        <v>44896</v>
      </c>
      <c r="U1180" s="1" t="s">
        <v>41</v>
      </c>
      <c r="V1180">
        <v>0</v>
      </c>
      <c r="W1180" s="1" t="s">
        <v>56</v>
      </c>
      <c r="Y1180" s="1" t="s">
        <v>43</v>
      </c>
      <c r="Z1180" s="1" t="s">
        <v>42</v>
      </c>
      <c r="AA1180">
        <v>0.66666666666666663</v>
      </c>
      <c r="AB1180" s="1" t="s">
        <v>42</v>
      </c>
      <c r="AC1180">
        <v>1</v>
      </c>
      <c r="AD1180" s="2">
        <v>44896</v>
      </c>
      <c r="AE1180" s="1" t="s">
        <v>58</v>
      </c>
      <c r="AF1180" s="1" t="s">
        <v>72</v>
      </c>
      <c r="AG1180" s="1" t="s">
        <v>63</v>
      </c>
      <c r="AH1180" s="1" t="s">
        <v>68</v>
      </c>
      <c r="AI1180">
        <v>768</v>
      </c>
      <c r="AJ1180">
        <v>0</v>
      </c>
    </row>
    <row r="1181" spans="1:36" x14ac:dyDescent="0.25">
      <c r="A1181">
        <v>11180</v>
      </c>
      <c r="B1181">
        <v>42</v>
      </c>
      <c r="C1181" s="1" t="s">
        <v>36</v>
      </c>
      <c r="D1181" s="1" t="s">
        <v>37</v>
      </c>
      <c r="E1181" s="2">
        <v>44983</v>
      </c>
      <c r="F1181" s="2">
        <v>44613</v>
      </c>
      <c r="G1181" s="1" t="s">
        <v>38</v>
      </c>
      <c r="H1181">
        <v>926</v>
      </c>
      <c r="I1181">
        <v>6</v>
      </c>
      <c r="J1181">
        <v>3</v>
      </c>
      <c r="K1181">
        <v>50.9</v>
      </c>
      <c r="L1181">
        <v>20</v>
      </c>
      <c r="M1181" s="1" t="s">
        <v>50</v>
      </c>
      <c r="N1181" s="1" t="s">
        <v>56</v>
      </c>
      <c r="O1181">
        <v>5370.8</v>
      </c>
      <c r="P1181" t="b">
        <v>0</v>
      </c>
      <c r="Q1181">
        <v>0.5</v>
      </c>
      <c r="R1181">
        <v>895.13333333333333</v>
      </c>
      <c r="S1181">
        <v>12.725</v>
      </c>
      <c r="T1181" s="2">
        <v>44958</v>
      </c>
      <c r="U1181" s="1" t="s">
        <v>51</v>
      </c>
      <c r="V1181">
        <v>0</v>
      </c>
      <c r="W1181" s="1" t="s">
        <v>56</v>
      </c>
      <c r="Y1181" s="1" t="s">
        <v>52</v>
      </c>
      <c r="Z1181" s="1" t="s">
        <v>52</v>
      </c>
      <c r="AA1181">
        <v>0.42857142857142855</v>
      </c>
      <c r="AB1181" s="1" t="s">
        <v>42</v>
      </c>
      <c r="AC1181">
        <v>1</v>
      </c>
      <c r="AD1181" s="2">
        <v>44958</v>
      </c>
      <c r="AE1181" s="1" t="s">
        <v>58</v>
      </c>
      <c r="AF1181" s="1" t="s">
        <v>72</v>
      </c>
      <c r="AG1181" s="1" t="s">
        <v>63</v>
      </c>
      <c r="AH1181" s="1" t="s">
        <v>59</v>
      </c>
      <c r="AI1181">
        <v>5556</v>
      </c>
      <c r="AJ1181">
        <v>-185.19999999999982</v>
      </c>
    </row>
    <row r="1182" spans="1:36" x14ac:dyDescent="0.25">
      <c r="A1182">
        <v>11181</v>
      </c>
      <c r="B1182">
        <v>43</v>
      </c>
      <c r="C1182" s="1" t="s">
        <v>60</v>
      </c>
      <c r="D1182" s="1" t="s">
        <v>69</v>
      </c>
      <c r="E1182" s="2">
        <v>44520</v>
      </c>
      <c r="F1182" s="2">
        <v>45041</v>
      </c>
      <c r="G1182" s="1" t="s">
        <v>49</v>
      </c>
      <c r="H1182">
        <v>1125</v>
      </c>
      <c r="I1182">
        <v>11</v>
      </c>
      <c r="J1182">
        <v>1</v>
      </c>
      <c r="K1182">
        <v>110.28</v>
      </c>
      <c r="L1182">
        <v>5</v>
      </c>
      <c r="M1182" s="1" t="s">
        <v>50</v>
      </c>
      <c r="N1182" s="1" t="s">
        <v>56</v>
      </c>
      <c r="O1182">
        <v>12318.75</v>
      </c>
      <c r="P1182" t="b">
        <v>1</v>
      </c>
      <c r="Q1182">
        <v>0.91666666666666663</v>
      </c>
      <c r="R1182">
        <v>1119.8863636363637</v>
      </c>
      <c r="S1182">
        <v>55.14</v>
      </c>
      <c r="T1182" s="2">
        <v>44501</v>
      </c>
      <c r="U1182" s="1" t="s">
        <v>51</v>
      </c>
      <c r="V1182">
        <v>0</v>
      </c>
      <c r="W1182" s="1" t="s">
        <v>56</v>
      </c>
      <c r="X1182">
        <v>521</v>
      </c>
      <c r="Y1182" s="1" t="s">
        <v>43</v>
      </c>
      <c r="Z1182" s="1" t="s">
        <v>42</v>
      </c>
      <c r="AA1182">
        <v>8.3333333333333329E-2</v>
      </c>
      <c r="AB1182" s="1" t="s">
        <v>52</v>
      </c>
      <c r="AC1182">
        <v>3</v>
      </c>
      <c r="AD1182" s="2">
        <v>44501</v>
      </c>
      <c r="AE1182" s="1" t="s">
        <v>74</v>
      </c>
      <c r="AF1182" s="1" t="s">
        <v>54</v>
      </c>
      <c r="AG1182" s="1" t="s">
        <v>63</v>
      </c>
      <c r="AH1182" s="1" t="s">
        <v>47</v>
      </c>
      <c r="AI1182">
        <v>12375</v>
      </c>
      <c r="AJ1182">
        <v>-56.25</v>
      </c>
    </row>
    <row r="1183" spans="1:36" x14ac:dyDescent="0.25">
      <c r="A1183">
        <v>11182</v>
      </c>
      <c r="B1183">
        <v>28</v>
      </c>
      <c r="C1183" s="1" t="s">
        <v>36</v>
      </c>
      <c r="D1183" s="1" t="s">
        <v>73</v>
      </c>
      <c r="E1183" s="2">
        <v>44894</v>
      </c>
      <c r="F1183" s="2">
        <v>44452</v>
      </c>
      <c r="G1183" s="1" t="s">
        <v>62</v>
      </c>
      <c r="H1183">
        <v>592</v>
      </c>
      <c r="I1183">
        <v>18</v>
      </c>
      <c r="J1183">
        <v>3</v>
      </c>
      <c r="K1183">
        <v>31.55</v>
      </c>
      <c r="L1183">
        <v>20</v>
      </c>
      <c r="M1183" s="1" t="s">
        <v>50</v>
      </c>
      <c r="N1183" s="1" t="s">
        <v>40</v>
      </c>
      <c r="O1183">
        <v>10537.6</v>
      </c>
      <c r="P1183" t="b">
        <v>0</v>
      </c>
      <c r="Q1183">
        <v>1.5</v>
      </c>
      <c r="R1183">
        <v>585.42222222222222</v>
      </c>
      <c r="S1183">
        <v>7.8875000000000002</v>
      </c>
      <c r="T1183" s="2">
        <v>44866</v>
      </c>
      <c r="U1183" s="1" t="s">
        <v>57</v>
      </c>
      <c r="V1183">
        <v>1</v>
      </c>
      <c r="W1183" s="1" t="s">
        <v>56</v>
      </c>
      <c r="Y1183" s="1" t="s">
        <v>52</v>
      </c>
      <c r="Z1183" s="1" t="s">
        <v>52</v>
      </c>
      <c r="AA1183">
        <v>0.15789473684210525</v>
      </c>
      <c r="AB1183" s="1" t="s">
        <v>52</v>
      </c>
      <c r="AC1183">
        <v>2</v>
      </c>
      <c r="AD1183" s="2">
        <v>44866</v>
      </c>
      <c r="AE1183" s="1" t="s">
        <v>53</v>
      </c>
      <c r="AF1183" s="1" t="s">
        <v>72</v>
      </c>
      <c r="AG1183" s="1" t="s">
        <v>55</v>
      </c>
      <c r="AH1183" s="1" t="s">
        <v>64</v>
      </c>
      <c r="AI1183">
        <v>10656</v>
      </c>
      <c r="AJ1183">
        <v>-118.39999999999964</v>
      </c>
    </row>
    <row r="1184" spans="1:36" x14ac:dyDescent="0.25">
      <c r="A1184">
        <v>11183</v>
      </c>
      <c r="B1184">
        <v>55</v>
      </c>
      <c r="C1184" s="1" t="s">
        <v>60</v>
      </c>
      <c r="D1184" s="1" t="s">
        <v>73</v>
      </c>
      <c r="E1184" s="2">
        <v>44522</v>
      </c>
      <c r="F1184" s="2">
        <v>44780</v>
      </c>
      <c r="G1184" s="1" t="s">
        <v>49</v>
      </c>
      <c r="H1184">
        <v>1372</v>
      </c>
      <c r="I1184">
        <v>25</v>
      </c>
      <c r="J1184">
        <v>5</v>
      </c>
      <c r="K1184">
        <v>34.549999999999997</v>
      </c>
      <c r="L1184">
        <v>5</v>
      </c>
      <c r="M1184" s="1" t="s">
        <v>67</v>
      </c>
      <c r="N1184" s="1" t="s">
        <v>40</v>
      </c>
      <c r="O1184">
        <v>34231.4</v>
      </c>
      <c r="P1184" t="b">
        <v>1</v>
      </c>
      <c r="Q1184">
        <v>2.0833333333333335</v>
      </c>
      <c r="R1184">
        <v>1369.2560000000001</v>
      </c>
      <c r="S1184">
        <v>5.7583333333333329</v>
      </c>
      <c r="T1184" s="2">
        <v>44501</v>
      </c>
      <c r="U1184" s="1" t="s">
        <v>41</v>
      </c>
      <c r="V1184">
        <v>1</v>
      </c>
      <c r="W1184" s="1" t="s">
        <v>40</v>
      </c>
      <c r="X1184">
        <v>258</v>
      </c>
      <c r="Y1184" s="1" t="s">
        <v>52</v>
      </c>
      <c r="Z1184" s="1" t="s">
        <v>42</v>
      </c>
      <c r="AA1184">
        <v>0.19230769230769232</v>
      </c>
      <c r="AB1184" s="1" t="s">
        <v>43</v>
      </c>
      <c r="AC1184">
        <v>3</v>
      </c>
      <c r="AD1184" s="2">
        <v>44501</v>
      </c>
      <c r="AE1184" s="1" t="s">
        <v>44</v>
      </c>
      <c r="AF1184" s="1" t="s">
        <v>45</v>
      </c>
      <c r="AG1184" s="1" t="s">
        <v>55</v>
      </c>
      <c r="AH1184" s="1" t="s">
        <v>47</v>
      </c>
      <c r="AI1184">
        <v>34300</v>
      </c>
      <c r="AJ1184">
        <v>-68.599999999998545</v>
      </c>
    </row>
    <row r="1185" spans="1:36" x14ac:dyDescent="0.25">
      <c r="A1185">
        <v>11184</v>
      </c>
      <c r="B1185">
        <v>19</v>
      </c>
      <c r="C1185" s="1" t="s">
        <v>60</v>
      </c>
      <c r="D1185" s="1" t="s">
        <v>69</v>
      </c>
      <c r="E1185" s="2">
        <v>44821</v>
      </c>
      <c r="F1185" s="2">
        <v>44844</v>
      </c>
      <c r="G1185" s="1" t="s">
        <v>49</v>
      </c>
      <c r="H1185">
        <v>1390</v>
      </c>
      <c r="I1185">
        <v>28</v>
      </c>
      <c r="J1185">
        <v>4</v>
      </c>
      <c r="K1185">
        <v>46.59</v>
      </c>
      <c r="L1185">
        <v>5</v>
      </c>
      <c r="M1185" s="1" t="s">
        <v>67</v>
      </c>
      <c r="N1185" s="1" t="s">
        <v>56</v>
      </c>
      <c r="O1185">
        <v>38850.5</v>
      </c>
      <c r="P1185" t="b">
        <v>1</v>
      </c>
      <c r="Q1185">
        <v>2.3333333333333335</v>
      </c>
      <c r="R1185">
        <v>1387.5178571428571</v>
      </c>
      <c r="S1185">
        <v>9.3180000000000014</v>
      </c>
      <c r="T1185" s="2">
        <v>44805</v>
      </c>
      <c r="U1185" s="1" t="s">
        <v>66</v>
      </c>
      <c r="V1185">
        <v>0</v>
      </c>
      <c r="W1185" s="1" t="s">
        <v>40</v>
      </c>
      <c r="X1185">
        <v>23</v>
      </c>
      <c r="Y1185" s="1" t="s">
        <v>52</v>
      </c>
      <c r="Z1185" s="1" t="s">
        <v>42</v>
      </c>
      <c r="AA1185">
        <v>0.13793103448275862</v>
      </c>
      <c r="AB1185" s="1" t="s">
        <v>43</v>
      </c>
      <c r="AC1185">
        <v>3</v>
      </c>
      <c r="AD1185" s="2">
        <v>44805</v>
      </c>
      <c r="AE1185" s="1" t="s">
        <v>44</v>
      </c>
      <c r="AF1185" s="1" t="s">
        <v>45</v>
      </c>
      <c r="AG1185" s="1" t="s">
        <v>63</v>
      </c>
      <c r="AH1185" s="1" t="s">
        <v>47</v>
      </c>
      <c r="AI1185">
        <v>38920</v>
      </c>
      <c r="AJ1185">
        <v>-69.5</v>
      </c>
    </row>
    <row r="1186" spans="1:36" x14ac:dyDescent="0.25">
      <c r="A1186">
        <v>11185</v>
      </c>
      <c r="B1186">
        <v>24</v>
      </c>
      <c r="C1186" s="1" t="s">
        <v>36</v>
      </c>
      <c r="D1186" s="1" t="s">
        <v>37</v>
      </c>
      <c r="E1186" s="2">
        <v>45021</v>
      </c>
      <c r="F1186" s="2">
        <v>44787</v>
      </c>
      <c r="G1186" s="1" t="s">
        <v>62</v>
      </c>
      <c r="H1186">
        <v>1086</v>
      </c>
      <c r="I1186">
        <v>16</v>
      </c>
      <c r="J1186">
        <v>1</v>
      </c>
      <c r="K1186">
        <v>103.84</v>
      </c>
      <c r="L1186">
        <v>15</v>
      </c>
      <c r="M1186" s="1" t="s">
        <v>39</v>
      </c>
      <c r="N1186" s="1" t="s">
        <v>40</v>
      </c>
      <c r="O1186">
        <v>17213.099999999999</v>
      </c>
      <c r="P1186" t="b">
        <v>0</v>
      </c>
      <c r="Q1186">
        <v>1.3333333333333333</v>
      </c>
      <c r="R1186">
        <v>1075.8187499999999</v>
      </c>
      <c r="S1186">
        <v>51.92</v>
      </c>
      <c r="T1186" s="2">
        <v>45017</v>
      </c>
      <c r="U1186" s="1" t="s">
        <v>66</v>
      </c>
      <c r="V1186">
        <v>1</v>
      </c>
      <c r="W1186" s="1" t="s">
        <v>40</v>
      </c>
      <c r="Y1186" s="1" t="s">
        <v>43</v>
      </c>
      <c r="Z1186" s="1" t="s">
        <v>42</v>
      </c>
      <c r="AA1186">
        <v>5.8823529411764705E-2</v>
      </c>
      <c r="AB1186" s="1" t="s">
        <v>52</v>
      </c>
      <c r="AC1186">
        <v>2</v>
      </c>
      <c r="AD1186" s="2">
        <v>45017</v>
      </c>
      <c r="AE1186" s="1" t="s">
        <v>53</v>
      </c>
      <c r="AF1186" s="1" t="s">
        <v>54</v>
      </c>
      <c r="AG1186" s="1" t="s">
        <v>63</v>
      </c>
      <c r="AH1186" s="1" t="s">
        <v>47</v>
      </c>
      <c r="AI1186">
        <v>17376</v>
      </c>
      <c r="AJ1186">
        <v>-162.90000000000146</v>
      </c>
    </row>
    <row r="1187" spans="1:36" x14ac:dyDescent="0.25">
      <c r="A1187">
        <v>11186</v>
      </c>
      <c r="B1187">
        <v>35</v>
      </c>
      <c r="C1187" s="1" t="s">
        <v>60</v>
      </c>
      <c r="D1187" s="1" t="s">
        <v>73</v>
      </c>
      <c r="E1187" s="2">
        <v>44361</v>
      </c>
      <c r="F1187" s="2">
        <v>45095</v>
      </c>
      <c r="G1187" s="1" t="s">
        <v>38</v>
      </c>
      <c r="H1187">
        <v>428</v>
      </c>
      <c r="I1187">
        <v>12</v>
      </c>
      <c r="J1187">
        <v>2</v>
      </c>
      <c r="K1187">
        <v>112.96</v>
      </c>
      <c r="L1187">
        <v>0</v>
      </c>
      <c r="M1187" s="1" t="s">
        <v>39</v>
      </c>
      <c r="N1187" s="1" t="s">
        <v>40</v>
      </c>
      <c r="O1187">
        <v>5136</v>
      </c>
      <c r="P1187" t="b">
        <v>1</v>
      </c>
      <c r="Q1187">
        <v>1</v>
      </c>
      <c r="R1187">
        <v>428</v>
      </c>
      <c r="S1187">
        <v>37.653333333333329</v>
      </c>
      <c r="T1187" s="2">
        <v>44348</v>
      </c>
      <c r="U1187" s="1" t="s">
        <v>57</v>
      </c>
      <c r="V1187">
        <v>1</v>
      </c>
      <c r="W1187" s="1" t="s">
        <v>56</v>
      </c>
      <c r="X1187">
        <v>734</v>
      </c>
      <c r="Y1187" s="1" t="s">
        <v>43</v>
      </c>
      <c r="Z1187" s="1" t="s">
        <v>42</v>
      </c>
      <c r="AA1187">
        <v>0.15384615384615385</v>
      </c>
      <c r="AB1187" s="1" t="s">
        <v>42</v>
      </c>
      <c r="AC1187">
        <v>1</v>
      </c>
      <c r="AD1187" s="2">
        <v>44348</v>
      </c>
      <c r="AE1187" s="1" t="s">
        <v>74</v>
      </c>
      <c r="AF1187" s="1" t="s">
        <v>72</v>
      </c>
      <c r="AG1187" s="1" t="s">
        <v>63</v>
      </c>
      <c r="AH1187" s="1" t="s">
        <v>68</v>
      </c>
      <c r="AI1187">
        <v>5136</v>
      </c>
      <c r="AJ1187">
        <v>0</v>
      </c>
    </row>
    <row r="1188" spans="1:36" x14ac:dyDescent="0.25">
      <c r="A1188">
        <v>11187</v>
      </c>
      <c r="B1188">
        <v>44</v>
      </c>
      <c r="C1188" s="1" t="s">
        <v>60</v>
      </c>
      <c r="D1188" s="1" t="s">
        <v>48</v>
      </c>
      <c r="E1188" s="2">
        <v>44769</v>
      </c>
      <c r="F1188" s="2">
        <v>45032</v>
      </c>
      <c r="G1188" s="1" t="s">
        <v>38</v>
      </c>
      <c r="H1188">
        <v>328</v>
      </c>
      <c r="I1188">
        <v>29</v>
      </c>
      <c r="J1188">
        <v>1</v>
      </c>
      <c r="K1188">
        <v>30.31</v>
      </c>
      <c r="L1188">
        <v>0</v>
      </c>
      <c r="M1188" s="1" t="s">
        <v>50</v>
      </c>
      <c r="N1188" s="1" t="s">
        <v>56</v>
      </c>
      <c r="O1188">
        <v>9512</v>
      </c>
      <c r="P1188" t="b">
        <v>1</v>
      </c>
      <c r="Q1188">
        <v>2.4166666666666665</v>
      </c>
      <c r="R1188">
        <v>328</v>
      </c>
      <c r="S1188">
        <v>15.154999999999999</v>
      </c>
      <c r="T1188" s="2">
        <v>44743</v>
      </c>
      <c r="U1188" s="1" t="s">
        <v>51</v>
      </c>
      <c r="V1188">
        <v>0</v>
      </c>
      <c r="W1188" s="1" t="s">
        <v>56</v>
      </c>
      <c r="X1188">
        <v>263</v>
      </c>
      <c r="Y1188" s="1" t="s">
        <v>52</v>
      </c>
      <c r="Z1188" s="1" t="s">
        <v>42</v>
      </c>
      <c r="AA1188">
        <v>3.3333333333333333E-2</v>
      </c>
      <c r="AB1188" s="1" t="s">
        <v>52</v>
      </c>
      <c r="AC1188">
        <v>1</v>
      </c>
      <c r="AD1188" s="2">
        <v>44743</v>
      </c>
      <c r="AE1188" s="1" t="s">
        <v>44</v>
      </c>
      <c r="AF1188" s="1" t="s">
        <v>54</v>
      </c>
      <c r="AG1188" s="1" t="s">
        <v>55</v>
      </c>
      <c r="AH1188" s="1" t="s">
        <v>68</v>
      </c>
      <c r="AI1188">
        <v>9512</v>
      </c>
      <c r="AJ1188">
        <v>0</v>
      </c>
    </row>
    <row r="1189" spans="1:36" x14ac:dyDescent="0.25">
      <c r="A1189">
        <v>11188</v>
      </c>
      <c r="B1189">
        <v>51</v>
      </c>
      <c r="C1189" s="1" t="s">
        <v>36</v>
      </c>
      <c r="D1189" s="1" t="s">
        <v>37</v>
      </c>
      <c r="E1189" s="2">
        <v>44800</v>
      </c>
      <c r="F1189" s="2">
        <v>44505</v>
      </c>
      <c r="G1189" s="1" t="s">
        <v>38</v>
      </c>
      <c r="H1189">
        <v>1442</v>
      </c>
      <c r="I1189">
        <v>23</v>
      </c>
      <c r="J1189">
        <v>2</v>
      </c>
      <c r="K1189">
        <v>104.35</v>
      </c>
      <c r="L1189">
        <v>10</v>
      </c>
      <c r="M1189" s="1" t="s">
        <v>39</v>
      </c>
      <c r="N1189" s="1" t="s">
        <v>40</v>
      </c>
      <c r="O1189">
        <v>33021.800000000003</v>
      </c>
      <c r="P1189" t="b">
        <v>0</v>
      </c>
      <c r="Q1189">
        <v>1.9166666666666667</v>
      </c>
      <c r="R1189">
        <v>1435.7304347826089</v>
      </c>
      <c r="S1189">
        <v>34.783333333333331</v>
      </c>
      <c r="T1189" s="2">
        <v>44774</v>
      </c>
      <c r="U1189" s="1" t="s">
        <v>41</v>
      </c>
      <c r="V1189">
        <v>1</v>
      </c>
      <c r="W1189" s="1" t="s">
        <v>40</v>
      </c>
      <c r="Y1189" s="1" t="s">
        <v>43</v>
      </c>
      <c r="Z1189" s="1" t="s">
        <v>42</v>
      </c>
      <c r="AA1189">
        <v>8.3333333333333329E-2</v>
      </c>
      <c r="AB1189" s="1" t="s">
        <v>43</v>
      </c>
      <c r="AC1189">
        <v>1</v>
      </c>
      <c r="AD1189" s="2">
        <v>44774</v>
      </c>
      <c r="AE1189" s="1" t="s">
        <v>53</v>
      </c>
      <c r="AF1189" s="1" t="s">
        <v>72</v>
      </c>
      <c r="AG1189" s="1" t="s">
        <v>63</v>
      </c>
      <c r="AH1189" s="1" t="s">
        <v>47</v>
      </c>
      <c r="AI1189">
        <v>33166</v>
      </c>
      <c r="AJ1189">
        <v>-144.19999999999709</v>
      </c>
    </row>
    <row r="1190" spans="1:36" x14ac:dyDescent="0.25">
      <c r="A1190">
        <v>11189</v>
      </c>
      <c r="B1190">
        <v>44</v>
      </c>
      <c r="C1190" s="1" t="s">
        <v>60</v>
      </c>
      <c r="D1190" s="1" t="s">
        <v>37</v>
      </c>
      <c r="E1190" s="2">
        <v>44994</v>
      </c>
      <c r="F1190" s="2">
        <v>44519</v>
      </c>
      <c r="G1190" s="1" t="s">
        <v>49</v>
      </c>
      <c r="H1190">
        <v>991</v>
      </c>
      <c r="I1190">
        <v>21</v>
      </c>
      <c r="J1190">
        <v>1</v>
      </c>
      <c r="K1190">
        <v>34.69</v>
      </c>
      <c r="L1190">
        <v>20</v>
      </c>
      <c r="M1190" s="1" t="s">
        <v>39</v>
      </c>
      <c r="N1190" s="1" t="s">
        <v>56</v>
      </c>
      <c r="O1190">
        <v>20612.8</v>
      </c>
      <c r="P1190" t="b">
        <v>0</v>
      </c>
      <c r="Q1190">
        <v>1.75</v>
      </c>
      <c r="R1190">
        <v>981.56190476190477</v>
      </c>
      <c r="S1190">
        <v>17.344999999999999</v>
      </c>
      <c r="T1190" s="2">
        <v>44986</v>
      </c>
      <c r="U1190" s="1" t="s">
        <v>51</v>
      </c>
      <c r="V1190">
        <v>0</v>
      </c>
      <c r="W1190" s="1" t="s">
        <v>40</v>
      </c>
      <c r="Y1190" s="1" t="s">
        <v>52</v>
      </c>
      <c r="Z1190" s="1" t="s">
        <v>52</v>
      </c>
      <c r="AA1190">
        <v>4.5454545454545456E-2</v>
      </c>
      <c r="AB1190" s="1" t="s">
        <v>43</v>
      </c>
      <c r="AC1190">
        <v>3</v>
      </c>
      <c r="AD1190" s="2">
        <v>44986</v>
      </c>
      <c r="AE1190" s="1" t="s">
        <v>53</v>
      </c>
      <c r="AF1190" s="1" t="s">
        <v>54</v>
      </c>
      <c r="AG1190" s="1" t="s">
        <v>55</v>
      </c>
      <c r="AH1190" s="1" t="s">
        <v>59</v>
      </c>
      <c r="AI1190">
        <v>20811</v>
      </c>
      <c r="AJ1190">
        <v>-198.20000000000073</v>
      </c>
    </row>
    <row r="1191" spans="1:36" x14ac:dyDescent="0.25">
      <c r="A1191">
        <v>11190</v>
      </c>
      <c r="B1191">
        <v>34</v>
      </c>
      <c r="C1191" s="1" t="s">
        <v>36</v>
      </c>
      <c r="D1191" s="1" t="s">
        <v>61</v>
      </c>
      <c r="E1191" s="2">
        <v>44651</v>
      </c>
      <c r="F1191" s="2">
        <v>44841</v>
      </c>
      <c r="G1191" s="1" t="s">
        <v>38</v>
      </c>
      <c r="H1191">
        <v>432</v>
      </c>
      <c r="I1191">
        <v>16</v>
      </c>
      <c r="J1191">
        <v>1</v>
      </c>
      <c r="K1191">
        <v>116.62</v>
      </c>
      <c r="L1191">
        <v>15</v>
      </c>
      <c r="M1191" s="1" t="s">
        <v>67</v>
      </c>
      <c r="N1191" s="1" t="s">
        <v>56</v>
      </c>
      <c r="O1191">
        <v>6847.2</v>
      </c>
      <c r="P1191" t="b">
        <v>1</v>
      </c>
      <c r="Q1191">
        <v>1.3333333333333333</v>
      </c>
      <c r="R1191">
        <v>427.95</v>
      </c>
      <c r="S1191">
        <v>58.31</v>
      </c>
      <c r="T1191" s="2">
        <v>44621</v>
      </c>
      <c r="U1191" s="1" t="s">
        <v>57</v>
      </c>
      <c r="V1191">
        <v>0</v>
      </c>
      <c r="W1191" s="1" t="s">
        <v>56</v>
      </c>
      <c r="X1191">
        <v>190</v>
      </c>
      <c r="Y1191" s="1" t="s">
        <v>43</v>
      </c>
      <c r="Z1191" s="1" t="s">
        <v>42</v>
      </c>
      <c r="AA1191">
        <v>5.8823529411764705E-2</v>
      </c>
      <c r="AB1191" s="1" t="s">
        <v>42</v>
      </c>
      <c r="AC1191">
        <v>1</v>
      </c>
      <c r="AD1191" s="2">
        <v>44621</v>
      </c>
      <c r="AE1191" s="1" t="s">
        <v>53</v>
      </c>
      <c r="AF1191" s="1" t="s">
        <v>54</v>
      </c>
      <c r="AG1191" s="1" t="s">
        <v>63</v>
      </c>
      <c r="AH1191" s="1" t="s">
        <v>68</v>
      </c>
      <c r="AI1191">
        <v>6912</v>
      </c>
      <c r="AJ1191">
        <v>-64.800000000000182</v>
      </c>
    </row>
    <row r="1192" spans="1:36" x14ac:dyDescent="0.25">
      <c r="A1192">
        <v>11191</v>
      </c>
      <c r="B1192">
        <v>60</v>
      </c>
      <c r="C1192" s="1" t="s">
        <v>36</v>
      </c>
      <c r="D1192" s="1" t="s">
        <v>73</v>
      </c>
      <c r="E1192" s="2">
        <v>44349</v>
      </c>
      <c r="F1192" s="2">
        <v>44658</v>
      </c>
      <c r="G1192" s="1" t="s">
        <v>38</v>
      </c>
      <c r="H1192">
        <v>945</v>
      </c>
      <c r="I1192">
        <v>26</v>
      </c>
      <c r="J1192">
        <v>5</v>
      </c>
      <c r="K1192">
        <v>62.59</v>
      </c>
      <c r="L1192">
        <v>0</v>
      </c>
      <c r="M1192" s="1" t="s">
        <v>50</v>
      </c>
      <c r="N1192" s="1" t="s">
        <v>40</v>
      </c>
      <c r="O1192">
        <v>24570</v>
      </c>
      <c r="P1192" t="b">
        <v>1</v>
      </c>
      <c r="Q1192">
        <v>2.1666666666666665</v>
      </c>
      <c r="R1192">
        <v>945</v>
      </c>
      <c r="S1192">
        <v>10.431666666666667</v>
      </c>
      <c r="T1192" s="2">
        <v>44348</v>
      </c>
      <c r="U1192" s="1" t="s">
        <v>41</v>
      </c>
      <c r="V1192">
        <v>1</v>
      </c>
      <c r="W1192" s="1" t="s">
        <v>40</v>
      </c>
      <c r="X1192">
        <v>309</v>
      </c>
      <c r="Y1192" s="1" t="s">
        <v>43</v>
      </c>
      <c r="Z1192" s="1" t="s">
        <v>42</v>
      </c>
      <c r="AA1192">
        <v>0.18518518518518517</v>
      </c>
      <c r="AB1192" s="1" t="s">
        <v>43</v>
      </c>
      <c r="AC1192">
        <v>1</v>
      </c>
      <c r="AD1192" s="2">
        <v>44348</v>
      </c>
      <c r="AE1192" s="1" t="s">
        <v>44</v>
      </c>
      <c r="AF1192" s="1" t="s">
        <v>45</v>
      </c>
      <c r="AG1192" s="1" t="s">
        <v>63</v>
      </c>
      <c r="AH1192" s="1" t="s">
        <v>59</v>
      </c>
      <c r="AI1192">
        <v>24570</v>
      </c>
      <c r="AJ1192">
        <v>0</v>
      </c>
    </row>
    <row r="1193" spans="1:36" x14ac:dyDescent="0.25">
      <c r="A1193">
        <v>11192</v>
      </c>
      <c r="B1193">
        <v>61</v>
      </c>
      <c r="C1193" s="1" t="s">
        <v>60</v>
      </c>
      <c r="D1193" s="1" t="s">
        <v>73</v>
      </c>
      <c r="E1193" s="2">
        <v>44933</v>
      </c>
      <c r="F1193" s="2">
        <v>44750</v>
      </c>
      <c r="G1193" s="1" t="s">
        <v>62</v>
      </c>
      <c r="H1193">
        <v>988</v>
      </c>
      <c r="I1193">
        <v>22</v>
      </c>
      <c r="J1193">
        <v>1</v>
      </c>
      <c r="K1193">
        <v>5.81</v>
      </c>
      <c r="L1193">
        <v>10</v>
      </c>
      <c r="M1193" s="1" t="s">
        <v>65</v>
      </c>
      <c r="N1193" s="1" t="s">
        <v>56</v>
      </c>
      <c r="O1193">
        <v>21637.200000000001</v>
      </c>
      <c r="P1193" t="b">
        <v>0</v>
      </c>
      <c r="Q1193">
        <v>1.8333333333333333</v>
      </c>
      <c r="R1193">
        <v>983.5090909090909</v>
      </c>
      <c r="S1193">
        <v>2.9049999999999998</v>
      </c>
      <c r="T1193" s="2">
        <v>44927</v>
      </c>
      <c r="U1193" s="1" t="s">
        <v>41</v>
      </c>
      <c r="V1193">
        <v>0</v>
      </c>
      <c r="W1193" s="1" t="s">
        <v>40</v>
      </c>
      <c r="Y1193" s="1" t="s">
        <v>42</v>
      </c>
      <c r="Z1193" s="1" t="s">
        <v>42</v>
      </c>
      <c r="AA1193">
        <v>4.3478260869565216E-2</v>
      </c>
      <c r="AB1193" s="1" t="s">
        <v>43</v>
      </c>
      <c r="AC1193">
        <v>2</v>
      </c>
      <c r="AD1193" s="2">
        <v>44927</v>
      </c>
      <c r="AE1193" s="1" t="s">
        <v>53</v>
      </c>
      <c r="AF1193" s="1" t="s">
        <v>54</v>
      </c>
      <c r="AG1193" s="1" t="s">
        <v>77</v>
      </c>
      <c r="AH1193" s="1" t="s">
        <v>59</v>
      </c>
      <c r="AI1193">
        <v>21736</v>
      </c>
      <c r="AJ1193">
        <v>-98.799999999999272</v>
      </c>
    </row>
    <row r="1194" spans="1:36" x14ac:dyDescent="0.25">
      <c r="A1194">
        <v>11193</v>
      </c>
      <c r="B1194">
        <v>41</v>
      </c>
      <c r="C1194" s="1" t="s">
        <v>36</v>
      </c>
      <c r="D1194" s="1" t="s">
        <v>69</v>
      </c>
      <c r="E1194" s="2">
        <v>44323</v>
      </c>
      <c r="F1194" s="2">
        <v>45016</v>
      </c>
      <c r="G1194" s="1" t="s">
        <v>38</v>
      </c>
      <c r="H1194">
        <v>833</v>
      </c>
      <c r="I1194">
        <v>10</v>
      </c>
      <c r="J1194">
        <v>3</v>
      </c>
      <c r="K1194">
        <v>8.92</v>
      </c>
      <c r="L1194">
        <v>15</v>
      </c>
      <c r="M1194" s="1" t="s">
        <v>50</v>
      </c>
      <c r="N1194" s="1" t="s">
        <v>56</v>
      </c>
      <c r="O1194">
        <v>8205.0499999999993</v>
      </c>
      <c r="P1194" t="b">
        <v>1</v>
      </c>
      <c r="Q1194">
        <v>0.83333333333333337</v>
      </c>
      <c r="R1194">
        <v>820.50499999999988</v>
      </c>
      <c r="S1194">
        <v>2.23</v>
      </c>
      <c r="T1194" s="2">
        <v>44317</v>
      </c>
      <c r="U1194" s="1" t="s">
        <v>51</v>
      </c>
      <c r="V1194">
        <v>0</v>
      </c>
      <c r="W1194" s="1" t="s">
        <v>56</v>
      </c>
      <c r="X1194">
        <v>693</v>
      </c>
      <c r="Y1194" s="1" t="s">
        <v>42</v>
      </c>
      <c r="Z1194" s="1" t="s">
        <v>42</v>
      </c>
      <c r="AA1194">
        <v>0.27272727272727271</v>
      </c>
      <c r="AB1194" s="1" t="s">
        <v>42</v>
      </c>
      <c r="AC1194">
        <v>1</v>
      </c>
      <c r="AD1194" s="2">
        <v>44317</v>
      </c>
      <c r="AE1194" s="1" t="s">
        <v>74</v>
      </c>
      <c r="AF1194" s="1" t="s">
        <v>72</v>
      </c>
      <c r="AG1194" s="1" t="s">
        <v>77</v>
      </c>
      <c r="AH1194" s="1" t="s">
        <v>59</v>
      </c>
      <c r="AI1194">
        <v>8330</v>
      </c>
      <c r="AJ1194">
        <v>-124.95000000000073</v>
      </c>
    </row>
    <row r="1195" spans="1:36" x14ac:dyDescent="0.25">
      <c r="A1195">
        <v>11194</v>
      </c>
      <c r="B1195">
        <v>42</v>
      </c>
      <c r="C1195" s="1" t="s">
        <v>36</v>
      </c>
      <c r="D1195" s="1" t="s">
        <v>61</v>
      </c>
      <c r="E1195" s="2">
        <v>44389</v>
      </c>
      <c r="F1195" s="2">
        <v>45117</v>
      </c>
      <c r="G1195" s="1" t="s">
        <v>38</v>
      </c>
      <c r="H1195">
        <v>815</v>
      </c>
      <c r="I1195">
        <v>7</v>
      </c>
      <c r="J1195">
        <v>3</v>
      </c>
      <c r="K1195">
        <v>21.96</v>
      </c>
      <c r="L1195">
        <v>5</v>
      </c>
      <c r="M1195" s="1" t="s">
        <v>67</v>
      </c>
      <c r="N1195" s="1" t="s">
        <v>56</v>
      </c>
      <c r="O1195">
        <v>5664.25</v>
      </c>
      <c r="P1195" t="b">
        <v>1</v>
      </c>
      <c r="Q1195">
        <v>0.58333333333333337</v>
      </c>
      <c r="R1195">
        <v>809.17857142857144</v>
      </c>
      <c r="S1195">
        <v>5.49</v>
      </c>
      <c r="T1195" s="2">
        <v>44378</v>
      </c>
      <c r="U1195" s="1" t="s">
        <v>51</v>
      </c>
      <c r="V1195">
        <v>0</v>
      </c>
      <c r="W1195" s="1" t="s">
        <v>56</v>
      </c>
      <c r="X1195">
        <v>728</v>
      </c>
      <c r="Y1195" s="1" t="s">
        <v>52</v>
      </c>
      <c r="Z1195" s="1" t="s">
        <v>42</v>
      </c>
      <c r="AA1195">
        <v>0.375</v>
      </c>
      <c r="AB1195" s="1" t="s">
        <v>42</v>
      </c>
      <c r="AC1195">
        <v>1</v>
      </c>
      <c r="AD1195" s="2">
        <v>44378</v>
      </c>
      <c r="AE1195" s="1" t="s">
        <v>74</v>
      </c>
      <c r="AF1195" s="1" t="s">
        <v>72</v>
      </c>
      <c r="AG1195" s="1" t="s">
        <v>70</v>
      </c>
      <c r="AH1195" s="1" t="s">
        <v>59</v>
      </c>
      <c r="AI1195">
        <v>5705</v>
      </c>
      <c r="AJ1195">
        <v>-40.75</v>
      </c>
    </row>
    <row r="1196" spans="1:36" x14ac:dyDescent="0.25">
      <c r="A1196">
        <v>11195</v>
      </c>
      <c r="B1196">
        <v>24</v>
      </c>
      <c r="C1196" s="1" t="s">
        <v>60</v>
      </c>
      <c r="D1196" s="1" t="s">
        <v>61</v>
      </c>
      <c r="E1196" s="2">
        <v>44823</v>
      </c>
      <c r="F1196" s="2">
        <v>45023</v>
      </c>
      <c r="G1196" s="1" t="s">
        <v>62</v>
      </c>
      <c r="H1196">
        <v>1259</v>
      </c>
      <c r="I1196">
        <v>9</v>
      </c>
      <c r="J1196">
        <v>4</v>
      </c>
      <c r="K1196">
        <v>26.57</v>
      </c>
      <c r="L1196">
        <v>0</v>
      </c>
      <c r="M1196" s="1" t="s">
        <v>50</v>
      </c>
      <c r="N1196" s="1" t="s">
        <v>56</v>
      </c>
      <c r="O1196">
        <v>11331</v>
      </c>
      <c r="P1196" t="b">
        <v>1</v>
      </c>
      <c r="Q1196">
        <v>0.75</v>
      </c>
      <c r="R1196">
        <v>1259</v>
      </c>
      <c r="S1196">
        <v>5.3140000000000001</v>
      </c>
      <c r="T1196" s="2">
        <v>44805</v>
      </c>
      <c r="U1196" s="1" t="s">
        <v>66</v>
      </c>
      <c r="V1196">
        <v>0</v>
      </c>
      <c r="W1196" s="1" t="s">
        <v>56</v>
      </c>
      <c r="X1196">
        <v>200</v>
      </c>
      <c r="Y1196" s="1" t="s">
        <v>52</v>
      </c>
      <c r="Z1196" s="1" t="s">
        <v>42</v>
      </c>
      <c r="AA1196">
        <v>0.4</v>
      </c>
      <c r="AB1196" s="1" t="s">
        <v>52</v>
      </c>
      <c r="AC1196">
        <v>2</v>
      </c>
      <c r="AD1196" s="2">
        <v>44805</v>
      </c>
      <c r="AE1196" s="1" t="s">
        <v>74</v>
      </c>
      <c r="AF1196" s="1" t="s">
        <v>45</v>
      </c>
      <c r="AG1196" s="1" t="s">
        <v>70</v>
      </c>
      <c r="AH1196" s="1" t="s">
        <v>47</v>
      </c>
      <c r="AI1196">
        <v>11331</v>
      </c>
      <c r="AJ1196">
        <v>0</v>
      </c>
    </row>
    <row r="1197" spans="1:36" x14ac:dyDescent="0.25">
      <c r="A1197">
        <v>11196</v>
      </c>
      <c r="B1197">
        <v>23</v>
      </c>
      <c r="C1197" s="1" t="s">
        <v>60</v>
      </c>
      <c r="D1197" s="1" t="s">
        <v>73</v>
      </c>
      <c r="E1197" s="2">
        <v>44970</v>
      </c>
      <c r="F1197" s="2">
        <v>45006</v>
      </c>
      <c r="G1197" s="1" t="s">
        <v>38</v>
      </c>
      <c r="H1197">
        <v>464</v>
      </c>
      <c r="I1197">
        <v>25</v>
      </c>
      <c r="J1197">
        <v>7</v>
      </c>
      <c r="K1197">
        <v>93.28</v>
      </c>
      <c r="L1197">
        <v>20</v>
      </c>
      <c r="M1197" s="1" t="s">
        <v>65</v>
      </c>
      <c r="N1197" s="1" t="s">
        <v>56</v>
      </c>
      <c r="O1197">
        <v>11507.2</v>
      </c>
      <c r="P1197" t="b">
        <v>1</v>
      </c>
      <c r="Q1197">
        <v>2.0833333333333335</v>
      </c>
      <c r="R1197">
        <v>460.28800000000001</v>
      </c>
      <c r="S1197">
        <v>11.66</v>
      </c>
      <c r="T1197" s="2">
        <v>44958</v>
      </c>
      <c r="U1197" s="1" t="s">
        <v>66</v>
      </c>
      <c r="V1197">
        <v>0</v>
      </c>
      <c r="W1197" s="1" t="s">
        <v>56</v>
      </c>
      <c r="X1197">
        <v>36</v>
      </c>
      <c r="Y1197" s="1" t="s">
        <v>43</v>
      </c>
      <c r="Z1197" s="1" t="s">
        <v>52</v>
      </c>
      <c r="AA1197">
        <v>0.26923076923076922</v>
      </c>
      <c r="AB1197" s="1" t="s">
        <v>52</v>
      </c>
      <c r="AC1197">
        <v>1</v>
      </c>
      <c r="AD1197" s="2">
        <v>44958</v>
      </c>
      <c r="AE1197" s="1" t="s">
        <v>44</v>
      </c>
      <c r="AF1197" s="1" t="s">
        <v>78</v>
      </c>
      <c r="AG1197" s="1" t="s">
        <v>63</v>
      </c>
      <c r="AH1197" s="1" t="s">
        <v>68</v>
      </c>
      <c r="AI1197">
        <v>11600</v>
      </c>
      <c r="AJ1197">
        <v>-92.799999999999272</v>
      </c>
    </row>
    <row r="1198" spans="1:36" x14ac:dyDescent="0.25">
      <c r="A1198">
        <v>11197</v>
      </c>
      <c r="B1198">
        <v>41</v>
      </c>
      <c r="C1198" s="1" t="s">
        <v>60</v>
      </c>
      <c r="D1198" s="1" t="s">
        <v>37</v>
      </c>
      <c r="E1198" s="2">
        <v>44726</v>
      </c>
      <c r="F1198" s="2">
        <v>45013</v>
      </c>
      <c r="G1198" s="1" t="s">
        <v>38</v>
      </c>
      <c r="H1198">
        <v>1226</v>
      </c>
      <c r="I1198">
        <v>15</v>
      </c>
      <c r="J1198">
        <v>2</v>
      </c>
      <c r="K1198">
        <v>30.62</v>
      </c>
      <c r="L1198">
        <v>15</v>
      </c>
      <c r="M1198" s="1" t="s">
        <v>39</v>
      </c>
      <c r="N1198" s="1" t="s">
        <v>56</v>
      </c>
      <c r="O1198">
        <v>18206.099999999999</v>
      </c>
      <c r="P1198" t="b">
        <v>1</v>
      </c>
      <c r="Q1198">
        <v>1.25</v>
      </c>
      <c r="R1198">
        <v>1213.74</v>
      </c>
      <c r="S1198">
        <v>10.206666666666667</v>
      </c>
      <c r="T1198" s="2">
        <v>44713</v>
      </c>
      <c r="U1198" s="1" t="s">
        <v>51</v>
      </c>
      <c r="V1198">
        <v>0</v>
      </c>
      <c r="W1198" s="1" t="s">
        <v>40</v>
      </c>
      <c r="X1198">
        <v>287</v>
      </c>
      <c r="Y1198" s="1" t="s">
        <v>52</v>
      </c>
      <c r="Z1198" s="1" t="s">
        <v>42</v>
      </c>
      <c r="AA1198">
        <v>0.125</v>
      </c>
      <c r="AB1198" s="1" t="s">
        <v>52</v>
      </c>
      <c r="AC1198">
        <v>1</v>
      </c>
      <c r="AD1198" s="2">
        <v>44713</v>
      </c>
      <c r="AE1198" s="1" t="s">
        <v>53</v>
      </c>
      <c r="AF1198" s="1" t="s">
        <v>72</v>
      </c>
      <c r="AG1198" s="1" t="s">
        <v>55</v>
      </c>
      <c r="AH1198" s="1" t="s">
        <v>47</v>
      </c>
      <c r="AI1198">
        <v>18390</v>
      </c>
      <c r="AJ1198">
        <v>-183.90000000000146</v>
      </c>
    </row>
    <row r="1199" spans="1:36" x14ac:dyDescent="0.25">
      <c r="A1199">
        <v>11198</v>
      </c>
      <c r="B1199">
        <v>50</v>
      </c>
      <c r="C1199" s="1" t="s">
        <v>36</v>
      </c>
      <c r="D1199" s="1" t="s">
        <v>61</v>
      </c>
      <c r="E1199" s="2">
        <v>44206</v>
      </c>
      <c r="F1199" s="2">
        <v>44810</v>
      </c>
      <c r="G1199" s="1" t="s">
        <v>38</v>
      </c>
      <c r="H1199">
        <v>1232</v>
      </c>
      <c r="I1199">
        <v>13</v>
      </c>
      <c r="J1199">
        <v>4</v>
      </c>
      <c r="K1199">
        <v>116.45</v>
      </c>
      <c r="L1199">
        <v>10</v>
      </c>
      <c r="M1199" s="1" t="s">
        <v>50</v>
      </c>
      <c r="N1199" s="1" t="s">
        <v>56</v>
      </c>
      <c r="O1199">
        <v>15892.8</v>
      </c>
      <c r="P1199" t="b">
        <v>1</v>
      </c>
      <c r="Q1199">
        <v>1.0833333333333333</v>
      </c>
      <c r="R1199">
        <v>1222.5230769230768</v>
      </c>
      <c r="S1199">
        <v>23.29</v>
      </c>
      <c r="T1199" s="2">
        <v>44197</v>
      </c>
      <c r="U1199" s="1" t="s">
        <v>51</v>
      </c>
      <c r="V1199">
        <v>0</v>
      </c>
      <c r="W1199" s="1" t="s">
        <v>40</v>
      </c>
      <c r="X1199">
        <v>604</v>
      </c>
      <c r="Y1199" s="1" t="s">
        <v>43</v>
      </c>
      <c r="Z1199" s="1" t="s">
        <v>42</v>
      </c>
      <c r="AA1199">
        <v>0.2857142857142857</v>
      </c>
      <c r="AB1199" s="1" t="s">
        <v>52</v>
      </c>
      <c r="AC1199">
        <v>1</v>
      </c>
      <c r="AD1199" s="2">
        <v>44197</v>
      </c>
      <c r="AE1199" s="1" t="s">
        <v>53</v>
      </c>
      <c r="AF1199" s="1" t="s">
        <v>45</v>
      </c>
      <c r="AG1199" s="1" t="s">
        <v>63</v>
      </c>
      <c r="AH1199" s="1" t="s">
        <v>47</v>
      </c>
      <c r="AI1199">
        <v>16016</v>
      </c>
      <c r="AJ1199">
        <v>-123.20000000000073</v>
      </c>
    </row>
    <row r="1200" spans="1:36" x14ac:dyDescent="0.25">
      <c r="A1200">
        <v>11199</v>
      </c>
      <c r="B1200">
        <v>46</v>
      </c>
      <c r="C1200" s="1" t="s">
        <v>60</v>
      </c>
      <c r="D1200" s="1" t="s">
        <v>69</v>
      </c>
      <c r="E1200" s="2">
        <v>44288</v>
      </c>
      <c r="F1200" s="2">
        <v>44714</v>
      </c>
      <c r="G1200" s="1" t="s">
        <v>62</v>
      </c>
      <c r="H1200">
        <v>856</v>
      </c>
      <c r="I1200">
        <v>26</v>
      </c>
      <c r="J1200">
        <v>2</v>
      </c>
      <c r="K1200">
        <v>78.150000000000006</v>
      </c>
      <c r="L1200">
        <v>20</v>
      </c>
      <c r="M1200" s="1" t="s">
        <v>67</v>
      </c>
      <c r="N1200" s="1" t="s">
        <v>40</v>
      </c>
      <c r="O1200">
        <v>22084.799999999999</v>
      </c>
      <c r="P1200" t="b">
        <v>1</v>
      </c>
      <c r="Q1200">
        <v>2.1666666666666665</v>
      </c>
      <c r="R1200">
        <v>849.4153846153846</v>
      </c>
      <c r="S1200">
        <v>26.05</v>
      </c>
      <c r="T1200" s="2">
        <v>44287</v>
      </c>
      <c r="U1200" s="1" t="s">
        <v>51</v>
      </c>
      <c r="V1200">
        <v>1</v>
      </c>
      <c r="W1200" s="1" t="s">
        <v>40</v>
      </c>
      <c r="X1200">
        <v>426</v>
      </c>
      <c r="Y1200" s="1" t="s">
        <v>43</v>
      </c>
      <c r="Z1200" s="1" t="s">
        <v>52</v>
      </c>
      <c r="AA1200">
        <v>7.407407407407407E-2</v>
      </c>
      <c r="AB1200" s="1" t="s">
        <v>43</v>
      </c>
      <c r="AC1200">
        <v>2</v>
      </c>
      <c r="AD1200" s="2">
        <v>44287</v>
      </c>
      <c r="AE1200" s="1" t="s">
        <v>44</v>
      </c>
      <c r="AF1200" s="1" t="s">
        <v>72</v>
      </c>
      <c r="AG1200" s="1" t="s">
        <v>63</v>
      </c>
      <c r="AH1200" s="1" t="s">
        <v>59</v>
      </c>
      <c r="AI1200">
        <v>22256</v>
      </c>
      <c r="AJ1200">
        <v>-171.20000000000073</v>
      </c>
    </row>
    <row r="1201" spans="1:36" x14ac:dyDescent="0.25">
      <c r="A1201">
        <v>11200</v>
      </c>
      <c r="B1201">
        <v>60</v>
      </c>
      <c r="C1201" s="1" t="s">
        <v>36</v>
      </c>
      <c r="D1201" s="1" t="s">
        <v>61</v>
      </c>
      <c r="E1201" s="2">
        <v>44335</v>
      </c>
      <c r="F1201" s="2">
        <v>44897</v>
      </c>
      <c r="G1201" s="1" t="s">
        <v>62</v>
      </c>
      <c r="H1201">
        <v>979</v>
      </c>
      <c r="I1201">
        <v>21</v>
      </c>
      <c r="J1201">
        <v>2</v>
      </c>
      <c r="K1201">
        <v>84.64</v>
      </c>
      <c r="L1201">
        <v>5</v>
      </c>
      <c r="M1201" s="1" t="s">
        <v>67</v>
      </c>
      <c r="N1201" s="1" t="s">
        <v>56</v>
      </c>
      <c r="O1201">
        <v>20510.05</v>
      </c>
      <c r="P1201" t="b">
        <v>1</v>
      </c>
      <c r="Q1201">
        <v>1.75</v>
      </c>
      <c r="R1201">
        <v>976.66904761904755</v>
      </c>
      <c r="S1201">
        <v>28.213333333333335</v>
      </c>
      <c r="T1201" s="2">
        <v>44317</v>
      </c>
      <c r="U1201" s="1" t="s">
        <v>41</v>
      </c>
      <c r="V1201">
        <v>0</v>
      </c>
      <c r="W1201" s="1" t="s">
        <v>40</v>
      </c>
      <c r="X1201">
        <v>562</v>
      </c>
      <c r="Y1201" s="1" t="s">
        <v>43</v>
      </c>
      <c r="Z1201" s="1" t="s">
        <v>42</v>
      </c>
      <c r="AA1201">
        <v>9.0909090909090912E-2</v>
      </c>
      <c r="AB1201" s="1" t="s">
        <v>43</v>
      </c>
      <c r="AC1201">
        <v>2</v>
      </c>
      <c r="AD1201" s="2">
        <v>44317</v>
      </c>
      <c r="AE1201" s="1" t="s">
        <v>53</v>
      </c>
      <c r="AF1201" s="1" t="s">
        <v>72</v>
      </c>
      <c r="AG1201" s="1" t="s">
        <v>63</v>
      </c>
      <c r="AH1201" s="1" t="s">
        <v>59</v>
      </c>
      <c r="AI1201">
        <v>20559</v>
      </c>
      <c r="AJ1201">
        <v>-48.950000000000728</v>
      </c>
    </row>
    <row r="1202" spans="1:36" x14ac:dyDescent="0.25">
      <c r="A1202">
        <v>11201</v>
      </c>
      <c r="B1202">
        <v>39</v>
      </c>
      <c r="C1202" s="1" t="s">
        <v>36</v>
      </c>
      <c r="D1202" s="1" t="s">
        <v>69</v>
      </c>
      <c r="E1202" s="2">
        <v>44677</v>
      </c>
      <c r="F1202" s="2">
        <v>44990</v>
      </c>
      <c r="G1202" s="1" t="s">
        <v>38</v>
      </c>
      <c r="H1202">
        <v>1292</v>
      </c>
      <c r="I1202">
        <v>23</v>
      </c>
      <c r="J1202">
        <v>2</v>
      </c>
      <c r="K1202">
        <v>30.05</v>
      </c>
      <c r="L1202">
        <v>20</v>
      </c>
      <c r="M1202" s="1" t="s">
        <v>50</v>
      </c>
      <c r="N1202" s="1" t="s">
        <v>56</v>
      </c>
      <c r="O1202">
        <v>29457.599999999999</v>
      </c>
      <c r="P1202" t="b">
        <v>1</v>
      </c>
      <c r="Q1202">
        <v>1.9166666666666667</v>
      </c>
      <c r="R1202">
        <v>1280.7652173913043</v>
      </c>
      <c r="S1202">
        <v>10.016666666666667</v>
      </c>
      <c r="T1202" s="2">
        <v>44652</v>
      </c>
      <c r="U1202" s="1" t="s">
        <v>51</v>
      </c>
      <c r="V1202">
        <v>0</v>
      </c>
      <c r="W1202" s="1" t="s">
        <v>40</v>
      </c>
      <c r="X1202">
        <v>313</v>
      </c>
      <c r="Y1202" s="1" t="s">
        <v>52</v>
      </c>
      <c r="Z1202" s="1" t="s">
        <v>52</v>
      </c>
      <c r="AA1202">
        <v>8.3333333333333329E-2</v>
      </c>
      <c r="AB1202" s="1" t="s">
        <v>43</v>
      </c>
      <c r="AC1202">
        <v>1</v>
      </c>
      <c r="AD1202" s="2">
        <v>44652</v>
      </c>
      <c r="AE1202" s="1" t="s">
        <v>53</v>
      </c>
      <c r="AF1202" s="1" t="s">
        <v>72</v>
      </c>
      <c r="AG1202" s="1" t="s">
        <v>55</v>
      </c>
      <c r="AH1202" s="1" t="s">
        <v>47</v>
      </c>
      <c r="AI1202">
        <v>29716</v>
      </c>
      <c r="AJ1202">
        <v>-258.40000000000146</v>
      </c>
    </row>
    <row r="1203" spans="1:36" x14ac:dyDescent="0.25">
      <c r="A1203">
        <v>11202</v>
      </c>
      <c r="B1203">
        <v>43</v>
      </c>
      <c r="C1203" s="1" t="s">
        <v>36</v>
      </c>
      <c r="D1203" s="1" t="s">
        <v>61</v>
      </c>
      <c r="E1203" s="2">
        <v>44645</v>
      </c>
      <c r="F1203" s="2">
        <v>45217</v>
      </c>
      <c r="G1203" s="1" t="s">
        <v>62</v>
      </c>
      <c r="H1203">
        <v>1328</v>
      </c>
      <c r="I1203">
        <v>28</v>
      </c>
      <c r="J1203">
        <v>1</v>
      </c>
      <c r="K1203">
        <v>107.66</v>
      </c>
      <c r="L1203">
        <v>10</v>
      </c>
      <c r="M1203" s="1" t="s">
        <v>39</v>
      </c>
      <c r="N1203" s="1" t="s">
        <v>56</v>
      </c>
      <c r="O1203">
        <v>37051.199999999997</v>
      </c>
      <c r="P1203" t="b">
        <v>1</v>
      </c>
      <c r="Q1203">
        <v>2.3333333333333335</v>
      </c>
      <c r="R1203">
        <v>1323.2571428571428</v>
      </c>
      <c r="S1203">
        <v>53.83</v>
      </c>
      <c r="T1203" s="2">
        <v>44621</v>
      </c>
      <c r="U1203" s="1" t="s">
        <v>51</v>
      </c>
      <c r="V1203">
        <v>0</v>
      </c>
      <c r="W1203" s="1" t="s">
        <v>40</v>
      </c>
      <c r="X1203">
        <v>572</v>
      </c>
      <c r="Y1203" s="1" t="s">
        <v>43</v>
      </c>
      <c r="Z1203" s="1" t="s">
        <v>42</v>
      </c>
      <c r="AA1203">
        <v>3.4482758620689655E-2</v>
      </c>
      <c r="AB1203" s="1" t="s">
        <v>43</v>
      </c>
      <c r="AC1203">
        <v>2</v>
      </c>
      <c r="AD1203" s="2">
        <v>44621</v>
      </c>
      <c r="AE1203" s="1" t="s">
        <v>44</v>
      </c>
      <c r="AF1203" s="1" t="s">
        <v>54</v>
      </c>
      <c r="AG1203" s="1" t="s">
        <v>63</v>
      </c>
      <c r="AH1203" s="1" t="s">
        <v>47</v>
      </c>
      <c r="AI1203">
        <v>37184</v>
      </c>
      <c r="AJ1203">
        <v>-132.80000000000291</v>
      </c>
    </row>
    <row r="1204" spans="1:36" x14ac:dyDescent="0.25">
      <c r="A1204">
        <v>11203</v>
      </c>
      <c r="B1204">
        <v>45</v>
      </c>
      <c r="C1204" s="1" t="s">
        <v>60</v>
      </c>
      <c r="D1204" s="1" t="s">
        <v>69</v>
      </c>
      <c r="E1204" s="2">
        <v>44529</v>
      </c>
      <c r="F1204" s="2">
        <v>44602</v>
      </c>
      <c r="G1204" s="1" t="s">
        <v>38</v>
      </c>
      <c r="H1204">
        <v>1056</v>
      </c>
      <c r="I1204">
        <v>12</v>
      </c>
      <c r="J1204">
        <v>1</v>
      </c>
      <c r="K1204">
        <v>81.8</v>
      </c>
      <c r="L1204">
        <v>5</v>
      </c>
      <c r="M1204" s="1" t="s">
        <v>39</v>
      </c>
      <c r="N1204" s="1" t="s">
        <v>40</v>
      </c>
      <c r="O1204">
        <v>12619.2</v>
      </c>
      <c r="P1204" t="b">
        <v>1</v>
      </c>
      <c r="Q1204">
        <v>1</v>
      </c>
      <c r="R1204">
        <v>1051.6000000000001</v>
      </c>
      <c r="S1204">
        <v>40.9</v>
      </c>
      <c r="T1204" s="2">
        <v>44501</v>
      </c>
      <c r="U1204" s="1" t="s">
        <v>51</v>
      </c>
      <c r="V1204">
        <v>1</v>
      </c>
      <c r="W1204" s="1" t="s">
        <v>56</v>
      </c>
      <c r="X1204">
        <v>73</v>
      </c>
      <c r="Y1204" s="1" t="s">
        <v>43</v>
      </c>
      <c r="Z1204" s="1" t="s">
        <v>42</v>
      </c>
      <c r="AA1204">
        <v>7.6923076923076927E-2</v>
      </c>
      <c r="AB1204" s="1" t="s">
        <v>52</v>
      </c>
      <c r="AC1204">
        <v>1</v>
      </c>
      <c r="AD1204" s="2">
        <v>44501</v>
      </c>
      <c r="AE1204" s="1" t="s">
        <v>74</v>
      </c>
      <c r="AF1204" s="1" t="s">
        <v>54</v>
      </c>
      <c r="AG1204" s="1" t="s">
        <v>63</v>
      </c>
      <c r="AH1204" s="1" t="s">
        <v>47</v>
      </c>
      <c r="AI1204">
        <v>12672</v>
      </c>
      <c r="AJ1204">
        <v>-52.799999999999272</v>
      </c>
    </row>
    <row r="1205" spans="1:36" x14ac:dyDescent="0.25">
      <c r="A1205">
        <v>11204</v>
      </c>
      <c r="B1205">
        <v>38</v>
      </c>
      <c r="C1205" s="1" t="s">
        <v>60</v>
      </c>
      <c r="D1205" s="1" t="s">
        <v>61</v>
      </c>
      <c r="E1205" s="2">
        <v>45065</v>
      </c>
      <c r="F1205" s="2">
        <v>44555</v>
      </c>
      <c r="G1205" s="1" t="s">
        <v>49</v>
      </c>
      <c r="H1205">
        <v>1404</v>
      </c>
      <c r="I1205">
        <v>24</v>
      </c>
      <c r="J1205">
        <v>6</v>
      </c>
      <c r="K1205">
        <v>104.41</v>
      </c>
      <c r="L1205">
        <v>10</v>
      </c>
      <c r="M1205" s="1" t="s">
        <v>67</v>
      </c>
      <c r="N1205" s="1" t="s">
        <v>40</v>
      </c>
      <c r="O1205">
        <v>33555.599999999999</v>
      </c>
      <c r="P1205" t="b">
        <v>0</v>
      </c>
      <c r="Q1205">
        <v>2</v>
      </c>
      <c r="R1205">
        <v>1398.1499999999999</v>
      </c>
      <c r="S1205">
        <v>14.915714285714285</v>
      </c>
      <c r="T1205" s="2">
        <v>45047</v>
      </c>
      <c r="U1205" s="1" t="s">
        <v>51</v>
      </c>
      <c r="V1205">
        <v>1</v>
      </c>
      <c r="W1205" s="1" t="s">
        <v>40</v>
      </c>
      <c r="Y1205" s="1" t="s">
        <v>43</v>
      </c>
      <c r="Z1205" s="1" t="s">
        <v>42</v>
      </c>
      <c r="AA1205">
        <v>0.24</v>
      </c>
      <c r="AB1205" s="1" t="s">
        <v>43</v>
      </c>
      <c r="AC1205">
        <v>3</v>
      </c>
      <c r="AD1205" s="2">
        <v>45047</v>
      </c>
      <c r="AE1205" s="1" t="s">
        <v>53</v>
      </c>
      <c r="AF1205" s="1" t="s">
        <v>78</v>
      </c>
      <c r="AG1205" s="1" t="s">
        <v>63</v>
      </c>
      <c r="AH1205" s="1" t="s">
        <v>47</v>
      </c>
      <c r="AI1205">
        <v>33696</v>
      </c>
      <c r="AJ1205">
        <v>-140.40000000000146</v>
      </c>
    </row>
    <row r="1206" spans="1:36" x14ac:dyDescent="0.25">
      <c r="A1206">
        <v>11205</v>
      </c>
      <c r="B1206">
        <v>24</v>
      </c>
      <c r="C1206" s="1" t="s">
        <v>36</v>
      </c>
      <c r="D1206" s="1" t="s">
        <v>61</v>
      </c>
      <c r="E1206" s="2">
        <v>44536</v>
      </c>
      <c r="F1206" s="2">
        <v>44797</v>
      </c>
      <c r="G1206" s="1" t="s">
        <v>38</v>
      </c>
      <c r="H1206">
        <v>1154</v>
      </c>
      <c r="I1206">
        <v>13</v>
      </c>
      <c r="J1206">
        <v>2</v>
      </c>
      <c r="K1206">
        <v>115</v>
      </c>
      <c r="L1206">
        <v>0</v>
      </c>
      <c r="M1206" s="1" t="s">
        <v>67</v>
      </c>
      <c r="N1206" s="1" t="s">
        <v>56</v>
      </c>
      <c r="O1206">
        <v>15002</v>
      </c>
      <c r="P1206" t="b">
        <v>1</v>
      </c>
      <c r="Q1206">
        <v>1.0833333333333333</v>
      </c>
      <c r="R1206">
        <v>1154</v>
      </c>
      <c r="S1206">
        <v>38.333333333333336</v>
      </c>
      <c r="T1206" s="2">
        <v>44531</v>
      </c>
      <c r="U1206" s="1" t="s">
        <v>66</v>
      </c>
      <c r="V1206">
        <v>0</v>
      </c>
      <c r="W1206" s="1" t="s">
        <v>40</v>
      </c>
      <c r="X1206">
        <v>261</v>
      </c>
      <c r="Y1206" s="1" t="s">
        <v>43</v>
      </c>
      <c r="Z1206" s="1" t="s">
        <v>42</v>
      </c>
      <c r="AA1206">
        <v>0.14285714285714285</v>
      </c>
      <c r="AB1206" s="1" t="s">
        <v>52</v>
      </c>
      <c r="AC1206">
        <v>1</v>
      </c>
      <c r="AD1206" s="2">
        <v>44531</v>
      </c>
      <c r="AE1206" s="1" t="s">
        <v>53</v>
      </c>
      <c r="AF1206" s="1" t="s">
        <v>72</v>
      </c>
      <c r="AG1206" s="1" t="s">
        <v>63</v>
      </c>
      <c r="AH1206" s="1" t="s">
        <v>47</v>
      </c>
      <c r="AI1206">
        <v>15002</v>
      </c>
      <c r="AJ1206">
        <v>0</v>
      </c>
    </row>
    <row r="1207" spans="1:36" x14ac:dyDescent="0.25">
      <c r="A1207">
        <v>11206</v>
      </c>
      <c r="B1207">
        <v>34</v>
      </c>
      <c r="C1207" s="1" t="s">
        <v>60</v>
      </c>
      <c r="D1207" s="1" t="s">
        <v>48</v>
      </c>
      <c r="E1207" s="2">
        <v>44248</v>
      </c>
      <c r="F1207" s="2">
        <v>44442</v>
      </c>
      <c r="G1207" s="1" t="s">
        <v>62</v>
      </c>
      <c r="H1207">
        <v>792</v>
      </c>
      <c r="I1207">
        <v>2</v>
      </c>
      <c r="J1207">
        <v>1</v>
      </c>
      <c r="K1207">
        <v>19.45</v>
      </c>
      <c r="L1207">
        <v>10</v>
      </c>
      <c r="M1207" s="1" t="s">
        <v>65</v>
      </c>
      <c r="N1207" s="1" t="s">
        <v>56</v>
      </c>
      <c r="O1207">
        <v>1504.8</v>
      </c>
      <c r="P1207" t="b">
        <v>1</v>
      </c>
      <c r="Q1207">
        <v>0.16666666666666666</v>
      </c>
      <c r="R1207">
        <v>752.4</v>
      </c>
      <c r="S1207">
        <v>9.7249999999999996</v>
      </c>
      <c r="T1207" s="2">
        <v>44228</v>
      </c>
      <c r="U1207" s="1" t="s">
        <v>57</v>
      </c>
      <c r="V1207">
        <v>0</v>
      </c>
      <c r="W1207" s="1" t="s">
        <v>56</v>
      </c>
      <c r="X1207">
        <v>194</v>
      </c>
      <c r="Y1207" s="1" t="s">
        <v>42</v>
      </c>
      <c r="Z1207" s="1" t="s">
        <v>42</v>
      </c>
      <c r="AA1207">
        <v>0.33333333333333331</v>
      </c>
      <c r="AB1207" s="1" t="s">
        <v>42</v>
      </c>
      <c r="AC1207">
        <v>2</v>
      </c>
      <c r="AD1207" s="2">
        <v>44228</v>
      </c>
      <c r="AE1207" s="1" t="s">
        <v>58</v>
      </c>
      <c r="AF1207" s="1" t="s">
        <v>54</v>
      </c>
      <c r="AG1207" s="1" t="s">
        <v>46</v>
      </c>
      <c r="AH1207" s="1" t="s">
        <v>59</v>
      </c>
      <c r="AI1207">
        <v>1584</v>
      </c>
      <c r="AJ1207">
        <v>-79.200000000000045</v>
      </c>
    </row>
    <row r="1208" spans="1:36" x14ac:dyDescent="0.25">
      <c r="A1208">
        <v>11207</v>
      </c>
      <c r="B1208">
        <v>37</v>
      </c>
      <c r="C1208" s="1" t="s">
        <v>60</v>
      </c>
      <c r="D1208" s="1" t="s">
        <v>69</v>
      </c>
      <c r="E1208" s="2">
        <v>44903</v>
      </c>
      <c r="F1208" s="2">
        <v>45207</v>
      </c>
      <c r="G1208" s="1" t="s">
        <v>49</v>
      </c>
      <c r="H1208">
        <v>948</v>
      </c>
      <c r="I1208">
        <v>12</v>
      </c>
      <c r="J1208">
        <v>1</v>
      </c>
      <c r="K1208">
        <v>16.11</v>
      </c>
      <c r="L1208">
        <v>20</v>
      </c>
      <c r="M1208" s="1" t="s">
        <v>39</v>
      </c>
      <c r="N1208" s="1" t="s">
        <v>56</v>
      </c>
      <c r="O1208">
        <v>11186.4</v>
      </c>
      <c r="P1208" t="b">
        <v>1</v>
      </c>
      <c r="Q1208">
        <v>1</v>
      </c>
      <c r="R1208">
        <v>932.19999999999993</v>
      </c>
      <c r="S1208">
        <v>8.0549999999999997</v>
      </c>
      <c r="T1208" s="2">
        <v>44896</v>
      </c>
      <c r="U1208" s="1" t="s">
        <v>51</v>
      </c>
      <c r="V1208">
        <v>0</v>
      </c>
      <c r="W1208" s="1" t="s">
        <v>56</v>
      </c>
      <c r="X1208">
        <v>304</v>
      </c>
      <c r="Y1208" s="1" t="s">
        <v>42</v>
      </c>
      <c r="Z1208" s="1" t="s">
        <v>52</v>
      </c>
      <c r="AA1208">
        <v>7.6923076923076927E-2</v>
      </c>
      <c r="AB1208" s="1" t="s">
        <v>52</v>
      </c>
      <c r="AC1208">
        <v>3</v>
      </c>
      <c r="AD1208" s="2">
        <v>44896</v>
      </c>
      <c r="AE1208" s="1" t="s">
        <v>74</v>
      </c>
      <c r="AF1208" s="1" t="s">
        <v>54</v>
      </c>
      <c r="AG1208" s="1" t="s">
        <v>46</v>
      </c>
      <c r="AH1208" s="1" t="s">
        <v>59</v>
      </c>
      <c r="AI1208">
        <v>11376</v>
      </c>
      <c r="AJ1208">
        <v>-189.60000000000036</v>
      </c>
    </row>
    <row r="1209" spans="1:36" x14ac:dyDescent="0.25">
      <c r="A1209">
        <v>11208</v>
      </c>
      <c r="B1209">
        <v>58</v>
      </c>
      <c r="C1209" s="1" t="s">
        <v>60</v>
      </c>
      <c r="D1209" s="1" t="s">
        <v>76</v>
      </c>
      <c r="E1209" s="2">
        <v>44662</v>
      </c>
      <c r="F1209" s="2">
        <v>45186</v>
      </c>
      <c r="G1209" s="1" t="s">
        <v>49</v>
      </c>
      <c r="H1209">
        <v>1291</v>
      </c>
      <c r="I1209">
        <v>14</v>
      </c>
      <c r="J1209">
        <v>6</v>
      </c>
      <c r="K1209">
        <v>97.39</v>
      </c>
      <c r="L1209">
        <v>0</v>
      </c>
      <c r="M1209" s="1" t="s">
        <v>50</v>
      </c>
      <c r="N1209" s="1" t="s">
        <v>40</v>
      </c>
      <c r="O1209">
        <v>18074</v>
      </c>
      <c r="P1209" t="b">
        <v>1</v>
      </c>
      <c r="Q1209">
        <v>1.1666666666666667</v>
      </c>
      <c r="R1209">
        <v>1291</v>
      </c>
      <c r="S1209">
        <v>13.912857142857144</v>
      </c>
      <c r="T1209" s="2">
        <v>44652</v>
      </c>
      <c r="U1209" s="1" t="s">
        <v>41</v>
      </c>
      <c r="V1209">
        <v>1</v>
      </c>
      <c r="W1209" s="1" t="s">
        <v>40</v>
      </c>
      <c r="X1209">
        <v>524</v>
      </c>
      <c r="Y1209" s="1" t="s">
        <v>43</v>
      </c>
      <c r="Z1209" s="1" t="s">
        <v>42</v>
      </c>
      <c r="AA1209">
        <v>0.4</v>
      </c>
      <c r="AB1209" s="1" t="s">
        <v>52</v>
      </c>
      <c r="AC1209">
        <v>3</v>
      </c>
      <c r="AD1209" s="2">
        <v>44652</v>
      </c>
      <c r="AE1209" s="1" t="s">
        <v>53</v>
      </c>
      <c r="AF1209" s="1" t="s">
        <v>78</v>
      </c>
      <c r="AG1209" s="1" t="s">
        <v>63</v>
      </c>
      <c r="AH1209" s="1" t="s">
        <v>47</v>
      </c>
      <c r="AI1209">
        <v>18074</v>
      </c>
      <c r="AJ1209">
        <v>0</v>
      </c>
    </row>
    <row r="1210" spans="1:36" x14ac:dyDescent="0.25">
      <c r="A1210">
        <v>11209</v>
      </c>
      <c r="B1210">
        <v>37</v>
      </c>
      <c r="C1210" s="1" t="s">
        <v>60</v>
      </c>
      <c r="D1210" s="1" t="s">
        <v>69</v>
      </c>
      <c r="E1210" s="2">
        <v>44914</v>
      </c>
      <c r="F1210" s="2">
        <v>44825</v>
      </c>
      <c r="G1210" s="1" t="s">
        <v>38</v>
      </c>
      <c r="H1210">
        <v>927</v>
      </c>
      <c r="I1210">
        <v>30</v>
      </c>
      <c r="J1210">
        <v>4</v>
      </c>
      <c r="K1210">
        <v>104.6</v>
      </c>
      <c r="L1210">
        <v>0</v>
      </c>
      <c r="M1210" s="1" t="s">
        <v>67</v>
      </c>
      <c r="N1210" s="1" t="s">
        <v>56</v>
      </c>
      <c r="O1210">
        <v>27810</v>
      </c>
      <c r="P1210" t="b">
        <v>0</v>
      </c>
      <c r="Q1210">
        <v>2.5</v>
      </c>
      <c r="R1210">
        <v>927</v>
      </c>
      <c r="S1210">
        <v>20.919999999999998</v>
      </c>
      <c r="T1210" s="2">
        <v>44896</v>
      </c>
      <c r="U1210" s="1" t="s">
        <v>51</v>
      </c>
      <c r="V1210">
        <v>0</v>
      </c>
      <c r="W1210" s="1" t="s">
        <v>40</v>
      </c>
      <c r="Y1210" s="1" t="s">
        <v>43</v>
      </c>
      <c r="Z1210" s="1" t="s">
        <v>42</v>
      </c>
      <c r="AA1210">
        <v>0.12903225806451613</v>
      </c>
      <c r="AB1210" s="1" t="s">
        <v>43</v>
      </c>
      <c r="AC1210">
        <v>1</v>
      </c>
      <c r="AD1210" s="2">
        <v>44896</v>
      </c>
      <c r="AE1210" s="1" t="s">
        <v>44</v>
      </c>
      <c r="AF1210" s="1" t="s">
        <v>45</v>
      </c>
      <c r="AG1210" s="1" t="s">
        <v>63</v>
      </c>
      <c r="AH1210" s="1" t="s">
        <v>59</v>
      </c>
      <c r="AI1210">
        <v>27810</v>
      </c>
      <c r="AJ1210">
        <v>0</v>
      </c>
    </row>
    <row r="1211" spans="1:36" x14ac:dyDescent="0.25">
      <c r="A1211">
        <v>11210</v>
      </c>
      <c r="B1211">
        <v>39</v>
      </c>
      <c r="C1211" s="1" t="s">
        <v>36</v>
      </c>
      <c r="D1211" s="1" t="s">
        <v>76</v>
      </c>
      <c r="E1211" s="2">
        <v>44995</v>
      </c>
      <c r="F1211" s="2">
        <v>45030</v>
      </c>
      <c r="G1211" s="1" t="s">
        <v>38</v>
      </c>
      <c r="H1211">
        <v>924</v>
      </c>
      <c r="I1211">
        <v>19</v>
      </c>
      <c r="J1211">
        <v>2</v>
      </c>
      <c r="K1211">
        <v>72.13</v>
      </c>
      <c r="L1211">
        <v>15</v>
      </c>
      <c r="M1211" s="1" t="s">
        <v>67</v>
      </c>
      <c r="N1211" s="1" t="s">
        <v>40</v>
      </c>
      <c r="O1211">
        <v>17417.400000000001</v>
      </c>
      <c r="P1211" t="b">
        <v>1</v>
      </c>
      <c r="Q1211">
        <v>1.5833333333333333</v>
      </c>
      <c r="R1211">
        <v>916.70526315789482</v>
      </c>
      <c r="S1211">
        <v>24.043333333333333</v>
      </c>
      <c r="T1211" s="2">
        <v>44986</v>
      </c>
      <c r="U1211" s="1" t="s">
        <v>51</v>
      </c>
      <c r="V1211">
        <v>1</v>
      </c>
      <c r="W1211" s="1" t="s">
        <v>40</v>
      </c>
      <c r="X1211">
        <v>35</v>
      </c>
      <c r="Y1211" s="1" t="s">
        <v>43</v>
      </c>
      <c r="Z1211" s="1" t="s">
        <v>42</v>
      </c>
      <c r="AA1211">
        <v>0.1</v>
      </c>
      <c r="AB1211" s="1" t="s">
        <v>52</v>
      </c>
      <c r="AC1211">
        <v>1</v>
      </c>
      <c r="AD1211" s="2">
        <v>44986</v>
      </c>
      <c r="AE1211" s="1" t="s">
        <v>53</v>
      </c>
      <c r="AF1211" s="1" t="s">
        <v>72</v>
      </c>
      <c r="AG1211" s="1" t="s">
        <v>63</v>
      </c>
      <c r="AH1211" s="1" t="s">
        <v>59</v>
      </c>
      <c r="AI1211">
        <v>17556</v>
      </c>
      <c r="AJ1211">
        <v>-138.59999999999854</v>
      </c>
    </row>
    <row r="1212" spans="1:36" x14ac:dyDescent="0.25">
      <c r="A1212">
        <v>11211</v>
      </c>
      <c r="B1212">
        <v>45</v>
      </c>
      <c r="C1212" s="1" t="s">
        <v>60</v>
      </c>
      <c r="D1212" s="1" t="s">
        <v>61</v>
      </c>
      <c r="E1212" s="2">
        <v>44671</v>
      </c>
      <c r="F1212" s="2">
        <v>45109</v>
      </c>
      <c r="G1212" s="1" t="s">
        <v>62</v>
      </c>
      <c r="H1212">
        <v>842</v>
      </c>
      <c r="I1212">
        <v>31</v>
      </c>
      <c r="J1212">
        <v>1</v>
      </c>
      <c r="K1212">
        <v>47.09</v>
      </c>
      <c r="L1212">
        <v>20</v>
      </c>
      <c r="M1212" s="1" t="s">
        <v>67</v>
      </c>
      <c r="N1212" s="1" t="s">
        <v>56</v>
      </c>
      <c r="O1212">
        <v>25933.599999999999</v>
      </c>
      <c r="P1212" t="b">
        <v>1</v>
      </c>
      <c r="Q1212">
        <v>2.5833333333333335</v>
      </c>
      <c r="R1212">
        <v>836.56774193548381</v>
      </c>
      <c r="S1212">
        <v>23.545000000000002</v>
      </c>
      <c r="T1212" s="2">
        <v>44652</v>
      </c>
      <c r="U1212" s="1" t="s">
        <v>51</v>
      </c>
      <c r="V1212">
        <v>0</v>
      </c>
      <c r="W1212" s="1" t="s">
        <v>40</v>
      </c>
      <c r="X1212">
        <v>438</v>
      </c>
      <c r="Y1212" s="1" t="s">
        <v>52</v>
      </c>
      <c r="Z1212" s="1" t="s">
        <v>52</v>
      </c>
      <c r="AA1212">
        <v>3.125E-2</v>
      </c>
      <c r="AB1212" s="1" t="s">
        <v>43</v>
      </c>
      <c r="AC1212">
        <v>2</v>
      </c>
      <c r="AD1212" s="2">
        <v>44652</v>
      </c>
      <c r="AE1212" s="1" t="s">
        <v>44</v>
      </c>
      <c r="AF1212" s="1" t="s">
        <v>54</v>
      </c>
      <c r="AG1212" s="1" t="s">
        <v>63</v>
      </c>
      <c r="AH1212" s="1" t="s">
        <v>59</v>
      </c>
      <c r="AI1212">
        <v>26102</v>
      </c>
      <c r="AJ1212">
        <v>-168.40000000000146</v>
      </c>
    </row>
    <row r="1213" spans="1:36" x14ac:dyDescent="0.25">
      <c r="A1213">
        <v>11212</v>
      </c>
      <c r="B1213">
        <v>57</v>
      </c>
      <c r="C1213" s="1" t="s">
        <v>60</v>
      </c>
      <c r="D1213" s="1" t="s">
        <v>69</v>
      </c>
      <c r="E1213" s="2">
        <v>44597</v>
      </c>
      <c r="F1213" s="2">
        <v>44537</v>
      </c>
      <c r="G1213" s="1" t="s">
        <v>38</v>
      </c>
      <c r="H1213">
        <v>306</v>
      </c>
      <c r="I1213">
        <v>25</v>
      </c>
      <c r="J1213">
        <v>2</v>
      </c>
      <c r="K1213">
        <v>80.05</v>
      </c>
      <c r="L1213">
        <v>20</v>
      </c>
      <c r="M1213" s="1" t="s">
        <v>67</v>
      </c>
      <c r="N1213" s="1" t="s">
        <v>56</v>
      </c>
      <c r="O1213">
        <v>7588.8</v>
      </c>
      <c r="P1213" t="b">
        <v>0</v>
      </c>
      <c r="Q1213">
        <v>2.0833333333333335</v>
      </c>
      <c r="R1213">
        <v>303.55200000000002</v>
      </c>
      <c r="S1213">
        <v>26.683333333333334</v>
      </c>
      <c r="T1213" s="2">
        <v>44593</v>
      </c>
      <c r="U1213" s="1" t="s">
        <v>41</v>
      </c>
      <c r="V1213">
        <v>0</v>
      </c>
      <c r="W1213" s="1" t="s">
        <v>56</v>
      </c>
      <c r="Y1213" s="1" t="s">
        <v>43</v>
      </c>
      <c r="Z1213" s="1" t="s">
        <v>52</v>
      </c>
      <c r="AA1213">
        <v>7.6923076923076927E-2</v>
      </c>
      <c r="AB1213" s="1" t="s">
        <v>42</v>
      </c>
      <c r="AC1213">
        <v>1</v>
      </c>
      <c r="AD1213" s="2">
        <v>44593</v>
      </c>
      <c r="AE1213" s="1" t="s">
        <v>44</v>
      </c>
      <c r="AF1213" s="1" t="s">
        <v>72</v>
      </c>
      <c r="AG1213" s="1" t="s">
        <v>63</v>
      </c>
      <c r="AH1213" s="1" t="s">
        <v>68</v>
      </c>
      <c r="AI1213">
        <v>7650</v>
      </c>
      <c r="AJ1213">
        <v>-61.199999999999818</v>
      </c>
    </row>
    <row r="1214" spans="1:36" x14ac:dyDescent="0.25">
      <c r="A1214">
        <v>11213</v>
      </c>
      <c r="B1214">
        <v>24</v>
      </c>
      <c r="C1214" s="1" t="s">
        <v>60</v>
      </c>
      <c r="D1214" s="1" t="s">
        <v>73</v>
      </c>
      <c r="E1214" s="2">
        <v>44635</v>
      </c>
      <c r="F1214" s="2">
        <v>45058</v>
      </c>
      <c r="G1214" s="1" t="s">
        <v>49</v>
      </c>
      <c r="H1214">
        <v>1253</v>
      </c>
      <c r="I1214">
        <v>4</v>
      </c>
      <c r="J1214">
        <v>0</v>
      </c>
      <c r="K1214">
        <v>40.15</v>
      </c>
      <c r="L1214">
        <v>5</v>
      </c>
      <c r="M1214" s="1" t="s">
        <v>39</v>
      </c>
      <c r="N1214" s="1" t="s">
        <v>40</v>
      </c>
      <c r="O1214">
        <v>4949.3500000000004</v>
      </c>
      <c r="P1214" t="b">
        <v>1</v>
      </c>
      <c r="Q1214">
        <v>0.33333333333333331</v>
      </c>
      <c r="R1214">
        <v>1237.3375000000001</v>
      </c>
      <c r="S1214">
        <v>40.15</v>
      </c>
      <c r="T1214" s="2">
        <v>44621</v>
      </c>
      <c r="U1214" s="1" t="s">
        <v>66</v>
      </c>
      <c r="V1214">
        <v>1</v>
      </c>
      <c r="W1214" s="1" t="s">
        <v>56</v>
      </c>
      <c r="X1214">
        <v>423</v>
      </c>
      <c r="Y1214" s="1" t="s">
        <v>52</v>
      </c>
      <c r="Z1214" s="1" t="s">
        <v>42</v>
      </c>
      <c r="AA1214">
        <v>0</v>
      </c>
      <c r="AB1214" s="1" t="s">
        <v>42</v>
      </c>
      <c r="AC1214">
        <v>3</v>
      </c>
      <c r="AD1214" s="2">
        <v>44621</v>
      </c>
      <c r="AE1214" s="1" t="s">
        <v>58</v>
      </c>
      <c r="AF1214" s="1" t="s">
        <v>54</v>
      </c>
      <c r="AG1214" s="1" t="s">
        <v>55</v>
      </c>
      <c r="AH1214" s="1" t="s">
        <v>47</v>
      </c>
      <c r="AI1214">
        <v>5012</v>
      </c>
      <c r="AJ1214">
        <v>-62.649999999999636</v>
      </c>
    </row>
    <row r="1215" spans="1:36" x14ac:dyDescent="0.25">
      <c r="A1215">
        <v>11214</v>
      </c>
      <c r="B1215">
        <v>18</v>
      </c>
      <c r="C1215" s="1" t="s">
        <v>36</v>
      </c>
      <c r="D1215" s="1" t="s">
        <v>71</v>
      </c>
      <c r="E1215" s="2">
        <v>45074</v>
      </c>
      <c r="F1215" s="2">
        <v>44831</v>
      </c>
      <c r="G1215" s="1" t="s">
        <v>62</v>
      </c>
      <c r="H1215">
        <v>814</v>
      </c>
      <c r="I1215">
        <v>13</v>
      </c>
      <c r="J1215">
        <v>0</v>
      </c>
      <c r="K1215">
        <v>32.409999999999997</v>
      </c>
      <c r="L1215">
        <v>10</v>
      </c>
      <c r="M1215" s="1" t="s">
        <v>67</v>
      </c>
      <c r="N1215" s="1" t="s">
        <v>56</v>
      </c>
      <c r="O1215">
        <v>10500.6</v>
      </c>
      <c r="P1215" t="b">
        <v>0</v>
      </c>
      <c r="Q1215">
        <v>1.0833333333333333</v>
      </c>
      <c r="R1215">
        <v>807.73846153846159</v>
      </c>
      <c r="S1215">
        <v>32.409999999999997</v>
      </c>
      <c r="T1215" s="2">
        <v>45047</v>
      </c>
      <c r="U1215" s="1" t="s">
        <v>66</v>
      </c>
      <c r="V1215">
        <v>0</v>
      </c>
      <c r="W1215" s="1" t="s">
        <v>56</v>
      </c>
      <c r="Y1215" s="1" t="s">
        <v>52</v>
      </c>
      <c r="Z1215" s="1" t="s">
        <v>42</v>
      </c>
      <c r="AA1215">
        <v>0</v>
      </c>
      <c r="AB1215" s="1" t="s">
        <v>52</v>
      </c>
      <c r="AC1215">
        <v>2</v>
      </c>
      <c r="AD1215" s="2">
        <v>45047</v>
      </c>
      <c r="AE1215" s="1" t="s">
        <v>53</v>
      </c>
      <c r="AF1215" s="1" t="s">
        <v>54</v>
      </c>
      <c r="AG1215" s="1" t="s">
        <v>55</v>
      </c>
      <c r="AH1215" s="1" t="s">
        <v>59</v>
      </c>
      <c r="AI1215">
        <v>10582</v>
      </c>
      <c r="AJ1215">
        <v>-81.399999999999636</v>
      </c>
    </row>
    <row r="1216" spans="1:36" x14ac:dyDescent="0.25">
      <c r="A1216">
        <v>11215</v>
      </c>
      <c r="B1216">
        <v>49</v>
      </c>
      <c r="C1216" s="1" t="s">
        <v>36</v>
      </c>
      <c r="D1216" s="1" t="s">
        <v>48</v>
      </c>
      <c r="E1216" s="2">
        <v>44801</v>
      </c>
      <c r="F1216" s="2">
        <v>45080</v>
      </c>
      <c r="G1216" s="1" t="s">
        <v>62</v>
      </c>
      <c r="H1216">
        <v>1054</v>
      </c>
      <c r="I1216">
        <v>3</v>
      </c>
      <c r="J1216">
        <v>5</v>
      </c>
      <c r="K1216">
        <v>61.14</v>
      </c>
      <c r="L1216">
        <v>10</v>
      </c>
      <c r="M1216" s="1" t="s">
        <v>39</v>
      </c>
      <c r="N1216" s="1" t="s">
        <v>40</v>
      </c>
      <c r="O1216">
        <v>3056.6</v>
      </c>
      <c r="P1216" t="b">
        <v>1</v>
      </c>
      <c r="Q1216">
        <v>0.25</v>
      </c>
      <c r="R1216">
        <v>1018.8666666666667</v>
      </c>
      <c r="S1216">
        <v>10.19</v>
      </c>
      <c r="T1216" s="2">
        <v>44774</v>
      </c>
      <c r="U1216" s="1" t="s">
        <v>51</v>
      </c>
      <c r="V1216">
        <v>1</v>
      </c>
      <c r="W1216" s="1" t="s">
        <v>56</v>
      </c>
      <c r="X1216">
        <v>279</v>
      </c>
      <c r="Y1216" s="1" t="s">
        <v>43</v>
      </c>
      <c r="Z1216" s="1" t="s">
        <v>42</v>
      </c>
      <c r="AA1216">
        <v>1.25</v>
      </c>
      <c r="AB1216" s="1" t="s">
        <v>42</v>
      </c>
      <c r="AC1216">
        <v>2</v>
      </c>
      <c r="AD1216" s="2">
        <v>44774</v>
      </c>
      <c r="AE1216" s="1" t="s">
        <v>58</v>
      </c>
      <c r="AF1216" s="1" t="s">
        <v>45</v>
      </c>
      <c r="AG1216" s="1" t="s">
        <v>63</v>
      </c>
      <c r="AH1216" s="1" t="s">
        <v>47</v>
      </c>
      <c r="AI1216">
        <v>3162</v>
      </c>
      <c r="AJ1216">
        <v>-105.40000000000009</v>
      </c>
    </row>
    <row r="1217" spans="1:36" x14ac:dyDescent="0.25">
      <c r="A1217">
        <v>11216</v>
      </c>
      <c r="B1217">
        <v>30</v>
      </c>
      <c r="C1217" s="1" t="s">
        <v>60</v>
      </c>
      <c r="D1217" s="1" t="s">
        <v>69</v>
      </c>
      <c r="E1217" s="2">
        <v>45017</v>
      </c>
      <c r="F1217" s="2">
        <v>44883</v>
      </c>
      <c r="G1217" s="1" t="s">
        <v>38</v>
      </c>
      <c r="H1217">
        <v>372</v>
      </c>
      <c r="I1217">
        <v>16</v>
      </c>
      <c r="J1217">
        <v>0</v>
      </c>
      <c r="K1217">
        <v>29.86</v>
      </c>
      <c r="L1217">
        <v>20</v>
      </c>
      <c r="M1217" s="1" t="s">
        <v>65</v>
      </c>
      <c r="N1217" s="1" t="s">
        <v>56</v>
      </c>
      <c r="O1217">
        <v>5877.6</v>
      </c>
      <c r="P1217" t="b">
        <v>0</v>
      </c>
      <c r="Q1217">
        <v>1.3333333333333333</v>
      </c>
      <c r="R1217">
        <v>367.35</v>
      </c>
      <c r="S1217">
        <v>29.86</v>
      </c>
      <c r="T1217" s="2">
        <v>45017</v>
      </c>
      <c r="U1217" s="1" t="s">
        <v>57</v>
      </c>
      <c r="V1217">
        <v>0</v>
      </c>
      <c r="W1217" s="1" t="s">
        <v>56</v>
      </c>
      <c r="Y1217" s="1" t="s">
        <v>52</v>
      </c>
      <c r="Z1217" s="1" t="s">
        <v>52</v>
      </c>
      <c r="AA1217">
        <v>0</v>
      </c>
      <c r="AB1217" s="1" t="s">
        <v>42</v>
      </c>
      <c r="AC1217">
        <v>1</v>
      </c>
      <c r="AD1217" s="2">
        <v>45017</v>
      </c>
      <c r="AE1217" s="1" t="s">
        <v>53</v>
      </c>
      <c r="AF1217" s="1" t="s">
        <v>54</v>
      </c>
      <c r="AG1217" s="1" t="s">
        <v>70</v>
      </c>
      <c r="AH1217" s="1" t="s">
        <v>68</v>
      </c>
      <c r="AI1217">
        <v>5952</v>
      </c>
      <c r="AJ1217">
        <v>-74.399999999999636</v>
      </c>
    </row>
    <row r="1218" spans="1:36" x14ac:dyDescent="0.25">
      <c r="A1218">
        <v>11217</v>
      </c>
      <c r="B1218">
        <v>47</v>
      </c>
      <c r="C1218" s="1" t="s">
        <v>36</v>
      </c>
      <c r="D1218" s="1" t="s">
        <v>69</v>
      </c>
      <c r="E1218" s="2">
        <v>44853</v>
      </c>
      <c r="F1218" s="2">
        <v>45103</v>
      </c>
      <c r="G1218" s="1" t="s">
        <v>62</v>
      </c>
      <c r="H1218">
        <v>309</v>
      </c>
      <c r="I1218">
        <v>26</v>
      </c>
      <c r="J1218">
        <v>0</v>
      </c>
      <c r="K1218">
        <v>60.63</v>
      </c>
      <c r="L1218">
        <v>10</v>
      </c>
      <c r="M1218" s="1" t="s">
        <v>65</v>
      </c>
      <c r="N1218" s="1" t="s">
        <v>56</v>
      </c>
      <c r="O1218">
        <v>8003.1</v>
      </c>
      <c r="P1218" t="b">
        <v>1</v>
      </c>
      <c r="Q1218">
        <v>2.1666666666666665</v>
      </c>
      <c r="R1218">
        <v>307.81153846153848</v>
      </c>
      <c r="S1218">
        <v>60.63</v>
      </c>
      <c r="T1218" s="2">
        <v>44835</v>
      </c>
      <c r="U1218" s="1" t="s">
        <v>51</v>
      </c>
      <c r="V1218">
        <v>0</v>
      </c>
      <c r="W1218" s="1" t="s">
        <v>56</v>
      </c>
      <c r="X1218">
        <v>250</v>
      </c>
      <c r="Y1218" s="1" t="s">
        <v>43</v>
      </c>
      <c r="Z1218" s="1" t="s">
        <v>42</v>
      </c>
      <c r="AA1218">
        <v>0</v>
      </c>
      <c r="AB1218" s="1" t="s">
        <v>42</v>
      </c>
      <c r="AC1218">
        <v>2</v>
      </c>
      <c r="AD1218" s="2">
        <v>44835</v>
      </c>
      <c r="AE1218" s="1" t="s">
        <v>44</v>
      </c>
      <c r="AF1218" s="1" t="s">
        <v>54</v>
      </c>
      <c r="AG1218" s="1" t="s">
        <v>63</v>
      </c>
      <c r="AH1218" s="1" t="s">
        <v>68</v>
      </c>
      <c r="AI1218">
        <v>8034</v>
      </c>
      <c r="AJ1218">
        <v>-30.899999999999636</v>
      </c>
    </row>
    <row r="1219" spans="1:36" x14ac:dyDescent="0.25">
      <c r="A1219">
        <v>11218</v>
      </c>
      <c r="B1219">
        <v>40</v>
      </c>
      <c r="C1219" s="1" t="s">
        <v>36</v>
      </c>
      <c r="D1219" s="1" t="s">
        <v>71</v>
      </c>
      <c r="E1219" s="2">
        <v>44794</v>
      </c>
      <c r="F1219" s="2">
        <v>44770</v>
      </c>
      <c r="G1219" s="1" t="s">
        <v>62</v>
      </c>
      <c r="H1219">
        <v>861</v>
      </c>
      <c r="I1219">
        <v>19</v>
      </c>
      <c r="J1219">
        <v>4</v>
      </c>
      <c r="K1219">
        <v>115.01</v>
      </c>
      <c r="L1219">
        <v>20</v>
      </c>
      <c r="M1219" s="1" t="s">
        <v>50</v>
      </c>
      <c r="N1219" s="1" t="s">
        <v>56</v>
      </c>
      <c r="O1219">
        <v>16186.8</v>
      </c>
      <c r="P1219" t="b">
        <v>0</v>
      </c>
      <c r="Q1219">
        <v>1.5833333333333333</v>
      </c>
      <c r="R1219">
        <v>851.93684210526317</v>
      </c>
      <c r="S1219">
        <v>23.002000000000002</v>
      </c>
      <c r="T1219" s="2">
        <v>44774</v>
      </c>
      <c r="U1219" s="1" t="s">
        <v>51</v>
      </c>
      <c r="V1219">
        <v>0</v>
      </c>
      <c r="W1219" s="1" t="s">
        <v>40</v>
      </c>
      <c r="Y1219" s="1" t="s">
        <v>43</v>
      </c>
      <c r="Z1219" s="1" t="s">
        <v>52</v>
      </c>
      <c r="AA1219">
        <v>0.2</v>
      </c>
      <c r="AB1219" s="1" t="s">
        <v>52</v>
      </c>
      <c r="AC1219">
        <v>2</v>
      </c>
      <c r="AD1219" s="2">
        <v>44774</v>
      </c>
      <c r="AE1219" s="1" t="s">
        <v>53</v>
      </c>
      <c r="AF1219" s="1" t="s">
        <v>45</v>
      </c>
      <c r="AG1219" s="1" t="s">
        <v>63</v>
      </c>
      <c r="AH1219" s="1" t="s">
        <v>59</v>
      </c>
      <c r="AI1219">
        <v>16359</v>
      </c>
      <c r="AJ1219">
        <v>-172.20000000000073</v>
      </c>
    </row>
    <row r="1220" spans="1:36" x14ac:dyDescent="0.25">
      <c r="A1220">
        <v>11219</v>
      </c>
      <c r="B1220">
        <v>36</v>
      </c>
      <c r="C1220" s="1" t="s">
        <v>36</v>
      </c>
      <c r="D1220" s="1" t="s">
        <v>61</v>
      </c>
      <c r="E1220" s="2">
        <v>44705</v>
      </c>
      <c r="F1220" s="2">
        <v>45183</v>
      </c>
      <c r="G1220" s="1" t="s">
        <v>49</v>
      </c>
      <c r="H1220">
        <v>421</v>
      </c>
      <c r="I1220">
        <v>15</v>
      </c>
      <c r="J1220">
        <v>1</v>
      </c>
      <c r="K1220">
        <v>101.58</v>
      </c>
      <c r="L1220">
        <v>0</v>
      </c>
      <c r="M1220" s="1" t="s">
        <v>67</v>
      </c>
      <c r="N1220" s="1" t="s">
        <v>40</v>
      </c>
      <c r="O1220">
        <v>6315</v>
      </c>
      <c r="P1220" t="b">
        <v>1</v>
      </c>
      <c r="Q1220">
        <v>1.25</v>
      </c>
      <c r="R1220">
        <v>421</v>
      </c>
      <c r="S1220">
        <v>50.79</v>
      </c>
      <c r="T1220" s="2">
        <v>44682</v>
      </c>
      <c r="U1220" s="1" t="s">
        <v>51</v>
      </c>
      <c r="V1220">
        <v>1</v>
      </c>
      <c r="W1220" s="1" t="s">
        <v>56</v>
      </c>
      <c r="X1220">
        <v>478</v>
      </c>
      <c r="Y1220" s="1" t="s">
        <v>43</v>
      </c>
      <c r="Z1220" s="1" t="s">
        <v>42</v>
      </c>
      <c r="AA1220">
        <v>6.25E-2</v>
      </c>
      <c r="AB1220" s="1" t="s">
        <v>42</v>
      </c>
      <c r="AC1220">
        <v>3</v>
      </c>
      <c r="AD1220" s="2">
        <v>44682</v>
      </c>
      <c r="AE1220" s="1" t="s">
        <v>53</v>
      </c>
      <c r="AF1220" s="1" t="s">
        <v>54</v>
      </c>
      <c r="AG1220" s="1" t="s">
        <v>63</v>
      </c>
      <c r="AH1220" s="1" t="s">
        <v>68</v>
      </c>
      <c r="AI1220">
        <v>6315</v>
      </c>
      <c r="AJ1220">
        <v>0</v>
      </c>
    </row>
    <row r="1221" spans="1:36" x14ac:dyDescent="0.25">
      <c r="A1221">
        <v>11220</v>
      </c>
      <c r="B1221">
        <v>49</v>
      </c>
      <c r="C1221" s="1" t="s">
        <v>36</v>
      </c>
      <c r="D1221" s="1" t="s">
        <v>73</v>
      </c>
      <c r="E1221" s="2">
        <v>44349</v>
      </c>
      <c r="F1221" s="2">
        <v>44987</v>
      </c>
      <c r="G1221" s="1" t="s">
        <v>38</v>
      </c>
      <c r="H1221">
        <v>986</v>
      </c>
      <c r="I1221">
        <v>32</v>
      </c>
      <c r="J1221">
        <v>2</v>
      </c>
      <c r="K1221">
        <v>113.29</v>
      </c>
      <c r="L1221">
        <v>10</v>
      </c>
      <c r="M1221" s="1" t="s">
        <v>50</v>
      </c>
      <c r="N1221" s="1" t="s">
        <v>56</v>
      </c>
      <c r="O1221">
        <v>31453.4</v>
      </c>
      <c r="P1221" t="b">
        <v>1</v>
      </c>
      <c r="Q1221">
        <v>2.6666666666666665</v>
      </c>
      <c r="R1221">
        <v>982.91875000000005</v>
      </c>
      <c r="S1221">
        <v>37.763333333333335</v>
      </c>
      <c r="T1221" s="2">
        <v>44348</v>
      </c>
      <c r="U1221" s="1" t="s">
        <v>51</v>
      </c>
      <c r="V1221">
        <v>0</v>
      </c>
      <c r="W1221" s="1" t="s">
        <v>40</v>
      </c>
      <c r="X1221">
        <v>638</v>
      </c>
      <c r="Y1221" s="1" t="s">
        <v>43</v>
      </c>
      <c r="Z1221" s="1" t="s">
        <v>42</v>
      </c>
      <c r="AA1221">
        <v>6.0606060606060608E-2</v>
      </c>
      <c r="AB1221" s="1" t="s">
        <v>43</v>
      </c>
      <c r="AC1221">
        <v>1</v>
      </c>
      <c r="AD1221" s="2">
        <v>44348</v>
      </c>
      <c r="AE1221" s="1" t="s">
        <v>44</v>
      </c>
      <c r="AF1221" s="1" t="s">
        <v>72</v>
      </c>
      <c r="AG1221" s="1" t="s">
        <v>63</v>
      </c>
      <c r="AH1221" s="1" t="s">
        <v>59</v>
      </c>
      <c r="AI1221">
        <v>31552</v>
      </c>
      <c r="AJ1221">
        <v>-98.599999999998545</v>
      </c>
    </row>
    <row r="1222" spans="1:36" x14ac:dyDescent="0.25">
      <c r="A1222">
        <v>11221</v>
      </c>
      <c r="B1222">
        <v>47</v>
      </c>
      <c r="C1222" s="1" t="s">
        <v>60</v>
      </c>
      <c r="D1222" s="1" t="s">
        <v>48</v>
      </c>
      <c r="E1222" s="2">
        <v>44710</v>
      </c>
      <c r="F1222" s="2">
        <v>44952</v>
      </c>
      <c r="G1222" s="1" t="s">
        <v>38</v>
      </c>
      <c r="H1222">
        <v>812</v>
      </c>
      <c r="I1222">
        <v>21</v>
      </c>
      <c r="J1222">
        <v>3</v>
      </c>
      <c r="K1222">
        <v>97.73</v>
      </c>
      <c r="L1222">
        <v>10</v>
      </c>
      <c r="M1222" s="1" t="s">
        <v>39</v>
      </c>
      <c r="N1222" s="1" t="s">
        <v>56</v>
      </c>
      <c r="O1222">
        <v>16970.8</v>
      </c>
      <c r="P1222" t="b">
        <v>1</v>
      </c>
      <c r="Q1222">
        <v>1.75</v>
      </c>
      <c r="R1222">
        <v>808.13333333333333</v>
      </c>
      <c r="S1222">
        <v>24.432500000000001</v>
      </c>
      <c r="T1222" s="2">
        <v>44682</v>
      </c>
      <c r="U1222" s="1" t="s">
        <v>51</v>
      </c>
      <c r="V1222">
        <v>0</v>
      </c>
      <c r="W1222" s="1" t="s">
        <v>40</v>
      </c>
      <c r="X1222">
        <v>242</v>
      </c>
      <c r="Y1222" s="1" t="s">
        <v>43</v>
      </c>
      <c r="Z1222" s="1" t="s">
        <v>42</v>
      </c>
      <c r="AA1222">
        <v>0.13636363636363635</v>
      </c>
      <c r="AB1222" s="1" t="s">
        <v>52</v>
      </c>
      <c r="AC1222">
        <v>1</v>
      </c>
      <c r="AD1222" s="2">
        <v>44682</v>
      </c>
      <c r="AE1222" s="1" t="s">
        <v>53</v>
      </c>
      <c r="AF1222" s="1" t="s">
        <v>72</v>
      </c>
      <c r="AG1222" s="1" t="s">
        <v>63</v>
      </c>
      <c r="AH1222" s="1" t="s">
        <v>59</v>
      </c>
      <c r="AI1222">
        <v>17052</v>
      </c>
      <c r="AJ1222">
        <v>-81.200000000000728</v>
      </c>
    </row>
    <row r="1223" spans="1:36" x14ac:dyDescent="0.25">
      <c r="A1223">
        <v>11222</v>
      </c>
      <c r="B1223">
        <v>46</v>
      </c>
      <c r="C1223" s="1" t="s">
        <v>60</v>
      </c>
      <c r="D1223" s="1" t="s">
        <v>69</v>
      </c>
      <c r="E1223" s="2">
        <v>44699</v>
      </c>
      <c r="F1223" s="2">
        <v>45159</v>
      </c>
      <c r="G1223" s="1" t="s">
        <v>38</v>
      </c>
      <c r="H1223">
        <v>1289</v>
      </c>
      <c r="I1223">
        <v>1</v>
      </c>
      <c r="J1223">
        <v>3</v>
      </c>
      <c r="K1223">
        <v>62.59</v>
      </c>
      <c r="L1223">
        <v>20</v>
      </c>
      <c r="M1223" s="1" t="s">
        <v>50</v>
      </c>
      <c r="N1223" s="1" t="s">
        <v>56</v>
      </c>
      <c r="O1223">
        <v>1031.2</v>
      </c>
      <c r="P1223" t="b">
        <v>1</v>
      </c>
      <c r="Q1223">
        <v>8.3333333333333329E-2</v>
      </c>
      <c r="R1223">
        <v>1031.2</v>
      </c>
      <c r="S1223">
        <v>15.647500000000001</v>
      </c>
      <c r="T1223" s="2">
        <v>44682</v>
      </c>
      <c r="U1223" s="1" t="s">
        <v>51</v>
      </c>
      <c r="V1223">
        <v>0</v>
      </c>
      <c r="W1223" s="1" t="s">
        <v>56</v>
      </c>
      <c r="X1223">
        <v>460</v>
      </c>
      <c r="Y1223" s="1" t="s">
        <v>43</v>
      </c>
      <c r="Z1223" s="1" t="s">
        <v>52</v>
      </c>
      <c r="AA1223">
        <v>1.5</v>
      </c>
      <c r="AB1223" s="1" t="s">
        <v>42</v>
      </c>
      <c r="AC1223">
        <v>1</v>
      </c>
      <c r="AD1223" s="2">
        <v>44682</v>
      </c>
      <c r="AE1223" s="1" t="s">
        <v>58</v>
      </c>
      <c r="AF1223" s="1" t="s">
        <v>72</v>
      </c>
      <c r="AG1223" s="1" t="s">
        <v>63</v>
      </c>
      <c r="AH1223" s="1" t="s">
        <v>47</v>
      </c>
      <c r="AI1223">
        <v>1289</v>
      </c>
      <c r="AJ1223">
        <v>-257.79999999999995</v>
      </c>
    </row>
    <row r="1224" spans="1:36" x14ac:dyDescent="0.25">
      <c r="A1224">
        <v>11223</v>
      </c>
      <c r="B1224">
        <v>62</v>
      </c>
      <c r="C1224" s="1" t="s">
        <v>60</v>
      </c>
      <c r="D1224" s="1" t="s">
        <v>61</v>
      </c>
      <c r="E1224" s="2">
        <v>45050</v>
      </c>
      <c r="F1224" s="2">
        <v>44480</v>
      </c>
      <c r="G1224" s="1" t="s">
        <v>38</v>
      </c>
      <c r="H1224">
        <v>740</v>
      </c>
      <c r="I1224">
        <v>6</v>
      </c>
      <c r="J1224">
        <v>2</v>
      </c>
      <c r="K1224">
        <v>98.39</v>
      </c>
      <c r="L1224">
        <v>20</v>
      </c>
      <c r="M1224" s="1" t="s">
        <v>50</v>
      </c>
      <c r="N1224" s="1" t="s">
        <v>56</v>
      </c>
      <c r="O1224">
        <v>4292</v>
      </c>
      <c r="P1224" t="b">
        <v>0</v>
      </c>
      <c r="Q1224">
        <v>0.5</v>
      </c>
      <c r="R1224">
        <v>715.33333333333337</v>
      </c>
      <c r="S1224">
        <v>32.796666666666667</v>
      </c>
      <c r="T1224" s="2">
        <v>45047</v>
      </c>
      <c r="U1224" s="1" t="s">
        <v>41</v>
      </c>
      <c r="V1224">
        <v>0</v>
      </c>
      <c r="W1224" s="1" t="s">
        <v>56</v>
      </c>
      <c r="Y1224" s="1" t="s">
        <v>43</v>
      </c>
      <c r="Z1224" s="1" t="s">
        <v>52</v>
      </c>
      <c r="AA1224">
        <v>0.2857142857142857</v>
      </c>
      <c r="AB1224" s="1" t="s">
        <v>42</v>
      </c>
      <c r="AC1224">
        <v>1</v>
      </c>
      <c r="AD1224" s="2">
        <v>45047</v>
      </c>
      <c r="AE1224" s="1" t="s">
        <v>58</v>
      </c>
      <c r="AF1224" s="1" t="s">
        <v>72</v>
      </c>
      <c r="AG1224" s="1" t="s">
        <v>63</v>
      </c>
      <c r="AH1224" s="1" t="s">
        <v>59</v>
      </c>
      <c r="AI1224">
        <v>4440</v>
      </c>
      <c r="AJ1224">
        <v>-148</v>
      </c>
    </row>
    <row r="1225" spans="1:36" x14ac:dyDescent="0.25">
      <c r="A1225">
        <v>11224</v>
      </c>
      <c r="B1225">
        <v>46</v>
      </c>
      <c r="C1225" s="1" t="s">
        <v>60</v>
      </c>
      <c r="D1225" s="1" t="s">
        <v>73</v>
      </c>
      <c r="E1225" s="2">
        <v>44968</v>
      </c>
      <c r="F1225" s="2">
        <v>44402</v>
      </c>
      <c r="G1225" s="1" t="s">
        <v>62</v>
      </c>
      <c r="H1225">
        <v>1361</v>
      </c>
      <c r="I1225">
        <v>27</v>
      </c>
      <c r="J1225">
        <v>5</v>
      </c>
      <c r="K1225">
        <v>111.14</v>
      </c>
      <c r="L1225">
        <v>5</v>
      </c>
      <c r="M1225" s="1" t="s">
        <v>67</v>
      </c>
      <c r="N1225" s="1" t="s">
        <v>56</v>
      </c>
      <c r="O1225">
        <v>36678.949999999997</v>
      </c>
      <c r="P1225" t="b">
        <v>0</v>
      </c>
      <c r="Q1225">
        <v>2.25</v>
      </c>
      <c r="R1225">
        <v>1358.4796296296295</v>
      </c>
      <c r="S1225">
        <v>18.523333333333333</v>
      </c>
      <c r="T1225" s="2">
        <v>44958</v>
      </c>
      <c r="U1225" s="1" t="s">
        <v>51</v>
      </c>
      <c r="V1225">
        <v>0</v>
      </c>
      <c r="W1225" s="1" t="s">
        <v>40</v>
      </c>
      <c r="Y1225" s="1" t="s">
        <v>43</v>
      </c>
      <c r="Z1225" s="1" t="s">
        <v>42</v>
      </c>
      <c r="AA1225">
        <v>0.17857142857142858</v>
      </c>
      <c r="AB1225" s="1" t="s">
        <v>43</v>
      </c>
      <c r="AC1225">
        <v>2</v>
      </c>
      <c r="AD1225" s="2">
        <v>44958</v>
      </c>
      <c r="AE1225" s="1" t="s">
        <v>44</v>
      </c>
      <c r="AF1225" s="1" t="s">
        <v>45</v>
      </c>
      <c r="AG1225" s="1" t="s">
        <v>63</v>
      </c>
      <c r="AH1225" s="1" t="s">
        <v>47</v>
      </c>
      <c r="AI1225">
        <v>36747</v>
      </c>
      <c r="AJ1225">
        <v>-68.05000000000291</v>
      </c>
    </row>
    <row r="1226" spans="1:36" x14ac:dyDescent="0.25">
      <c r="A1226">
        <v>11225</v>
      </c>
      <c r="B1226">
        <v>47</v>
      </c>
      <c r="C1226" s="1" t="s">
        <v>75</v>
      </c>
      <c r="D1226" s="1" t="s">
        <v>73</v>
      </c>
      <c r="E1226" s="2">
        <v>44872</v>
      </c>
      <c r="F1226" s="2">
        <v>44857</v>
      </c>
      <c r="G1226" s="1" t="s">
        <v>49</v>
      </c>
      <c r="H1226">
        <v>1001</v>
      </c>
      <c r="I1226">
        <v>23</v>
      </c>
      <c r="J1226">
        <v>3</v>
      </c>
      <c r="K1226">
        <v>113.91</v>
      </c>
      <c r="L1226">
        <v>10</v>
      </c>
      <c r="M1226" s="1" t="s">
        <v>39</v>
      </c>
      <c r="N1226" s="1" t="s">
        <v>40</v>
      </c>
      <c r="O1226">
        <v>22922.9</v>
      </c>
      <c r="P1226" t="b">
        <v>0</v>
      </c>
      <c r="Q1226">
        <v>1.9166666666666667</v>
      </c>
      <c r="R1226">
        <v>996.64782608695657</v>
      </c>
      <c r="S1226">
        <v>28.477499999999999</v>
      </c>
      <c r="T1226" s="2">
        <v>44866</v>
      </c>
      <c r="U1226" s="1" t="s">
        <v>51</v>
      </c>
      <c r="V1226">
        <v>1</v>
      </c>
      <c r="W1226" s="1" t="s">
        <v>40</v>
      </c>
      <c r="Y1226" s="1" t="s">
        <v>43</v>
      </c>
      <c r="Z1226" s="1" t="s">
        <v>42</v>
      </c>
      <c r="AA1226">
        <v>0.125</v>
      </c>
      <c r="AB1226" s="1" t="s">
        <v>43</v>
      </c>
      <c r="AC1226">
        <v>3</v>
      </c>
      <c r="AD1226" s="2">
        <v>44866</v>
      </c>
      <c r="AE1226" s="1" t="s">
        <v>53</v>
      </c>
      <c r="AF1226" s="1" t="s">
        <v>72</v>
      </c>
      <c r="AG1226" s="1" t="s">
        <v>63</v>
      </c>
      <c r="AH1226" s="1" t="s">
        <v>47</v>
      </c>
      <c r="AI1226">
        <v>23023</v>
      </c>
      <c r="AJ1226">
        <v>-100.09999999999854</v>
      </c>
    </row>
    <row r="1227" spans="1:36" x14ac:dyDescent="0.25">
      <c r="A1227">
        <v>11226</v>
      </c>
      <c r="B1227">
        <v>33</v>
      </c>
      <c r="C1227" s="1" t="s">
        <v>60</v>
      </c>
      <c r="D1227" s="1" t="s">
        <v>48</v>
      </c>
      <c r="E1227" s="2">
        <v>44202</v>
      </c>
      <c r="F1227" s="2">
        <v>45017</v>
      </c>
      <c r="G1227" s="1" t="s">
        <v>38</v>
      </c>
      <c r="H1227">
        <v>890</v>
      </c>
      <c r="I1227">
        <v>31</v>
      </c>
      <c r="J1227">
        <v>0</v>
      </c>
      <c r="K1227">
        <v>83.57</v>
      </c>
      <c r="L1227">
        <v>15</v>
      </c>
      <c r="M1227" s="1" t="s">
        <v>39</v>
      </c>
      <c r="N1227" s="1" t="s">
        <v>56</v>
      </c>
      <c r="O1227">
        <v>27456.5</v>
      </c>
      <c r="P1227" t="b">
        <v>1</v>
      </c>
      <c r="Q1227">
        <v>2.5833333333333335</v>
      </c>
      <c r="R1227">
        <v>885.69354838709683</v>
      </c>
      <c r="S1227">
        <v>83.57</v>
      </c>
      <c r="T1227" s="2">
        <v>44197</v>
      </c>
      <c r="U1227" s="1" t="s">
        <v>57</v>
      </c>
      <c r="V1227">
        <v>0</v>
      </c>
      <c r="W1227" s="1" t="s">
        <v>40</v>
      </c>
      <c r="X1227">
        <v>815</v>
      </c>
      <c r="Y1227" s="1" t="s">
        <v>43</v>
      </c>
      <c r="Z1227" s="1" t="s">
        <v>42</v>
      </c>
      <c r="AA1227">
        <v>0</v>
      </c>
      <c r="AB1227" s="1" t="s">
        <v>43</v>
      </c>
      <c r="AC1227">
        <v>1</v>
      </c>
      <c r="AD1227" s="2">
        <v>44197</v>
      </c>
      <c r="AE1227" s="1" t="s">
        <v>44</v>
      </c>
      <c r="AF1227" s="1" t="s">
        <v>54</v>
      </c>
      <c r="AG1227" s="1" t="s">
        <v>63</v>
      </c>
      <c r="AH1227" s="1" t="s">
        <v>59</v>
      </c>
      <c r="AI1227">
        <v>27590</v>
      </c>
      <c r="AJ1227">
        <v>-133.5</v>
      </c>
    </row>
    <row r="1228" spans="1:36" x14ac:dyDescent="0.25">
      <c r="A1228">
        <v>11227</v>
      </c>
      <c r="B1228">
        <v>57</v>
      </c>
      <c r="C1228" s="1" t="s">
        <v>60</v>
      </c>
      <c r="D1228" s="1" t="s">
        <v>37</v>
      </c>
      <c r="E1228" s="2">
        <v>44696</v>
      </c>
      <c r="F1228" s="2">
        <v>44888</v>
      </c>
      <c r="G1228" s="1" t="s">
        <v>49</v>
      </c>
      <c r="H1228">
        <v>366</v>
      </c>
      <c r="I1228">
        <v>12</v>
      </c>
      <c r="J1228">
        <v>5</v>
      </c>
      <c r="K1228">
        <v>29.31</v>
      </c>
      <c r="L1228">
        <v>20</v>
      </c>
      <c r="M1228" s="1" t="s">
        <v>67</v>
      </c>
      <c r="N1228" s="1" t="s">
        <v>40</v>
      </c>
      <c r="O1228">
        <v>4318.8</v>
      </c>
      <c r="P1228" t="b">
        <v>1</v>
      </c>
      <c r="Q1228">
        <v>1</v>
      </c>
      <c r="R1228">
        <v>359.90000000000003</v>
      </c>
      <c r="S1228">
        <v>4.8849999999999998</v>
      </c>
      <c r="T1228" s="2">
        <v>44682</v>
      </c>
      <c r="U1228" s="1" t="s">
        <v>41</v>
      </c>
      <c r="V1228">
        <v>1</v>
      </c>
      <c r="W1228" s="1" t="s">
        <v>56</v>
      </c>
      <c r="X1228">
        <v>192</v>
      </c>
      <c r="Y1228" s="1" t="s">
        <v>52</v>
      </c>
      <c r="Z1228" s="1" t="s">
        <v>52</v>
      </c>
      <c r="AA1228">
        <v>0.38461538461538464</v>
      </c>
      <c r="AB1228" s="1" t="s">
        <v>42</v>
      </c>
      <c r="AC1228">
        <v>3</v>
      </c>
      <c r="AD1228" s="2">
        <v>44682</v>
      </c>
      <c r="AE1228" s="1" t="s">
        <v>74</v>
      </c>
      <c r="AF1228" s="1" t="s">
        <v>45</v>
      </c>
      <c r="AG1228" s="1" t="s">
        <v>70</v>
      </c>
      <c r="AH1228" s="1" t="s">
        <v>68</v>
      </c>
      <c r="AI1228">
        <v>4392</v>
      </c>
      <c r="AJ1228">
        <v>-73.199999999999818</v>
      </c>
    </row>
    <row r="1229" spans="1:36" x14ac:dyDescent="0.25">
      <c r="A1229">
        <v>11228</v>
      </c>
      <c r="B1229">
        <v>36</v>
      </c>
      <c r="C1229" s="1" t="s">
        <v>36</v>
      </c>
      <c r="D1229" s="1" t="s">
        <v>73</v>
      </c>
      <c r="E1229" s="2">
        <v>44857</v>
      </c>
      <c r="F1229" s="2">
        <v>44757</v>
      </c>
      <c r="G1229" s="1" t="s">
        <v>38</v>
      </c>
      <c r="H1229">
        <v>316</v>
      </c>
      <c r="I1229">
        <v>21</v>
      </c>
      <c r="J1229">
        <v>2</v>
      </c>
      <c r="K1229">
        <v>9.57</v>
      </c>
      <c r="L1229">
        <v>15</v>
      </c>
      <c r="M1229" s="1" t="s">
        <v>39</v>
      </c>
      <c r="N1229" s="1" t="s">
        <v>56</v>
      </c>
      <c r="O1229">
        <v>6588.6</v>
      </c>
      <c r="P1229" t="b">
        <v>0</v>
      </c>
      <c r="Q1229">
        <v>1.75</v>
      </c>
      <c r="R1229">
        <v>313.74285714285713</v>
      </c>
      <c r="S1229">
        <v>3.19</v>
      </c>
      <c r="T1229" s="2">
        <v>44835</v>
      </c>
      <c r="U1229" s="1" t="s">
        <v>51</v>
      </c>
      <c r="V1229">
        <v>0</v>
      </c>
      <c r="W1229" s="1" t="s">
        <v>56</v>
      </c>
      <c r="Y1229" s="1" t="s">
        <v>42</v>
      </c>
      <c r="Z1229" s="1" t="s">
        <v>42</v>
      </c>
      <c r="AA1229">
        <v>9.0909090909090912E-2</v>
      </c>
      <c r="AB1229" s="1" t="s">
        <v>42</v>
      </c>
      <c r="AC1229">
        <v>1</v>
      </c>
      <c r="AD1229" s="2">
        <v>44835</v>
      </c>
      <c r="AE1229" s="1" t="s">
        <v>53</v>
      </c>
      <c r="AF1229" s="1" t="s">
        <v>72</v>
      </c>
      <c r="AG1229" s="1" t="s">
        <v>77</v>
      </c>
      <c r="AH1229" s="1" t="s">
        <v>68</v>
      </c>
      <c r="AI1229">
        <v>6636</v>
      </c>
      <c r="AJ1229">
        <v>-47.399999999999636</v>
      </c>
    </row>
    <row r="1230" spans="1:36" x14ac:dyDescent="0.25">
      <c r="A1230">
        <v>11229</v>
      </c>
      <c r="B1230">
        <v>35</v>
      </c>
      <c r="C1230" s="1" t="s">
        <v>36</v>
      </c>
      <c r="D1230" s="1" t="s">
        <v>37</v>
      </c>
      <c r="E1230" s="2">
        <v>44913</v>
      </c>
      <c r="F1230" s="2">
        <v>44558</v>
      </c>
      <c r="G1230" s="1" t="s">
        <v>38</v>
      </c>
      <c r="H1230">
        <v>667</v>
      </c>
      <c r="I1230">
        <v>2</v>
      </c>
      <c r="J1230">
        <v>3</v>
      </c>
      <c r="K1230">
        <v>62.59</v>
      </c>
      <c r="L1230">
        <v>0</v>
      </c>
      <c r="M1230" s="1" t="s">
        <v>65</v>
      </c>
      <c r="N1230" s="1" t="s">
        <v>56</v>
      </c>
      <c r="O1230">
        <v>1334</v>
      </c>
      <c r="P1230" t="b">
        <v>0</v>
      </c>
      <c r="Q1230">
        <v>0.16666666666666666</v>
      </c>
      <c r="R1230">
        <v>667</v>
      </c>
      <c r="S1230">
        <v>15.647500000000001</v>
      </c>
      <c r="T1230" s="2">
        <v>44896</v>
      </c>
      <c r="U1230" s="1" t="s">
        <v>57</v>
      </c>
      <c r="V1230">
        <v>0</v>
      </c>
      <c r="W1230" s="1" t="s">
        <v>56</v>
      </c>
      <c r="Y1230" s="1" t="s">
        <v>43</v>
      </c>
      <c r="Z1230" s="1" t="s">
        <v>42</v>
      </c>
      <c r="AA1230">
        <v>1</v>
      </c>
      <c r="AB1230" s="1" t="s">
        <v>42</v>
      </c>
      <c r="AC1230">
        <v>1</v>
      </c>
      <c r="AD1230" s="2">
        <v>44896</v>
      </c>
      <c r="AE1230" s="1" t="s">
        <v>58</v>
      </c>
      <c r="AF1230" s="1" t="s">
        <v>72</v>
      </c>
      <c r="AG1230" s="1" t="s">
        <v>63</v>
      </c>
      <c r="AH1230" s="1" t="s">
        <v>64</v>
      </c>
      <c r="AI1230">
        <v>1334</v>
      </c>
      <c r="AJ1230">
        <v>0</v>
      </c>
    </row>
    <row r="1231" spans="1:36" x14ac:dyDescent="0.25">
      <c r="A1231">
        <v>11230</v>
      </c>
      <c r="B1231">
        <v>18</v>
      </c>
      <c r="C1231" s="1" t="s">
        <v>60</v>
      </c>
      <c r="D1231" s="1" t="s">
        <v>73</v>
      </c>
      <c r="E1231" s="2">
        <v>44314</v>
      </c>
      <c r="F1231" s="2">
        <v>45013</v>
      </c>
      <c r="G1231" s="1" t="s">
        <v>38</v>
      </c>
      <c r="H1231">
        <v>1203</v>
      </c>
      <c r="I1231">
        <v>5</v>
      </c>
      <c r="J1231">
        <v>1</v>
      </c>
      <c r="K1231">
        <v>116.04</v>
      </c>
      <c r="L1231">
        <v>0</v>
      </c>
      <c r="M1231" s="1" t="s">
        <v>67</v>
      </c>
      <c r="N1231" s="1" t="s">
        <v>40</v>
      </c>
      <c r="O1231">
        <v>6015</v>
      </c>
      <c r="P1231" t="b">
        <v>1</v>
      </c>
      <c r="Q1231">
        <v>0.41666666666666669</v>
      </c>
      <c r="R1231">
        <v>1203</v>
      </c>
      <c r="S1231">
        <v>58.02</v>
      </c>
      <c r="T1231" s="2">
        <v>44287</v>
      </c>
      <c r="U1231" s="1" t="s">
        <v>66</v>
      </c>
      <c r="V1231">
        <v>1</v>
      </c>
      <c r="W1231" s="1" t="s">
        <v>56</v>
      </c>
      <c r="X1231">
        <v>699</v>
      </c>
      <c r="Y1231" s="1" t="s">
        <v>43</v>
      </c>
      <c r="Z1231" s="1" t="s">
        <v>42</v>
      </c>
      <c r="AA1231">
        <v>0.16666666666666666</v>
      </c>
      <c r="AB1231" s="1" t="s">
        <v>42</v>
      </c>
      <c r="AC1231">
        <v>1</v>
      </c>
      <c r="AD1231" s="2">
        <v>44287</v>
      </c>
      <c r="AE1231" s="1" t="s">
        <v>58</v>
      </c>
      <c r="AF1231" s="1" t="s">
        <v>54</v>
      </c>
      <c r="AG1231" s="1" t="s">
        <v>63</v>
      </c>
      <c r="AH1231" s="1" t="s">
        <v>47</v>
      </c>
      <c r="AI1231">
        <v>6015</v>
      </c>
      <c r="AJ1231">
        <v>0</v>
      </c>
    </row>
    <row r="1232" spans="1:36" x14ac:dyDescent="0.25">
      <c r="A1232">
        <v>11231</v>
      </c>
      <c r="B1232">
        <v>31</v>
      </c>
      <c r="C1232" s="1" t="s">
        <v>60</v>
      </c>
      <c r="D1232" s="1" t="s">
        <v>48</v>
      </c>
      <c r="E1232" s="2">
        <v>44681</v>
      </c>
      <c r="F1232" s="2">
        <v>44640</v>
      </c>
      <c r="G1232" s="1" t="s">
        <v>38</v>
      </c>
      <c r="H1232">
        <v>1020</v>
      </c>
      <c r="I1232">
        <v>9</v>
      </c>
      <c r="J1232">
        <v>2</v>
      </c>
      <c r="K1232">
        <v>58.14</v>
      </c>
      <c r="L1232">
        <v>15</v>
      </c>
      <c r="M1232" s="1" t="s">
        <v>67</v>
      </c>
      <c r="N1232" s="1" t="s">
        <v>56</v>
      </c>
      <c r="O1232">
        <v>9027</v>
      </c>
      <c r="P1232" t="b">
        <v>0</v>
      </c>
      <c r="Q1232">
        <v>0.75</v>
      </c>
      <c r="R1232">
        <v>1003</v>
      </c>
      <c r="S1232">
        <v>19.38</v>
      </c>
      <c r="T1232" s="2">
        <v>44652</v>
      </c>
      <c r="U1232" s="1" t="s">
        <v>57</v>
      </c>
      <c r="V1232">
        <v>0</v>
      </c>
      <c r="W1232" s="1" t="s">
        <v>56</v>
      </c>
      <c r="Y1232" s="1" t="s">
        <v>52</v>
      </c>
      <c r="Z1232" s="1" t="s">
        <v>42</v>
      </c>
      <c r="AA1232">
        <v>0.2</v>
      </c>
      <c r="AB1232" s="1" t="s">
        <v>52</v>
      </c>
      <c r="AC1232">
        <v>1</v>
      </c>
      <c r="AD1232" s="2">
        <v>44652</v>
      </c>
      <c r="AE1232" s="1" t="s">
        <v>74</v>
      </c>
      <c r="AF1232" s="1" t="s">
        <v>72</v>
      </c>
      <c r="AG1232" s="1" t="s">
        <v>63</v>
      </c>
      <c r="AH1232" s="1" t="s">
        <v>47</v>
      </c>
      <c r="AI1232">
        <v>9180</v>
      </c>
      <c r="AJ1232">
        <v>-153</v>
      </c>
    </row>
    <row r="1233" spans="1:36" x14ac:dyDescent="0.25">
      <c r="A1233">
        <v>11232</v>
      </c>
      <c r="B1233">
        <v>64</v>
      </c>
      <c r="C1233" s="1" t="s">
        <v>60</v>
      </c>
      <c r="D1233" s="1" t="s">
        <v>71</v>
      </c>
      <c r="E1233" s="2">
        <v>44797</v>
      </c>
      <c r="F1233" s="2">
        <v>45081</v>
      </c>
      <c r="G1233" s="1" t="s">
        <v>49</v>
      </c>
      <c r="H1233">
        <v>1257</v>
      </c>
      <c r="I1233">
        <v>20</v>
      </c>
      <c r="J1233">
        <v>0</v>
      </c>
      <c r="K1233">
        <v>103.32</v>
      </c>
      <c r="L1233">
        <v>0</v>
      </c>
      <c r="M1233" s="1" t="s">
        <v>67</v>
      </c>
      <c r="N1233" s="1" t="s">
        <v>56</v>
      </c>
      <c r="O1233">
        <v>25140</v>
      </c>
      <c r="P1233" t="b">
        <v>1</v>
      </c>
      <c r="Q1233">
        <v>1.6666666666666667</v>
      </c>
      <c r="R1233">
        <v>1257</v>
      </c>
      <c r="S1233">
        <v>103.32</v>
      </c>
      <c r="T1233" s="2">
        <v>44774</v>
      </c>
      <c r="U1233" s="1" t="s">
        <v>41</v>
      </c>
      <c r="V1233">
        <v>0</v>
      </c>
      <c r="W1233" s="1" t="s">
        <v>40</v>
      </c>
      <c r="X1233">
        <v>284</v>
      </c>
      <c r="Y1233" s="1" t="s">
        <v>43</v>
      </c>
      <c r="Z1233" s="1" t="s">
        <v>42</v>
      </c>
      <c r="AA1233">
        <v>0</v>
      </c>
      <c r="AB1233" s="1" t="s">
        <v>43</v>
      </c>
      <c r="AC1233">
        <v>3</v>
      </c>
      <c r="AD1233" s="2">
        <v>44774</v>
      </c>
      <c r="AE1233" s="1" t="s">
        <v>53</v>
      </c>
      <c r="AF1233" s="1" t="s">
        <v>54</v>
      </c>
      <c r="AG1233" s="1" t="s">
        <v>63</v>
      </c>
      <c r="AH1233" s="1" t="s">
        <v>47</v>
      </c>
      <c r="AI1233">
        <v>25140</v>
      </c>
      <c r="AJ1233">
        <v>0</v>
      </c>
    </row>
    <row r="1234" spans="1:36" x14ac:dyDescent="0.25">
      <c r="A1234">
        <v>11233</v>
      </c>
      <c r="B1234">
        <v>19</v>
      </c>
      <c r="C1234" s="1" t="s">
        <v>36</v>
      </c>
      <c r="D1234" s="1" t="s">
        <v>48</v>
      </c>
      <c r="E1234" s="2">
        <v>44862</v>
      </c>
      <c r="F1234" s="2">
        <v>44462</v>
      </c>
      <c r="G1234" s="1" t="s">
        <v>38</v>
      </c>
      <c r="H1234">
        <v>1207</v>
      </c>
      <c r="I1234">
        <v>18</v>
      </c>
      <c r="J1234">
        <v>2</v>
      </c>
      <c r="K1234">
        <v>58.48</v>
      </c>
      <c r="L1234">
        <v>15</v>
      </c>
      <c r="M1234" s="1" t="s">
        <v>65</v>
      </c>
      <c r="N1234" s="1" t="s">
        <v>40</v>
      </c>
      <c r="O1234">
        <v>21544.95</v>
      </c>
      <c r="P1234" t="b">
        <v>0</v>
      </c>
      <c r="Q1234">
        <v>1.5</v>
      </c>
      <c r="R1234">
        <v>1196.9416666666666</v>
      </c>
      <c r="S1234">
        <v>19.493333333333332</v>
      </c>
      <c r="T1234" s="2">
        <v>44835</v>
      </c>
      <c r="U1234" s="1" t="s">
        <v>66</v>
      </c>
      <c r="V1234">
        <v>1</v>
      </c>
      <c r="W1234" s="1" t="s">
        <v>40</v>
      </c>
      <c r="Y1234" s="1" t="s">
        <v>52</v>
      </c>
      <c r="Z1234" s="1" t="s">
        <v>42</v>
      </c>
      <c r="AA1234">
        <v>0.10526315789473684</v>
      </c>
      <c r="AB1234" s="1" t="s">
        <v>43</v>
      </c>
      <c r="AC1234">
        <v>1</v>
      </c>
      <c r="AD1234" s="2">
        <v>44835</v>
      </c>
      <c r="AE1234" s="1" t="s">
        <v>53</v>
      </c>
      <c r="AF1234" s="1" t="s">
        <v>72</v>
      </c>
      <c r="AG1234" s="1" t="s">
        <v>63</v>
      </c>
      <c r="AH1234" s="1" t="s">
        <v>47</v>
      </c>
      <c r="AI1234">
        <v>21726</v>
      </c>
      <c r="AJ1234">
        <v>-181.04999999999927</v>
      </c>
    </row>
    <row r="1235" spans="1:36" x14ac:dyDescent="0.25">
      <c r="A1235">
        <v>11234</v>
      </c>
      <c r="B1235">
        <v>45</v>
      </c>
      <c r="C1235" s="1" t="s">
        <v>60</v>
      </c>
      <c r="D1235" s="1" t="s">
        <v>48</v>
      </c>
      <c r="E1235" s="2">
        <v>44875</v>
      </c>
      <c r="F1235" s="2">
        <v>45017</v>
      </c>
      <c r="G1235" s="1" t="s">
        <v>62</v>
      </c>
      <c r="H1235">
        <v>1288</v>
      </c>
      <c r="I1235">
        <v>22</v>
      </c>
      <c r="J1235">
        <v>1</v>
      </c>
      <c r="K1235">
        <v>80.989999999999995</v>
      </c>
      <c r="L1235">
        <v>5</v>
      </c>
      <c r="M1235" s="1" t="s">
        <v>39</v>
      </c>
      <c r="N1235" s="1" t="s">
        <v>56</v>
      </c>
      <c r="O1235">
        <v>28271.599999999999</v>
      </c>
      <c r="P1235" t="b">
        <v>1</v>
      </c>
      <c r="Q1235">
        <v>1.8333333333333333</v>
      </c>
      <c r="R1235">
        <v>1285.0727272727272</v>
      </c>
      <c r="S1235">
        <v>40.494999999999997</v>
      </c>
      <c r="T1235" s="2">
        <v>44866</v>
      </c>
      <c r="U1235" s="1" t="s">
        <v>51</v>
      </c>
      <c r="V1235">
        <v>0</v>
      </c>
      <c r="W1235" s="1" t="s">
        <v>40</v>
      </c>
      <c r="X1235">
        <v>142</v>
      </c>
      <c r="Y1235" s="1" t="s">
        <v>43</v>
      </c>
      <c r="Z1235" s="1" t="s">
        <v>42</v>
      </c>
      <c r="AA1235">
        <v>4.3478260869565216E-2</v>
      </c>
      <c r="AB1235" s="1" t="s">
        <v>43</v>
      </c>
      <c r="AC1235">
        <v>2</v>
      </c>
      <c r="AD1235" s="2">
        <v>44866</v>
      </c>
      <c r="AE1235" s="1" t="s">
        <v>53</v>
      </c>
      <c r="AF1235" s="1" t="s">
        <v>54</v>
      </c>
      <c r="AG1235" s="1" t="s">
        <v>63</v>
      </c>
      <c r="AH1235" s="1" t="s">
        <v>47</v>
      </c>
      <c r="AI1235">
        <v>28336</v>
      </c>
      <c r="AJ1235">
        <v>-64.400000000001455</v>
      </c>
    </row>
    <row r="1236" spans="1:36" x14ac:dyDescent="0.25">
      <c r="A1236">
        <v>11235</v>
      </c>
      <c r="B1236">
        <v>47</v>
      </c>
      <c r="C1236" s="1" t="s">
        <v>60</v>
      </c>
      <c r="D1236" s="1" t="s">
        <v>71</v>
      </c>
      <c r="E1236" s="2">
        <v>44664</v>
      </c>
      <c r="F1236" s="2">
        <v>44606</v>
      </c>
      <c r="G1236" s="1" t="s">
        <v>62</v>
      </c>
      <c r="H1236">
        <v>772</v>
      </c>
      <c r="I1236">
        <v>8</v>
      </c>
      <c r="J1236">
        <v>2</v>
      </c>
      <c r="K1236">
        <v>7.78</v>
      </c>
      <c r="L1236">
        <v>5</v>
      </c>
      <c r="M1236" s="1" t="s">
        <v>65</v>
      </c>
      <c r="N1236" s="1" t="s">
        <v>56</v>
      </c>
      <c r="O1236">
        <v>6137.4</v>
      </c>
      <c r="P1236" t="b">
        <v>0</v>
      </c>
      <c r="Q1236">
        <v>0.66666666666666663</v>
      </c>
      <c r="R1236">
        <v>767.17499999999995</v>
      </c>
      <c r="S1236">
        <v>2.5933333333333333</v>
      </c>
      <c r="T1236" s="2">
        <v>44652</v>
      </c>
      <c r="U1236" s="1" t="s">
        <v>51</v>
      </c>
      <c r="V1236">
        <v>0</v>
      </c>
      <c r="W1236" s="1" t="s">
        <v>56</v>
      </c>
      <c r="Y1236" s="1" t="s">
        <v>42</v>
      </c>
      <c r="Z1236" s="1" t="s">
        <v>42</v>
      </c>
      <c r="AA1236">
        <v>0.22222222222222221</v>
      </c>
      <c r="AB1236" s="1" t="s">
        <v>42</v>
      </c>
      <c r="AC1236">
        <v>2</v>
      </c>
      <c r="AD1236" s="2">
        <v>44652</v>
      </c>
      <c r="AE1236" s="1" t="s">
        <v>74</v>
      </c>
      <c r="AF1236" s="1" t="s">
        <v>72</v>
      </c>
      <c r="AG1236" s="1" t="s">
        <v>77</v>
      </c>
      <c r="AH1236" s="1" t="s">
        <v>59</v>
      </c>
      <c r="AI1236">
        <v>6176</v>
      </c>
      <c r="AJ1236">
        <v>-38.600000000000364</v>
      </c>
    </row>
    <row r="1237" spans="1:36" x14ac:dyDescent="0.25">
      <c r="A1237">
        <v>11236</v>
      </c>
      <c r="B1237">
        <v>55</v>
      </c>
      <c r="C1237" s="1" t="s">
        <v>36</v>
      </c>
      <c r="D1237" s="1" t="s">
        <v>71</v>
      </c>
      <c r="E1237" s="2">
        <v>44357</v>
      </c>
      <c r="F1237" s="2">
        <v>45110</v>
      </c>
      <c r="G1237" s="1" t="s">
        <v>49</v>
      </c>
      <c r="H1237">
        <v>414</v>
      </c>
      <c r="I1237">
        <v>34</v>
      </c>
      <c r="J1237">
        <v>3</v>
      </c>
      <c r="K1237">
        <v>33.729999999999997</v>
      </c>
      <c r="L1237">
        <v>0</v>
      </c>
      <c r="M1237" s="1" t="s">
        <v>65</v>
      </c>
      <c r="N1237" s="1" t="s">
        <v>40</v>
      </c>
      <c r="O1237">
        <v>14076</v>
      </c>
      <c r="P1237" t="b">
        <v>1</v>
      </c>
      <c r="Q1237">
        <v>2.8333333333333335</v>
      </c>
      <c r="R1237">
        <v>414</v>
      </c>
      <c r="S1237">
        <v>8.4324999999999992</v>
      </c>
      <c r="T1237" s="2">
        <v>44348</v>
      </c>
      <c r="U1237" s="1" t="s">
        <v>41</v>
      </c>
      <c r="V1237">
        <v>1</v>
      </c>
      <c r="W1237" s="1" t="s">
        <v>40</v>
      </c>
      <c r="X1237">
        <v>753</v>
      </c>
      <c r="Y1237" s="1" t="s">
        <v>52</v>
      </c>
      <c r="Z1237" s="1" t="s">
        <v>42</v>
      </c>
      <c r="AA1237">
        <v>8.5714285714285715E-2</v>
      </c>
      <c r="AB1237" s="1" t="s">
        <v>52</v>
      </c>
      <c r="AC1237">
        <v>3</v>
      </c>
      <c r="AD1237" s="2">
        <v>44348</v>
      </c>
      <c r="AE1237" s="1" t="s">
        <v>44</v>
      </c>
      <c r="AF1237" s="1" t="s">
        <v>72</v>
      </c>
      <c r="AG1237" s="1" t="s">
        <v>55</v>
      </c>
      <c r="AH1237" s="1" t="s">
        <v>68</v>
      </c>
      <c r="AI1237">
        <v>14076</v>
      </c>
      <c r="AJ1237">
        <v>0</v>
      </c>
    </row>
    <row r="1238" spans="1:36" x14ac:dyDescent="0.25">
      <c r="A1238">
        <v>11237</v>
      </c>
      <c r="B1238">
        <v>21</v>
      </c>
      <c r="C1238" s="1" t="s">
        <v>60</v>
      </c>
      <c r="D1238" s="1" t="s">
        <v>61</v>
      </c>
      <c r="E1238" s="2">
        <v>44466</v>
      </c>
      <c r="F1238" s="2">
        <v>44469</v>
      </c>
      <c r="G1238" s="1" t="s">
        <v>38</v>
      </c>
      <c r="H1238">
        <v>399</v>
      </c>
      <c r="I1238">
        <v>9</v>
      </c>
      <c r="J1238">
        <v>2</v>
      </c>
      <c r="K1238">
        <v>55.17</v>
      </c>
      <c r="L1238">
        <v>15</v>
      </c>
      <c r="M1238" s="1" t="s">
        <v>65</v>
      </c>
      <c r="N1238" s="1" t="s">
        <v>56</v>
      </c>
      <c r="O1238">
        <v>3531.15</v>
      </c>
      <c r="P1238" t="b">
        <v>1</v>
      </c>
      <c r="Q1238">
        <v>0.75</v>
      </c>
      <c r="R1238">
        <v>392.35</v>
      </c>
      <c r="S1238">
        <v>18.39</v>
      </c>
      <c r="T1238" s="2">
        <v>44440</v>
      </c>
      <c r="U1238" s="1" t="s">
        <v>66</v>
      </c>
      <c r="V1238">
        <v>0</v>
      </c>
      <c r="W1238" s="1" t="s">
        <v>56</v>
      </c>
      <c r="X1238">
        <v>3</v>
      </c>
      <c r="Y1238" s="1" t="s">
        <v>52</v>
      </c>
      <c r="Z1238" s="1" t="s">
        <v>42</v>
      </c>
      <c r="AA1238">
        <v>0.2</v>
      </c>
      <c r="AB1238" s="1" t="s">
        <v>42</v>
      </c>
      <c r="AC1238">
        <v>1</v>
      </c>
      <c r="AD1238" s="2">
        <v>44440</v>
      </c>
      <c r="AE1238" s="1" t="s">
        <v>74</v>
      </c>
      <c r="AF1238" s="1" t="s">
        <v>72</v>
      </c>
      <c r="AG1238" s="1" t="s">
        <v>63</v>
      </c>
      <c r="AH1238" s="1" t="s">
        <v>68</v>
      </c>
      <c r="AI1238">
        <v>3591</v>
      </c>
      <c r="AJ1238">
        <v>-59.849999999999909</v>
      </c>
    </row>
    <row r="1239" spans="1:36" x14ac:dyDescent="0.25">
      <c r="A1239">
        <v>11238</v>
      </c>
      <c r="B1239">
        <v>18</v>
      </c>
      <c r="C1239" s="1" t="s">
        <v>36</v>
      </c>
      <c r="D1239" s="1" t="s">
        <v>73</v>
      </c>
      <c r="E1239" s="2">
        <v>44252</v>
      </c>
      <c r="F1239" s="2">
        <v>44646</v>
      </c>
      <c r="G1239" s="1" t="s">
        <v>38</v>
      </c>
      <c r="H1239">
        <v>737</v>
      </c>
      <c r="I1239">
        <v>7</v>
      </c>
      <c r="J1239">
        <v>2</v>
      </c>
      <c r="K1239">
        <v>77.52</v>
      </c>
      <c r="L1239">
        <v>15</v>
      </c>
      <c r="M1239" s="1" t="s">
        <v>50</v>
      </c>
      <c r="N1239" s="1" t="s">
        <v>40</v>
      </c>
      <c r="O1239">
        <v>5048.45</v>
      </c>
      <c r="P1239" t="b">
        <v>1</v>
      </c>
      <c r="Q1239">
        <v>0.58333333333333337</v>
      </c>
      <c r="R1239">
        <v>721.2071428571428</v>
      </c>
      <c r="S1239">
        <v>25.84</v>
      </c>
      <c r="T1239" s="2">
        <v>44228</v>
      </c>
      <c r="U1239" s="1" t="s">
        <v>66</v>
      </c>
      <c r="V1239">
        <v>1</v>
      </c>
      <c r="W1239" s="1" t="s">
        <v>56</v>
      </c>
      <c r="X1239">
        <v>394</v>
      </c>
      <c r="Y1239" s="1" t="s">
        <v>43</v>
      </c>
      <c r="Z1239" s="1" t="s">
        <v>42</v>
      </c>
      <c r="AA1239">
        <v>0.25</v>
      </c>
      <c r="AB1239" s="1" t="s">
        <v>42</v>
      </c>
      <c r="AC1239">
        <v>1</v>
      </c>
      <c r="AD1239" s="2">
        <v>44228</v>
      </c>
      <c r="AE1239" s="1" t="s">
        <v>74</v>
      </c>
      <c r="AF1239" s="1" t="s">
        <v>72</v>
      </c>
      <c r="AG1239" s="1" t="s">
        <v>63</v>
      </c>
      <c r="AH1239" s="1" t="s">
        <v>59</v>
      </c>
      <c r="AI1239">
        <v>5159</v>
      </c>
      <c r="AJ1239">
        <v>-110.55000000000018</v>
      </c>
    </row>
    <row r="1240" spans="1:36" x14ac:dyDescent="0.25">
      <c r="A1240">
        <v>11239</v>
      </c>
      <c r="B1240">
        <v>25</v>
      </c>
      <c r="C1240" s="1" t="s">
        <v>36</v>
      </c>
      <c r="D1240" s="1" t="s">
        <v>61</v>
      </c>
      <c r="E1240" s="2">
        <v>44424</v>
      </c>
      <c r="F1240" s="2">
        <v>45122</v>
      </c>
      <c r="G1240" s="1" t="s">
        <v>38</v>
      </c>
      <c r="H1240">
        <v>648</v>
      </c>
      <c r="I1240">
        <v>30</v>
      </c>
      <c r="J1240">
        <v>1</v>
      </c>
      <c r="K1240">
        <v>24.72</v>
      </c>
      <c r="L1240">
        <v>15</v>
      </c>
      <c r="M1240" s="1" t="s">
        <v>39</v>
      </c>
      <c r="N1240" s="1" t="s">
        <v>40</v>
      </c>
      <c r="O1240">
        <v>19342.8</v>
      </c>
      <c r="P1240" t="b">
        <v>1</v>
      </c>
      <c r="Q1240">
        <v>2.5</v>
      </c>
      <c r="R1240">
        <v>644.76</v>
      </c>
      <c r="S1240">
        <v>12.36</v>
      </c>
      <c r="T1240" s="2">
        <v>44409</v>
      </c>
      <c r="U1240" s="1" t="s">
        <v>66</v>
      </c>
      <c r="V1240">
        <v>1</v>
      </c>
      <c r="W1240" s="1" t="s">
        <v>40</v>
      </c>
      <c r="X1240">
        <v>698</v>
      </c>
      <c r="Y1240" s="1" t="s">
        <v>52</v>
      </c>
      <c r="Z1240" s="1" t="s">
        <v>42</v>
      </c>
      <c r="AA1240">
        <v>3.2258064516129031E-2</v>
      </c>
      <c r="AB1240" s="1" t="s">
        <v>52</v>
      </c>
      <c r="AC1240">
        <v>1</v>
      </c>
      <c r="AD1240" s="2">
        <v>44409</v>
      </c>
      <c r="AE1240" s="1" t="s">
        <v>44</v>
      </c>
      <c r="AF1240" s="1" t="s">
        <v>54</v>
      </c>
      <c r="AG1240" s="1" t="s">
        <v>70</v>
      </c>
      <c r="AH1240" s="1" t="s">
        <v>64</v>
      </c>
      <c r="AI1240">
        <v>19440</v>
      </c>
      <c r="AJ1240">
        <v>-97.200000000000728</v>
      </c>
    </row>
    <row r="1241" spans="1:36" x14ac:dyDescent="0.25">
      <c r="A1241">
        <v>11240</v>
      </c>
      <c r="B1241">
        <v>46</v>
      </c>
      <c r="C1241" s="1" t="s">
        <v>60</v>
      </c>
      <c r="D1241" s="1" t="s">
        <v>71</v>
      </c>
      <c r="E1241" s="2">
        <v>45045</v>
      </c>
      <c r="F1241" s="2">
        <v>44728</v>
      </c>
      <c r="G1241" s="1" t="s">
        <v>38</v>
      </c>
      <c r="H1241">
        <v>438</v>
      </c>
      <c r="I1241">
        <v>18</v>
      </c>
      <c r="J1241">
        <v>2</v>
      </c>
      <c r="K1241">
        <v>92.92</v>
      </c>
      <c r="L1241">
        <v>0</v>
      </c>
      <c r="M1241" s="1" t="s">
        <v>39</v>
      </c>
      <c r="N1241" s="1" t="s">
        <v>56</v>
      </c>
      <c r="O1241">
        <v>7884</v>
      </c>
      <c r="P1241" t="b">
        <v>0</v>
      </c>
      <c r="Q1241">
        <v>1.5</v>
      </c>
      <c r="R1241">
        <v>438</v>
      </c>
      <c r="S1241">
        <v>30.973333333333333</v>
      </c>
      <c r="T1241" s="2">
        <v>45017</v>
      </c>
      <c r="U1241" s="1" t="s">
        <v>51</v>
      </c>
      <c r="V1241">
        <v>0</v>
      </c>
      <c r="W1241" s="1" t="s">
        <v>56</v>
      </c>
      <c r="Y1241" s="1" t="s">
        <v>43</v>
      </c>
      <c r="Z1241" s="1" t="s">
        <v>42</v>
      </c>
      <c r="AA1241">
        <v>0.10526315789473684</v>
      </c>
      <c r="AB1241" s="1" t="s">
        <v>42</v>
      </c>
      <c r="AC1241">
        <v>1</v>
      </c>
      <c r="AD1241" s="2">
        <v>45017</v>
      </c>
      <c r="AE1241" s="1" t="s">
        <v>53</v>
      </c>
      <c r="AF1241" s="1" t="s">
        <v>72</v>
      </c>
      <c r="AG1241" s="1" t="s">
        <v>63</v>
      </c>
      <c r="AH1241" s="1" t="s">
        <v>68</v>
      </c>
      <c r="AI1241">
        <v>7884</v>
      </c>
      <c r="AJ1241">
        <v>0</v>
      </c>
    </row>
    <row r="1242" spans="1:36" x14ac:dyDescent="0.25">
      <c r="A1242">
        <v>11241</v>
      </c>
      <c r="B1242">
        <v>56</v>
      </c>
      <c r="C1242" s="1" t="s">
        <v>36</v>
      </c>
      <c r="D1242" s="1" t="s">
        <v>76</v>
      </c>
      <c r="E1242" s="2">
        <v>44345</v>
      </c>
      <c r="F1242" s="2">
        <v>44908</v>
      </c>
      <c r="G1242" s="1" t="s">
        <v>38</v>
      </c>
      <c r="H1242">
        <v>1127</v>
      </c>
      <c r="I1242">
        <v>27</v>
      </c>
      <c r="J1242">
        <v>2</v>
      </c>
      <c r="K1242">
        <v>46.91</v>
      </c>
      <c r="L1242">
        <v>15</v>
      </c>
      <c r="M1242" s="1" t="s">
        <v>67</v>
      </c>
      <c r="N1242" s="1" t="s">
        <v>56</v>
      </c>
      <c r="O1242">
        <v>30259.95</v>
      </c>
      <c r="P1242" t="b">
        <v>1</v>
      </c>
      <c r="Q1242">
        <v>2.25</v>
      </c>
      <c r="R1242">
        <v>1120.7388888888888</v>
      </c>
      <c r="S1242">
        <v>15.636666666666665</v>
      </c>
      <c r="T1242" s="2">
        <v>44317</v>
      </c>
      <c r="U1242" s="1" t="s">
        <v>41</v>
      </c>
      <c r="V1242">
        <v>0</v>
      </c>
      <c r="W1242" s="1" t="s">
        <v>40</v>
      </c>
      <c r="X1242">
        <v>563</v>
      </c>
      <c r="Y1242" s="1" t="s">
        <v>52</v>
      </c>
      <c r="Z1242" s="1" t="s">
        <v>42</v>
      </c>
      <c r="AA1242">
        <v>7.1428571428571425E-2</v>
      </c>
      <c r="AB1242" s="1" t="s">
        <v>43</v>
      </c>
      <c r="AC1242">
        <v>1</v>
      </c>
      <c r="AD1242" s="2">
        <v>44317</v>
      </c>
      <c r="AE1242" s="1" t="s">
        <v>44</v>
      </c>
      <c r="AF1242" s="1" t="s">
        <v>72</v>
      </c>
      <c r="AG1242" s="1" t="s">
        <v>63</v>
      </c>
      <c r="AH1242" s="1" t="s">
        <v>47</v>
      </c>
      <c r="AI1242">
        <v>30429</v>
      </c>
      <c r="AJ1242">
        <v>-169.04999999999927</v>
      </c>
    </row>
    <row r="1243" spans="1:36" x14ac:dyDescent="0.25">
      <c r="A1243">
        <v>11242</v>
      </c>
      <c r="B1243">
        <v>20</v>
      </c>
      <c r="C1243" s="1" t="s">
        <v>36</v>
      </c>
      <c r="D1243" s="1" t="s">
        <v>37</v>
      </c>
      <c r="E1243" s="2">
        <v>44242</v>
      </c>
      <c r="F1243" s="2">
        <v>45236</v>
      </c>
      <c r="G1243" s="1" t="s">
        <v>49</v>
      </c>
      <c r="H1243">
        <v>623</v>
      </c>
      <c r="I1243">
        <v>16</v>
      </c>
      <c r="J1243">
        <v>4</v>
      </c>
      <c r="K1243">
        <v>99.01</v>
      </c>
      <c r="L1243">
        <v>20</v>
      </c>
      <c r="M1243" s="1" t="s">
        <v>67</v>
      </c>
      <c r="N1243" s="1" t="s">
        <v>56</v>
      </c>
      <c r="O1243">
        <v>9843.4</v>
      </c>
      <c r="P1243" t="b">
        <v>1</v>
      </c>
      <c r="Q1243">
        <v>1.3333333333333333</v>
      </c>
      <c r="R1243">
        <v>615.21249999999998</v>
      </c>
      <c r="S1243">
        <v>19.802</v>
      </c>
      <c r="T1243" s="2">
        <v>44228</v>
      </c>
      <c r="U1243" s="1" t="s">
        <v>66</v>
      </c>
      <c r="V1243">
        <v>0</v>
      </c>
      <c r="W1243" s="1" t="s">
        <v>56</v>
      </c>
      <c r="X1243">
        <v>994</v>
      </c>
      <c r="Y1243" s="1" t="s">
        <v>43</v>
      </c>
      <c r="Z1243" s="1" t="s">
        <v>52</v>
      </c>
      <c r="AA1243">
        <v>0.23529411764705882</v>
      </c>
      <c r="AB1243" s="1" t="s">
        <v>52</v>
      </c>
      <c r="AC1243">
        <v>3</v>
      </c>
      <c r="AD1243" s="2">
        <v>44228</v>
      </c>
      <c r="AE1243" s="1" t="s">
        <v>53</v>
      </c>
      <c r="AF1243" s="1" t="s">
        <v>45</v>
      </c>
      <c r="AG1243" s="1" t="s">
        <v>63</v>
      </c>
      <c r="AH1243" s="1" t="s">
        <v>64</v>
      </c>
      <c r="AI1243">
        <v>9968</v>
      </c>
      <c r="AJ1243">
        <v>-124.60000000000036</v>
      </c>
    </row>
    <row r="1244" spans="1:36" x14ac:dyDescent="0.25">
      <c r="A1244">
        <v>11243</v>
      </c>
      <c r="B1244">
        <v>49</v>
      </c>
      <c r="C1244" s="1" t="s">
        <v>60</v>
      </c>
      <c r="D1244" s="1" t="s">
        <v>48</v>
      </c>
      <c r="E1244" s="2">
        <v>44340</v>
      </c>
      <c r="F1244" s="2">
        <v>45188</v>
      </c>
      <c r="G1244" s="1" t="s">
        <v>62</v>
      </c>
      <c r="H1244">
        <v>1145</v>
      </c>
      <c r="I1244">
        <v>21</v>
      </c>
      <c r="J1244">
        <v>1</v>
      </c>
      <c r="K1244">
        <v>16.27</v>
      </c>
      <c r="L1244">
        <v>15</v>
      </c>
      <c r="M1244" s="1" t="s">
        <v>50</v>
      </c>
      <c r="N1244" s="1" t="s">
        <v>56</v>
      </c>
      <c r="O1244">
        <v>23873.25</v>
      </c>
      <c r="P1244" t="b">
        <v>1</v>
      </c>
      <c r="Q1244">
        <v>1.75</v>
      </c>
      <c r="R1244">
        <v>1136.8214285714287</v>
      </c>
      <c r="S1244">
        <v>8.1349999999999998</v>
      </c>
      <c r="T1244" s="2">
        <v>44317</v>
      </c>
      <c r="U1244" s="1" t="s">
        <v>51</v>
      </c>
      <c r="V1244">
        <v>0</v>
      </c>
      <c r="W1244" s="1" t="s">
        <v>40</v>
      </c>
      <c r="X1244">
        <v>848</v>
      </c>
      <c r="Y1244" s="1" t="s">
        <v>42</v>
      </c>
      <c r="Z1244" s="1" t="s">
        <v>42</v>
      </c>
      <c r="AA1244">
        <v>4.5454545454545456E-2</v>
      </c>
      <c r="AB1244" s="1" t="s">
        <v>43</v>
      </c>
      <c r="AC1244">
        <v>2</v>
      </c>
      <c r="AD1244" s="2">
        <v>44317</v>
      </c>
      <c r="AE1244" s="1" t="s">
        <v>53</v>
      </c>
      <c r="AF1244" s="1" t="s">
        <v>54</v>
      </c>
      <c r="AG1244" s="1" t="s">
        <v>46</v>
      </c>
      <c r="AH1244" s="1" t="s">
        <v>47</v>
      </c>
      <c r="AI1244">
        <v>24045</v>
      </c>
      <c r="AJ1244">
        <v>-171.75</v>
      </c>
    </row>
    <row r="1245" spans="1:36" x14ac:dyDescent="0.25">
      <c r="A1245">
        <v>11244</v>
      </c>
      <c r="B1245">
        <v>27</v>
      </c>
      <c r="C1245" s="1" t="s">
        <v>36</v>
      </c>
      <c r="D1245" s="1" t="s">
        <v>69</v>
      </c>
      <c r="E1245" s="2">
        <v>44946</v>
      </c>
      <c r="F1245" s="2">
        <v>44848</v>
      </c>
      <c r="G1245" s="1" t="s">
        <v>62</v>
      </c>
      <c r="H1245">
        <v>593</v>
      </c>
      <c r="I1245">
        <v>5</v>
      </c>
      <c r="J1245">
        <v>3</v>
      </c>
      <c r="K1245">
        <v>83.17</v>
      </c>
      <c r="L1245">
        <v>20</v>
      </c>
      <c r="M1245" s="1" t="s">
        <v>65</v>
      </c>
      <c r="N1245" s="1" t="s">
        <v>40</v>
      </c>
      <c r="O1245">
        <v>2846.4</v>
      </c>
      <c r="P1245" t="b">
        <v>0</v>
      </c>
      <c r="Q1245">
        <v>0.41666666666666669</v>
      </c>
      <c r="R1245">
        <v>569.28</v>
      </c>
      <c r="S1245">
        <v>20.7925</v>
      </c>
      <c r="T1245" s="2">
        <v>44927</v>
      </c>
      <c r="U1245" s="1" t="s">
        <v>57</v>
      </c>
      <c r="V1245">
        <v>1</v>
      </c>
      <c r="W1245" s="1" t="s">
        <v>56</v>
      </c>
      <c r="Y1245" s="1" t="s">
        <v>43</v>
      </c>
      <c r="Z1245" s="1" t="s">
        <v>52</v>
      </c>
      <c r="AA1245">
        <v>0.5</v>
      </c>
      <c r="AB1245" s="1" t="s">
        <v>42</v>
      </c>
      <c r="AC1245">
        <v>2</v>
      </c>
      <c r="AD1245" s="2">
        <v>44927</v>
      </c>
      <c r="AE1245" s="1" t="s">
        <v>58</v>
      </c>
      <c r="AF1245" s="1" t="s">
        <v>72</v>
      </c>
      <c r="AG1245" s="1" t="s">
        <v>63</v>
      </c>
      <c r="AH1245" s="1" t="s">
        <v>64</v>
      </c>
      <c r="AI1245">
        <v>2965</v>
      </c>
      <c r="AJ1245">
        <v>-118.59999999999991</v>
      </c>
    </row>
    <row r="1246" spans="1:36" x14ac:dyDescent="0.25">
      <c r="A1246">
        <v>11245</v>
      </c>
      <c r="B1246">
        <v>27</v>
      </c>
      <c r="C1246" s="1" t="s">
        <v>36</v>
      </c>
      <c r="D1246" s="1" t="s">
        <v>48</v>
      </c>
      <c r="E1246" s="2">
        <v>44980</v>
      </c>
      <c r="F1246" s="2">
        <v>44644</v>
      </c>
      <c r="G1246" s="1" t="s">
        <v>62</v>
      </c>
      <c r="H1246">
        <v>1267</v>
      </c>
      <c r="I1246">
        <v>29</v>
      </c>
      <c r="J1246">
        <v>1</v>
      </c>
      <c r="K1246">
        <v>38.729999999999997</v>
      </c>
      <c r="L1246">
        <v>5</v>
      </c>
      <c r="M1246" s="1" t="s">
        <v>67</v>
      </c>
      <c r="N1246" s="1" t="s">
        <v>56</v>
      </c>
      <c r="O1246">
        <v>36679.65</v>
      </c>
      <c r="P1246" t="b">
        <v>0</v>
      </c>
      <c r="Q1246">
        <v>2.4166666666666665</v>
      </c>
      <c r="R1246">
        <v>1264.8155172413794</v>
      </c>
      <c r="S1246">
        <v>19.364999999999998</v>
      </c>
      <c r="T1246" s="2">
        <v>44958</v>
      </c>
      <c r="U1246" s="1" t="s">
        <v>57</v>
      </c>
      <c r="V1246">
        <v>0</v>
      </c>
      <c r="W1246" s="1" t="s">
        <v>40</v>
      </c>
      <c r="Y1246" s="1" t="s">
        <v>52</v>
      </c>
      <c r="Z1246" s="1" t="s">
        <v>42</v>
      </c>
      <c r="AA1246">
        <v>3.3333333333333333E-2</v>
      </c>
      <c r="AB1246" s="1" t="s">
        <v>43</v>
      </c>
      <c r="AC1246">
        <v>2</v>
      </c>
      <c r="AD1246" s="2">
        <v>44958</v>
      </c>
      <c r="AE1246" s="1" t="s">
        <v>44</v>
      </c>
      <c r="AF1246" s="1" t="s">
        <v>54</v>
      </c>
      <c r="AG1246" s="1" t="s">
        <v>55</v>
      </c>
      <c r="AH1246" s="1" t="s">
        <v>47</v>
      </c>
      <c r="AI1246">
        <v>36743</v>
      </c>
      <c r="AJ1246">
        <v>-63.349999999998545</v>
      </c>
    </row>
    <row r="1247" spans="1:36" x14ac:dyDescent="0.25">
      <c r="A1247">
        <v>11246</v>
      </c>
      <c r="B1247">
        <v>36</v>
      </c>
      <c r="C1247" s="1" t="s">
        <v>36</v>
      </c>
      <c r="D1247" s="1" t="s">
        <v>48</v>
      </c>
      <c r="E1247" s="2">
        <v>44828</v>
      </c>
      <c r="F1247" s="2">
        <v>44709</v>
      </c>
      <c r="G1247" s="1" t="s">
        <v>38</v>
      </c>
      <c r="H1247">
        <v>373</v>
      </c>
      <c r="I1247">
        <v>22</v>
      </c>
      <c r="J1247">
        <v>2</v>
      </c>
      <c r="K1247">
        <v>96.47</v>
      </c>
      <c r="L1247">
        <v>20</v>
      </c>
      <c r="M1247" s="1" t="s">
        <v>39</v>
      </c>
      <c r="N1247" s="1" t="s">
        <v>56</v>
      </c>
      <c r="O1247">
        <v>8131.4</v>
      </c>
      <c r="P1247" t="b">
        <v>0</v>
      </c>
      <c r="Q1247">
        <v>1.8333333333333333</v>
      </c>
      <c r="R1247">
        <v>369.60909090909087</v>
      </c>
      <c r="S1247">
        <v>32.156666666666666</v>
      </c>
      <c r="T1247" s="2">
        <v>44805</v>
      </c>
      <c r="U1247" s="1" t="s">
        <v>51</v>
      </c>
      <c r="V1247">
        <v>0</v>
      </c>
      <c r="W1247" s="1" t="s">
        <v>56</v>
      </c>
      <c r="Y1247" s="1" t="s">
        <v>43</v>
      </c>
      <c r="Z1247" s="1" t="s">
        <v>52</v>
      </c>
      <c r="AA1247">
        <v>8.6956521739130432E-2</v>
      </c>
      <c r="AB1247" s="1" t="s">
        <v>42</v>
      </c>
      <c r="AC1247">
        <v>1</v>
      </c>
      <c r="AD1247" s="2">
        <v>44805</v>
      </c>
      <c r="AE1247" s="1" t="s">
        <v>53</v>
      </c>
      <c r="AF1247" s="1" t="s">
        <v>72</v>
      </c>
      <c r="AG1247" s="1" t="s">
        <v>63</v>
      </c>
      <c r="AH1247" s="1" t="s">
        <v>68</v>
      </c>
      <c r="AI1247">
        <v>8206</v>
      </c>
      <c r="AJ1247">
        <v>-74.600000000000364</v>
      </c>
    </row>
    <row r="1248" spans="1:36" x14ac:dyDescent="0.25">
      <c r="A1248">
        <v>11247</v>
      </c>
      <c r="B1248">
        <v>63</v>
      </c>
      <c r="C1248" s="1" t="s">
        <v>60</v>
      </c>
      <c r="D1248" s="1" t="s">
        <v>76</v>
      </c>
      <c r="E1248" s="2">
        <v>44536</v>
      </c>
      <c r="F1248" s="2">
        <v>44936</v>
      </c>
      <c r="G1248" s="1" t="s">
        <v>38</v>
      </c>
      <c r="H1248">
        <v>783</v>
      </c>
      <c r="I1248">
        <v>14</v>
      </c>
      <c r="J1248">
        <v>2</v>
      </c>
      <c r="K1248">
        <v>51.25</v>
      </c>
      <c r="L1248">
        <v>5</v>
      </c>
      <c r="M1248" s="1" t="s">
        <v>67</v>
      </c>
      <c r="N1248" s="1" t="s">
        <v>56</v>
      </c>
      <c r="O1248">
        <v>10922.85</v>
      </c>
      <c r="P1248" t="b">
        <v>1</v>
      </c>
      <c r="Q1248">
        <v>1.1666666666666667</v>
      </c>
      <c r="R1248">
        <v>780.20357142857142</v>
      </c>
      <c r="S1248">
        <v>17.083333333333332</v>
      </c>
      <c r="T1248" s="2">
        <v>44531</v>
      </c>
      <c r="U1248" s="1" t="s">
        <v>41</v>
      </c>
      <c r="V1248">
        <v>0</v>
      </c>
      <c r="W1248" s="1" t="s">
        <v>56</v>
      </c>
      <c r="X1248">
        <v>400</v>
      </c>
      <c r="Y1248" s="1" t="s">
        <v>52</v>
      </c>
      <c r="Z1248" s="1" t="s">
        <v>42</v>
      </c>
      <c r="AA1248">
        <v>0.13333333333333333</v>
      </c>
      <c r="AB1248" s="1" t="s">
        <v>52</v>
      </c>
      <c r="AC1248">
        <v>1</v>
      </c>
      <c r="AD1248" s="2">
        <v>44531</v>
      </c>
      <c r="AE1248" s="1" t="s">
        <v>53</v>
      </c>
      <c r="AF1248" s="1" t="s">
        <v>72</v>
      </c>
      <c r="AG1248" s="1" t="s">
        <v>63</v>
      </c>
      <c r="AH1248" s="1" t="s">
        <v>59</v>
      </c>
      <c r="AI1248">
        <v>10962</v>
      </c>
      <c r="AJ1248">
        <v>-39.149999999999636</v>
      </c>
    </row>
    <row r="1249" spans="1:36" x14ac:dyDescent="0.25">
      <c r="A1249">
        <v>11248</v>
      </c>
      <c r="B1249">
        <v>41</v>
      </c>
      <c r="C1249" s="1" t="s">
        <v>75</v>
      </c>
      <c r="D1249" s="1" t="s">
        <v>73</v>
      </c>
      <c r="E1249" s="2">
        <v>44609</v>
      </c>
      <c r="F1249" s="2">
        <v>44810</v>
      </c>
      <c r="G1249" s="1" t="s">
        <v>49</v>
      </c>
      <c r="H1249">
        <v>315</v>
      </c>
      <c r="I1249">
        <v>19</v>
      </c>
      <c r="J1249">
        <v>0</v>
      </c>
      <c r="K1249">
        <v>81.52</v>
      </c>
      <c r="L1249">
        <v>0</v>
      </c>
      <c r="M1249" s="1" t="s">
        <v>65</v>
      </c>
      <c r="N1249" s="1" t="s">
        <v>40</v>
      </c>
      <c r="O1249">
        <v>5985</v>
      </c>
      <c r="P1249" t="b">
        <v>1</v>
      </c>
      <c r="Q1249">
        <v>1.5833333333333333</v>
      </c>
      <c r="R1249">
        <v>315</v>
      </c>
      <c r="S1249">
        <v>81.52</v>
      </c>
      <c r="T1249" s="2">
        <v>44593</v>
      </c>
      <c r="U1249" s="1" t="s">
        <v>51</v>
      </c>
      <c r="V1249">
        <v>1</v>
      </c>
      <c r="W1249" s="1" t="s">
        <v>56</v>
      </c>
      <c r="X1249">
        <v>201</v>
      </c>
      <c r="Y1249" s="1" t="s">
        <v>43</v>
      </c>
      <c r="Z1249" s="1" t="s">
        <v>42</v>
      </c>
      <c r="AA1249">
        <v>0</v>
      </c>
      <c r="AB1249" s="1" t="s">
        <v>42</v>
      </c>
      <c r="AC1249">
        <v>3</v>
      </c>
      <c r="AD1249" s="2">
        <v>44593</v>
      </c>
      <c r="AE1249" s="1" t="s">
        <v>53</v>
      </c>
      <c r="AF1249" s="1" t="s">
        <v>54</v>
      </c>
      <c r="AG1249" s="1" t="s">
        <v>63</v>
      </c>
      <c r="AH1249" s="1" t="s">
        <v>68</v>
      </c>
      <c r="AI1249">
        <v>5985</v>
      </c>
      <c r="AJ1249">
        <v>0</v>
      </c>
    </row>
    <row r="1250" spans="1:36" x14ac:dyDescent="0.25">
      <c r="A1250">
        <v>11249</v>
      </c>
      <c r="B1250">
        <v>50</v>
      </c>
      <c r="C1250" s="1" t="s">
        <v>60</v>
      </c>
      <c r="D1250" s="1" t="s">
        <v>71</v>
      </c>
      <c r="E1250" s="2">
        <v>44928</v>
      </c>
      <c r="F1250" s="2">
        <v>44785</v>
      </c>
      <c r="G1250" s="1" t="s">
        <v>49</v>
      </c>
      <c r="H1250">
        <v>1092</v>
      </c>
      <c r="I1250">
        <v>35</v>
      </c>
      <c r="J1250">
        <v>1</v>
      </c>
      <c r="K1250">
        <v>112.45</v>
      </c>
      <c r="L1250">
        <v>5</v>
      </c>
      <c r="M1250" s="1" t="s">
        <v>50</v>
      </c>
      <c r="N1250" s="1" t="s">
        <v>56</v>
      </c>
      <c r="O1250">
        <v>38165.4</v>
      </c>
      <c r="P1250" t="b">
        <v>0</v>
      </c>
      <c r="Q1250">
        <v>2.9166666666666665</v>
      </c>
      <c r="R1250">
        <v>1090.44</v>
      </c>
      <c r="S1250">
        <v>56.225000000000001</v>
      </c>
      <c r="T1250" s="2">
        <v>44927</v>
      </c>
      <c r="U1250" s="1" t="s">
        <v>51</v>
      </c>
      <c r="V1250">
        <v>0</v>
      </c>
      <c r="W1250" s="1" t="s">
        <v>40</v>
      </c>
      <c r="Y1250" s="1" t="s">
        <v>43</v>
      </c>
      <c r="Z1250" s="1" t="s">
        <v>42</v>
      </c>
      <c r="AA1250">
        <v>2.7777777777777776E-2</v>
      </c>
      <c r="AB1250" s="1" t="s">
        <v>43</v>
      </c>
      <c r="AC1250">
        <v>3</v>
      </c>
      <c r="AD1250" s="2">
        <v>44927</v>
      </c>
      <c r="AE1250" s="1" t="s">
        <v>44</v>
      </c>
      <c r="AF1250" s="1" t="s">
        <v>54</v>
      </c>
      <c r="AG1250" s="1" t="s">
        <v>63</v>
      </c>
      <c r="AH1250" s="1" t="s">
        <v>47</v>
      </c>
      <c r="AI1250">
        <v>38220</v>
      </c>
      <c r="AJ1250">
        <v>-54.599999999998545</v>
      </c>
    </row>
    <row r="1251" spans="1:36" x14ac:dyDescent="0.25">
      <c r="A1251">
        <v>11250</v>
      </c>
      <c r="B1251">
        <v>40</v>
      </c>
      <c r="C1251" s="1" t="s">
        <v>60</v>
      </c>
      <c r="D1251" s="1" t="s">
        <v>37</v>
      </c>
      <c r="E1251" s="2">
        <v>44716</v>
      </c>
      <c r="F1251" s="2">
        <v>44474</v>
      </c>
      <c r="G1251" s="1" t="s">
        <v>49</v>
      </c>
      <c r="H1251">
        <v>815</v>
      </c>
      <c r="I1251">
        <v>24</v>
      </c>
      <c r="J1251">
        <v>3</v>
      </c>
      <c r="K1251">
        <v>7.37</v>
      </c>
      <c r="L1251">
        <v>5</v>
      </c>
      <c r="M1251" s="1" t="s">
        <v>65</v>
      </c>
      <c r="N1251" s="1" t="s">
        <v>40</v>
      </c>
      <c r="O1251">
        <v>19519.25</v>
      </c>
      <c r="P1251" t="b">
        <v>0</v>
      </c>
      <c r="Q1251">
        <v>2</v>
      </c>
      <c r="R1251">
        <v>813.30208333333337</v>
      </c>
      <c r="S1251">
        <v>1.8425</v>
      </c>
      <c r="T1251" s="2">
        <v>44713</v>
      </c>
      <c r="U1251" s="1" t="s">
        <v>51</v>
      </c>
      <c r="V1251">
        <v>1</v>
      </c>
      <c r="W1251" s="1" t="s">
        <v>40</v>
      </c>
      <c r="Y1251" s="1" t="s">
        <v>42</v>
      </c>
      <c r="Z1251" s="1" t="s">
        <v>42</v>
      </c>
      <c r="AA1251">
        <v>0.12</v>
      </c>
      <c r="AB1251" s="1" t="s">
        <v>43</v>
      </c>
      <c r="AC1251">
        <v>3</v>
      </c>
      <c r="AD1251" s="2">
        <v>44713</v>
      </c>
      <c r="AE1251" s="1" t="s">
        <v>53</v>
      </c>
      <c r="AF1251" s="1" t="s">
        <v>72</v>
      </c>
      <c r="AG1251" s="1" t="s">
        <v>77</v>
      </c>
      <c r="AH1251" s="1" t="s">
        <v>59</v>
      </c>
      <c r="AI1251">
        <v>19560</v>
      </c>
      <c r="AJ1251">
        <v>-40.75</v>
      </c>
    </row>
    <row r="1252" spans="1:36" x14ac:dyDescent="0.25">
      <c r="A1252">
        <v>11251</v>
      </c>
      <c r="B1252">
        <v>45</v>
      </c>
      <c r="C1252" s="1" t="s">
        <v>60</v>
      </c>
      <c r="D1252" s="1" t="s">
        <v>48</v>
      </c>
      <c r="E1252" s="2">
        <v>44540</v>
      </c>
      <c r="F1252" s="2">
        <v>44544</v>
      </c>
      <c r="G1252" s="1" t="s">
        <v>49</v>
      </c>
      <c r="H1252">
        <v>1224</v>
      </c>
      <c r="I1252">
        <v>6</v>
      </c>
      <c r="J1252">
        <v>3</v>
      </c>
      <c r="K1252">
        <v>6.28</v>
      </c>
      <c r="L1252">
        <v>15</v>
      </c>
      <c r="M1252" s="1" t="s">
        <v>67</v>
      </c>
      <c r="N1252" s="1" t="s">
        <v>56</v>
      </c>
      <c r="O1252">
        <v>7160.4</v>
      </c>
      <c r="P1252" t="b">
        <v>1</v>
      </c>
      <c r="Q1252">
        <v>0.5</v>
      </c>
      <c r="R1252">
        <v>1193.3999999999999</v>
      </c>
      <c r="S1252">
        <v>1.57</v>
      </c>
      <c r="T1252" s="2">
        <v>44531</v>
      </c>
      <c r="U1252" s="1" t="s">
        <v>51</v>
      </c>
      <c r="V1252">
        <v>0</v>
      </c>
      <c r="W1252" s="1" t="s">
        <v>56</v>
      </c>
      <c r="X1252">
        <v>4</v>
      </c>
      <c r="Y1252" s="1" t="s">
        <v>42</v>
      </c>
      <c r="Z1252" s="1" t="s">
        <v>42</v>
      </c>
      <c r="AA1252">
        <v>0.42857142857142855</v>
      </c>
      <c r="AB1252" s="1" t="s">
        <v>42</v>
      </c>
      <c r="AC1252">
        <v>3</v>
      </c>
      <c r="AD1252" s="2">
        <v>44531</v>
      </c>
      <c r="AE1252" s="1" t="s">
        <v>58</v>
      </c>
      <c r="AF1252" s="1" t="s">
        <v>72</v>
      </c>
      <c r="AG1252" s="1" t="s">
        <v>77</v>
      </c>
      <c r="AH1252" s="1" t="s">
        <v>47</v>
      </c>
      <c r="AI1252">
        <v>7344</v>
      </c>
      <c r="AJ1252">
        <v>-183.60000000000036</v>
      </c>
    </row>
    <row r="1253" spans="1:36" x14ac:dyDescent="0.25">
      <c r="A1253">
        <v>11252</v>
      </c>
      <c r="B1253">
        <v>49</v>
      </c>
      <c r="C1253" s="1" t="s">
        <v>60</v>
      </c>
      <c r="D1253" s="1" t="s">
        <v>69</v>
      </c>
      <c r="E1253" s="2">
        <v>44583</v>
      </c>
      <c r="F1253" s="2">
        <v>44568</v>
      </c>
      <c r="G1253" s="1" t="s">
        <v>38</v>
      </c>
      <c r="H1253">
        <v>1450</v>
      </c>
      <c r="I1253">
        <v>3</v>
      </c>
      <c r="J1253">
        <v>2</v>
      </c>
      <c r="K1253">
        <v>62.59</v>
      </c>
      <c r="L1253">
        <v>10</v>
      </c>
      <c r="M1253" s="1" t="s">
        <v>50</v>
      </c>
      <c r="N1253" s="1" t="s">
        <v>56</v>
      </c>
      <c r="O1253">
        <v>4205</v>
      </c>
      <c r="P1253" t="b">
        <v>0</v>
      </c>
      <c r="Q1253">
        <v>0.25</v>
      </c>
      <c r="R1253">
        <v>1401.6666666666667</v>
      </c>
      <c r="S1253">
        <v>20.863333333333333</v>
      </c>
      <c r="T1253" s="2">
        <v>44562</v>
      </c>
      <c r="U1253" s="1" t="s">
        <v>51</v>
      </c>
      <c r="V1253">
        <v>0</v>
      </c>
      <c r="W1253" s="1" t="s">
        <v>56</v>
      </c>
      <c r="Y1253" s="1" t="s">
        <v>43</v>
      </c>
      <c r="Z1253" s="1" t="s">
        <v>42</v>
      </c>
      <c r="AA1253">
        <v>0.5</v>
      </c>
      <c r="AB1253" s="1" t="s">
        <v>42</v>
      </c>
      <c r="AC1253">
        <v>1</v>
      </c>
      <c r="AD1253" s="2">
        <v>44562</v>
      </c>
      <c r="AE1253" s="1" t="s">
        <v>58</v>
      </c>
      <c r="AF1253" s="1" t="s">
        <v>72</v>
      </c>
      <c r="AG1253" s="1" t="s">
        <v>63</v>
      </c>
      <c r="AH1253" s="1" t="s">
        <v>47</v>
      </c>
      <c r="AI1253">
        <v>4350</v>
      </c>
      <c r="AJ1253">
        <v>-145</v>
      </c>
    </row>
    <row r="1254" spans="1:36" x14ac:dyDescent="0.25">
      <c r="A1254">
        <v>11253</v>
      </c>
      <c r="B1254">
        <v>24</v>
      </c>
      <c r="C1254" s="1" t="s">
        <v>36</v>
      </c>
      <c r="D1254" s="1" t="s">
        <v>61</v>
      </c>
      <c r="E1254" s="2">
        <v>44669</v>
      </c>
      <c r="F1254" s="2">
        <v>44438</v>
      </c>
      <c r="G1254" s="1" t="s">
        <v>38</v>
      </c>
      <c r="H1254">
        <v>1123</v>
      </c>
      <c r="I1254">
        <v>34</v>
      </c>
      <c r="J1254">
        <v>1</v>
      </c>
      <c r="K1254">
        <v>79.34</v>
      </c>
      <c r="L1254">
        <v>5</v>
      </c>
      <c r="M1254" s="1" t="s">
        <v>50</v>
      </c>
      <c r="N1254" s="1" t="s">
        <v>40</v>
      </c>
      <c r="O1254">
        <v>38125.85</v>
      </c>
      <c r="P1254" t="b">
        <v>0</v>
      </c>
      <c r="Q1254">
        <v>2.8333333333333335</v>
      </c>
      <c r="R1254">
        <v>1121.3485294117647</v>
      </c>
      <c r="S1254">
        <v>39.67</v>
      </c>
      <c r="T1254" s="2">
        <v>44652</v>
      </c>
      <c r="U1254" s="1" t="s">
        <v>66</v>
      </c>
      <c r="V1254">
        <v>1</v>
      </c>
      <c r="W1254" s="1" t="s">
        <v>40</v>
      </c>
      <c r="Y1254" s="1" t="s">
        <v>43</v>
      </c>
      <c r="Z1254" s="1" t="s">
        <v>42</v>
      </c>
      <c r="AA1254">
        <v>2.8571428571428571E-2</v>
      </c>
      <c r="AB1254" s="1" t="s">
        <v>43</v>
      </c>
      <c r="AC1254">
        <v>1</v>
      </c>
      <c r="AD1254" s="2">
        <v>44652</v>
      </c>
      <c r="AE1254" s="1" t="s">
        <v>44</v>
      </c>
      <c r="AF1254" s="1" t="s">
        <v>54</v>
      </c>
      <c r="AG1254" s="1" t="s">
        <v>63</v>
      </c>
      <c r="AH1254" s="1" t="s">
        <v>47</v>
      </c>
      <c r="AI1254">
        <v>38182</v>
      </c>
      <c r="AJ1254">
        <v>-56.150000000001455</v>
      </c>
    </row>
    <row r="1255" spans="1:36" x14ac:dyDescent="0.25">
      <c r="A1255">
        <v>11254</v>
      </c>
      <c r="B1255">
        <v>46</v>
      </c>
      <c r="C1255" s="1" t="s">
        <v>60</v>
      </c>
      <c r="D1255" s="1" t="s">
        <v>48</v>
      </c>
      <c r="E1255" s="2">
        <v>44471</v>
      </c>
      <c r="F1255" s="2">
        <v>44758</v>
      </c>
      <c r="G1255" s="1" t="s">
        <v>38</v>
      </c>
      <c r="H1255">
        <v>817</v>
      </c>
      <c r="I1255">
        <v>2</v>
      </c>
      <c r="J1255">
        <v>1</v>
      </c>
      <c r="K1255">
        <v>38.69</v>
      </c>
      <c r="L1255">
        <v>20</v>
      </c>
      <c r="M1255" s="1" t="s">
        <v>65</v>
      </c>
      <c r="N1255" s="1" t="s">
        <v>40</v>
      </c>
      <c r="O1255">
        <v>1470.6</v>
      </c>
      <c r="P1255" t="b">
        <v>1</v>
      </c>
      <c r="Q1255">
        <v>0.16666666666666666</v>
      </c>
      <c r="R1255">
        <v>735.3</v>
      </c>
      <c r="S1255">
        <v>19.344999999999999</v>
      </c>
      <c r="T1255" s="2">
        <v>44470</v>
      </c>
      <c r="U1255" s="1" t="s">
        <v>51</v>
      </c>
      <c r="V1255">
        <v>1</v>
      </c>
      <c r="W1255" s="1" t="s">
        <v>56</v>
      </c>
      <c r="X1255">
        <v>287</v>
      </c>
      <c r="Y1255" s="1" t="s">
        <v>52</v>
      </c>
      <c r="Z1255" s="1" t="s">
        <v>52</v>
      </c>
      <c r="AA1255">
        <v>0.33333333333333331</v>
      </c>
      <c r="AB1255" s="1" t="s">
        <v>42</v>
      </c>
      <c r="AC1255">
        <v>1</v>
      </c>
      <c r="AD1255" s="2">
        <v>44470</v>
      </c>
      <c r="AE1255" s="1" t="s">
        <v>58</v>
      </c>
      <c r="AF1255" s="1" t="s">
        <v>54</v>
      </c>
      <c r="AG1255" s="1" t="s">
        <v>55</v>
      </c>
      <c r="AH1255" s="1" t="s">
        <v>59</v>
      </c>
      <c r="AI1255">
        <v>1634</v>
      </c>
      <c r="AJ1255">
        <v>-163.40000000000009</v>
      </c>
    </row>
    <row r="1256" spans="1:36" x14ac:dyDescent="0.25">
      <c r="A1256">
        <v>11255</v>
      </c>
      <c r="B1256">
        <v>25</v>
      </c>
      <c r="C1256" s="1" t="s">
        <v>60</v>
      </c>
      <c r="D1256" s="1" t="s">
        <v>37</v>
      </c>
      <c r="E1256" s="2">
        <v>44549</v>
      </c>
      <c r="F1256" s="2">
        <v>44355</v>
      </c>
      <c r="G1256" s="1" t="s">
        <v>38</v>
      </c>
      <c r="H1256">
        <v>428</v>
      </c>
      <c r="I1256">
        <v>15</v>
      </c>
      <c r="J1256">
        <v>0</v>
      </c>
      <c r="K1256">
        <v>61.86</v>
      </c>
      <c r="L1256">
        <v>0</v>
      </c>
      <c r="M1256" s="1" t="s">
        <v>67</v>
      </c>
      <c r="N1256" s="1" t="s">
        <v>56</v>
      </c>
      <c r="O1256">
        <v>6420</v>
      </c>
      <c r="P1256" t="b">
        <v>0</v>
      </c>
      <c r="Q1256">
        <v>1.25</v>
      </c>
      <c r="R1256">
        <v>428</v>
      </c>
      <c r="S1256">
        <v>61.86</v>
      </c>
      <c r="T1256" s="2">
        <v>44531</v>
      </c>
      <c r="U1256" s="1" t="s">
        <v>66</v>
      </c>
      <c r="V1256">
        <v>0</v>
      </c>
      <c r="W1256" s="1" t="s">
        <v>56</v>
      </c>
      <c r="Y1256" s="1" t="s">
        <v>43</v>
      </c>
      <c r="Z1256" s="1" t="s">
        <v>42</v>
      </c>
      <c r="AA1256">
        <v>0</v>
      </c>
      <c r="AB1256" s="1" t="s">
        <v>42</v>
      </c>
      <c r="AC1256">
        <v>1</v>
      </c>
      <c r="AD1256" s="2">
        <v>44531</v>
      </c>
      <c r="AE1256" s="1" t="s">
        <v>53</v>
      </c>
      <c r="AF1256" s="1" t="s">
        <v>54</v>
      </c>
      <c r="AG1256" s="1" t="s">
        <v>63</v>
      </c>
      <c r="AH1256" s="1" t="s">
        <v>68</v>
      </c>
      <c r="AI1256">
        <v>6420</v>
      </c>
      <c r="AJ1256">
        <v>0</v>
      </c>
    </row>
    <row r="1257" spans="1:36" x14ac:dyDescent="0.25">
      <c r="A1257">
        <v>11256</v>
      </c>
      <c r="B1257">
        <v>18</v>
      </c>
      <c r="C1257" s="1" t="s">
        <v>36</v>
      </c>
      <c r="D1257" s="1" t="s">
        <v>71</v>
      </c>
      <c r="E1257" s="2">
        <v>44262</v>
      </c>
      <c r="F1257" s="2">
        <v>44891</v>
      </c>
      <c r="G1257" s="1" t="s">
        <v>38</v>
      </c>
      <c r="H1257">
        <v>810</v>
      </c>
      <c r="I1257">
        <v>15</v>
      </c>
      <c r="J1257">
        <v>1</v>
      </c>
      <c r="K1257">
        <v>9.82</v>
      </c>
      <c r="L1257">
        <v>20</v>
      </c>
      <c r="M1257" s="1" t="s">
        <v>65</v>
      </c>
      <c r="N1257" s="1" t="s">
        <v>56</v>
      </c>
      <c r="O1257">
        <v>11988</v>
      </c>
      <c r="P1257" t="b">
        <v>1</v>
      </c>
      <c r="Q1257">
        <v>1.25</v>
      </c>
      <c r="R1257">
        <v>799.2</v>
      </c>
      <c r="S1257">
        <v>4.91</v>
      </c>
      <c r="T1257" s="2">
        <v>44256</v>
      </c>
      <c r="U1257" s="1" t="s">
        <v>66</v>
      </c>
      <c r="V1257">
        <v>0</v>
      </c>
      <c r="W1257" s="1" t="s">
        <v>56</v>
      </c>
      <c r="X1257">
        <v>629</v>
      </c>
      <c r="Y1257" s="1" t="s">
        <v>42</v>
      </c>
      <c r="Z1257" s="1" t="s">
        <v>52</v>
      </c>
      <c r="AA1257">
        <v>6.25E-2</v>
      </c>
      <c r="AB1257" s="1" t="s">
        <v>52</v>
      </c>
      <c r="AC1257">
        <v>1</v>
      </c>
      <c r="AD1257" s="2">
        <v>44256</v>
      </c>
      <c r="AE1257" s="1" t="s">
        <v>53</v>
      </c>
      <c r="AF1257" s="1" t="s">
        <v>54</v>
      </c>
      <c r="AG1257" s="1" t="s">
        <v>77</v>
      </c>
      <c r="AH1257" s="1" t="s">
        <v>59</v>
      </c>
      <c r="AI1257">
        <v>12150</v>
      </c>
      <c r="AJ1257">
        <v>-162</v>
      </c>
    </row>
    <row r="1258" spans="1:36" x14ac:dyDescent="0.25">
      <c r="A1258">
        <v>11257</v>
      </c>
      <c r="B1258">
        <v>20</v>
      </c>
      <c r="C1258" s="1" t="s">
        <v>60</v>
      </c>
      <c r="D1258" s="1" t="s">
        <v>48</v>
      </c>
      <c r="E1258" s="2">
        <v>44275</v>
      </c>
      <c r="F1258" s="2">
        <v>44815</v>
      </c>
      <c r="G1258" s="1" t="s">
        <v>62</v>
      </c>
      <c r="H1258">
        <v>722</v>
      </c>
      <c r="I1258">
        <v>32</v>
      </c>
      <c r="J1258">
        <v>2</v>
      </c>
      <c r="K1258">
        <v>27.13</v>
      </c>
      <c r="L1258">
        <v>0</v>
      </c>
      <c r="M1258" s="1" t="s">
        <v>67</v>
      </c>
      <c r="N1258" s="1" t="s">
        <v>56</v>
      </c>
      <c r="O1258">
        <v>23104</v>
      </c>
      <c r="P1258" t="b">
        <v>1</v>
      </c>
      <c r="Q1258">
        <v>2.6666666666666665</v>
      </c>
      <c r="R1258">
        <v>722</v>
      </c>
      <c r="S1258">
        <v>9.043333333333333</v>
      </c>
      <c r="T1258" s="2">
        <v>44256</v>
      </c>
      <c r="U1258" s="1" t="s">
        <v>66</v>
      </c>
      <c r="V1258">
        <v>0</v>
      </c>
      <c r="W1258" s="1" t="s">
        <v>40</v>
      </c>
      <c r="X1258">
        <v>540</v>
      </c>
      <c r="Y1258" s="1" t="s">
        <v>52</v>
      </c>
      <c r="Z1258" s="1" t="s">
        <v>42</v>
      </c>
      <c r="AA1258">
        <v>6.0606060606060608E-2</v>
      </c>
      <c r="AB1258" s="1" t="s">
        <v>43</v>
      </c>
      <c r="AC1258">
        <v>2</v>
      </c>
      <c r="AD1258" s="2">
        <v>44256</v>
      </c>
      <c r="AE1258" s="1" t="s">
        <v>44</v>
      </c>
      <c r="AF1258" s="1" t="s">
        <v>72</v>
      </c>
      <c r="AG1258" s="1" t="s">
        <v>70</v>
      </c>
      <c r="AH1258" s="1" t="s">
        <v>59</v>
      </c>
      <c r="AI1258">
        <v>23104</v>
      </c>
      <c r="AJ1258">
        <v>0</v>
      </c>
    </row>
    <row r="1259" spans="1:36" x14ac:dyDescent="0.25">
      <c r="A1259">
        <v>11258</v>
      </c>
      <c r="B1259">
        <v>41</v>
      </c>
      <c r="C1259" s="1" t="s">
        <v>60</v>
      </c>
      <c r="D1259" s="1" t="s">
        <v>48</v>
      </c>
      <c r="E1259" s="2">
        <v>44794</v>
      </c>
      <c r="F1259" s="2">
        <v>44667</v>
      </c>
      <c r="G1259" s="1" t="s">
        <v>62</v>
      </c>
      <c r="H1259">
        <v>684</v>
      </c>
      <c r="I1259">
        <v>21</v>
      </c>
      <c r="J1259">
        <v>0</v>
      </c>
      <c r="K1259">
        <v>53.82</v>
      </c>
      <c r="L1259">
        <v>20</v>
      </c>
      <c r="M1259" s="1" t="s">
        <v>67</v>
      </c>
      <c r="N1259" s="1" t="s">
        <v>40</v>
      </c>
      <c r="O1259">
        <v>14227.2</v>
      </c>
      <c r="P1259" t="b">
        <v>0</v>
      </c>
      <c r="Q1259">
        <v>1.75</v>
      </c>
      <c r="R1259">
        <v>677.48571428571427</v>
      </c>
      <c r="S1259">
        <v>53.82</v>
      </c>
      <c r="T1259" s="2">
        <v>44774</v>
      </c>
      <c r="U1259" s="1" t="s">
        <v>51</v>
      </c>
      <c r="V1259">
        <v>1</v>
      </c>
      <c r="W1259" s="1" t="s">
        <v>40</v>
      </c>
      <c r="Y1259" s="1" t="s">
        <v>52</v>
      </c>
      <c r="Z1259" s="1" t="s">
        <v>52</v>
      </c>
      <c r="AA1259">
        <v>0</v>
      </c>
      <c r="AB1259" s="1" t="s">
        <v>52</v>
      </c>
      <c r="AC1259">
        <v>2</v>
      </c>
      <c r="AD1259" s="2">
        <v>44774</v>
      </c>
      <c r="AE1259" s="1" t="s">
        <v>53</v>
      </c>
      <c r="AF1259" s="1" t="s">
        <v>54</v>
      </c>
      <c r="AG1259" s="1" t="s">
        <v>63</v>
      </c>
      <c r="AH1259" s="1" t="s">
        <v>64</v>
      </c>
      <c r="AI1259">
        <v>14364</v>
      </c>
      <c r="AJ1259">
        <v>-136.79999999999927</v>
      </c>
    </row>
    <row r="1260" spans="1:36" x14ac:dyDescent="0.25">
      <c r="A1260">
        <v>11259</v>
      </c>
      <c r="B1260">
        <v>40</v>
      </c>
      <c r="C1260" s="1" t="s">
        <v>60</v>
      </c>
      <c r="D1260" s="1" t="s">
        <v>73</v>
      </c>
      <c r="E1260" s="2">
        <v>44832</v>
      </c>
      <c r="F1260" s="2">
        <v>44741</v>
      </c>
      <c r="G1260" s="1" t="s">
        <v>49</v>
      </c>
      <c r="H1260">
        <v>531</v>
      </c>
      <c r="I1260">
        <v>17</v>
      </c>
      <c r="J1260">
        <v>3</v>
      </c>
      <c r="K1260">
        <v>100.92</v>
      </c>
      <c r="L1260">
        <v>5</v>
      </c>
      <c r="M1260" s="1" t="s">
        <v>39</v>
      </c>
      <c r="N1260" s="1" t="s">
        <v>56</v>
      </c>
      <c r="O1260">
        <v>9000.4500000000007</v>
      </c>
      <c r="P1260" t="b">
        <v>0</v>
      </c>
      <c r="Q1260">
        <v>1.4166666666666667</v>
      </c>
      <c r="R1260">
        <v>529.4382352941177</v>
      </c>
      <c r="S1260">
        <v>25.23</v>
      </c>
      <c r="T1260" s="2">
        <v>44805</v>
      </c>
      <c r="U1260" s="1" t="s">
        <v>51</v>
      </c>
      <c r="V1260">
        <v>0</v>
      </c>
      <c r="W1260" s="1" t="s">
        <v>56</v>
      </c>
      <c r="Y1260" s="1" t="s">
        <v>43</v>
      </c>
      <c r="Z1260" s="1" t="s">
        <v>42</v>
      </c>
      <c r="AA1260">
        <v>0.16666666666666666</v>
      </c>
      <c r="AB1260" s="1" t="s">
        <v>52</v>
      </c>
      <c r="AC1260">
        <v>3</v>
      </c>
      <c r="AD1260" s="2">
        <v>44805</v>
      </c>
      <c r="AE1260" s="1" t="s">
        <v>53</v>
      </c>
      <c r="AF1260" s="1" t="s">
        <v>72</v>
      </c>
      <c r="AG1260" s="1" t="s">
        <v>63</v>
      </c>
      <c r="AH1260" s="1" t="s">
        <v>64</v>
      </c>
      <c r="AI1260">
        <v>9027</v>
      </c>
      <c r="AJ1260">
        <v>-26.549999999999272</v>
      </c>
    </row>
    <row r="1261" spans="1:36" x14ac:dyDescent="0.25">
      <c r="A1261">
        <v>11260</v>
      </c>
      <c r="B1261">
        <v>25</v>
      </c>
      <c r="C1261" s="1" t="s">
        <v>60</v>
      </c>
      <c r="D1261" s="1" t="s">
        <v>69</v>
      </c>
      <c r="E1261" s="2">
        <v>44398</v>
      </c>
      <c r="F1261" s="2">
        <v>44616</v>
      </c>
      <c r="G1261" s="1" t="s">
        <v>62</v>
      </c>
      <c r="H1261">
        <v>1258</v>
      </c>
      <c r="I1261">
        <v>34</v>
      </c>
      <c r="J1261">
        <v>2</v>
      </c>
      <c r="K1261">
        <v>60.16</v>
      </c>
      <c r="L1261">
        <v>10</v>
      </c>
      <c r="M1261" s="1" t="s">
        <v>50</v>
      </c>
      <c r="N1261" s="1" t="s">
        <v>56</v>
      </c>
      <c r="O1261">
        <v>42646.2</v>
      </c>
      <c r="P1261" t="b">
        <v>1</v>
      </c>
      <c r="Q1261">
        <v>2.8333333333333335</v>
      </c>
      <c r="R1261">
        <v>1254.3</v>
      </c>
      <c r="S1261">
        <v>20.053333333333331</v>
      </c>
      <c r="T1261" s="2">
        <v>44378</v>
      </c>
      <c r="U1261" s="1" t="s">
        <v>66</v>
      </c>
      <c r="V1261">
        <v>0</v>
      </c>
      <c r="W1261" s="1" t="s">
        <v>40</v>
      </c>
      <c r="X1261">
        <v>218</v>
      </c>
      <c r="Y1261" s="1" t="s">
        <v>43</v>
      </c>
      <c r="Z1261" s="1" t="s">
        <v>42</v>
      </c>
      <c r="AA1261">
        <v>5.7142857142857141E-2</v>
      </c>
      <c r="AB1261" s="1" t="s">
        <v>43</v>
      </c>
      <c r="AC1261">
        <v>2</v>
      </c>
      <c r="AD1261" s="2">
        <v>44378</v>
      </c>
      <c r="AE1261" s="1" t="s">
        <v>44</v>
      </c>
      <c r="AF1261" s="1" t="s">
        <v>72</v>
      </c>
      <c r="AG1261" s="1" t="s">
        <v>63</v>
      </c>
      <c r="AH1261" s="1" t="s">
        <v>47</v>
      </c>
      <c r="AI1261">
        <v>42772</v>
      </c>
      <c r="AJ1261">
        <v>-125.80000000000291</v>
      </c>
    </row>
    <row r="1262" spans="1:36" x14ac:dyDescent="0.25">
      <c r="A1262">
        <v>11261</v>
      </c>
      <c r="B1262">
        <v>64</v>
      </c>
      <c r="C1262" s="1" t="s">
        <v>60</v>
      </c>
      <c r="D1262" s="1" t="s">
        <v>61</v>
      </c>
      <c r="E1262" s="2">
        <v>44858</v>
      </c>
      <c r="F1262" s="2">
        <v>44538</v>
      </c>
      <c r="G1262" s="1" t="s">
        <v>49</v>
      </c>
      <c r="H1262">
        <v>1124</v>
      </c>
      <c r="I1262">
        <v>32</v>
      </c>
      <c r="J1262">
        <v>4</v>
      </c>
      <c r="K1262">
        <v>72.430000000000007</v>
      </c>
      <c r="L1262">
        <v>5</v>
      </c>
      <c r="M1262" s="1" t="s">
        <v>67</v>
      </c>
      <c r="N1262" s="1" t="s">
        <v>56</v>
      </c>
      <c r="O1262">
        <v>35911.800000000003</v>
      </c>
      <c r="P1262" t="b">
        <v>0</v>
      </c>
      <c r="Q1262">
        <v>2.6666666666666665</v>
      </c>
      <c r="R1262">
        <v>1122.2437500000001</v>
      </c>
      <c r="S1262">
        <v>14.486000000000001</v>
      </c>
      <c r="T1262" s="2">
        <v>44835</v>
      </c>
      <c r="U1262" s="1" t="s">
        <v>41</v>
      </c>
      <c r="V1262">
        <v>0</v>
      </c>
      <c r="W1262" s="1" t="s">
        <v>40</v>
      </c>
      <c r="Y1262" s="1" t="s">
        <v>43</v>
      </c>
      <c r="Z1262" s="1" t="s">
        <v>42</v>
      </c>
      <c r="AA1262">
        <v>0.12121212121212122</v>
      </c>
      <c r="AB1262" s="1" t="s">
        <v>43</v>
      </c>
      <c r="AC1262">
        <v>3</v>
      </c>
      <c r="AD1262" s="2">
        <v>44835</v>
      </c>
      <c r="AE1262" s="1" t="s">
        <v>44</v>
      </c>
      <c r="AF1262" s="1" t="s">
        <v>45</v>
      </c>
      <c r="AG1262" s="1" t="s">
        <v>63</v>
      </c>
      <c r="AH1262" s="1" t="s">
        <v>47</v>
      </c>
      <c r="AI1262">
        <v>35968</v>
      </c>
      <c r="AJ1262">
        <v>-56.19999999999709</v>
      </c>
    </row>
    <row r="1263" spans="1:36" x14ac:dyDescent="0.25">
      <c r="A1263">
        <v>11262</v>
      </c>
      <c r="B1263">
        <v>54</v>
      </c>
      <c r="C1263" s="1" t="s">
        <v>36</v>
      </c>
      <c r="D1263" s="1" t="s">
        <v>61</v>
      </c>
      <c r="E1263" s="2">
        <v>44754</v>
      </c>
      <c r="F1263" s="2">
        <v>45208</v>
      </c>
      <c r="G1263" s="1" t="s">
        <v>38</v>
      </c>
      <c r="H1263">
        <v>364</v>
      </c>
      <c r="I1263">
        <v>23</v>
      </c>
      <c r="J1263">
        <v>1</v>
      </c>
      <c r="K1263">
        <v>105.48</v>
      </c>
      <c r="L1263">
        <v>15</v>
      </c>
      <c r="M1263" s="1" t="s">
        <v>65</v>
      </c>
      <c r="N1263" s="1" t="s">
        <v>56</v>
      </c>
      <c r="O1263">
        <v>8317.4</v>
      </c>
      <c r="P1263" t="b">
        <v>1</v>
      </c>
      <c r="Q1263">
        <v>1.9166666666666667</v>
      </c>
      <c r="R1263">
        <v>361.6260869565217</v>
      </c>
      <c r="S1263">
        <v>52.74</v>
      </c>
      <c r="T1263" s="2">
        <v>44743</v>
      </c>
      <c r="U1263" s="1" t="s">
        <v>41</v>
      </c>
      <c r="V1263">
        <v>0</v>
      </c>
      <c r="W1263" s="1" t="s">
        <v>56</v>
      </c>
      <c r="X1263">
        <v>454</v>
      </c>
      <c r="Y1263" s="1" t="s">
        <v>43</v>
      </c>
      <c r="Z1263" s="1" t="s">
        <v>42</v>
      </c>
      <c r="AA1263">
        <v>4.1666666666666664E-2</v>
      </c>
      <c r="AB1263" s="1" t="s">
        <v>42</v>
      </c>
      <c r="AC1263">
        <v>1</v>
      </c>
      <c r="AD1263" s="2">
        <v>44743</v>
      </c>
      <c r="AE1263" s="1" t="s">
        <v>53</v>
      </c>
      <c r="AF1263" s="1" t="s">
        <v>54</v>
      </c>
      <c r="AG1263" s="1" t="s">
        <v>63</v>
      </c>
      <c r="AH1263" s="1" t="s">
        <v>68</v>
      </c>
      <c r="AI1263">
        <v>8372</v>
      </c>
      <c r="AJ1263">
        <v>-54.600000000000364</v>
      </c>
    </row>
    <row r="1264" spans="1:36" x14ac:dyDescent="0.25">
      <c r="A1264">
        <v>11263</v>
      </c>
      <c r="B1264">
        <v>20</v>
      </c>
      <c r="C1264" s="1" t="s">
        <v>60</v>
      </c>
      <c r="D1264" s="1" t="s">
        <v>71</v>
      </c>
      <c r="E1264" s="2">
        <v>44309</v>
      </c>
      <c r="F1264" s="2">
        <v>45022</v>
      </c>
      <c r="G1264" s="1" t="s">
        <v>38</v>
      </c>
      <c r="H1264">
        <v>1132</v>
      </c>
      <c r="I1264">
        <v>35</v>
      </c>
      <c r="J1264">
        <v>4</v>
      </c>
      <c r="K1264">
        <v>40.51</v>
      </c>
      <c r="L1264">
        <v>20</v>
      </c>
      <c r="M1264" s="1" t="s">
        <v>65</v>
      </c>
      <c r="N1264" s="1" t="s">
        <v>56</v>
      </c>
      <c r="O1264">
        <v>39393.599999999999</v>
      </c>
      <c r="P1264" t="b">
        <v>1</v>
      </c>
      <c r="Q1264">
        <v>2.9166666666666665</v>
      </c>
      <c r="R1264">
        <v>1125.5314285714285</v>
      </c>
      <c r="S1264">
        <v>8.1020000000000003</v>
      </c>
      <c r="T1264" s="2">
        <v>44287</v>
      </c>
      <c r="U1264" s="1" t="s">
        <v>66</v>
      </c>
      <c r="V1264">
        <v>0</v>
      </c>
      <c r="W1264" s="1" t="s">
        <v>40</v>
      </c>
      <c r="X1264">
        <v>713</v>
      </c>
      <c r="Y1264" s="1" t="s">
        <v>52</v>
      </c>
      <c r="Z1264" s="1" t="s">
        <v>52</v>
      </c>
      <c r="AA1264">
        <v>0.1111111111111111</v>
      </c>
      <c r="AB1264" s="1" t="s">
        <v>43</v>
      </c>
      <c r="AC1264">
        <v>1</v>
      </c>
      <c r="AD1264" s="2">
        <v>44287</v>
      </c>
      <c r="AE1264" s="1" t="s">
        <v>44</v>
      </c>
      <c r="AF1264" s="1" t="s">
        <v>45</v>
      </c>
      <c r="AG1264" s="1" t="s">
        <v>55</v>
      </c>
      <c r="AH1264" s="1" t="s">
        <v>47</v>
      </c>
      <c r="AI1264">
        <v>39620</v>
      </c>
      <c r="AJ1264">
        <v>-226.40000000000146</v>
      </c>
    </row>
    <row r="1265" spans="1:36" x14ac:dyDescent="0.25">
      <c r="A1265">
        <v>11264</v>
      </c>
      <c r="B1265">
        <v>50</v>
      </c>
      <c r="C1265" s="1" t="s">
        <v>60</v>
      </c>
      <c r="D1265" s="1" t="s">
        <v>37</v>
      </c>
      <c r="E1265" s="2">
        <v>44287</v>
      </c>
      <c r="F1265" s="2">
        <v>44408</v>
      </c>
      <c r="G1265" s="1" t="s">
        <v>62</v>
      </c>
      <c r="H1265">
        <v>914</v>
      </c>
      <c r="I1265">
        <v>33</v>
      </c>
      <c r="J1265">
        <v>2</v>
      </c>
      <c r="K1265">
        <v>62.59</v>
      </c>
      <c r="L1265">
        <v>10</v>
      </c>
      <c r="M1265" s="1" t="s">
        <v>39</v>
      </c>
      <c r="N1265" s="1" t="s">
        <v>56</v>
      </c>
      <c r="O1265">
        <v>30070.6</v>
      </c>
      <c r="P1265" t="b">
        <v>1</v>
      </c>
      <c r="Q1265">
        <v>2.75</v>
      </c>
      <c r="R1265">
        <v>911.23030303030293</v>
      </c>
      <c r="S1265">
        <v>20.863333333333333</v>
      </c>
      <c r="T1265" s="2">
        <v>44287</v>
      </c>
      <c r="U1265" s="1" t="s">
        <v>51</v>
      </c>
      <c r="V1265">
        <v>0</v>
      </c>
      <c r="W1265" s="1" t="s">
        <v>40</v>
      </c>
      <c r="X1265">
        <v>121</v>
      </c>
      <c r="Y1265" s="1" t="s">
        <v>43</v>
      </c>
      <c r="Z1265" s="1" t="s">
        <v>42</v>
      </c>
      <c r="AA1265">
        <v>5.8823529411764705E-2</v>
      </c>
      <c r="AB1265" s="1" t="s">
        <v>43</v>
      </c>
      <c r="AC1265">
        <v>2</v>
      </c>
      <c r="AD1265" s="2">
        <v>44287</v>
      </c>
      <c r="AE1265" s="1" t="s">
        <v>44</v>
      </c>
      <c r="AF1265" s="1" t="s">
        <v>72</v>
      </c>
      <c r="AG1265" s="1" t="s">
        <v>63</v>
      </c>
      <c r="AH1265" s="1" t="s">
        <v>59</v>
      </c>
      <c r="AI1265">
        <v>30162</v>
      </c>
      <c r="AJ1265">
        <v>-91.400000000001455</v>
      </c>
    </row>
    <row r="1266" spans="1:36" x14ac:dyDescent="0.25">
      <c r="A1266">
        <v>11265</v>
      </c>
      <c r="B1266">
        <v>45</v>
      </c>
      <c r="C1266" s="1" t="s">
        <v>36</v>
      </c>
      <c r="D1266" s="1" t="s">
        <v>71</v>
      </c>
      <c r="E1266" s="2">
        <v>44337</v>
      </c>
      <c r="F1266" s="2">
        <v>44785</v>
      </c>
      <c r="G1266" s="1" t="s">
        <v>38</v>
      </c>
      <c r="H1266">
        <v>1100</v>
      </c>
      <c r="I1266">
        <v>25</v>
      </c>
      <c r="J1266">
        <v>1</v>
      </c>
      <c r="K1266">
        <v>104.09</v>
      </c>
      <c r="L1266">
        <v>20</v>
      </c>
      <c r="M1266" s="1" t="s">
        <v>39</v>
      </c>
      <c r="N1266" s="1" t="s">
        <v>40</v>
      </c>
      <c r="O1266">
        <v>27280</v>
      </c>
      <c r="P1266" t="b">
        <v>1</v>
      </c>
      <c r="Q1266">
        <v>2.0833333333333335</v>
      </c>
      <c r="R1266">
        <v>1091.2</v>
      </c>
      <c r="S1266">
        <v>52.045000000000002</v>
      </c>
      <c r="T1266" s="2">
        <v>44317</v>
      </c>
      <c r="U1266" s="1" t="s">
        <v>51</v>
      </c>
      <c r="V1266">
        <v>1</v>
      </c>
      <c r="W1266" s="1" t="s">
        <v>40</v>
      </c>
      <c r="X1266">
        <v>448</v>
      </c>
      <c r="Y1266" s="1" t="s">
        <v>43</v>
      </c>
      <c r="Z1266" s="1" t="s">
        <v>52</v>
      </c>
      <c r="AA1266">
        <v>3.8461538461538464E-2</v>
      </c>
      <c r="AB1266" s="1" t="s">
        <v>43</v>
      </c>
      <c r="AC1266">
        <v>1</v>
      </c>
      <c r="AD1266" s="2">
        <v>44317</v>
      </c>
      <c r="AE1266" s="1" t="s">
        <v>44</v>
      </c>
      <c r="AF1266" s="1" t="s">
        <v>54</v>
      </c>
      <c r="AG1266" s="1" t="s">
        <v>63</v>
      </c>
      <c r="AH1266" s="1" t="s">
        <v>47</v>
      </c>
      <c r="AI1266">
        <v>27500</v>
      </c>
      <c r="AJ1266">
        <v>-220</v>
      </c>
    </row>
    <row r="1267" spans="1:36" x14ac:dyDescent="0.25">
      <c r="A1267">
        <v>11266</v>
      </c>
      <c r="B1267">
        <v>64</v>
      </c>
      <c r="C1267" s="1" t="s">
        <v>36</v>
      </c>
      <c r="D1267" s="1" t="s">
        <v>48</v>
      </c>
      <c r="E1267" s="2">
        <v>44485</v>
      </c>
      <c r="F1267" s="2">
        <v>44611</v>
      </c>
      <c r="G1267" s="1" t="s">
        <v>38</v>
      </c>
      <c r="H1267">
        <v>577</v>
      </c>
      <c r="I1267">
        <v>21</v>
      </c>
      <c r="J1267">
        <v>5</v>
      </c>
      <c r="K1267">
        <v>28.3</v>
      </c>
      <c r="L1267">
        <v>15</v>
      </c>
      <c r="M1267" s="1" t="s">
        <v>39</v>
      </c>
      <c r="N1267" s="1" t="s">
        <v>56</v>
      </c>
      <c r="O1267">
        <v>12030.45</v>
      </c>
      <c r="P1267" t="b">
        <v>1</v>
      </c>
      <c r="Q1267">
        <v>1.75</v>
      </c>
      <c r="R1267">
        <v>572.87857142857149</v>
      </c>
      <c r="S1267">
        <v>4.7166666666666668</v>
      </c>
      <c r="T1267" s="2">
        <v>44470</v>
      </c>
      <c r="U1267" s="1" t="s">
        <v>41</v>
      </c>
      <c r="V1267">
        <v>0</v>
      </c>
      <c r="W1267" s="1" t="s">
        <v>56</v>
      </c>
      <c r="X1267">
        <v>126</v>
      </c>
      <c r="Y1267" s="1" t="s">
        <v>52</v>
      </c>
      <c r="Z1267" s="1" t="s">
        <v>42</v>
      </c>
      <c r="AA1267">
        <v>0.22727272727272727</v>
      </c>
      <c r="AB1267" s="1" t="s">
        <v>52</v>
      </c>
      <c r="AC1267">
        <v>1</v>
      </c>
      <c r="AD1267" s="2">
        <v>44470</v>
      </c>
      <c r="AE1267" s="1" t="s">
        <v>53</v>
      </c>
      <c r="AF1267" s="1" t="s">
        <v>45</v>
      </c>
      <c r="AG1267" s="1" t="s">
        <v>70</v>
      </c>
      <c r="AH1267" s="1" t="s">
        <v>64</v>
      </c>
      <c r="AI1267">
        <v>12117</v>
      </c>
      <c r="AJ1267">
        <v>-86.549999999999272</v>
      </c>
    </row>
    <row r="1268" spans="1:36" x14ac:dyDescent="0.25">
      <c r="A1268">
        <v>11267</v>
      </c>
      <c r="B1268">
        <v>25</v>
      </c>
      <c r="C1268" s="1" t="s">
        <v>60</v>
      </c>
      <c r="D1268" s="1" t="s">
        <v>48</v>
      </c>
      <c r="E1268" s="2">
        <v>44926</v>
      </c>
      <c r="F1268" s="2">
        <v>45144</v>
      </c>
      <c r="G1268" s="1" t="s">
        <v>38</v>
      </c>
      <c r="H1268">
        <v>665</v>
      </c>
      <c r="I1268">
        <v>34</v>
      </c>
      <c r="J1268">
        <v>5</v>
      </c>
      <c r="K1268">
        <v>45.99</v>
      </c>
      <c r="L1268">
        <v>15</v>
      </c>
      <c r="M1268" s="1" t="s">
        <v>50</v>
      </c>
      <c r="N1268" s="1" t="s">
        <v>56</v>
      </c>
      <c r="O1268">
        <v>22510.25</v>
      </c>
      <c r="P1268" t="b">
        <v>1</v>
      </c>
      <c r="Q1268">
        <v>2.8333333333333335</v>
      </c>
      <c r="R1268">
        <v>662.06617647058829</v>
      </c>
      <c r="S1268">
        <v>7.665</v>
      </c>
      <c r="T1268" s="2">
        <v>44896</v>
      </c>
      <c r="U1268" s="1" t="s">
        <v>66</v>
      </c>
      <c r="V1268">
        <v>0</v>
      </c>
      <c r="W1268" s="1" t="s">
        <v>40</v>
      </c>
      <c r="X1268">
        <v>218</v>
      </c>
      <c r="Y1268" s="1" t="s">
        <v>52</v>
      </c>
      <c r="Z1268" s="1" t="s">
        <v>42</v>
      </c>
      <c r="AA1268">
        <v>0.14285714285714285</v>
      </c>
      <c r="AB1268" s="1" t="s">
        <v>43</v>
      </c>
      <c r="AC1268">
        <v>1</v>
      </c>
      <c r="AD1268" s="2">
        <v>44896</v>
      </c>
      <c r="AE1268" s="1" t="s">
        <v>44</v>
      </c>
      <c r="AF1268" s="1" t="s">
        <v>45</v>
      </c>
      <c r="AG1268" s="1" t="s">
        <v>63</v>
      </c>
      <c r="AH1268" s="1" t="s">
        <v>64</v>
      </c>
      <c r="AI1268">
        <v>22610</v>
      </c>
      <c r="AJ1268">
        <v>-99.75</v>
      </c>
    </row>
    <row r="1269" spans="1:36" x14ac:dyDescent="0.25">
      <c r="A1269">
        <v>11268</v>
      </c>
      <c r="B1269">
        <v>51</v>
      </c>
      <c r="C1269" s="1" t="s">
        <v>36</v>
      </c>
      <c r="D1269" s="1" t="s">
        <v>61</v>
      </c>
      <c r="E1269" s="2">
        <v>44785</v>
      </c>
      <c r="F1269" s="2">
        <v>44442</v>
      </c>
      <c r="G1269" s="1" t="s">
        <v>38</v>
      </c>
      <c r="H1269">
        <v>815</v>
      </c>
      <c r="I1269">
        <v>19</v>
      </c>
      <c r="J1269">
        <v>2</v>
      </c>
      <c r="K1269">
        <v>117.68</v>
      </c>
      <c r="L1269">
        <v>15</v>
      </c>
      <c r="M1269" s="1" t="s">
        <v>39</v>
      </c>
      <c r="N1269" s="1" t="s">
        <v>56</v>
      </c>
      <c r="O1269">
        <v>15362.75</v>
      </c>
      <c r="P1269" t="b">
        <v>0</v>
      </c>
      <c r="Q1269">
        <v>1.5833333333333333</v>
      </c>
      <c r="R1269">
        <v>808.56578947368416</v>
      </c>
      <c r="S1269">
        <v>39.226666666666667</v>
      </c>
      <c r="T1269" s="2">
        <v>44774</v>
      </c>
      <c r="U1269" s="1" t="s">
        <v>41</v>
      </c>
      <c r="V1269">
        <v>0</v>
      </c>
      <c r="W1269" s="1" t="s">
        <v>40</v>
      </c>
      <c r="Y1269" s="1" t="s">
        <v>43</v>
      </c>
      <c r="Z1269" s="1" t="s">
        <v>42</v>
      </c>
      <c r="AA1269">
        <v>0.1</v>
      </c>
      <c r="AB1269" s="1" t="s">
        <v>52</v>
      </c>
      <c r="AC1269">
        <v>1</v>
      </c>
      <c r="AD1269" s="2">
        <v>44774</v>
      </c>
      <c r="AE1269" s="1" t="s">
        <v>53</v>
      </c>
      <c r="AF1269" s="1" t="s">
        <v>72</v>
      </c>
      <c r="AG1269" s="1" t="s">
        <v>63</v>
      </c>
      <c r="AH1269" s="1" t="s">
        <v>59</v>
      </c>
      <c r="AI1269">
        <v>15485</v>
      </c>
      <c r="AJ1269">
        <v>-122.25</v>
      </c>
    </row>
    <row r="1270" spans="1:36" x14ac:dyDescent="0.25">
      <c r="A1270">
        <v>11269</v>
      </c>
      <c r="B1270">
        <v>52</v>
      </c>
      <c r="C1270" s="1" t="s">
        <v>60</v>
      </c>
      <c r="D1270" s="1" t="s">
        <v>37</v>
      </c>
      <c r="E1270" s="2">
        <v>44607</v>
      </c>
      <c r="F1270" s="2">
        <v>44900</v>
      </c>
      <c r="G1270" s="1" t="s">
        <v>62</v>
      </c>
      <c r="H1270">
        <v>738</v>
      </c>
      <c r="I1270">
        <v>27</v>
      </c>
      <c r="J1270">
        <v>2</v>
      </c>
      <c r="K1270">
        <v>118.07</v>
      </c>
      <c r="L1270">
        <v>10</v>
      </c>
      <c r="M1270" s="1" t="s">
        <v>50</v>
      </c>
      <c r="N1270" s="1" t="s">
        <v>56</v>
      </c>
      <c r="O1270">
        <v>19889.099999999999</v>
      </c>
      <c r="P1270" t="b">
        <v>1</v>
      </c>
      <c r="Q1270">
        <v>2.25</v>
      </c>
      <c r="R1270">
        <v>736.63333333333333</v>
      </c>
      <c r="S1270">
        <v>39.356666666666662</v>
      </c>
      <c r="T1270" s="2">
        <v>44593</v>
      </c>
      <c r="U1270" s="1" t="s">
        <v>41</v>
      </c>
      <c r="V1270">
        <v>0</v>
      </c>
      <c r="W1270" s="1" t="s">
        <v>40</v>
      </c>
      <c r="X1270">
        <v>293</v>
      </c>
      <c r="Y1270" s="1" t="s">
        <v>43</v>
      </c>
      <c r="Z1270" s="1" t="s">
        <v>42</v>
      </c>
      <c r="AA1270">
        <v>7.1428571428571425E-2</v>
      </c>
      <c r="AB1270" s="1" t="s">
        <v>43</v>
      </c>
      <c r="AC1270">
        <v>2</v>
      </c>
      <c r="AD1270" s="2">
        <v>44593</v>
      </c>
      <c r="AE1270" s="1" t="s">
        <v>44</v>
      </c>
      <c r="AF1270" s="1" t="s">
        <v>72</v>
      </c>
      <c r="AG1270" s="1" t="s">
        <v>63</v>
      </c>
      <c r="AH1270" s="1" t="s">
        <v>59</v>
      </c>
      <c r="AI1270">
        <v>19926</v>
      </c>
      <c r="AJ1270">
        <v>-36.900000000001455</v>
      </c>
    </row>
    <row r="1271" spans="1:36" x14ac:dyDescent="0.25">
      <c r="A1271">
        <v>11270</v>
      </c>
      <c r="B1271">
        <v>49</v>
      </c>
      <c r="C1271" s="1" t="s">
        <v>36</v>
      </c>
      <c r="D1271" s="1" t="s">
        <v>69</v>
      </c>
      <c r="E1271" s="2">
        <v>44573</v>
      </c>
      <c r="F1271" s="2">
        <v>44817</v>
      </c>
      <c r="G1271" s="1" t="s">
        <v>38</v>
      </c>
      <c r="H1271">
        <v>727</v>
      </c>
      <c r="I1271">
        <v>9</v>
      </c>
      <c r="J1271">
        <v>3</v>
      </c>
      <c r="K1271">
        <v>30.67</v>
      </c>
      <c r="L1271">
        <v>5</v>
      </c>
      <c r="M1271" s="1" t="s">
        <v>39</v>
      </c>
      <c r="N1271" s="1" t="s">
        <v>40</v>
      </c>
      <c r="O1271">
        <v>6506.65</v>
      </c>
      <c r="P1271" t="b">
        <v>1</v>
      </c>
      <c r="Q1271">
        <v>0.75</v>
      </c>
      <c r="R1271">
        <v>722.96111111111111</v>
      </c>
      <c r="S1271">
        <v>7.6675000000000004</v>
      </c>
      <c r="T1271" s="2">
        <v>44562</v>
      </c>
      <c r="U1271" s="1" t="s">
        <v>51</v>
      </c>
      <c r="V1271">
        <v>1</v>
      </c>
      <c r="W1271" s="1" t="s">
        <v>56</v>
      </c>
      <c r="X1271">
        <v>244</v>
      </c>
      <c r="Y1271" s="1" t="s">
        <v>52</v>
      </c>
      <c r="Z1271" s="1" t="s">
        <v>42</v>
      </c>
      <c r="AA1271">
        <v>0.3</v>
      </c>
      <c r="AB1271" s="1" t="s">
        <v>42</v>
      </c>
      <c r="AC1271">
        <v>1</v>
      </c>
      <c r="AD1271" s="2">
        <v>44562</v>
      </c>
      <c r="AE1271" s="1" t="s">
        <v>74</v>
      </c>
      <c r="AF1271" s="1" t="s">
        <v>72</v>
      </c>
      <c r="AG1271" s="1" t="s">
        <v>55</v>
      </c>
      <c r="AH1271" s="1" t="s">
        <v>59</v>
      </c>
      <c r="AI1271">
        <v>6543</v>
      </c>
      <c r="AJ1271">
        <v>-36.350000000000364</v>
      </c>
    </row>
    <row r="1272" spans="1:36" x14ac:dyDescent="0.25">
      <c r="A1272">
        <v>11271</v>
      </c>
      <c r="B1272">
        <v>41</v>
      </c>
      <c r="C1272" s="1" t="s">
        <v>36</v>
      </c>
      <c r="D1272" s="1" t="s">
        <v>37</v>
      </c>
      <c r="E1272" s="2">
        <v>44580</v>
      </c>
      <c r="F1272" s="2">
        <v>45008</v>
      </c>
      <c r="G1272" s="1" t="s">
        <v>62</v>
      </c>
      <c r="H1272">
        <v>1028</v>
      </c>
      <c r="I1272">
        <v>5</v>
      </c>
      <c r="J1272">
        <v>3</v>
      </c>
      <c r="K1272">
        <v>12.64</v>
      </c>
      <c r="L1272">
        <v>10</v>
      </c>
      <c r="M1272" s="1" t="s">
        <v>50</v>
      </c>
      <c r="N1272" s="1" t="s">
        <v>56</v>
      </c>
      <c r="O1272">
        <v>5037.2</v>
      </c>
      <c r="P1272" t="b">
        <v>1</v>
      </c>
      <c r="Q1272">
        <v>0.41666666666666669</v>
      </c>
      <c r="R1272">
        <v>1007.4399999999999</v>
      </c>
      <c r="S1272">
        <v>3.16</v>
      </c>
      <c r="T1272" s="2">
        <v>44562</v>
      </c>
      <c r="U1272" s="1" t="s">
        <v>51</v>
      </c>
      <c r="V1272">
        <v>0</v>
      </c>
      <c r="W1272" s="1" t="s">
        <v>56</v>
      </c>
      <c r="X1272">
        <v>428</v>
      </c>
      <c r="Y1272" s="1" t="s">
        <v>42</v>
      </c>
      <c r="Z1272" s="1" t="s">
        <v>42</v>
      </c>
      <c r="AA1272">
        <v>0.5</v>
      </c>
      <c r="AB1272" s="1" t="s">
        <v>42</v>
      </c>
      <c r="AC1272">
        <v>2</v>
      </c>
      <c r="AD1272" s="2">
        <v>44562</v>
      </c>
      <c r="AE1272" s="1" t="s">
        <v>58</v>
      </c>
      <c r="AF1272" s="1" t="s">
        <v>72</v>
      </c>
      <c r="AG1272" s="1" t="s">
        <v>46</v>
      </c>
      <c r="AH1272" s="1" t="s">
        <v>47</v>
      </c>
      <c r="AI1272">
        <v>5140</v>
      </c>
      <c r="AJ1272">
        <v>-102.80000000000018</v>
      </c>
    </row>
    <row r="1273" spans="1:36" x14ac:dyDescent="0.25">
      <c r="A1273">
        <v>11272</v>
      </c>
      <c r="B1273">
        <v>31</v>
      </c>
      <c r="C1273" s="1" t="s">
        <v>60</v>
      </c>
      <c r="D1273" s="1" t="s">
        <v>48</v>
      </c>
      <c r="E1273" s="2">
        <v>45042</v>
      </c>
      <c r="F1273" s="2">
        <v>45063</v>
      </c>
      <c r="G1273" s="1" t="s">
        <v>62</v>
      </c>
      <c r="H1273">
        <v>695</v>
      </c>
      <c r="I1273">
        <v>5</v>
      </c>
      <c r="J1273">
        <v>2</v>
      </c>
      <c r="K1273">
        <v>36.159999999999997</v>
      </c>
      <c r="L1273">
        <v>15</v>
      </c>
      <c r="M1273" s="1" t="s">
        <v>67</v>
      </c>
      <c r="N1273" s="1" t="s">
        <v>56</v>
      </c>
      <c r="O1273">
        <v>3370.75</v>
      </c>
      <c r="P1273" t="b">
        <v>1</v>
      </c>
      <c r="Q1273">
        <v>0.41666666666666669</v>
      </c>
      <c r="R1273">
        <v>674.15</v>
      </c>
      <c r="S1273">
        <v>12.053333333333333</v>
      </c>
      <c r="T1273" s="2">
        <v>45017</v>
      </c>
      <c r="U1273" s="1" t="s">
        <v>57</v>
      </c>
      <c r="V1273">
        <v>0</v>
      </c>
      <c r="W1273" s="1" t="s">
        <v>56</v>
      </c>
      <c r="X1273">
        <v>21</v>
      </c>
      <c r="Y1273" s="1" t="s">
        <v>52</v>
      </c>
      <c r="Z1273" s="1" t="s">
        <v>42</v>
      </c>
      <c r="AA1273">
        <v>0.33333333333333331</v>
      </c>
      <c r="AB1273" s="1" t="s">
        <v>42</v>
      </c>
      <c r="AC1273">
        <v>2</v>
      </c>
      <c r="AD1273" s="2">
        <v>45017</v>
      </c>
      <c r="AE1273" s="1" t="s">
        <v>58</v>
      </c>
      <c r="AF1273" s="1" t="s">
        <v>72</v>
      </c>
      <c r="AG1273" s="1" t="s">
        <v>55</v>
      </c>
      <c r="AH1273" s="1" t="s">
        <v>64</v>
      </c>
      <c r="AI1273">
        <v>3475</v>
      </c>
      <c r="AJ1273">
        <v>-104.25</v>
      </c>
    </row>
    <row r="1274" spans="1:36" x14ac:dyDescent="0.25">
      <c r="A1274">
        <v>11273</v>
      </c>
      <c r="B1274">
        <v>49</v>
      </c>
      <c r="C1274" s="1" t="s">
        <v>36</v>
      </c>
      <c r="D1274" s="1" t="s">
        <v>69</v>
      </c>
      <c r="E1274" s="2">
        <v>44348</v>
      </c>
      <c r="F1274" s="2">
        <v>45126</v>
      </c>
      <c r="G1274" s="1" t="s">
        <v>38</v>
      </c>
      <c r="H1274">
        <v>885</v>
      </c>
      <c r="I1274">
        <v>25</v>
      </c>
      <c r="J1274">
        <v>3</v>
      </c>
      <c r="K1274">
        <v>50.74</v>
      </c>
      <c r="L1274">
        <v>5</v>
      </c>
      <c r="M1274" s="1" t="s">
        <v>39</v>
      </c>
      <c r="N1274" s="1" t="s">
        <v>56</v>
      </c>
      <c r="O1274">
        <v>22080.75</v>
      </c>
      <c r="P1274" t="b">
        <v>1</v>
      </c>
      <c r="Q1274">
        <v>2.0833333333333335</v>
      </c>
      <c r="R1274">
        <v>883.23</v>
      </c>
      <c r="S1274">
        <v>12.685</v>
      </c>
      <c r="T1274" s="2">
        <v>44348</v>
      </c>
      <c r="U1274" s="1" t="s">
        <v>51</v>
      </c>
      <c r="V1274">
        <v>0</v>
      </c>
      <c r="W1274" s="1" t="s">
        <v>40</v>
      </c>
      <c r="X1274">
        <v>778</v>
      </c>
      <c r="Y1274" s="1" t="s">
        <v>52</v>
      </c>
      <c r="Z1274" s="1" t="s">
        <v>42</v>
      </c>
      <c r="AA1274">
        <v>0.11538461538461539</v>
      </c>
      <c r="AB1274" s="1" t="s">
        <v>43</v>
      </c>
      <c r="AC1274">
        <v>1</v>
      </c>
      <c r="AD1274" s="2">
        <v>44348</v>
      </c>
      <c r="AE1274" s="1" t="s">
        <v>44</v>
      </c>
      <c r="AF1274" s="1" t="s">
        <v>72</v>
      </c>
      <c r="AG1274" s="1" t="s">
        <v>63</v>
      </c>
      <c r="AH1274" s="1" t="s">
        <v>59</v>
      </c>
      <c r="AI1274">
        <v>22125</v>
      </c>
      <c r="AJ1274">
        <v>-44.25</v>
      </c>
    </row>
    <row r="1275" spans="1:36" x14ac:dyDescent="0.25">
      <c r="A1275">
        <v>11274</v>
      </c>
      <c r="B1275">
        <v>63</v>
      </c>
      <c r="C1275" s="1" t="s">
        <v>60</v>
      </c>
      <c r="D1275" s="1" t="s">
        <v>37</v>
      </c>
      <c r="E1275" s="2">
        <v>45031</v>
      </c>
      <c r="F1275" s="2">
        <v>44861</v>
      </c>
      <c r="G1275" s="1" t="s">
        <v>38</v>
      </c>
      <c r="H1275">
        <v>674</v>
      </c>
      <c r="I1275">
        <v>26</v>
      </c>
      <c r="J1275">
        <v>2</v>
      </c>
      <c r="K1275">
        <v>55.72</v>
      </c>
      <c r="L1275">
        <v>0</v>
      </c>
      <c r="M1275" s="1" t="s">
        <v>50</v>
      </c>
      <c r="N1275" s="1" t="s">
        <v>56</v>
      </c>
      <c r="O1275">
        <v>17524</v>
      </c>
      <c r="P1275" t="b">
        <v>0</v>
      </c>
      <c r="Q1275">
        <v>2.1666666666666665</v>
      </c>
      <c r="R1275">
        <v>674</v>
      </c>
      <c r="S1275">
        <v>18.573333333333334</v>
      </c>
      <c r="T1275" s="2">
        <v>45017</v>
      </c>
      <c r="U1275" s="1" t="s">
        <v>41</v>
      </c>
      <c r="V1275">
        <v>0</v>
      </c>
      <c r="W1275" s="1" t="s">
        <v>40</v>
      </c>
      <c r="Y1275" s="1" t="s">
        <v>52</v>
      </c>
      <c r="Z1275" s="1" t="s">
        <v>42</v>
      </c>
      <c r="AA1275">
        <v>7.407407407407407E-2</v>
      </c>
      <c r="AB1275" s="1" t="s">
        <v>52</v>
      </c>
      <c r="AC1275">
        <v>1</v>
      </c>
      <c r="AD1275" s="2">
        <v>45017</v>
      </c>
      <c r="AE1275" s="1" t="s">
        <v>44</v>
      </c>
      <c r="AF1275" s="1" t="s">
        <v>72</v>
      </c>
      <c r="AG1275" s="1" t="s">
        <v>63</v>
      </c>
      <c r="AH1275" s="1" t="s">
        <v>64</v>
      </c>
      <c r="AI1275">
        <v>17524</v>
      </c>
      <c r="AJ1275">
        <v>0</v>
      </c>
    </row>
    <row r="1276" spans="1:36" x14ac:dyDescent="0.25">
      <c r="A1276">
        <v>11275</v>
      </c>
      <c r="B1276">
        <v>60</v>
      </c>
      <c r="C1276" s="1" t="s">
        <v>36</v>
      </c>
      <c r="D1276" s="1" t="s">
        <v>76</v>
      </c>
      <c r="E1276" s="2">
        <v>44947</v>
      </c>
      <c r="F1276" s="2">
        <v>45037</v>
      </c>
      <c r="G1276" s="1" t="s">
        <v>38</v>
      </c>
      <c r="H1276">
        <v>1247</v>
      </c>
      <c r="I1276">
        <v>19</v>
      </c>
      <c r="J1276">
        <v>0</v>
      </c>
      <c r="K1276">
        <v>76.16</v>
      </c>
      <c r="L1276">
        <v>0</v>
      </c>
      <c r="M1276" s="1" t="s">
        <v>67</v>
      </c>
      <c r="N1276" s="1" t="s">
        <v>56</v>
      </c>
      <c r="O1276">
        <v>23693</v>
      </c>
      <c r="P1276" t="b">
        <v>1</v>
      </c>
      <c r="Q1276">
        <v>1.5833333333333333</v>
      </c>
      <c r="R1276">
        <v>1247</v>
      </c>
      <c r="S1276">
        <v>76.16</v>
      </c>
      <c r="T1276" s="2">
        <v>44927</v>
      </c>
      <c r="U1276" s="1" t="s">
        <v>41</v>
      </c>
      <c r="V1276">
        <v>0</v>
      </c>
      <c r="W1276" s="1" t="s">
        <v>40</v>
      </c>
      <c r="X1276">
        <v>90</v>
      </c>
      <c r="Y1276" s="1" t="s">
        <v>43</v>
      </c>
      <c r="Z1276" s="1" t="s">
        <v>42</v>
      </c>
      <c r="AA1276">
        <v>0</v>
      </c>
      <c r="AB1276" s="1" t="s">
        <v>43</v>
      </c>
      <c r="AC1276">
        <v>1</v>
      </c>
      <c r="AD1276" s="2">
        <v>44927</v>
      </c>
      <c r="AE1276" s="1" t="s">
        <v>53</v>
      </c>
      <c r="AF1276" s="1" t="s">
        <v>54</v>
      </c>
      <c r="AG1276" s="1" t="s">
        <v>63</v>
      </c>
      <c r="AH1276" s="1" t="s">
        <v>47</v>
      </c>
      <c r="AI1276">
        <v>23693</v>
      </c>
      <c r="AJ1276">
        <v>0</v>
      </c>
    </row>
    <row r="1277" spans="1:36" x14ac:dyDescent="0.25">
      <c r="A1277">
        <v>11276</v>
      </c>
      <c r="B1277">
        <v>33</v>
      </c>
      <c r="C1277" s="1" t="s">
        <v>60</v>
      </c>
      <c r="D1277" s="1" t="s">
        <v>69</v>
      </c>
      <c r="E1277" s="2">
        <v>44823</v>
      </c>
      <c r="F1277" s="2">
        <v>44541</v>
      </c>
      <c r="G1277" s="1" t="s">
        <v>38</v>
      </c>
      <c r="H1277">
        <v>392</v>
      </c>
      <c r="I1277">
        <v>30</v>
      </c>
      <c r="J1277">
        <v>2</v>
      </c>
      <c r="K1277">
        <v>108.44</v>
      </c>
      <c r="L1277">
        <v>5</v>
      </c>
      <c r="M1277" s="1" t="s">
        <v>39</v>
      </c>
      <c r="N1277" s="1" t="s">
        <v>56</v>
      </c>
      <c r="O1277">
        <v>11740.4</v>
      </c>
      <c r="P1277" t="b">
        <v>0</v>
      </c>
      <c r="Q1277">
        <v>2.5</v>
      </c>
      <c r="R1277">
        <v>391.34666666666664</v>
      </c>
      <c r="S1277">
        <v>36.146666666666668</v>
      </c>
      <c r="T1277" s="2">
        <v>44805</v>
      </c>
      <c r="U1277" s="1" t="s">
        <v>57</v>
      </c>
      <c r="V1277">
        <v>0</v>
      </c>
      <c r="W1277" s="1" t="s">
        <v>56</v>
      </c>
      <c r="Y1277" s="1" t="s">
        <v>43</v>
      </c>
      <c r="Z1277" s="1" t="s">
        <v>42</v>
      </c>
      <c r="AA1277">
        <v>6.4516129032258063E-2</v>
      </c>
      <c r="AB1277" s="1" t="s">
        <v>52</v>
      </c>
      <c r="AC1277">
        <v>1</v>
      </c>
      <c r="AD1277" s="2">
        <v>44805</v>
      </c>
      <c r="AE1277" s="1" t="s">
        <v>44</v>
      </c>
      <c r="AF1277" s="1" t="s">
        <v>72</v>
      </c>
      <c r="AG1277" s="1" t="s">
        <v>63</v>
      </c>
      <c r="AH1277" s="1" t="s">
        <v>68</v>
      </c>
      <c r="AI1277">
        <v>11760</v>
      </c>
      <c r="AJ1277">
        <v>-19.600000000000364</v>
      </c>
    </row>
    <row r="1278" spans="1:36" x14ac:dyDescent="0.25">
      <c r="A1278">
        <v>11277</v>
      </c>
      <c r="B1278">
        <v>21</v>
      </c>
      <c r="C1278" s="1" t="s">
        <v>36</v>
      </c>
      <c r="D1278" s="1" t="s">
        <v>48</v>
      </c>
      <c r="E1278" s="2">
        <v>44515</v>
      </c>
      <c r="F1278" s="2">
        <v>44829</v>
      </c>
      <c r="G1278" s="1" t="s">
        <v>62</v>
      </c>
      <c r="H1278">
        <v>620</v>
      </c>
      <c r="I1278">
        <v>16</v>
      </c>
      <c r="J1278">
        <v>4</v>
      </c>
      <c r="K1278">
        <v>42.99</v>
      </c>
      <c r="L1278">
        <v>10</v>
      </c>
      <c r="M1278" s="1" t="s">
        <v>67</v>
      </c>
      <c r="N1278" s="1" t="s">
        <v>56</v>
      </c>
      <c r="O1278">
        <v>9858</v>
      </c>
      <c r="P1278" t="b">
        <v>1</v>
      </c>
      <c r="Q1278">
        <v>1.3333333333333333</v>
      </c>
      <c r="R1278">
        <v>616.125</v>
      </c>
      <c r="S1278">
        <v>8.5980000000000008</v>
      </c>
      <c r="T1278" s="2">
        <v>44501</v>
      </c>
      <c r="U1278" s="1" t="s">
        <v>66</v>
      </c>
      <c r="V1278">
        <v>0</v>
      </c>
      <c r="W1278" s="1" t="s">
        <v>56</v>
      </c>
      <c r="X1278">
        <v>314</v>
      </c>
      <c r="Y1278" s="1" t="s">
        <v>52</v>
      </c>
      <c r="Z1278" s="1" t="s">
        <v>42</v>
      </c>
      <c r="AA1278">
        <v>0.23529411764705882</v>
      </c>
      <c r="AB1278" s="1" t="s">
        <v>52</v>
      </c>
      <c r="AC1278">
        <v>2</v>
      </c>
      <c r="AD1278" s="2">
        <v>44501</v>
      </c>
      <c r="AE1278" s="1" t="s">
        <v>53</v>
      </c>
      <c r="AF1278" s="1" t="s">
        <v>45</v>
      </c>
      <c r="AG1278" s="1" t="s">
        <v>55</v>
      </c>
      <c r="AH1278" s="1" t="s">
        <v>64</v>
      </c>
      <c r="AI1278">
        <v>9920</v>
      </c>
      <c r="AJ1278">
        <v>-62</v>
      </c>
    </row>
    <row r="1279" spans="1:36" x14ac:dyDescent="0.25">
      <c r="A1279">
        <v>11278</v>
      </c>
      <c r="B1279">
        <v>54</v>
      </c>
      <c r="C1279" s="1" t="s">
        <v>36</v>
      </c>
      <c r="D1279" s="1" t="s">
        <v>37</v>
      </c>
      <c r="E1279" s="2">
        <v>44565</v>
      </c>
      <c r="F1279" s="2">
        <v>45246</v>
      </c>
      <c r="G1279" s="1" t="s">
        <v>62</v>
      </c>
      <c r="H1279">
        <v>1333</v>
      </c>
      <c r="I1279">
        <v>7</v>
      </c>
      <c r="J1279">
        <v>0</v>
      </c>
      <c r="K1279">
        <v>102.75</v>
      </c>
      <c r="L1279">
        <v>20</v>
      </c>
      <c r="M1279" s="1" t="s">
        <v>39</v>
      </c>
      <c r="N1279" s="1" t="s">
        <v>56</v>
      </c>
      <c r="O1279">
        <v>9064.4</v>
      </c>
      <c r="P1279" t="b">
        <v>1</v>
      </c>
      <c r="Q1279">
        <v>0.58333333333333337</v>
      </c>
      <c r="R1279">
        <v>1294.9142857142856</v>
      </c>
      <c r="S1279">
        <v>102.75</v>
      </c>
      <c r="T1279" s="2">
        <v>44562</v>
      </c>
      <c r="U1279" s="1" t="s">
        <v>41</v>
      </c>
      <c r="V1279">
        <v>0</v>
      </c>
      <c r="W1279" s="1" t="s">
        <v>56</v>
      </c>
      <c r="X1279">
        <v>681</v>
      </c>
      <c r="Y1279" s="1" t="s">
        <v>43</v>
      </c>
      <c r="Z1279" s="1" t="s">
        <v>52</v>
      </c>
      <c r="AA1279">
        <v>0</v>
      </c>
      <c r="AB1279" s="1" t="s">
        <v>52</v>
      </c>
      <c r="AC1279">
        <v>2</v>
      </c>
      <c r="AD1279" s="2">
        <v>44562</v>
      </c>
      <c r="AE1279" s="1" t="s">
        <v>74</v>
      </c>
      <c r="AF1279" s="1" t="s">
        <v>54</v>
      </c>
      <c r="AG1279" s="1" t="s">
        <v>63</v>
      </c>
      <c r="AH1279" s="1" t="s">
        <v>47</v>
      </c>
      <c r="AI1279">
        <v>9331</v>
      </c>
      <c r="AJ1279">
        <v>-266.60000000000036</v>
      </c>
    </row>
    <row r="1280" spans="1:36" x14ac:dyDescent="0.25">
      <c r="A1280">
        <v>11279</v>
      </c>
      <c r="B1280">
        <v>38</v>
      </c>
      <c r="C1280" s="1" t="s">
        <v>36</v>
      </c>
      <c r="D1280" s="1" t="s">
        <v>69</v>
      </c>
      <c r="E1280" s="2">
        <v>44802</v>
      </c>
      <c r="F1280" s="2">
        <v>44683</v>
      </c>
      <c r="G1280" s="1" t="s">
        <v>62</v>
      </c>
      <c r="H1280">
        <v>1213</v>
      </c>
      <c r="I1280">
        <v>18</v>
      </c>
      <c r="J1280">
        <v>4</v>
      </c>
      <c r="K1280">
        <v>15.75</v>
      </c>
      <c r="L1280">
        <v>15</v>
      </c>
      <c r="M1280" s="1" t="s">
        <v>65</v>
      </c>
      <c r="N1280" s="1" t="s">
        <v>56</v>
      </c>
      <c r="O1280">
        <v>21652.05</v>
      </c>
      <c r="P1280" t="b">
        <v>0</v>
      </c>
      <c r="Q1280">
        <v>1.5</v>
      </c>
      <c r="R1280">
        <v>1202.8916666666667</v>
      </c>
      <c r="S1280">
        <v>3.15</v>
      </c>
      <c r="T1280" s="2">
        <v>44774</v>
      </c>
      <c r="U1280" s="1" t="s">
        <v>51</v>
      </c>
      <c r="V1280">
        <v>0</v>
      </c>
      <c r="W1280" s="1" t="s">
        <v>40</v>
      </c>
      <c r="Y1280" s="1" t="s">
        <v>42</v>
      </c>
      <c r="Z1280" s="1" t="s">
        <v>42</v>
      </c>
      <c r="AA1280">
        <v>0.21052631578947367</v>
      </c>
      <c r="AB1280" s="1" t="s">
        <v>43</v>
      </c>
      <c r="AC1280">
        <v>2</v>
      </c>
      <c r="AD1280" s="2">
        <v>44774</v>
      </c>
      <c r="AE1280" s="1" t="s">
        <v>53</v>
      </c>
      <c r="AF1280" s="1" t="s">
        <v>45</v>
      </c>
      <c r="AG1280" s="1" t="s">
        <v>46</v>
      </c>
      <c r="AH1280" s="1" t="s">
        <v>47</v>
      </c>
      <c r="AI1280">
        <v>21834</v>
      </c>
      <c r="AJ1280">
        <v>-181.95000000000073</v>
      </c>
    </row>
    <row r="1281" spans="1:36" x14ac:dyDescent="0.25">
      <c r="A1281">
        <v>11280</v>
      </c>
      <c r="B1281">
        <v>31</v>
      </c>
      <c r="C1281" s="1" t="s">
        <v>60</v>
      </c>
      <c r="D1281" s="1" t="s">
        <v>73</v>
      </c>
      <c r="E1281" s="2">
        <v>44756</v>
      </c>
      <c r="F1281" s="2">
        <v>44782</v>
      </c>
      <c r="G1281" s="1" t="s">
        <v>38</v>
      </c>
      <c r="H1281">
        <v>1216</v>
      </c>
      <c r="I1281">
        <v>21</v>
      </c>
      <c r="J1281">
        <v>0</v>
      </c>
      <c r="K1281">
        <v>9.82</v>
      </c>
      <c r="L1281">
        <v>5</v>
      </c>
      <c r="M1281" s="1" t="s">
        <v>50</v>
      </c>
      <c r="N1281" s="1" t="s">
        <v>56</v>
      </c>
      <c r="O1281">
        <v>25475.200000000001</v>
      </c>
      <c r="P1281" t="b">
        <v>1</v>
      </c>
      <c r="Q1281">
        <v>1.75</v>
      </c>
      <c r="R1281">
        <v>1213.104761904762</v>
      </c>
      <c r="S1281">
        <v>9.82</v>
      </c>
      <c r="T1281" s="2">
        <v>44743</v>
      </c>
      <c r="U1281" s="1" t="s">
        <v>57</v>
      </c>
      <c r="V1281">
        <v>0</v>
      </c>
      <c r="W1281" s="1" t="s">
        <v>40</v>
      </c>
      <c r="X1281">
        <v>26</v>
      </c>
      <c r="Y1281" s="1" t="s">
        <v>42</v>
      </c>
      <c r="Z1281" s="1" t="s">
        <v>42</v>
      </c>
      <c r="AA1281">
        <v>0</v>
      </c>
      <c r="AB1281" s="1" t="s">
        <v>43</v>
      </c>
      <c r="AC1281">
        <v>1</v>
      </c>
      <c r="AD1281" s="2">
        <v>44743</v>
      </c>
      <c r="AE1281" s="1" t="s">
        <v>53</v>
      </c>
      <c r="AF1281" s="1" t="s">
        <v>54</v>
      </c>
      <c r="AG1281" s="1" t="s">
        <v>77</v>
      </c>
      <c r="AH1281" s="1" t="s">
        <v>47</v>
      </c>
      <c r="AI1281">
        <v>25536</v>
      </c>
      <c r="AJ1281">
        <v>-60.799999999999272</v>
      </c>
    </row>
    <row r="1282" spans="1:36" x14ac:dyDescent="0.25">
      <c r="A1282">
        <v>11281</v>
      </c>
      <c r="B1282">
        <v>48</v>
      </c>
      <c r="C1282" s="1" t="s">
        <v>36</v>
      </c>
      <c r="D1282" s="1" t="s">
        <v>73</v>
      </c>
      <c r="E1282" s="2">
        <v>44899</v>
      </c>
      <c r="F1282" s="2">
        <v>44543</v>
      </c>
      <c r="G1282" s="1" t="s">
        <v>62</v>
      </c>
      <c r="H1282">
        <v>394</v>
      </c>
      <c r="I1282">
        <v>31</v>
      </c>
      <c r="J1282">
        <v>2</v>
      </c>
      <c r="K1282">
        <v>62.97</v>
      </c>
      <c r="L1282">
        <v>10</v>
      </c>
      <c r="M1282" s="1" t="s">
        <v>65</v>
      </c>
      <c r="N1282" s="1" t="s">
        <v>56</v>
      </c>
      <c r="O1282">
        <v>12174.6</v>
      </c>
      <c r="P1282" t="b">
        <v>0</v>
      </c>
      <c r="Q1282">
        <v>2.5833333333333335</v>
      </c>
      <c r="R1282">
        <v>392.72903225806454</v>
      </c>
      <c r="S1282">
        <v>20.99</v>
      </c>
      <c r="T1282" s="2">
        <v>44896</v>
      </c>
      <c r="U1282" s="1" t="s">
        <v>51</v>
      </c>
      <c r="V1282">
        <v>0</v>
      </c>
      <c r="W1282" s="1" t="s">
        <v>56</v>
      </c>
      <c r="Y1282" s="1" t="s">
        <v>43</v>
      </c>
      <c r="Z1282" s="1" t="s">
        <v>42</v>
      </c>
      <c r="AA1282">
        <v>6.25E-2</v>
      </c>
      <c r="AB1282" s="1" t="s">
        <v>52</v>
      </c>
      <c r="AC1282">
        <v>2</v>
      </c>
      <c r="AD1282" s="2">
        <v>44896</v>
      </c>
      <c r="AE1282" s="1" t="s">
        <v>44</v>
      </c>
      <c r="AF1282" s="1" t="s">
        <v>72</v>
      </c>
      <c r="AG1282" s="1" t="s">
        <v>63</v>
      </c>
      <c r="AH1282" s="1" t="s">
        <v>68</v>
      </c>
      <c r="AI1282">
        <v>12214</v>
      </c>
      <c r="AJ1282">
        <v>-39.399999999999636</v>
      </c>
    </row>
    <row r="1283" spans="1:36" x14ac:dyDescent="0.25">
      <c r="A1283">
        <v>11282</v>
      </c>
      <c r="B1283">
        <v>35</v>
      </c>
      <c r="C1283" s="1" t="s">
        <v>36</v>
      </c>
      <c r="D1283" s="1" t="s">
        <v>48</v>
      </c>
      <c r="E1283" s="2">
        <v>44658</v>
      </c>
      <c r="F1283" s="2">
        <v>45202</v>
      </c>
      <c r="G1283" s="1" t="s">
        <v>62</v>
      </c>
      <c r="H1283">
        <v>1258</v>
      </c>
      <c r="I1283">
        <v>1</v>
      </c>
      <c r="J1283">
        <v>0</v>
      </c>
      <c r="K1283">
        <v>11.86</v>
      </c>
      <c r="L1283">
        <v>20</v>
      </c>
      <c r="M1283" s="1" t="s">
        <v>50</v>
      </c>
      <c r="N1283" s="1" t="s">
        <v>56</v>
      </c>
      <c r="O1283">
        <v>1006.4</v>
      </c>
      <c r="P1283" t="b">
        <v>1</v>
      </c>
      <c r="Q1283">
        <v>8.3333333333333329E-2</v>
      </c>
      <c r="R1283">
        <v>1006.4</v>
      </c>
      <c r="S1283">
        <v>11.86</v>
      </c>
      <c r="T1283" s="2">
        <v>44652</v>
      </c>
      <c r="U1283" s="1" t="s">
        <v>57</v>
      </c>
      <c r="V1283">
        <v>0</v>
      </c>
      <c r="W1283" s="1" t="s">
        <v>56</v>
      </c>
      <c r="X1283">
        <v>544</v>
      </c>
      <c r="Y1283" s="1" t="s">
        <v>42</v>
      </c>
      <c r="Z1283" s="1" t="s">
        <v>52</v>
      </c>
      <c r="AA1283">
        <v>0</v>
      </c>
      <c r="AB1283" s="1" t="s">
        <v>42</v>
      </c>
      <c r="AC1283">
        <v>2</v>
      </c>
      <c r="AD1283" s="2">
        <v>44652</v>
      </c>
      <c r="AE1283" s="1" t="s">
        <v>58</v>
      </c>
      <c r="AF1283" s="1" t="s">
        <v>54</v>
      </c>
      <c r="AG1283" s="1" t="s">
        <v>46</v>
      </c>
      <c r="AH1283" s="1" t="s">
        <v>47</v>
      </c>
      <c r="AI1283">
        <v>1258</v>
      </c>
      <c r="AJ1283">
        <v>-251.60000000000002</v>
      </c>
    </row>
    <row r="1284" spans="1:36" x14ac:dyDescent="0.25">
      <c r="A1284">
        <v>11283</v>
      </c>
      <c r="B1284">
        <v>24</v>
      </c>
      <c r="C1284" s="1" t="s">
        <v>36</v>
      </c>
      <c r="D1284" s="1" t="s">
        <v>69</v>
      </c>
      <c r="E1284" s="2">
        <v>44208</v>
      </c>
      <c r="F1284" s="2">
        <v>44596</v>
      </c>
      <c r="G1284" s="1" t="s">
        <v>62</v>
      </c>
      <c r="H1284">
        <v>1430</v>
      </c>
      <c r="I1284">
        <v>3</v>
      </c>
      <c r="J1284">
        <v>1</v>
      </c>
      <c r="K1284">
        <v>50.14</v>
      </c>
      <c r="L1284">
        <v>10</v>
      </c>
      <c r="M1284" s="1" t="s">
        <v>65</v>
      </c>
      <c r="N1284" s="1" t="s">
        <v>56</v>
      </c>
      <c r="O1284">
        <v>4147</v>
      </c>
      <c r="P1284" t="b">
        <v>1</v>
      </c>
      <c r="Q1284">
        <v>0.25</v>
      </c>
      <c r="R1284">
        <v>1382.3333333333333</v>
      </c>
      <c r="S1284">
        <v>25.07</v>
      </c>
      <c r="T1284" s="2">
        <v>44197</v>
      </c>
      <c r="U1284" s="1" t="s">
        <v>66</v>
      </c>
      <c r="V1284">
        <v>0</v>
      </c>
      <c r="W1284" s="1" t="s">
        <v>56</v>
      </c>
      <c r="X1284">
        <v>388</v>
      </c>
      <c r="Y1284" s="1" t="s">
        <v>52</v>
      </c>
      <c r="Z1284" s="1" t="s">
        <v>42</v>
      </c>
      <c r="AA1284">
        <v>0.25</v>
      </c>
      <c r="AB1284" s="1" t="s">
        <v>42</v>
      </c>
      <c r="AC1284">
        <v>2</v>
      </c>
      <c r="AD1284" s="2">
        <v>44197</v>
      </c>
      <c r="AE1284" s="1" t="s">
        <v>58</v>
      </c>
      <c r="AF1284" s="1" t="s">
        <v>54</v>
      </c>
      <c r="AG1284" s="1" t="s">
        <v>63</v>
      </c>
      <c r="AH1284" s="1" t="s">
        <v>47</v>
      </c>
      <c r="AI1284">
        <v>4290</v>
      </c>
      <c r="AJ1284">
        <v>-143</v>
      </c>
    </row>
    <row r="1285" spans="1:36" x14ac:dyDescent="0.25">
      <c r="A1285">
        <v>11284</v>
      </c>
      <c r="B1285">
        <v>27</v>
      </c>
      <c r="C1285" s="1" t="s">
        <v>36</v>
      </c>
      <c r="D1285" s="1" t="s">
        <v>73</v>
      </c>
      <c r="E1285" s="2">
        <v>44352</v>
      </c>
      <c r="F1285" s="2">
        <v>44845</v>
      </c>
      <c r="G1285" s="1" t="s">
        <v>62</v>
      </c>
      <c r="H1285">
        <v>370</v>
      </c>
      <c r="I1285">
        <v>31</v>
      </c>
      <c r="J1285">
        <v>2</v>
      </c>
      <c r="K1285">
        <v>108.13</v>
      </c>
      <c r="L1285">
        <v>20</v>
      </c>
      <c r="M1285" s="1" t="s">
        <v>39</v>
      </c>
      <c r="N1285" s="1" t="s">
        <v>56</v>
      </c>
      <c r="O1285">
        <v>11396</v>
      </c>
      <c r="P1285" t="b">
        <v>1</v>
      </c>
      <c r="Q1285">
        <v>2.5833333333333335</v>
      </c>
      <c r="R1285">
        <v>367.61290322580646</v>
      </c>
      <c r="S1285">
        <v>36.043333333333329</v>
      </c>
      <c r="T1285" s="2">
        <v>44348</v>
      </c>
      <c r="U1285" s="1" t="s">
        <v>57</v>
      </c>
      <c r="V1285">
        <v>0</v>
      </c>
      <c r="W1285" s="1" t="s">
        <v>56</v>
      </c>
      <c r="X1285">
        <v>493</v>
      </c>
      <c r="Y1285" s="1" t="s">
        <v>43</v>
      </c>
      <c r="Z1285" s="1" t="s">
        <v>52</v>
      </c>
      <c r="AA1285">
        <v>6.25E-2</v>
      </c>
      <c r="AB1285" s="1" t="s">
        <v>52</v>
      </c>
      <c r="AC1285">
        <v>2</v>
      </c>
      <c r="AD1285" s="2">
        <v>44348</v>
      </c>
      <c r="AE1285" s="1" t="s">
        <v>44</v>
      </c>
      <c r="AF1285" s="1" t="s">
        <v>72</v>
      </c>
      <c r="AG1285" s="1" t="s">
        <v>63</v>
      </c>
      <c r="AH1285" s="1" t="s">
        <v>68</v>
      </c>
      <c r="AI1285">
        <v>11470</v>
      </c>
      <c r="AJ1285">
        <v>-74</v>
      </c>
    </row>
    <row r="1286" spans="1:36" x14ac:dyDescent="0.25">
      <c r="A1286">
        <v>11285</v>
      </c>
      <c r="B1286">
        <v>24</v>
      </c>
      <c r="C1286" s="1" t="s">
        <v>36</v>
      </c>
      <c r="D1286" s="1" t="s">
        <v>69</v>
      </c>
      <c r="E1286" s="2">
        <v>44880</v>
      </c>
      <c r="F1286" s="2">
        <v>44559</v>
      </c>
      <c r="G1286" s="1" t="s">
        <v>62</v>
      </c>
      <c r="H1286">
        <v>963</v>
      </c>
      <c r="I1286">
        <v>25</v>
      </c>
      <c r="J1286">
        <v>1</v>
      </c>
      <c r="K1286">
        <v>32.770000000000003</v>
      </c>
      <c r="L1286">
        <v>10</v>
      </c>
      <c r="M1286" s="1" t="s">
        <v>65</v>
      </c>
      <c r="N1286" s="1" t="s">
        <v>56</v>
      </c>
      <c r="O1286">
        <v>24075</v>
      </c>
      <c r="P1286" t="b">
        <v>0</v>
      </c>
      <c r="Q1286">
        <v>2.0833333333333335</v>
      </c>
      <c r="R1286">
        <v>963</v>
      </c>
      <c r="S1286">
        <v>16.385000000000002</v>
      </c>
      <c r="T1286" s="2">
        <v>44866</v>
      </c>
      <c r="U1286" s="1" t="s">
        <v>66</v>
      </c>
      <c r="V1286">
        <v>0</v>
      </c>
      <c r="W1286" s="1" t="s">
        <v>40</v>
      </c>
      <c r="Y1286" s="1" t="s">
        <v>52</v>
      </c>
      <c r="Z1286" s="1" t="s">
        <v>42</v>
      </c>
      <c r="AA1286">
        <v>3.8461538461538464E-2</v>
      </c>
      <c r="AB1286" s="1" t="s">
        <v>43</v>
      </c>
      <c r="AC1286">
        <v>2</v>
      </c>
      <c r="AD1286" s="2">
        <v>44866</v>
      </c>
      <c r="AE1286" s="1" t="s">
        <v>44</v>
      </c>
      <c r="AF1286" s="1" t="s">
        <v>54</v>
      </c>
      <c r="AG1286" s="1" t="s">
        <v>55</v>
      </c>
      <c r="AH1286" s="1" t="s">
        <v>59</v>
      </c>
      <c r="AI1286">
        <v>24075</v>
      </c>
      <c r="AJ1286">
        <v>0</v>
      </c>
    </row>
    <row r="1287" spans="1:36" x14ac:dyDescent="0.25">
      <c r="A1287">
        <v>11286</v>
      </c>
      <c r="B1287">
        <v>50</v>
      </c>
      <c r="C1287" s="1" t="s">
        <v>60</v>
      </c>
      <c r="D1287" s="1" t="s">
        <v>37</v>
      </c>
      <c r="E1287" s="2">
        <v>44673</v>
      </c>
      <c r="F1287" s="2">
        <v>45012</v>
      </c>
      <c r="G1287" s="1" t="s">
        <v>62</v>
      </c>
      <c r="H1287">
        <v>1268</v>
      </c>
      <c r="I1287">
        <v>8</v>
      </c>
      <c r="J1287">
        <v>4</v>
      </c>
      <c r="K1287">
        <v>86.19</v>
      </c>
      <c r="L1287">
        <v>20</v>
      </c>
      <c r="M1287" s="1" t="s">
        <v>39</v>
      </c>
      <c r="N1287" s="1" t="s">
        <v>56</v>
      </c>
      <c r="O1287">
        <v>9890.4</v>
      </c>
      <c r="P1287" t="b">
        <v>1</v>
      </c>
      <c r="Q1287">
        <v>0.66666666666666663</v>
      </c>
      <c r="R1287">
        <v>1236.3</v>
      </c>
      <c r="S1287">
        <v>17.238</v>
      </c>
      <c r="T1287" s="2">
        <v>44652</v>
      </c>
      <c r="U1287" s="1" t="s">
        <v>51</v>
      </c>
      <c r="V1287">
        <v>0</v>
      </c>
      <c r="W1287" s="1" t="s">
        <v>56</v>
      </c>
      <c r="X1287">
        <v>339</v>
      </c>
      <c r="Y1287" s="1" t="s">
        <v>43</v>
      </c>
      <c r="Z1287" s="1" t="s">
        <v>52</v>
      </c>
      <c r="AA1287">
        <v>0.44444444444444442</v>
      </c>
      <c r="AB1287" s="1" t="s">
        <v>52</v>
      </c>
      <c r="AC1287">
        <v>2</v>
      </c>
      <c r="AD1287" s="2">
        <v>44652</v>
      </c>
      <c r="AE1287" s="1" t="s">
        <v>74</v>
      </c>
      <c r="AF1287" s="1" t="s">
        <v>45</v>
      </c>
      <c r="AG1287" s="1" t="s">
        <v>63</v>
      </c>
      <c r="AH1287" s="1" t="s">
        <v>47</v>
      </c>
      <c r="AI1287">
        <v>10144</v>
      </c>
      <c r="AJ1287">
        <v>-253.60000000000036</v>
      </c>
    </row>
    <row r="1288" spans="1:36" x14ac:dyDescent="0.25">
      <c r="A1288">
        <v>11287</v>
      </c>
      <c r="B1288">
        <v>40</v>
      </c>
      <c r="C1288" s="1" t="s">
        <v>60</v>
      </c>
      <c r="D1288" s="1" t="s">
        <v>48</v>
      </c>
      <c r="E1288" s="2">
        <v>44597</v>
      </c>
      <c r="F1288" s="2">
        <v>45017</v>
      </c>
      <c r="G1288" s="1" t="s">
        <v>62</v>
      </c>
      <c r="H1288">
        <v>886</v>
      </c>
      <c r="I1288">
        <v>1</v>
      </c>
      <c r="J1288">
        <v>2</v>
      </c>
      <c r="K1288">
        <v>39.770000000000003</v>
      </c>
      <c r="L1288">
        <v>0</v>
      </c>
      <c r="M1288" s="1" t="s">
        <v>50</v>
      </c>
      <c r="N1288" s="1" t="s">
        <v>40</v>
      </c>
      <c r="O1288">
        <v>886</v>
      </c>
      <c r="P1288" t="b">
        <v>1</v>
      </c>
      <c r="Q1288">
        <v>8.3333333333333329E-2</v>
      </c>
      <c r="R1288">
        <v>886</v>
      </c>
      <c r="S1288">
        <v>13.256666666666668</v>
      </c>
      <c r="T1288" s="2">
        <v>44593</v>
      </c>
      <c r="U1288" s="1" t="s">
        <v>51</v>
      </c>
      <c r="V1288">
        <v>1</v>
      </c>
      <c r="W1288" s="1" t="s">
        <v>56</v>
      </c>
      <c r="X1288">
        <v>420</v>
      </c>
      <c r="Y1288" s="1" t="s">
        <v>52</v>
      </c>
      <c r="Z1288" s="1" t="s">
        <v>42</v>
      </c>
      <c r="AA1288">
        <v>1</v>
      </c>
      <c r="AB1288" s="1" t="s">
        <v>42</v>
      </c>
      <c r="AC1288">
        <v>2</v>
      </c>
      <c r="AD1288" s="2">
        <v>44593</v>
      </c>
      <c r="AE1288" s="1" t="s">
        <v>58</v>
      </c>
      <c r="AF1288" s="1" t="s">
        <v>72</v>
      </c>
      <c r="AG1288" s="1" t="s">
        <v>55</v>
      </c>
      <c r="AH1288" s="1" t="s">
        <v>59</v>
      </c>
      <c r="AI1288">
        <v>886</v>
      </c>
      <c r="AJ1288">
        <v>0</v>
      </c>
    </row>
    <row r="1289" spans="1:36" x14ac:dyDescent="0.25">
      <c r="A1289">
        <v>11288</v>
      </c>
      <c r="B1289">
        <v>38</v>
      </c>
      <c r="C1289" s="1" t="s">
        <v>36</v>
      </c>
      <c r="D1289" s="1" t="s">
        <v>73</v>
      </c>
      <c r="E1289" s="2">
        <v>45004</v>
      </c>
      <c r="F1289" s="2">
        <v>44813</v>
      </c>
      <c r="G1289" s="1" t="s">
        <v>38</v>
      </c>
      <c r="H1289">
        <v>1026</v>
      </c>
      <c r="I1289">
        <v>7</v>
      </c>
      <c r="J1289">
        <v>0</v>
      </c>
      <c r="K1289">
        <v>10.17</v>
      </c>
      <c r="L1289">
        <v>10</v>
      </c>
      <c r="M1289" s="1" t="s">
        <v>39</v>
      </c>
      <c r="N1289" s="1" t="s">
        <v>56</v>
      </c>
      <c r="O1289">
        <v>7028.1</v>
      </c>
      <c r="P1289" t="b">
        <v>0</v>
      </c>
      <c r="Q1289">
        <v>0.58333333333333337</v>
      </c>
      <c r="R1289">
        <v>1004.0142857142857</v>
      </c>
      <c r="S1289">
        <v>10.17</v>
      </c>
      <c r="T1289" s="2">
        <v>44986</v>
      </c>
      <c r="U1289" s="1" t="s">
        <v>51</v>
      </c>
      <c r="V1289">
        <v>0</v>
      </c>
      <c r="W1289" s="1" t="s">
        <v>56</v>
      </c>
      <c r="Y1289" s="1" t="s">
        <v>42</v>
      </c>
      <c r="Z1289" s="1" t="s">
        <v>42</v>
      </c>
      <c r="AA1289">
        <v>0</v>
      </c>
      <c r="AB1289" s="1" t="s">
        <v>42</v>
      </c>
      <c r="AC1289">
        <v>1</v>
      </c>
      <c r="AD1289" s="2">
        <v>44986</v>
      </c>
      <c r="AE1289" s="1" t="s">
        <v>74</v>
      </c>
      <c r="AF1289" s="1" t="s">
        <v>54</v>
      </c>
      <c r="AG1289" s="1" t="s">
        <v>46</v>
      </c>
      <c r="AH1289" s="1" t="s">
        <v>47</v>
      </c>
      <c r="AI1289">
        <v>7182</v>
      </c>
      <c r="AJ1289">
        <v>-153.89999999999964</v>
      </c>
    </row>
    <row r="1290" spans="1:36" x14ac:dyDescent="0.25">
      <c r="A1290">
        <v>11289</v>
      </c>
      <c r="B1290">
        <v>36</v>
      </c>
      <c r="C1290" s="1" t="s">
        <v>60</v>
      </c>
      <c r="D1290" s="1" t="s">
        <v>37</v>
      </c>
      <c r="E1290" s="2">
        <v>44373</v>
      </c>
      <c r="F1290" s="2">
        <v>45221</v>
      </c>
      <c r="G1290" s="1" t="s">
        <v>62</v>
      </c>
      <c r="H1290">
        <v>667</v>
      </c>
      <c r="I1290">
        <v>7</v>
      </c>
      <c r="J1290">
        <v>1</v>
      </c>
      <c r="K1290">
        <v>69.02</v>
      </c>
      <c r="L1290">
        <v>5</v>
      </c>
      <c r="M1290" s="1" t="s">
        <v>65</v>
      </c>
      <c r="N1290" s="1" t="s">
        <v>56</v>
      </c>
      <c r="O1290">
        <v>4635.6499999999996</v>
      </c>
      <c r="P1290" t="b">
        <v>1</v>
      </c>
      <c r="Q1290">
        <v>0.58333333333333337</v>
      </c>
      <c r="R1290">
        <v>662.23571428571427</v>
      </c>
      <c r="S1290">
        <v>34.51</v>
      </c>
      <c r="T1290" s="2">
        <v>44348</v>
      </c>
      <c r="U1290" s="1" t="s">
        <v>51</v>
      </c>
      <c r="V1290">
        <v>0</v>
      </c>
      <c r="W1290" s="1" t="s">
        <v>56</v>
      </c>
      <c r="X1290">
        <v>848</v>
      </c>
      <c r="Y1290" s="1" t="s">
        <v>43</v>
      </c>
      <c r="Z1290" s="1" t="s">
        <v>42</v>
      </c>
      <c r="AA1290">
        <v>0.125</v>
      </c>
      <c r="AB1290" s="1" t="s">
        <v>42</v>
      </c>
      <c r="AC1290">
        <v>2</v>
      </c>
      <c r="AD1290" s="2">
        <v>44348</v>
      </c>
      <c r="AE1290" s="1" t="s">
        <v>74</v>
      </c>
      <c r="AF1290" s="1" t="s">
        <v>54</v>
      </c>
      <c r="AG1290" s="1" t="s">
        <v>63</v>
      </c>
      <c r="AH1290" s="1" t="s">
        <v>64</v>
      </c>
      <c r="AI1290">
        <v>4669</v>
      </c>
      <c r="AJ1290">
        <v>-33.350000000000364</v>
      </c>
    </row>
    <row r="1291" spans="1:36" x14ac:dyDescent="0.25">
      <c r="A1291">
        <v>11290</v>
      </c>
      <c r="B1291">
        <v>36</v>
      </c>
      <c r="C1291" s="1" t="s">
        <v>75</v>
      </c>
      <c r="D1291" s="1" t="s">
        <v>71</v>
      </c>
      <c r="E1291" s="2">
        <v>44537</v>
      </c>
      <c r="F1291" s="2">
        <v>44998</v>
      </c>
      <c r="G1291" s="1" t="s">
        <v>38</v>
      </c>
      <c r="H1291">
        <v>350</v>
      </c>
      <c r="I1291">
        <v>8</v>
      </c>
      <c r="J1291">
        <v>4</v>
      </c>
      <c r="K1291">
        <v>101.01</v>
      </c>
      <c r="L1291">
        <v>10</v>
      </c>
      <c r="M1291" s="1" t="s">
        <v>67</v>
      </c>
      <c r="N1291" s="1" t="s">
        <v>40</v>
      </c>
      <c r="O1291">
        <v>2800</v>
      </c>
      <c r="P1291" t="b">
        <v>1</v>
      </c>
      <c r="Q1291">
        <v>0.66666666666666663</v>
      </c>
      <c r="R1291">
        <v>350</v>
      </c>
      <c r="S1291">
        <v>20.202000000000002</v>
      </c>
      <c r="T1291" s="2">
        <v>44531</v>
      </c>
      <c r="U1291" s="1" t="s">
        <v>51</v>
      </c>
      <c r="V1291">
        <v>1</v>
      </c>
      <c r="W1291" s="1" t="s">
        <v>56</v>
      </c>
      <c r="X1291">
        <v>461</v>
      </c>
      <c r="Y1291" s="1" t="s">
        <v>43</v>
      </c>
      <c r="Z1291" s="1" t="s">
        <v>42</v>
      </c>
      <c r="AA1291">
        <v>0.44444444444444442</v>
      </c>
      <c r="AB1291" s="1" t="s">
        <v>42</v>
      </c>
      <c r="AC1291">
        <v>1</v>
      </c>
      <c r="AD1291" s="2">
        <v>44531</v>
      </c>
      <c r="AE1291" s="1" t="s">
        <v>74</v>
      </c>
      <c r="AF1291" s="1" t="s">
        <v>45</v>
      </c>
      <c r="AG1291" s="1" t="s">
        <v>63</v>
      </c>
      <c r="AH1291" s="1" t="s">
        <v>68</v>
      </c>
      <c r="AI1291">
        <v>2800</v>
      </c>
      <c r="AJ1291">
        <v>0</v>
      </c>
    </row>
    <row r="1292" spans="1:36" x14ac:dyDescent="0.25">
      <c r="A1292">
        <v>11291</v>
      </c>
      <c r="B1292">
        <v>53</v>
      </c>
      <c r="C1292" s="1" t="s">
        <v>36</v>
      </c>
      <c r="D1292" s="1" t="s">
        <v>71</v>
      </c>
      <c r="E1292" s="2">
        <v>44253</v>
      </c>
      <c r="F1292" s="2">
        <v>44568</v>
      </c>
      <c r="G1292" s="1" t="s">
        <v>38</v>
      </c>
      <c r="H1292">
        <v>1466</v>
      </c>
      <c r="I1292">
        <v>19</v>
      </c>
      <c r="J1292">
        <v>6</v>
      </c>
      <c r="K1292">
        <v>52.09</v>
      </c>
      <c r="L1292">
        <v>10</v>
      </c>
      <c r="M1292" s="1" t="s">
        <v>50</v>
      </c>
      <c r="N1292" s="1" t="s">
        <v>56</v>
      </c>
      <c r="O1292">
        <v>27707.4</v>
      </c>
      <c r="P1292" t="b">
        <v>1</v>
      </c>
      <c r="Q1292">
        <v>1.5833333333333333</v>
      </c>
      <c r="R1292">
        <v>1458.284210526316</v>
      </c>
      <c r="S1292">
        <v>7.4414285714285722</v>
      </c>
      <c r="T1292" s="2">
        <v>44228</v>
      </c>
      <c r="U1292" s="1" t="s">
        <v>41</v>
      </c>
      <c r="V1292">
        <v>0</v>
      </c>
      <c r="W1292" s="1" t="s">
        <v>40</v>
      </c>
      <c r="X1292">
        <v>315</v>
      </c>
      <c r="Y1292" s="1" t="s">
        <v>52</v>
      </c>
      <c r="Z1292" s="1" t="s">
        <v>42</v>
      </c>
      <c r="AA1292">
        <v>0.3</v>
      </c>
      <c r="AB1292" s="1" t="s">
        <v>43</v>
      </c>
      <c r="AC1292">
        <v>1</v>
      </c>
      <c r="AD1292" s="2">
        <v>44228</v>
      </c>
      <c r="AE1292" s="1" t="s">
        <v>53</v>
      </c>
      <c r="AF1292" s="1" t="s">
        <v>78</v>
      </c>
      <c r="AG1292" s="1" t="s">
        <v>63</v>
      </c>
      <c r="AH1292" s="1" t="s">
        <v>47</v>
      </c>
      <c r="AI1292">
        <v>27854</v>
      </c>
      <c r="AJ1292">
        <v>-146.59999999999854</v>
      </c>
    </row>
    <row r="1293" spans="1:36" x14ac:dyDescent="0.25">
      <c r="A1293">
        <v>11292</v>
      </c>
      <c r="B1293">
        <v>46</v>
      </c>
      <c r="C1293" s="1" t="s">
        <v>36</v>
      </c>
      <c r="D1293" s="1" t="s">
        <v>48</v>
      </c>
      <c r="E1293" s="2">
        <v>45051</v>
      </c>
      <c r="F1293" s="2">
        <v>44620</v>
      </c>
      <c r="G1293" s="1" t="s">
        <v>49</v>
      </c>
      <c r="H1293">
        <v>1287</v>
      </c>
      <c r="I1293">
        <v>17</v>
      </c>
      <c r="J1293">
        <v>1</v>
      </c>
      <c r="K1293">
        <v>75.989999999999995</v>
      </c>
      <c r="L1293">
        <v>20</v>
      </c>
      <c r="M1293" s="1" t="s">
        <v>67</v>
      </c>
      <c r="N1293" s="1" t="s">
        <v>56</v>
      </c>
      <c r="O1293">
        <v>21621.599999999999</v>
      </c>
      <c r="P1293" t="b">
        <v>0</v>
      </c>
      <c r="Q1293">
        <v>1.4166666666666667</v>
      </c>
      <c r="R1293">
        <v>1271.8588235294117</v>
      </c>
      <c r="S1293">
        <v>37.994999999999997</v>
      </c>
      <c r="T1293" s="2">
        <v>45047</v>
      </c>
      <c r="U1293" s="1" t="s">
        <v>51</v>
      </c>
      <c r="V1293">
        <v>0</v>
      </c>
      <c r="W1293" s="1" t="s">
        <v>40</v>
      </c>
      <c r="Y1293" s="1" t="s">
        <v>43</v>
      </c>
      <c r="Z1293" s="1" t="s">
        <v>52</v>
      </c>
      <c r="AA1293">
        <v>5.5555555555555552E-2</v>
      </c>
      <c r="AB1293" s="1" t="s">
        <v>43</v>
      </c>
      <c r="AC1293">
        <v>3</v>
      </c>
      <c r="AD1293" s="2">
        <v>45047</v>
      </c>
      <c r="AE1293" s="1" t="s">
        <v>53</v>
      </c>
      <c r="AF1293" s="1" t="s">
        <v>54</v>
      </c>
      <c r="AG1293" s="1" t="s">
        <v>63</v>
      </c>
      <c r="AH1293" s="1" t="s">
        <v>47</v>
      </c>
      <c r="AI1293">
        <v>21879</v>
      </c>
      <c r="AJ1293">
        <v>-257.40000000000146</v>
      </c>
    </row>
    <row r="1294" spans="1:36" x14ac:dyDescent="0.25">
      <c r="A1294">
        <v>11293</v>
      </c>
      <c r="B1294">
        <v>35</v>
      </c>
      <c r="C1294" s="1" t="s">
        <v>60</v>
      </c>
      <c r="D1294" s="1" t="s">
        <v>73</v>
      </c>
      <c r="E1294" s="2">
        <v>45048</v>
      </c>
      <c r="F1294" s="2">
        <v>44501</v>
      </c>
      <c r="G1294" s="1" t="s">
        <v>49</v>
      </c>
      <c r="H1294">
        <v>1490</v>
      </c>
      <c r="I1294">
        <v>11</v>
      </c>
      <c r="J1294">
        <v>3</v>
      </c>
      <c r="K1294">
        <v>108.5</v>
      </c>
      <c r="L1294">
        <v>10</v>
      </c>
      <c r="M1294" s="1" t="s">
        <v>67</v>
      </c>
      <c r="N1294" s="1" t="s">
        <v>40</v>
      </c>
      <c r="O1294">
        <v>16241</v>
      </c>
      <c r="P1294" t="b">
        <v>0</v>
      </c>
      <c r="Q1294">
        <v>0.91666666666666663</v>
      </c>
      <c r="R1294">
        <v>1476.4545454545455</v>
      </c>
      <c r="S1294">
        <v>27.125</v>
      </c>
      <c r="T1294" s="2">
        <v>45047</v>
      </c>
      <c r="U1294" s="1" t="s">
        <v>57</v>
      </c>
      <c r="V1294">
        <v>1</v>
      </c>
      <c r="W1294" s="1" t="s">
        <v>40</v>
      </c>
      <c r="Y1294" s="1" t="s">
        <v>43</v>
      </c>
      <c r="Z1294" s="1" t="s">
        <v>42</v>
      </c>
      <c r="AA1294">
        <v>0.25</v>
      </c>
      <c r="AB1294" s="1" t="s">
        <v>52</v>
      </c>
      <c r="AC1294">
        <v>3</v>
      </c>
      <c r="AD1294" s="2">
        <v>45047</v>
      </c>
      <c r="AE1294" s="1" t="s">
        <v>74</v>
      </c>
      <c r="AF1294" s="1" t="s">
        <v>72</v>
      </c>
      <c r="AG1294" s="1" t="s">
        <v>63</v>
      </c>
      <c r="AH1294" s="1" t="s">
        <v>47</v>
      </c>
      <c r="AI1294">
        <v>16390</v>
      </c>
      <c r="AJ1294">
        <v>-149</v>
      </c>
    </row>
    <row r="1295" spans="1:36" x14ac:dyDescent="0.25">
      <c r="A1295">
        <v>11294</v>
      </c>
      <c r="B1295">
        <v>19</v>
      </c>
      <c r="C1295" s="1" t="s">
        <v>36</v>
      </c>
      <c r="D1295" s="1" t="s">
        <v>73</v>
      </c>
      <c r="E1295" s="2">
        <v>44644</v>
      </c>
      <c r="F1295" s="2">
        <v>44596</v>
      </c>
      <c r="G1295" s="1" t="s">
        <v>38</v>
      </c>
      <c r="H1295">
        <v>559</v>
      </c>
      <c r="I1295">
        <v>11</v>
      </c>
      <c r="J1295">
        <v>2</v>
      </c>
      <c r="K1295">
        <v>62.59</v>
      </c>
      <c r="L1295">
        <v>0</v>
      </c>
      <c r="M1295" s="1" t="s">
        <v>67</v>
      </c>
      <c r="N1295" s="1" t="s">
        <v>40</v>
      </c>
      <c r="O1295">
        <v>6149</v>
      </c>
      <c r="P1295" t="b">
        <v>0</v>
      </c>
      <c r="Q1295">
        <v>0.91666666666666663</v>
      </c>
      <c r="R1295">
        <v>559</v>
      </c>
      <c r="S1295">
        <v>20.863333333333333</v>
      </c>
      <c r="T1295" s="2">
        <v>44621</v>
      </c>
      <c r="U1295" s="1" t="s">
        <v>66</v>
      </c>
      <c r="V1295">
        <v>1</v>
      </c>
      <c r="W1295" s="1" t="s">
        <v>56</v>
      </c>
      <c r="Y1295" s="1" t="s">
        <v>43</v>
      </c>
      <c r="Z1295" s="1" t="s">
        <v>42</v>
      </c>
      <c r="AA1295">
        <v>0.16666666666666666</v>
      </c>
      <c r="AB1295" s="1" t="s">
        <v>42</v>
      </c>
      <c r="AC1295">
        <v>1</v>
      </c>
      <c r="AD1295" s="2">
        <v>44621</v>
      </c>
      <c r="AE1295" s="1" t="s">
        <v>74</v>
      </c>
      <c r="AF1295" s="1" t="s">
        <v>72</v>
      </c>
      <c r="AG1295" s="1" t="s">
        <v>63</v>
      </c>
      <c r="AH1295" s="1" t="s">
        <v>64</v>
      </c>
      <c r="AI1295">
        <v>6149</v>
      </c>
      <c r="AJ1295">
        <v>0</v>
      </c>
    </row>
    <row r="1296" spans="1:36" x14ac:dyDescent="0.25">
      <c r="A1296">
        <v>11295</v>
      </c>
      <c r="B1296">
        <v>18</v>
      </c>
      <c r="C1296" s="1" t="s">
        <v>36</v>
      </c>
      <c r="D1296" s="1" t="s">
        <v>73</v>
      </c>
      <c r="E1296" s="2">
        <v>44399</v>
      </c>
      <c r="F1296" s="2">
        <v>44626</v>
      </c>
      <c r="G1296" s="1" t="s">
        <v>38</v>
      </c>
      <c r="H1296">
        <v>457</v>
      </c>
      <c r="I1296">
        <v>2</v>
      </c>
      <c r="J1296">
        <v>0</v>
      </c>
      <c r="K1296">
        <v>27.3</v>
      </c>
      <c r="L1296">
        <v>10</v>
      </c>
      <c r="M1296" s="1" t="s">
        <v>67</v>
      </c>
      <c r="N1296" s="1" t="s">
        <v>56</v>
      </c>
      <c r="O1296">
        <v>868.3</v>
      </c>
      <c r="P1296" t="b">
        <v>1</v>
      </c>
      <c r="Q1296">
        <v>0.16666666666666666</v>
      </c>
      <c r="R1296">
        <v>434.15</v>
      </c>
      <c r="S1296">
        <v>27.3</v>
      </c>
      <c r="T1296" s="2">
        <v>44378</v>
      </c>
      <c r="U1296" s="1" t="s">
        <v>66</v>
      </c>
      <c r="V1296">
        <v>0</v>
      </c>
      <c r="W1296" s="1" t="s">
        <v>56</v>
      </c>
      <c r="X1296">
        <v>227</v>
      </c>
      <c r="Y1296" s="1" t="s">
        <v>52</v>
      </c>
      <c r="Z1296" s="1" t="s">
        <v>42</v>
      </c>
      <c r="AA1296">
        <v>0</v>
      </c>
      <c r="AB1296" s="1" t="s">
        <v>42</v>
      </c>
      <c r="AC1296">
        <v>1</v>
      </c>
      <c r="AD1296" s="2">
        <v>44378</v>
      </c>
      <c r="AE1296" s="1" t="s">
        <v>58</v>
      </c>
      <c r="AF1296" s="1" t="s">
        <v>54</v>
      </c>
      <c r="AG1296" s="1" t="s">
        <v>70</v>
      </c>
      <c r="AH1296" s="1" t="s">
        <v>68</v>
      </c>
      <c r="AI1296">
        <v>914</v>
      </c>
      <c r="AJ1296">
        <v>-45.700000000000045</v>
      </c>
    </row>
    <row r="1297" spans="1:36" x14ac:dyDescent="0.25">
      <c r="A1297">
        <v>11296</v>
      </c>
      <c r="B1297">
        <v>64</v>
      </c>
      <c r="C1297" s="1" t="s">
        <v>36</v>
      </c>
      <c r="D1297" s="1" t="s">
        <v>69</v>
      </c>
      <c r="E1297" s="2">
        <v>44893</v>
      </c>
      <c r="F1297" s="2">
        <v>44787</v>
      </c>
      <c r="G1297" s="1" t="s">
        <v>38</v>
      </c>
      <c r="H1297">
        <v>398</v>
      </c>
      <c r="I1297">
        <v>4</v>
      </c>
      <c r="J1297">
        <v>4</v>
      </c>
      <c r="K1297">
        <v>89.34</v>
      </c>
      <c r="L1297">
        <v>20</v>
      </c>
      <c r="M1297" s="1" t="s">
        <v>67</v>
      </c>
      <c r="N1297" s="1" t="s">
        <v>56</v>
      </c>
      <c r="O1297">
        <v>1512.4</v>
      </c>
      <c r="P1297" t="b">
        <v>0</v>
      </c>
      <c r="Q1297">
        <v>0.33333333333333331</v>
      </c>
      <c r="R1297">
        <v>378.1</v>
      </c>
      <c r="S1297">
        <v>17.868000000000002</v>
      </c>
      <c r="T1297" s="2">
        <v>44866</v>
      </c>
      <c r="U1297" s="1" t="s">
        <v>41</v>
      </c>
      <c r="V1297">
        <v>0</v>
      </c>
      <c r="W1297" s="1" t="s">
        <v>56</v>
      </c>
      <c r="Y1297" s="1" t="s">
        <v>43</v>
      </c>
      <c r="Z1297" s="1" t="s">
        <v>52</v>
      </c>
      <c r="AA1297">
        <v>0.8</v>
      </c>
      <c r="AB1297" s="1" t="s">
        <v>42</v>
      </c>
      <c r="AC1297">
        <v>1</v>
      </c>
      <c r="AD1297" s="2">
        <v>44866</v>
      </c>
      <c r="AE1297" s="1" t="s">
        <v>58</v>
      </c>
      <c r="AF1297" s="1" t="s">
        <v>45</v>
      </c>
      <c r="AG1297" s="1" t="s">
        <v>63</v>
      </c>
      <c r="AH1297" s="1" t="s">
        <v>68</v>
      </c>
      <c r="AI1297">
        <v>1592</v>
      </c>
      <c r="AJ1297">
        <v>-79.599999999999909</v>
      </c>
    </row>
    <row r="1298" spans="1:36" x14ac:dyDescent="0.25">
      <c r="A1298">
        <v>11297</v>
      </c>
      <c r="B1298">
        <v>22</v>
      </c>
      <c r="C1298" s="1" t="s">
        <v>36</v>
      </c>
      <c r="D1298" s="1" t="s">
        <v>37</v>
      </c>
      <c r="E1298" s="2">
        <v>44829</v>
      </c>
      <c r="F1298" s="2">
        <v>45163</v>
      </c>
      <c r="G1298" s="1" t="s">
        <v>62</v>
      </c>
      <c r="H1298">
        <v>540</v>
      </c>
      <c r="I1298">
        <v>28</v>
      </c>
      <c r="J1298">
        <v>3</v>
      </c>
      <c r="K1298">
        <v>62.72</v>
      </c>
      <c r="L1298">
        <v>5</v>
      </c>
      <c r="M1298" s="1" t="s">
        <v>65</v>
      </c>
      <c r="N1298" s="1" t="s">
        <v>56</v>
      </c>
      <c r="O1298">
        <v>15093</v>
      </c>
      <c r="P1298" t="b">
        <v>1</v>
      </c>
      <c r="Q1298">
        <v>2.3333333333333335</v>
      </c>
      <c r="R1298">
        <v>539.03571428571433</v>
      </c>
      <c r="S1298">
        <v>15.68</v>
      </c>
      <c r="T1298" s="2">
        <v>44805</v>
      </c>
      <c r="U1298" s="1" t="s">
        <v>66</v>
      </c>
      <c r="V1298">
        <v>0</v>
      </c>
      <c r="W1298" s="1" t="s">
        <v>40</v>
      </c>
      <c r="X1298">
        <v>334</v>
      </c>
      <c r="Y1298" s="1" t="s">
        <v>43</v>
      </c>
      <c r="Z1298" s="1" t="s">
        <v>42</v>
      </c>
      <c r="AA1298">
        <v>0.10344827586206896</v>
      </c>
      <c r="AB1298" s="1" t="s">
        <v>52</v>
      </c>
      <c r="AC1298">
        <v>2</v>
      </c>
      <c r="AD1298" s="2">
        <v>44805</v>
      </c>
      <c r="AE1298" s="1" t="s">
        <v>44</v>
      </c>
      <c r="AF1298" s="1" t="s">
        <v>72</v>
      </c>
      <c r="AG1298" s="1" t="s">
        <v>63</v>
      </c>
      <c r="AH1298" s="1" t="s">
        <v>64</v>
      </c>
      <c r="AI1298">
        <v>15120</v>
      </c>
      <c r="AJ1298">
        <v>-27</v>
      </c>
    </row>
    <row r="1299" spans="1:36" x14ac:dyDescent="0.25">
      <c r="A1299">
        <v>11298</v>
      </c>
      <c r="B1299">
        <v>37</v>
      </c>
      <c r="C1299" s="1" t="s">
        <v>60</v>
      </c>
      <c r="D1299" s="1" t="s">
        <v>73</v>
      </c>
      <c r="E1299" s="2">
        <v>44934</v>
      </c>
      <c r="F1299" s="2">
        <v>44623</v>
      </c>
      <c r="G1299" s="1" t="s">
        <v>49</v>
      </c>
      <c r="H1299">
        <v>501</v>
      </c>
      <c r="I1299">
        <v>33</v>
      </c>
      <c r="J1299">
        <v>0</v>
      </c>
      <c r="K1299">
        <v>90.79</v>
      </c>
      <c r="L1299">
        <v>10</v>
      </c>
      <c r="M1299" s="1" t="s">
        <v>39</v>
      </c>
      <c r="N1299" s="1" t="s">
        <v>56</v>
      </c>
      <c r="O1299">
        <v>16482.900000000001</v>
      </c>
      <c r="P1299" t="b">
        <v>0</v>
      </c>
      <c r="Q1299">
        <v>2.75</v>
      </c>
      <c r="R1299">
        <v>499.4818181818182</v>
      </c>
      <c r="S1299">
        <v>90.79</v>
      </c>
      <c r="T1299" s="2">
        <v>44927</v>
      </c>
      <c r="U1299" s="1" t="s">
        <v>51</v>
      </c>
      <c r="V1299">
        <v>0</v>
      </c>
      <c r="W1299" s="1" t="s">
        <v>40</v>
      </c>
      <c r="Y1299" s="1" t="s">
        <v>43</v>
      </c>
      <c r="Z1299" s="1" t="s">
        <v>42</v>
      </c>
      <c r="AA1299">
        <v>0</v>
      </c>
      <c r="AB1299" s="1" t="s">
        <v>52</v>
      </c>
      <c r="AC1299">
        <v>3</v>
      </c>
      <c r="AD1299" s="2">
        <v>44927</v>
      </c>
      <c r="AE1299" s="1" t="s">
        <v>44</v>
      </c>
      <c r="AF1299" s="1" t="s">
        <v>54</v>
      </c>
      <c r="AG1299" s="1" t="s">
        <v>63</v>
      </c>
      <c r="AH1299" s="1" t="s">
        <v>64</v>
      </c>
      <c r="AI1299">
        <v>16533</v>
      </c>
      <c r="AJ1299">
        <v>-50.099999999998545</v>
      </c>
    </row>
    <row r="1300" spans="1:36" x14ac:dyDescent="0.25">
      <c r="A1300">
        <v>11299</v>
      </c>
      <c r="B1300">
        <v>28</v>
      </c>
      <c r="C1300" s="1" t="s">
        <v>36</v>
      </c>
      <c r="D1300" s="1" t="s">
        <v>37</v>
      </c>
      <c r="E1300" s="2">
        <v>44398</v>
      </c>
      <c r="F1300" s="2">
        <v>44861</v>
      </c>
      <c r="G1300" s="1" t="s">
        <v>49</v>
      </c>
      <c r="H1300">
        <v>933</v>
      </c>
      <c r="I1300">
        <v>11</v>
      </c>
      <c r="J1300">
        <v>0</v>
      </c>
      <c r="K1300">
        <v>61.87</v>
      </c>
      <c r="L1300">
        <v>15</v>
      </c>
      <c r="M1300" s="1" t="s">
        <v>39</v>
      </c>
      <c r="N1300" s="1" t="s">
        <v>56</v>
      </c>
      <c r="O1300">
        <v>10123.049999999999</v>
      </c>
      <c r="P1300" t="b">
        <v>1</v>
      </c>
      <c r="Q1300">
        <v>0.91666666666666663</v>
      </c>
      <c r="R1300">
        <v>920.2772727272727</v>
      </c>
      <c r="S1300">
        <v>61.87</v>
      </c>
      <c r="T1300" s="2">
        <v>44378</v>
      </c>
      <c r="U1300" s="1" t="s">
        <v>57</v>
      </c>
      <c r="V1300">
        <v>0</v>
      </c>
      <c r="W1300" s="1" t="s">
        <v>56</v>
      </c>
      <c r="X1300">
        <v>463</v>
      </c>
      <c r="Y1300" s="1" t="s">
        <v>43</v>
      </c>
      <c r="Z1300" s="1" t="s">
        <v>42</v>
      </c>
      <c r="AA1300">
        <v>0</v>
      </c>
      <c r="AB1300" s="1" t="s">
        <v>52</v>
      </c>
      <c r="AC1300">
        <v>3</v>
      </c>
      <c r="AD1300" s="2">
        <v>44378</v>
      </c>
      <c r="AE1300" s="1" t="s">
        <v>74</v>
      </c>
      <c r="AF1300" s="1" t="s">
        <v>54</v>
      </c>
      <c r="AG1300" s="1" t="s">
        <v>63</v>
      </c>
      <c r="AH1300" s="1" t="s">
        <v>59</v>
      </c>
      <c r="AI1300">
        <v>10263</v>
      </c>
      <c r="AJ1300">
        <v>-139.95000000000073</v>
      </c>
    </row>
    <row r="1301" spans="1:36" x14ac:dyDescent="0.25">
      <c r="A1301">
        <v>11300</v>
      </c>
      <c r="B1301">
        <v>59</v>
      </c>
      <c r="C1301" s="1" t="s">
        <v>36</v>
      </c>
      <c r="D1301" s="1" t="s">
        <v>76</v>
      </c>
      <c r="E1301" s="2">
        <v>44526</v>
      </c>
      <c r="F1301" s="2">
        <v>44435</v>
      </c>
      <c r="G1301" s="1" t="s">
        <v>62</v>
      </c>
      <c r="H1301">
        <v>1419</v>
      </c>
      <c r="I1301">
        <v>3</v>
      </c>
      <c r="J1301">
        <v>2</v>
      </c>
      <c r="K1301">
        <v>19.72</v>
      </c>
      <c r="L1301">
        <v>20</v>
      </c>
      <c r="M1301" s="1" t="s">
        <v>67</v>
      </c>
      <c r="N1301" s="1" t="s">
        <v>40</v>
      </c>
      <c r="O1301">
        <v>3973.2</v>
      </c>
      <c r="P1301" t="b">
        <v>0</v>
      </c>
      <c r="Q1301">
        <v>0.25</v>
      </c>
      <c r="R1301">
        <v>1324.3999999999999</v>
      </c>
      <c r="S1301">
        <v>6.5733333333333333</v>
      </c>
      <c r="T1301" s="2">
        <v>44501</v>
      </c>
      <c r="U1301" s="1" t="s">
        <v>41</v>
      </c>
      <c r="V1301">
        <v>1</v>
      </c>
      <c r="W1301" s="1" t="s">
        <v>56</v>
      </c>
      <c r="Y1301" s="1" t="s">
        <v>42</v>
      </c>
      <c r="Z1301" s="1" t="s">
        <v>52</v>
      </c>
      <c r="AA1301">
        <v>0.5</v>
      </c>
      <c r="AB1301" s="1" t="s">
        <v>42</v>
      </c>
      <c r="AC1301">
        <v>2</v>
      </c>
      <c r="AD1301" s="2">
        <v>44501</v>
      </c>
      <c r="AE1301" s="1" t="s">
        <v>58</v>
      </c>
      <c r="AF1301" s="1" t="s">
        <v>72</v>
      </c>
      <c r="AG1301" s="1" t="s">
        <v>46</v>
      </c>
      <c r="AH1301" s="1" t="s">
        <v>47</v>
      </c>
      <c r="AI1301">
        <v>4257</v>
      </c>
      <c r="AJ1301">
        <v>-283.80000000000018</v>
      </c>
    </row>
    <row r="1302" spans="1:36" x14ac:dyDescent="0.25">
      <c r="A1302">
        <v>11301</v>
      </c>
      <c r="B1302">
        <v>19</v>
      </c>
      <c r="C1302" s="1" t="s">
        <v>60</v>
      </c>
      <c r="D1302" s="1" t="s">
        <v>73</v>
      </c>
      <c r="E1302" s="2">
        <v>44559</v>
      </c>
      <c r="F1302" s="2">
        <v>45146</v>
      </c>
      <c r="G1302" s="1" t="s">
        <v>38</v>
      </c>
      <c r="H1302">
        <v>1045</v>
      </c>
      <c r="I1302">
        <v>5</v>
      </c>
      <c r="J1302">
        <v>3</v>
      </c>
      <c r="K1302">
        <v>62.59</v>
      </c>
      <c r="L1302">
        <v>20</v>
      </c>
      <c r="M1302" s="1" t="s">
        <v>65</v>
      </c>
      <c r="N1302" s="1" t="s">
        <v>56</v>
      </c>
      <c r="O1302">
        <v>5016</v>
      </c>
      <c r="P1302" t="b">
        <v>1</v>
      </c>
      <c r="Q1302">
        <v>0.41666666666666669</v>
      </c>
      <c r="R1302">
        <v>1003.2</v>
      </c>
      <c r="S1302">
        <v>15.647500000000001</v>
      </c>
      <c r="T1302" s="2">
        <v>44531</v>
      </c>
      <c r="U1302" s="1" t="s">
        <v>66</v>
      </c>
      <c r="V1302">
        <v>0</v>
      </c>
      <c r="W1302" s="1" t="s">
        <v>56</v>
      </c>
      <c r="X1302">
        <v>587</v>
      </c>
      <c r="Y1302" s="1" t="s">
        <v>43</v>
      </c>
      <c r="Z1302" s="1" t="s">
        <v>52</v>
      </c>
      <c r="AA1302">
        <v>0.5</v>
      </c>
      <c r="AB1302" s="1" t="s">
        <v>42</v>
      </c>
      <c r="AC1302">
        <v>1</v>
      </c>
      <c r="AD1302" s="2">
        <v>44531</v>
      </c>
      <c r="AE1302" s="1" t="s">
        <v>58</v>
      </c>
      <c r="AF1302" s="1" t="s">
        <v>72</v>
      </c>
      <c r="AG1302" s="1" t="s">
        <v>63</v>
      </c>
      <c r="AH1302" s="1" t="s">
        <v>47</v>
      </c>
      <c r="AI1302">
        <v>5225</v>
      </c>
      <c r="AJ1302">
        <v>-209</v>
      </c>
    </row>
    <row r="1303" spans="1:36" x14ac:dyDescent="0.25">
      <c r="A1303">
        <v>11302</v>
      </c>
      <c r="B1303">
        <v>20</v>
      </c>
      <c r="C1303" s="1" t="s">
        <v>60</v>
      </c>
      <c r="D1303" s="1" t="s">
        <v>48</v>
      </c>
      <c r="E1303" s="2">
        <v>45088</v>
      </c>
      <c r="F1303" s="2">
        <v>44989</v>
      </c>
      <c r="G1303" s="1" t="s">
        <v>62</v>
      </c>
      <c r="H1303">
        <v>789</v>
      </c>
      <c r="I1303">
        <v>21</v>
      </c>
      <c r="J1303">
        <v>2</v>
      </c>
      <c r="K1303">
        <v>61.6</v>
      </c>
      <c r="L1303">
        <v>15</v>
      </c>
      <c r="M1303" s="1" t="s">
        <v>67</v>
      </c>
      <c r="N1303" s="1" t="s">
        <v>56</v>
      </c>
      <c r="O1303">
        <v>16450.650000000001</v>
      </c>
      <c r="P1303" t="b">
        <v>0</v>
      </c>
      <c r="Q1303">
        <v>1.75</v>
      </c>
      <c r="R1303">
        <v>783.36428571428576</v>
      </c>
      <c r="S1303">
        <v>20.533333333333335</v>
      </c>
      <c r="T1303" s="2">
        <v>45078</v>
      </c>
      <c r="U1303" s="1" t="s">
        <v>66</v>
      </c>
      <c r="V1303">
        <v>0</v>
      </c>
      <c r="W1303" s="1" t="s">
        <v>40</v>
      </c>
      <c r="Y1303" s="1" t="s">
        <v>43</v>
      </c>
      <c r="Z1303" s="1" t="s">
        <v>42</v>
      </c>
      <c r="AA1303">
        <v>9.0909090909090912E-2</v>
      </c>
      <c r="AB1303" s="1" t="s">
        <v>52</v>
      </c>
      <c r="AC1303">
        <v>2</v>
      </c>
      <c r="AD1303" s="2">
        <v>45078</v>
      </c>
      <c r="AE1303" s="1" t="s">
        <v>53</v>
      </c>
      <c r="AF1303" s="1" t="s">
        <v>72</v>
      </c>
      <c r="AG1303" s="1" t="s">
        <v>63</v>
      </c>
      <c r="AH1303" s="1" t="s">
        <v>59</v>
      </c>
      <c r="AI1303">
        <v>16569</v>
      </c>
      <c r="AJ1303">
        <v>-118.34999999999854</v>
      </c>
    </row>
    <row r="1304" spans="1:36" x14ac:dyDescent="0.25">
      <c r="A1304">
        <v>11303</v>
      </c>
      <c r="B1304">
        <v>40</v>
      </c>
      <c r="C1304" s="1" t="s">
        <v>36</v>
      </c>
      <c r="D1304" s="1" t="s">
        <v>73</v>
      </c>
      <c r="E1304" s="2">
        <v>44650</v>
      </c>
      <c r="F1304" s="2">
        <v>44852</v>
      </c>
      <c r="G1304" s="1" t="s">
        <v>38</v>
      </c>
      <c r="H1304">
        <v>878</v>
      </c>
      <c r="I1304">
        <v>22</v>
      </c>
      <c r="J1304">
        <v>2</v>
      </c>
      <c r="K1304">
        <v>64.56</v>
      </c>
      <c r="L1304">
        <v>0</v>
      </c>
      <c r="M1304" s="1" t="s">
        <v>67</v>
      </c>
      <c r="N1304" s="1" t="s">
        <v>40</v>
      </c>
      <c r="O1304">
        <v>19316</v>
      </c>
      <c r="P1304" t="b">
        <v>1</v>
      </c>
      <c r="Q1304">
        <v>1.8333333333333333</v>
      </c>
      <c r="R1304">
        <v>878</v>
      </c>
      <c r="S1304">
        <v>21.52</v>
      </c>
      <c r="T1304" s="2">
        <v>44621</v>
      </c>
      <c r="U1304" s="1" t="s">
        <v>51</v>
      </c>
      <c r="V1304">
        <v>1</v>
      </c>
      <c r="W1304" s="1" t="s">
        <v>40</v>
      </c>
      <c r="X1304">
        <v>202</v>
      </c>
      <c r="Y1304" s="1" t="s">
        <v>43</v>
      </c>
      <c r="Z1304" s="1" t="s">
        <v>42</v>
      </c>
      <c r="AA1304">
        <v>8.6956521739130432E-2</v>
      </c>
      <c r="AB1304" s="1" t="s">
        <v>52</v>
      </c>
      <c r="AC1304">
        <v>1</v>
      </c>
      <c r="AD1304" s="2">
        <v>44621</v>
      </c>
      <c r="AE1304" s="1" t="s">
        <v>53</v>
      </c>
      <c r="AF1304" s="1" t="s">
        <v>72</v>
      </c>
      <c r="AG1304" s="1" t="s">
        <v>63</v>
      </c>
      <c r="AH1304" s="1" t="s">
        <v>59</v>
      </c>
      <c r="AI1304">
        <v>19316</v>
      </c>
      <c r="AJ1304">
        <v>0</v>
      </c>
    </row>
    <row r="1305" spans="1:36" x14ac:dyDescent="0.25">
      <c r="A1305">
        <v>11304</v>
      </c>
      <c r="B1305">
        <v>29</v>
      </c>
      <c r="C1305" s="1" t="s">
        <v>36</v>
      </c>
      <c r="D1305" s="1" t="s">
        <v>71</v>
      </c>
      <c r="E1305" s="2">
        <v>44552</v>
      </c>
      <c r="F1305" s="2">
        <v>44937</v>
      </c>
      <c r="G1305" s="1" t="s">
        <v>49</v>
      </c>
      <c r="H1305">
        <v>826</v>
      </c>
      <c r="I1305">
        <v>11</v>
      </c>
      <c r="J1305">
        <v>1</v>
      </c>
      <c r="K1305">
        <v>106.07</v>
      </c>
      <c r="L1305">
        <v>15</v>
      </c>
      <c r="M1305" s="1" t="s">
        <v>50</v>
      </c>
      <c r="N1305" s="1" t="s">
        <v>56</v>
      </c>
      <c r="O1305">
        <v>8962.1</v>
      </c>
      <c r="P1305" t="b">
        <v>1</v>
      </c>
      <c r="Q1305">
        <v>0.91666666666666663</v>
      </c>
      <c r="R1305">
        <v>814.73636363636365</v>
      </c>
      <c r="S1305">
        <v>53.034999999999997</v>
      </c>
      <c r="T1305" s="2">
        <v>44531</v>
      </c>
      <c r="U1305" s="1" t="s">
        <v>57</v>
      </c>
      <c r="V1305">
        <v>0</v>
      </c>
      <c r="W1305" s="1" t="s">
        <v>56</v>
      </c>
      <c r="X1305">
        <v>385</v>
      </c>
      <c r="Y1305" s="1" t="s">
        <v>43</v>
      </c>
      <c r="Z1305" s="1" t="s">
        <v>42</v>
      </c>
      <c r="AA1305">
        <v>8.3333333333333329E-2</v>
      </c>
      <c r="AB1305" s="1" t="s">
        <v>52</v>
      </c>
      <c r="AC1305">
        <v>3</v>
      </c>
      <c r="AD1305" s="2">
        <v>44531</v>
      </c>
      <c r="AE1305" s="1" t="s">
        <v>74</v>
      </c>
      <c r="AF1305" s="1" t="s">
        <v>54</v>
      </c>
      <c r="AG1305" s="1" t="s">
        <v>63</v>
      </c>
      <c r="AH1305" s="1" t="s">
        <v>59</v>
      </c>
      <c r="AI1305">
        <v>9086</v>
      </c>
      <c r="AJ1305">
        <v>-123.89999999999964</v>
      </c>
    </row>
    <row r="1306" spans="1:36" x14ac:dyDescent="0.25">
      <c r="A1306">
        <v>11305</v>
      </c>
      <c r="B1306">
        <v>37</v>
      </c>
      <c r="C1306" s="1" t="s">
        <v>75</v>
      </c>
      <c r="D1306" s="1" t="s">
        <v>61</v>
      </c>
      <c r="E1306" s="2">
        <v>44412</v>
      </c>
      <c r="F1306" s="2">
        <v>45119</v>
      </c>
      <c r="G1306" s="1" t="s">
        <v>49</v>
      </c>
      <c r="H1306">
        <v>572</v>
      </c>
      <c r="I1306">
        <v>22</v>
      </c>
      <c r="J1306">
        <v>3</v>
      </c>
      <c r="K1306">
        <v>107.91</v>
      </c>
      <c r="L1306">
        <v>0</v>
      </c>
      <c r="M1306" s="1" t="s">
        <v>65</v>
      </c>
      <c r="N1306" s="1" t="s">
        <v>56</v>
      </c>
      <c r="O1306">
        <v>12584</v>
      </c>
      <c r="P1306" t="b">
        <v>1</v>
      </c>
      <c r="Q1306">
        <v>1.8333333333333333</v>
      </c>
      <c r="R1306">
        <v>572</v>
      </c>
      <c r="S1306">
        <v>26.977499999999999</v>
      </c>
      <c r="T1306" s="2">
        <v>44409</v>
      </c>
      <c r="U1306" s="1" t="s">
        <v>51</v>
      </c>
      <c r="V1306">
        <v>0</v>
      </c>
      <c r="W1306" s="1" t="s">
        <v>56</v>
      </c>
      <c r="X1306">
        <v>707</v>
      </c>
      <c r="Y1306" s="1" t="s">
        <v>43</v>
      </c>
      <c r="Z1306" s="1" t="s">
        <v>42</v>
      </c>
      <c r="AA1306">
        <v>0.13043478260869565</v>
      </c>
      <c r="AB1306" s="1" t="s">
        <v>52</v>
      </c>
      <c r="AC1306">
        <v>3</v>
      </c>
      <c r="AD1306" s="2">
        <v>44409</v>
      </c>
      <c r="AE1306" s="1" t="s">
        <v>53</v>
      </c>
      <c r="AF1306" s="1" t="s">
        <v>72</v>
      </c>
      <c r="AG1306" s="1" t="s">
        <v>63</v>
      </c>
      <c r="AH1306" s="1" t="s">
        <v>64</v>
      </c>
      <c r="AI1306">
        <v>12584</v>
      </c>
      <c r="AJ1306">
        <v>0</v>
      </c>
    </row>
    <row r="1307" spans="1:36" x14ac:dyDescent="0.25">
      <c r="A1307">
        <v>11306</v>
      </c>
      <c r="B1307">
        <v>22</v>
      </c>
      <c r="C1307" s="1" t="s">
        <v>36</v>
      </c>
      <c r="D1307" s="1" t="s">
        <v>76</v>
      </c>
      <c r="E1307" s="2">
        <v>44751</v>
      </c>
      <c r="F1307" s="2">
        <v>44588</v>
      </c>
      <c r="G1307" s="1" t="s">
        <v>62</v>
      </c>
      <c r="H1307">
        <v>1085</v>
      </c>
      <c r="I1307">
        <v>13</v>
      </c>
      <c r="J1307">
        <v>3</v>
      </c>
      <c r="K1307">
        <v>57.16</v>
      </c>
      <c r="L1307">
        <v>5</v>
      </c>
      <c r="M1307" s="1" t="s">
        <v>67</v>
      </c>
      <c r="N1307" s="1" t="s">
        <v>40</v>
      </c>
      <c r="O1307">
        <v>14050.75</v>
      </c>
      <c r="P1307" t="b">
        <v>0</v>
      </c>
      <c r="Q1307">
        <v>1.0833333333333333</v>
      </c>
      <c r="R1307">
        <v>1080.8269230769231</v>
      </c>
      <c r="S1307">
        <v>14.29</v>
      </c>
      <c r="T1307" s="2">
        <v>44743</v>
      </c>
      <c r="U1307" s="1" t="s">
        <v>66</v>
      </c>
      <c r="V1307">
        <v>1</v>
      </c>
      <c r="W1307" s="1" t="s">
        <v>40</v>
      </c>
      <c r="Y1307" s="1" t="s">
        <v>52</v>
      </c>
      <c r="Z1307" s="1" t="s">
        <v>42</v>
      </c>
      <c r="AA1307">
        <v>0.21428571428571427</v>
      </c>
      <c r="AB1307" s="1" t="s">
        <v>52</v>
      </c>
      <c r="AC1307">
        <v>2</v>
      </c>
      <c r="AD1307" s="2">
        <v>44743</v>
      </c>
      <c r="AE1307" s="1" t="s">
        <v>53</v>
      </c>
      <c r="AF1307" s="1" t="s">
        <v>72</v>
      </c>
      <c r="AG1307" s="1" t="s">
        <v>63</v>
      </c>
      <c r="AH1307" s="1" t="s">
        <v>47</v>
      </c>
      <c r="AI1307">
        <v>14105</v>
      </c>
      <c r="AJ1307">
        <v>-54.25</v>
      </c>
    </row>
    <row r="1308" spans="1:36" x14ac:dyDescent="0.25">
      <c r="A1308">
        <v>11307</v>
      </c>
      <c r="B1308">
        <v>54</v>
      </c>
      <c r="C1308" s="1" t="s">
        <v>60</v>
      </c>
      <c r="D1308" s="1" t="s">
        <v>73</v>
      </c>
      <c r="E1308" s="2">
        <v>45083</v>
      </c>
      <c r="F1308" s="2">
        <v>45000</v>
      </c>
      <c r="G1308" s="1" t="s">
        <v>38</v>
      </c>
      <c r="H1308">
        <v>752</v>
      </c>
      <c r="I1308">
        <v>3</v>
      </c>
      <c r="J1308">
        <v>1</v>
      </c>
      <c r="K1308">
        <v>57.41</v>
      </c>
      <c r="L1308">
        <v>0</v>
      </c>
      <c r="M1308" s="1" t="s">
        <v>39</v>
      </c>
      <c r="N1308" s="1" t="s">
        <v>56</v>
      </c>
      <c r="O1308">
        <v>2256</v>
      </c>
      <c r="P1308" t="b">
        <v>0</v>
      </c>
      <c r="Q1308">
        <v>0.25</v>
      </c>
      <c r="R1308">
        <v>752</v>
      </c>
      <c r="S1308">
        <v>28.704999999999998</v>
      </c>
      <c r="T1308" s="2">
        <v>45078</v>
      </c>
      <c r="U1308" s="1" t="s">
        <v>41</v>
      </c>
      <c r="V1308">
        <v>0</v>
      </c>
      <c r="W1308" s="1" t="s">
        <v>56</v>
      </c>
      <c r="Y1308" s="1" t="s">
        <v>52</v>
      </c>
      <c r="Z1308" s="1" t="s">
        <v>42</v>
      </c>
      <c r="AA1308">
        <v>0.25</v>
      </c>
      <c r="AB1308" s="1" t="s">
        <v>42</v>
      </c>
      <c r="AC1308">
        <v>1</v>
      </c>
      <c r="AD1308" s="2">
        <v>45078</v>
      </c>
      <c r="AE1308" s="1" t="s">
        <v>58</v>
      </c>
      <c r="AF1308" s="1" t="s">
        <v>54</v>
      </c>
      <c r="AG1308" s="1" t="s">
        <v>63</v>
      </c>
      <c r="AH1308" s="1" t="s">
        <v>59</v>
      </c>
      <c r="AI1308">
        <v>2256</v>
      </c>
      <c r="AJ1308">
        <v>0</v>
      </c>
    </row>
    <row r="1309" spans="1:36" x14ac:dyDescent="0.25">
      <c r="A1309">
        <v>11308</v>
      </c>
      <c r="B1309">
        <v>55</v>
      </c>
      <c r="C1309" s="1" t="s">
        <v>60</v>
      </c>
      <c r="D1309" s="1" t="s">
        <v>61</v>
      </c>
      <c r="E1309" s="2">
        <v>44219</v>
      </c>
      <c r="F1309" s="2">
        <v>45087</v>
      </c>
      <c r="G1309" s="1" t="s">
        <v>38</v>
      </c>
      <c r="H1309">
        <v>1475</v>
      </c>
      <c r="I1309">
        <v>13</v>
      </c>
      <c r="J1309">
        <v>1</v>
      </c>
      <c r="K1309">
        <v>64.25</v>
      </c>
      <c r="L1309">
        <v>5</v>
      </c>
      <c r="M1309" s="1" t="s">
        <v>50</v>
      </c>
      <c r="N1309" s="1" t="s">
        <v>56</v>
      </c>
      <c r="O1309">
        <v>19101.25</v>
      </c>
      <c r="P1309" t="b">
        <v>1</v>
      </c>
      <c r="Q1309">
        <v>1.0833333333333333</v>
      </c>
      <c r="R1309">
        <v>1469.3269230769231</v>
      </c>
      <c r="S1309">
        <v>32.125</v>
      </c>
      <c r="T1309" s="2">
        <v>44197</v>
      </c>
      <c r="U1309" s="1" t="s">
        <v>41</v>
      </c>
      <c r="V1309">
        <v>0</v>
      </c>
      <c r="W1309" s="1" t="s">
        <v>40</v>
      </c>
      <c r="X1309">
        <v>868</v>
      </c>
      <c r="Y1309" s="1" t="s">
        <v>43</v>
      </c>
      <c r="Z1309" s="1" t="s">
        <v>42</v>
      </c>
      <c r="AA1309">
        <v>7.1428571428571425E-2</v>
      </c>
      <c r="AB1309" s="1" t="s">
        <v>52</v>
      </c>
      <c r="AC1309">
        <v>1</v>
      </c>
      <c r="AD1309" s="2">
        <v>44197</v>
      </c>
      <c r="AE1309" s="1" t="s">
        <v>53</v>
      </c>
      <c r="AF1309" s="1" t="s">
        <v>54</v>
      </c>
      <c r="AG1309" s="1" t="s">
        <v>63</v>
      </c>
      <c r="AH1309" s="1" t="s">
        <v>47</v>
      </c>
      <c r="AI1309">
        <v>19175</v>
      </c>
      <c r="AJ1309">
        <v>-73.75</v>
      </c>
    </row>
    <row r="1310" spans="1:36" x14ac:dyDescent="0.25">
      <c r="A1310">
        <v>11309</v>
      </c>
      <c r="B1310">
        <v>47</v>
      </c>
      <c r="C1310" s="1" t="s">
        <v>60</v>
      </c>
      <c r="D1310" s="1" t="s">
        <v>48</v>
      </c>
      <c r="E1310" s="2">
        <v>44351</v>
      </c>
      <c r="F1310" s="2">
        <v>45022</v>
      </c>
      <c r="G1310" s="1" t="s">
        <v>38</v>
      </c>
      <c r="H1310">
        <v>646</v>
      </c>
      <c r="I1310">
        <v>28</v>
      </c>
      <c r="J1310">
        <v>2</v>
      </c>
      <c r="K1310">
        <v>64.75</v>
      </c>
      <c r="L1310">
        <v>5</v>
      </c>
      <c r="M1310" s="1" t="s">
        <v>67</v>
      </c>
      <c r="N1310" s="1" t="s">
        <v>40</v>
      </c>
      <c r="O1310">
        <v>18055.7</v>
      </c>
      <c r="P1310" t="b">
        <v>1</v>
      </c>
      <c r="Q1310">
        <v>2.3333333333333335</v>
      </c>
      <c r="R1310">
        <v>644.84642857142865</v>
      </c>
      <c r="S1310">
        <v>21.583333333333332</v>
      </c>
      <c r="T1310" s="2">
        <v>44348</v>
      </c>
      <c r="U1310" s="1" t="s">
        <v>51</v>
      </c>
      <c r="V1310">
        <v>1</v>
      </c>
      <c r="W1310" s="1" t="s">
        <v>40</v>
      </c>
      <c r="X1310">
        <v>671</v>
      </c>
      <c r="Y1310" s="1" t="s">
        <v>43</v>
      </c>
      <c r="Z1310" s="1" t="s">
        <v>42</v>
      </c>
      <c r="AA1310">
        <v>6.8965517241379309E-2</v>
      </c>
      <c r="AB1310" s="1" t="s">
        <v>52</v>
      </c>
      <c r="AC1310">
        <v>1</v>
      </c>
      <c r="AD1310" s="2">
        <v>44348</v>
      </c>
      <c r="AE1310" s="1" t="s">
        <v>44</v>
      </c>
      <c r="AF1310" s="1" t="s">
        <v>72</v>
      </c>
      <c r="AG1310" s="1" t="s">
        <v>63</v>
      </c>
      <c r="AH1310" s="1" t="s">
        <v>64</v>
      </c>
      <c r="AI1310">
        <v>18088</v>
      </c>
      <c r="AJ1310">
        <v>-32.299999999999272</v>
      </c>
    </row>
    <row r="1311" spans="1:36" x14ac:dyDescent="0.25">
      <c r="A1311">
        <v>11310</v>
      </c>
      <c r="B1311">
        <v>26</v>
      </c>
      <c r="C1311" s="1" t="s">
        <v>60</v>
      </c>
      <c r="D1311" s="1" t="s">
        <v>69</v>
      </c>
      <c r="E1311" s="2">
        <v>44382</v>
      </c>
      <c r="F1311" s="2">
        <v>44583</v>
      </c>
      <c r="G1311" s="1" t="s">
        <v>49</v>
      </c>
      <c r="H1311">
        <v>1115</v>
      </c>
      <c r="I1311">
        <v>11</v>
      </c>
      <c r="J1311">
        <v>3</v>
      </c>
      <c r="K1311">
        <v>114.29</v>
      </c>
      <c r="L1311">
        <v>15</v>
      </c>
      <c r="M1311" s="1" t="s">
        <v>67</v>
      </c>
      <c r="N1311" s="1" t="s">
        <v>56</v>
      </c>
      <c r="O1311">
        <v>12097.75</v>
      </c>
      <c r="P1311" t="b">
        <v>1</v>
      </c>
      <c r="Q1311">
        <v>0.91666666666666663</v>
      </c>
      <c r="R1311">
        <v>1099.7954545454545</v>
      </c>
      <c r="S1311">
        <v>28.572500000000002</v>
      </c>
      <c r="T1311" s="2">
        <v>44378</v>
      </c>
      <c r="U1311" s="1" t="s">
        <v>57</v>
      </c>
      <c r="V1311">
        <v>0</v>
      </c>
      <c r="W1311" s="1" t="s">
        <v>56</v>
      </c>
      <c r="X1311">
        <v>201</v>
      </c>
      <c r="Y1311" s="1" t="s">
        <v>43</v>
      </c>
      <c r="Z1311" s="1" t="s">
        <v>42</v>
      </c>
      <c r="AA1311">
        <v>0.25</v>
      </c>
      <c r="AB1311" s="1" t="s">
        <v>52</v>
      </c>
      <c r="AC1311">
        <v>3</v>
      </c>
      <c r="AD1311" s="2">
        <v>44378</v>
      </c>
      <c r="AE1311" s="1" t="s">
        <v>74</v>
      </c>
      <c r="AF1311" s="1" t="s">
        <v>72</v>
      </c>
      <c r="AG1311" s="1" t="s">
        <v>63</v>
      </c>
      <c r="AH1311" s="1" t="s">
        <v>47</v>
      </c>
      <c r="AI1311">
        <v>12265</v>
      </c>
      <c r="AJ1311">
        <v>-167.25</v>
      </c>
    </row>
    <row r="1312" spans="1:36" x14ac:dyDescent="0.25">
      <c r="A1312">
        <v>11311</v>
      </c>
      <c r="B1312">
        <v>51</v>
      </c>
      <c r="C1312" s="1" t="s">
        <v>60</v>
      </c>
      <c r="D1312" s="1" t="s">
        <v>73</v>
      </c>
      <c r="E1312" s="2">
        <v>44445</v>
      </c>
      <c r="F1312" s="2">
        <v>44475</v>
      </c>
      <c r="G1312" s="1" t="s">
        <v>62</v>
      </c>
      <c r="H1312">
        <v>713</v>
      </c>
      <c r="I1312">
        <v>11</v>
      </c>
      <c r="J1312">
        <v>2</v>
      </c>
      <c r="K1312">
        <v>62.59</v>
      </c>
      <c r="L1312">
        <v>5</v>
      </c>
      <c r="M1312" s="1" t="s">
        <v>67</v>
      </c>
      <c r="N1312" s="1" t="s">
        <v>56</v>
      </c>
      <c r="O1312">
        <v>7807.35</v>
      </c>
      <c r="P1312" t="b">
        <v>1</v>
      </c>
      <c r="Q1312">
        <v>0.91666666666666663</v>
      </c>
      <c r="R1312">
        <v>709.7590909090909</v>
      </c>
      <c r="S1312">
        <v>20.863333333333333</v>
      </c>
      <c r="T1312" s="2">
        <v>44440</v>
      </c>
      <c r="U1312" s="1" t="s">
        <v>41</v>
      </c>
      <c r="V1312">
        <v>0</v>
      </c>
      <c r="W1312" s="1" t="s">
        <v>56</v>
      </c>
      <c r="X1312">
        <v>30</v>
      </c>
      <c r="Y1312" s="1" t="s">
        <v>43</v>
      </c>
      <c r="Z1312" s="1" t="s">
        <v>42</v>
      </c>
      <c r="AA1312">
        <v>0.16666666666666666</v>
      </c>
      <c r="AB1312" s="1" t="s">
        <v>42</v>
      </c>
      <c r="AC1312">
        <v>2</v>
      </c>
      <c r="AD1312" s="2">
        <v>44440</v>
      </c>
      <c r="AE1312" s="1" t="s">
        <v>74</v>
      </c>
      <c r="AF1312" s="1" t="s">
        <v>72</v>
      </c>
      <c r="AG1312" s="1" t="s">
        <v>63</v>
      </c>
      <c r="AH1312" s="1" t="s">
        <v>59</v>
      </c>
      <c r="AI1312">
        <v>7843</v>
      </c>
      <c r="AJ1312">
        <v>-35.649999999999636</v>
      </c>
    </row>
    <row r="1313" spans="1:36" x14ac:dyDescent="0.25">
      <c r="A1313">
        <v>11312</v>
      </c>
      <c r="B1313">
        <v>61</v>
      </c>
      <c r="C1313" s="1" t="s">
        <v>60</v>
      </c>
      <c r="D1313" s="1" t="s">
        <v>69</v>
      </c>
      <c r="E1313" s="2">
        <v>44945</v>
      </c>
      <c r="F1313" s="2">
        <v>44850</v>
      </c>
      <c r="G1313" s="1" t="s">
        <v>38</v>
      </c>
      <c r="H1313">
        <v>730</v>
      </c>
      <c r="I1313">
        <v>21</v>
      </c>
      <c r="J1313">
        <v>2</v>
      </c>
      <c r="K1313">
        <v>36.909999999999997</v>
      </c>
      <c r="L1313">
        <v>0</v>
      </c>
      <c r="M1313" s="1" t="s">
        <v>65</v>
      </c>
      <c r="N1313" s="1" t="s">
        <v>40</v>
      </c>
      <c r="O1313">
        <v>15330</v>
      </c>
      <c r="P1313" t="b">
        <v>0</v>
      </c>
      <c r="Q1313">
        <v>1.75</v>
      </c>
      <c r="R1313">
        <v>730</v>
      </c>
      <c r="S1313">
        <v>12.303333333333333</v>
      </c>
      <c r="T1313" s="2">
        <v>44927</v>
      </c>
      <c r="U1313" s="1" t="s">
        <v>41</v>
      </c>
      <c r="V1313">
        <v>1</v>
      </c>
      <c r="W1313" s="1" t="s">
        <v>40</v>
      </c>
      <c r="Y1313" s="1" t="s">
        <v>52</v>
      </c>
      <c r="Z1313" s="1" t="s">
        <v>42</v>
      </c>
      <c r="AA1313">
        <v>9.0909090909090912E-2</v>
      </c>
      <c r="AB1313" s="1" t="s">
        <v>52</v>
      </c>
      <c r="AC1313">
        <v>1</v>
      </c>
      <c r="AD1313" s="2">
        <v>44927</v>
      </c>
      <c r="AE1313" s="1" t="s">
        <v>53</v>
      </c>
      <c r="AF1313" s="1" t="s">
        <v>72</v>
      </c>
      <c r="AG1313" s="1" t="s">
        <v>55</v>
      </c>
      <c r="AH1313" s="1" t="s">
        <v>59</v>
      </c>
      <c r="AI1313">
        <v>15330</v>
      </c>
      <c r="AJ1313">
        <v>0</v>
      </c>
    </row>
    <row r="1314" spans="1:36" x14ac:dyDescent="0.25">
      <c r="A1314">
        <v>11313</v>
      </c>
      <c r="B1314">
        <v>52</v>
      </c>
      <c r="C1314" s="1" t="s">
        <v>60</v>
      </c>
      <c r="D1314" s="1" t="s">
        <v>71</v>
      </c>
      <c r="E1314" s="2">
        <v>45001</v>
      </c>
      <c r="F1314" s="2">
        <v>44547</v>
      </c>
      <c r="G1314" s="1" t="s">
        <v>62</v>
      </c>
      <c r="H1314">
        <v>678</v>
      </c>
      <c r="I1314">
        <v>21</v>
      </c>
      <c r="J1314">
        <v>1</v>
      </c>
      <c r="K1314">
        <v>66.13</v>
      </c>
      <c r="L1314">
        <v>10</v>
      </c>
      <c r="M1314" s="1" t="s">
        <v>67</v>
      </c>
      <c r="N1314" s="1" t="s">
        <v>40</v>
      </c>
      <c r="O1314">
        <v>14170.2</v>
      </c>
      <c r="P1314" t="b">
        <v>0</v>
      </c>
      <c r="Q1314">
        <v>1.75</v>
      </c>
      <c r="R1314">
        <v>674.7714285714286</v>
      </c>
      <c r="S1314">
        <v>33.064999999999998</v>
      </c>
      <c r="T1314" s="2">
        <v>44986</v>
      </c>
      <c r="U1314" s="1" t="s">
        <v>41</v>
      </c>
      <c r="V1314">
        <v>1</v>
      </c>
      <c r="W1314" s="1" t="s">
        <v>40</v>
      </c>
      <c r="Y1314" s="1" t="s">
        <v>43</v>
      </c>
      <c r="Z1314" s="1" t="s">
        <v>42</v>
      </c>
      <c r="AA1314">
        <v>4.5454545454545456E-2</v>
      </c>
      <c r="AB1314" s="1" t="s">
        <v>52</v>
      </c>
      <c r="AC1314">
        <v>2</v>
      </c>
      <c r="AD1314" s="2">
        <v>44986</v>
      </c>
      <c r="AE1314" s="1" t="s">
        <v>53</v>
      </c>
      <c r="AF1314" s="1" t="s">
        <v>54</v>
      </c>
      <c r="AG1314" s="1" t="s">
        <v>63</v>
      </c>
      <c r="AH1314" s="1" t="s">
        <v>64</v>
      </c>
      <c r="AI1314">
        <v>14238</v>
      </c>
      <c r="AJ1314">
        <v>-67.799999999999272</v>
      </c>
    </row>
    <row r="1315" spans="1:36" x14ac:dyDescent="0.25">
      <c r="A1315">
        <v>11314</v>
      </c>
      <c r="B1315">
        <v>39</v>
      </c>
      <c r="C1315" s="1" t="s">
        <v>36</v>
      </c>
      <c r="D1315" s="1" t="s">
        <v>73</v>
      </c>
      <c r="E1315" s="2">
        <v>44330</v>
      </c>
      <c r="F1315" s="2">
        <v>44890</v>
      </c>
      <c r="G1315" s="1" t="s">
        <v>49</v>
      </c>
      <c r="H1315">
        <v>1297</v>
      </c>
      <c r="I1315">
        <v>7</v>
      </c>
      <c r="J1315">
        <v>4</v>
      </c>
      <c r="K1315">
        <v>77.13</v>
      </c>
      <c r="L1315">
        <v>20</v>
      </c>
      <c r="M1315" s="1" t="s">
        <v>39</v>
      </c>
      <c r="N1315" s="1" t="s">
        <v>40</v>
      </c>
      <c r="O1315">
        <v>8819.6</v>
      </c>
      <c r="P1315" t="b">
        <v>1</v>
      </c>
      <c r="Q1315">
        <v>0.58333333333333337</v>
      </c>
      <c r="R1315">
        <v>1259.9428571428573</v>
      </c>
      <c r="S1315">
        <v>15.425999999999998</v>
      </c>
      <c r="T1315" s="2">
        <v>44317</v>
      </c>
      <c r="U1315" s="1" t="s">
        <v>51</v>
      </c>
      <c r="V1315">
        <v>1</v>
      </c>
      <c r="W1315" s="1" t="s">
        <v>56</v>
      </c>
      <c r="X1315">
        <v>560</v>
      </c>
      <c r="Y1315" s="1" t="s">
        <v>43</v>
      </c>
      <c r="Z1315" s="1" t="s">
        <v>52</v>
      </c>
      <c r="AA1315">
        <v>0.5</v>
      </c>
      <c r="AB1315" s="1" t="s">
        <v>52</v>
      </c>
      <c r="AC1315">
        <v>3</v>
      </c>
      <c r="AD1315" s="2">
        <v>44317</v>
      </c>
      <c r="AE1315" s="1" t="s">
        <v>74</v>
      </c>
      <c r="AF1315" s="1" t="s">
        <v>45</v>
      </c>
      <c r="AG1315" s="1" t="s">
        <v>63</v>
      </c>
      <c r="AH1315" s="1" t="s">
        <v>47</v>
      </c>
      <c r="AI1315">
        <v>9079</v>
      </c>
      <c r="AJ1315">
        <v>-259.39999999999964</v>
      </c>
    </row>
    <row r="1316" spans="1:36" x14ac:dyDescent="0.25">
      <c r="A1316">
        <v>11315</v>
      </c>
      <c r="B1316">
        <v>61</v>
      </c>
      <c r="C1316" s="1" t="s">
        <v>60</v>
      </c>
      <c r="D1316" s="1" t="s">
        <v>71</v>
      </c>
      <c r="E1316" s="2">
        <v>44517</v>
      </c>
      <c r="F1316" s="2">
        <v>44849</v>
      </c>
      <c r="G1316" s="1" t="s">
        <v>38</v>
      </c>
      <c r="H1316">
        <v>1194</v>
      </c>
      <c r="I1316">
        <v>17</v>
      </c>
      <c r="J1316">
        <v>1</v>
      </c>
      <c r="K1316">
        <v>78.569999999999993</v>
      </c>
      <c r="L1316">
        <v>20</v>
      </c>
      <c r="M1316" s="1" t="s">
        <v>50</v>
      </c>
      <c r="N1316" s="1" t="s">
        <v>56</v>
      </c>
      <c r="O1316">
        <v>20059.2</v>
      </c>
      <c r="P1316" t="b">
        <v>1</v>
      </c>
      <c r="Q1316">
        <v>1.4166666666666667</v>
      </c>
      <c r="R1316">
        <v>1179.9529411764706</v>
      </c>
      <c r="S1316">
        <v>39.284999999999997</v>
      </c>
      <c r="T1316" s="2">
        <v>44501</v>
      </c>
      <c r="U1316" s="1" t="s">
        <v>41</v>
      </c>
      <c r="V1316">
        <v>0</v>
      </c>
      <c r="W1316" s="1" t="s">
        <v>40</v>
      </c>
      <c r="X1316">
        <v>332</v>
      </c>
      <c r="Y1316" s="1" t="s">
        <v>43</v>
      </c>
      <c r="Z1316" s="1" t="s">
        <v>52</v>
      </c>
      <c r="AA1316">
        <v>5.5555555555555552E-2</v>
      </c>
      <c r="AB1316" s="1" t="s">
        <v>43</v>
      </c>
      <c r="AC1316">
        <v>1</v>
      </c>
      <c r="AD1316" s="2">
        <v>44501</v>
      </c>
      <c r="AE1316" s="1" t="s">
        <v>53</v>
      </c>
      <c r="AF1316" s="1" t="s">
        <v>54</v>
      </c>
      <c r="AG1316" s="1" t="s">
        <v>63</v>
      </c>
      <c r="AH1316" s="1" t="s">
        <v>47</v>
      </c>
      <c r="AI1316">
        <v>20298</v>
      </c>
      <c r="AJ1316">
        <v>-238.79999999999927</v>
      </c>
    </row>
    <row r="1317" spans="1:36" x14ac:dyDescent="0.25">
      <c r="A1317">
        <v>11316</v>
      </c>
      <c r="B1317">
        <v>41</v>
      </c>
      <c r="C1317" s="1" t="s">
        <v>36</v>
      </c>
      <c r="D1317" s="1" t="s">
        <v>61</v>
      </c>
      <c r="E1317" s="2">
        <v>44586</v>
      </c>
      <c r="F1317" s="2">
        <v>44997</v>
      </c>
      <c r="G1317" s="1" t="s">
        <v>49</v>
      </c>
      <c r="H1317">
        <v>727</v>
      </c>
      <c r="I1317">
        <v>14</v>
      </c>
      <c r="J1317">
        <v>0</v>
      </c>
      <c r="K1317">
        <v>72.3</v>
      </c>
      <c r="L1317">
        <v>0</v>
      </c>
      <c r="M1317" s="1" t="s">
        <v>65</v>
      </c>
      <c r="N1317" s="1" t="s">
        <v>56</v>
      </c>
      <c r="O1317">
        <v>10178</v>
      </c>
      <c r="P1317" t="b">
        <v>1</v>
      </c>
      <c r="Q1317">
        <v>1.1666666666666667</v>
      </c>
      <c r="R1317">
        <v>727</v>
      </c>
      <c r="S1317">
        <v>72.3</v>
      </c>
      <c r="T1317" s="2">
        <v>44562</v>
      </c>
      <c r="U1317" s="1" t="s">
        <v>51</v>
      </c>
      <c r="V1317">
        <v>0</v>
      </c>
      <c r="W1317" s="1" t="s">
        <v>56</v>
      </c>
      <c r="X1317">
        <v>411</v>
      </c>
      <c r="Y1317" s="1" t="s">
        <v>43</v>
      </c>
      <c r="Z1317" s="1" t="s">
        <v>42</v>
      </c>
      <c r="AA1317">
        <v>0</v>
      </c>
      <c r="AB1317" s="1" t="s">
        <v>52</v>
      </c>
      <c r="AC1317">
        <v>3</v>
      </c>
      <c r="AD1317" s="2">
        <v>44562</v>
      </c>
      <c r="AE1317" s="1" t="s">
        <v>53</v>
      </c>
      <c r="AF1317" s="1" t="s">
        <v>54</v>
      </c>
      <c r="AG1317" s="1" t="s">
        <v>63</v>
      </c>
      <c r="AH1317" s="1" t="s">
        <v>59</v>
      </c>
      <c r="AI1317">
        <v>10178</v>
      </c>
      <c r="AJ1317">
        <v>0</v>
      </c>
    </row>
    <row r="1318" spans="1:36" x14ac:dyDescent="0.25">
      <c r="A1318">
        <v>11317</v>
      </c>
      <c r="B1318">
        <v>34</v>
      </c>
      <c r="C1318" s="1" t="s">
        <v>36</v>
      </c>
      <c r="D1318" s="1" t="s">
        <v>48</v>
      </c>
      <c r="E1318" s="2">
        <v>44630</v>
      </c>
      <c r="F1318" s="2">
        <v>44839</v>
      </c>
      <c r="G1318" s="1" t="s">
        <v>49</v>
      </c>
      <c r="H1318">
        <v>1407</v>
      </c>
      <c r="I1318">
        <v>33</v>
      </c>
      <c r="J1318">
        <v>3</v>
      </c>
      <c r="K1318">
        <v>25.44</v>
      </c>
      <c r="L1318">
        <v>10</v>
      </c>
      <c r="M1318" s="1" t="s">
        <v>50</v>
      </c>
      <c r="N1318" s="1" t="s">
        <v>56</v>
      </c>
      <c r="O1318">
        <v>46290.3</v>
      </c>
      <c r="P1318" t="b">
        <v>1</v>
      </c>
      <c r="Q1318">
        <v>2.75</v>
      </c>
      <c r="R1318">
        <v>1402.7363636363636</v>
      </c>
      <c r="S1318">
        <v>6.36</v>
      </c>
      <c r="T1318" s="2">
        <v>44621</v>
      </c>
      <c r="U1318" s="1" t="s">
        <v>57</v>
      </c>
      <c r="V1318">
        <v>0</v>
      </c>
      <c r="W1318" s="1" t="s">
        <v>40</v>
      </c>
      <c r="X1318">
        <v>209</v>
      </c>
      <c r="Y1318" s="1" t="s">
        <v>52</v>
      </c>
      <c r="Z1318" s="1" t="s">
        <v>42</v>
      </c>
      <c r="AA1318">
        <v>8.8235294117647065E-2</v>
      </c>
      <c r="AB1318" s="1" t="s">
        <v>43</v>
      </c>
      <c r="AC1318">
        <v>3</v>
      </c>
      <c r="AD1318" s="2">
        <v>44621</v>
      </c>
      <c r="AE1318" s="1" t="s">
        <v>44</v>
      </c>
      <c r="AF1318" s="1" t="s">
        <v>72</v>
      </c>
      <c r="AG1318" s="1" t="s">
        <v>70</v>
      </c>
      <c r="AH1318" s="1" t="s">
        <v>47</v>
      </c>
      <c r="AI1318">
        <v>46431</v>
      </c>
      <c r="AJ1318">
        <v>-140.69999999999709</v>
      </c>
    </row>
    <row r="1319" spans="1:36" x14ac:dyDescent="0.25">
      <c r="A1319">
        <v>11318</v>
      </c>
      <c r="B1319">
        <v>27</v>
      </c>
      <c r="C1319" s="1" t="s">
        <v>60</v>
      </c>
      <c r="D1319" s="1" t="s">
        <v>37</v>
      </c>
      <c r="E1319" s="2">
        <v>44218</v>
      </c>
      <c r="F1319" s="2">
        <v>44368</v>
      </c>
      <c r="G1319" s="1" t="s">
        <v>49</v>
      </c>
      <c r="H1319">
        <v>491</v>
      </c>
      <c r="I1319">
        <v>11</v>
      </c>
      <c r="J1319">
        <v>0</v>
      </c>
      <c r="K1319">
        <v>8.86</v>
      </c>
      <c r="L1319">
        <v>5</v>
      </c>
      <c r="M1319" s="1" t="s">
        <v>39</v>
      </c>
      <c r="N1319" s="1" t="s">
        <v>56</v>
      </c>
      <c r="O1319">
        <v>5376.45</v>
      </c>
      <c r="P1319" t="b">
        <v>1</v>
      </c>
      <c r="Q1319">
        <v>0.91666666666666663</v>
      </c>
      <c r="R1319">
        <v>488.7681818181818</v>
      </c>
      <c r="S1319">
        <v>8.86</v>
      </c>
      <c r="T1319" s="2">
        <v>44197</v>
      </c>
      <c r="U1319" s="1" t="s">
        <v>57</v>
      </c>
      <c r="V1319">
        <v>0</v>
      </c>
      <c r="W1319" s="1" t="s">
        <v>56</v>
      </c>
      <c r="X1319">
        <v>150</v>
      </c>
      <c r="Y1319" s="1" t="s">
        <v>42</v>
      </c>
      <c r="Z1319" s="1" t="s">
        <v>42</v>
      </c>
      <c r="AA1319">
        <v>0</v>
      </c>
      <c r="AB1319" s="1" t="s">
        <v>42</v>
      </c>
      <c r="AC1319">
        <v>3</v>
      </c>
      <c r="AD1319" s="2">
        <v>44197</v>
      </c>
      <c r="AE1319" s="1" t="s">
        <v>74</v>
      </c>
      <c r="AF1319" s="1" t="s">
        <v>54</v>
      </c>
      <c r="AG1319" s="1" t="s">
        <v>77</v>
      </c>
      <c r="AH1319" s="1" t="s">
        <v>68</v>
      </c>
      <c r="AI1319">
        <v>5401</v>
      </c>
      <c r="AJ1319">
        <v>-24.550000000000182</v>
      </c>
    </row>
    <row r="1320" spans="1:36" x14ac:dyDescent="0.25">
      <c r="A1320">
        <v>11319</v>
      </c>
      <c r="B1320">
        <v>47</v>
      </c>
      <c r="C1320" s="1" t="s">
        <v>60</v>
      </c>
      <c r="D1320" s="1" t="s">
        <v>71</v>
      </c>
      <c r="E1320" s="2">
        <v>45069</v>
      </c>
      <c r="F1320" s="2">
        <v>44581</v>
      </c>
      <c r="G1320" s="1" t="s">
        <v>38</v>
      </c>
      <c r="H1320">
        <v>340</v>
      </c>
      <c r="I1320">
        <v>13</v>
      </c>
      <c r="J1320">
        <v>2</v>
      </c>
      <c r="K1320">
        <v>43.85</v>
      </c>
      <c r="L1320">
        <v>0</v>
      </c>
      <c r="M1320" s="1" t="s">
        <v>67</v>
      </c>
      <c r="N1320" s="1" t="s">
        <v>56</v>
      </c>
      <c r="O1320">
        <v>4420</v>
      </c>
      <c r="P1320" t="b">
        <v>0</v>
      </c>
      <c r="Q1320">
        <v>1.0833333333333333</v>
      </c>
      <c r="R1320">
        <v>340</v>
      </c>
      <c r="S1320">
        <v>14.616666666666667</v>
      </c>
      <c r="T1320" s="2">
        <v>45047</v>
      </c>
      <c r="U1320" s="1" t="s">
        <v>51</v>
      </c>
      <c r="V1320">
        <v>0</v>
      </c>
      <c r="W1320" s="1" t="s">
        <v>56</v>
      </c>
      <c r="Y1320" s="1" t="s">
        <v>52</v>
      </c>
      <c r="Z1320" s="1" t="s">
        <v>42</v>
      </c>
      <c r="AA1320">
        <v>0.14285714285714285</v>
      </c>
      <c r="AB1320" s="1" t="s">
        <v>42</v>
      </c>
      <c r="AC1320">
        <v>1</v>
      </c>
      <c r="AD1320" s="2">
        <v>45047</v>
      </c>
      <c r="AE1320" s="1" t="s">
        <v>53</v>
      </c>
      <c r="AF1320" s="1" t="s">
        <v>72</v>
      </c>
      <c r="AG1320" s="1" t="s">
        <v>55</v>
      </c>
      <c r="AH1320" s="1" t="s">
        <v>68</v>
      </c>
      <c r="AI1320">
        <v>4420</v>
      </c>
      <c r="AJ1320">
        <v>0</v>
      </c>
    </row>
    <row r="1321" spans="1:36" x14ac:dyDescent="0.25">
      <c r="A1321">
        <v>11320</v>
      </c>
      <c r="B1321">
        <v>63</v>
      </c>
      <c r="C1321" s="1" t="s">
        <v>60</v>
      </c>
      <c r="D1321" s="1" t="s">
        <v>37</v>
      </c>
      <c r="E1321" s="2">
        <v>44796</v>
      </c>
      <c r="F1321" s="2">
        <v>45061</v>
      </c>
      <c r="G1321" s="1" t="s">
        <v>38</v>
      </c>
      <c r="H1321">
        <v>435</v>
      </c>
      <c r="I1321">
        <v>1</v>
      </c>
      <c r="J1321">
        <v>3</v>
      </c>
      <c r="K1321">
        <v>54.17</v>
      </c>
      <c r="L1321">
        <v>5</v>
      </c>
      <c r="M1321" s="1" t="s">
        <v>65</v>
      </c>
      <c r="N1321" s="1" t="s">
        <v>56</v>
      </c>
      <c r="O1321">
        <v>413.25</v>
      </c>
      <c r="P1321" t="b">
        <v>1</v>
      </c>
      <c r="Q1321">
        <v>8.3333333333333329E-2</v>
      </c>
      <c r="R1321">
        <v>413.25</v>
      </c>
      <c r="S1321">
        <v>13.5425</v>
      </c>
      <c r="T1321" s="2">
        <v>44774</v>
      </c>
      <c r="U1321" s="1" t="s">
        <v>41</v>
      </c>
      <c r="V1321">
        <v>0</v>
      </c>
      <c r="W1321" s="1" t="s">
        <v>56</v>
      </c>
      <c r="X1321">
        <v>265</v>
      </c>
      <c r="Y1321" s="1" t="s">
        <v>52</v>
      </c>
      <c r="Z1321" s="1" t="s">
        <v>42</v>
      </c>
      <c r="AA1321">
        <v>1.5</v>
      </c>
      <c r="AB1321" s="1" t="s">
        <v>42</v>
      </c>
      <c r="AC1321">
        <v>1</v>
      </c>
      <c r="AD1321" s="2">
        <v>44774</v>
      </c>
      <c r="AE1321" s="1" t="s">
        <v>58</v>
      </c>
      <c r="AF1321" s="1" t="s">
        <v>72</v>
      </c>
      <c r="AG1321" s="1" t="s">
        <v>63</v>
      </c>
      <c r="AH1321" s="1" t="s">
        <v>68</v>
      </c>
      <c r="AI1321">
        <v>435</v>
      </c>
      <c r="AJ1321">
        <v>-21.75</v>
      </c>
    </row>
    <row r="1322" spans="1:36" x14ac:dyDescent="0.25">
      <c r="A1322">
        <v>11321</v>
      </c>
      <c r="B1322">
        <v>40</v>
      </c>
      <c r="C1322" s="1" t="s">
        <v>60</v>
      </c>
      <c r="D1322" s="1" t="s">
        <v>37</v>
      </c>
      <c r="E1322" s="2">
        <v>44861</v>
      </c>
      <c r="F1322" s="2">
        <v>45138</v>
      </c>
      <c r="G1322" s="1" t="s">
        <v>38</v>
      </c>
      <c r="H1322">
        <v>405</v>
      </c>
      <c r="I1322">
        <v>34</v>
      </c>
      <c r="J1322">
        <v>3</v>
      </c>
      <c r="K1322">
        <v>12.11</v>
      </c>
      <c r="L1322">
        <v>15</v>
      </c>
      <c r="M1322" s="1" t="s">
        <v>67</v>
      </c>
      <c r="N1322" s="1" t="s">
        <v>56</v>
      </c>
      <c r="O1322">
        <v>13709.25</v>
      </c>
      <c r="P1322" t="b">
        <v>1</v>
      </c>
      <c r="Q1322">
        <v>2.8333333333333335</v>
      </c>
      <c r="R1322">
        <v>403.21323529411762</v>
      </c>
      <c r="S1322">
        <v>3.0274999999999999</v>
      </c>
      <c r="T1322" s="2">
        <v>44835</v>
      </c>
      <c r="U1322" s="1" t="s">
        <v>51</v>
      </c>
      <c r="V1322">
        <v>0</v>
      </c>
      <c r="W1322" s="1" t="s">
        <v>40</v>
      </c>
      <c r="X1322">
        <v>277</v>
      </c>
      <c r="Y1322" s="1" t="s">
        <v>42</v>
      </c>
      <c r="Z1322" s="1" t="s">
        <v>42</v>
      </c>
      <c r="AA1322">
        <v>8.5714285714285715E-2</v>
      </c>
      <c r="AB1322" s="1" t="s">
        <v>52</v>
      </c>
      <c r="AC1322">
        <v>1</v>
      </c>
      <c r="AD1322" s="2">
        <v>44835</v>
      </c>
      <c r="AE1322" s="1" t="s">
        <v>44</v>
      </c>
      <c r="AF1322" s="1" t="s">
        <v>72</v>
      </c>
      <c r="AG1322" s="1" t="s">
        <v>46</v>
      </c>
      <c r="AH1322" s="1" t="s">
        <v>68</v>
      </c>
      <c r="AI1322">
        <v>13770</v>
      </c>
      <c r="AJ1322">
        <v>-60.75</v>
      </c>
    </row>
    <row r="1323" spans="1:36" x14ac:dyDescent="0.25">
      <c r="A1323">
        <v>11322</v>
      </c>
      <c r="B1323">
        <v>49</v>
      </c>
      <c r="C1323" s="1" t="s">
        <v>36</v>
      </c>
      <c r="D1323" s="1" t="s">
        <v>48</v>
      </c>
      <c r="E1323" s="2">
        <v>44321</v>
      </c>
      <c r="F1323" s="2">
        <v>44990</v>
      </c>
      <c r="G1323" s="1" t="s">
        <v>38</v>
      </c>
      <c r="H1323">
        <v>818</v>
      </c>
      <c r="I1323">
        <v>9</v>
      </c>
      <c r="J1323">
        <v>3</v>
      </c>
      <c r="K1323">
        <v>98.72</v>
      </c>
      <c r="L1323">
        <v>10</v>
      </c>
      <c r="M1323" s="1" t="s">
        <v>65</v>
      </c>
      <c r="N1323" s="1" t="s">
        <v>56</v>
      </c>
      <c r="O1323">
        <v>7280.2</v>
      </c>
      <c r="P1323" t="b">
        <v>1</v>
      </c>
      <c r="Q1323">
        <v>0.75</v>
      </c>
      <c r="R1323">
        <v>808.91111111111104</v>
      </c>
      <c r="S1323">
        <v>24.68</v>
      </c>
      <c r="T1323" s="2">
        <v>44317</v>
      </c>
      <c r="U1323" s="1" t="s">
        <v>51</v>
      </c>
      <c r="V1323">
        <v>0</v>
      </c>
      <c r="W1323" s="1" t="s">
        <v>56</v>
      </c>
      <c r="X1323">
        <v>669</v>
      </c>
      <c r="Y1323" s="1" t="s">
        <v>43</v>
      </c>
      <c r="Z1323" s="1" t="s">
        <v>42</v>
      </c>
      <c r="AA1323">
        <v>0.3</v>
      </c>
      <c r="AB1323" s="1" t="s">
        <v>42</v>
      </c>
      <c r="AC1323">
        <v>1</v>
      </c>
      <c r="AD1323" s="2">
        <v>44317</v>
      </c>
      <c r="AE1323" s="1" t="s">
        <v>74</v>
      </c>
      <c r="AF1323" s="1" t="s">
        <v>72</v>
      </c>
      <c r="AG1323" s="1" t="s">
        <v>63</v>
      </c>
      <c r="AH1323" s="1" t="s">
        <v>59</v>
      </c>
      <c r="AI1323">
        <v>7362</v>
      </c>
      <c r="AJ1323">
        <v>-81.800000000000182</v>
      </c>
    </row>
    <row r="1324" spans="1:36" x14ac:dyDescent="0.25">
      <c r="A1324">
        <v>11323</v>
      </c>
      <c r="B1324">
        <v>34</v>
      </c>
      <c r="C1324" s="1" t="s">
        <v>60</v>
      </c>
      <c r="D1324" s="1" t="s">
        <v>61</v>
      </c>
      <c r="E1324" s="2">
        <v>44275</v>
      </c>
      <c r="F1324" s="2">
        <v>44763</v>
      </c>
      <c r="G1324" s="1" t="s">
        <v>38</v>
      </c>
      <c r="H1324">
        <v>1113</v>
      </c>
      <c r="I1324">
        <v>13</v>
      </c>
      <c r="J1324">
        <v>1</v>
      </c>
      <c r="K1324">
        <v>44.57</v>
      </c>
      <c r="L1324">
        <v>20</v>
      </c>
      <c r="M1324" s="1" t="s">
        <v>67</v>
      </c>
      <c r="N1324" s="1" t="s">
        <v>56</v>
      </c>
      <c r="O1324">
        <v>14246.4</v>
      </c>
      <c r="P1324" t="b">
        <v>1</v>
      </c>
      <c r="Q1324">
        <v>1.0833333333333333</v>
      </c>
      <c r="R1324">
        <v>1095.876923076923</v>
      </c>
      <c r="S1324">
        <v>22.285</v>
      </c>
      <c r="T1324" s="2">
        <v>44256</v>
      </c>
      <c r="U1324" s="1" t="s">
        <v>57</v>
      </c>
      <c r="V1324">
        <v>0</v>
      </c>
      <c r="W1324" s="1" t="s">
        <v>40</v>
      </c>
      <c r="X1324">
        <v>488</v>
      </c>
      <c r="Y1324" s="1" t="s">
        <v>52</v>
      </c>
      <c r="Z1324" s="1" t="s">
        <v>52</v>
      </c>
      <c r="AA1324">
        <v>7.1428571428571425E-2</v>
      </c>
      <c r="AB1324" s="1" t="s">
        <v>52</v>
      </c>
      <c r="AC1324">
        <v>1</v>
      </c>
      <c r="AD1324" s="2">
        <v>44256</v>
      </c>
      <c r="AE1324" s="1" t="s">
        <v>53</v>
      </c>
      <c r="AF1324" s="1" t="s">
        <v>54</v>
      </c>
      <c r="AG1324" s="1" t="s">
        <v>55</v>
      </c>
      <c r="AH1324" s="1" t="s">
        <v>47</v>
      </c>
      <c r="AI1324">
        <v>14469</v>
      </c>
      <c r="AJ1324">
        <v>-222.60000000000036</v>
      </c>
    </row>
    <row r="1325" spans="1:36" x14ac:dyDescent="0.25">
      <c r="A1325">
        <v>11324</v>
      </c>
      <c r="B1325">
        <v>34</v>
      </c>
      <c r="C1325" s="1" t="s">
        <v>60</v>
      </c>
      <c r="D1325" s="1" t="s">
        <v>48</v>
      </c>
      <c r="E1325" s="2">
        <v>45054</v>
      </c>
      <c r="F1325" s="2">
        <v>44495</v>
      </c>
      <c r="G1325" s="1" t="s">
        <v>62</v>
      </c>
      <c r="H1325">
        <v>425</v>
      </c>
      <c r="I1325">
        <v>30</v>
      </c>
      <c r="J1325">
        <v>2</v>
      </c>
      <c r="K1325">
        <v>110.07</v>
      </c>
      <c r="L1325">
        <v>0</v>
      </c>
      <c r="M1325" s="1" t="s">
        <v>39</v>
      </c>
      <c r="N1325" s="1" t="s">
        <v>56</v>
      </c>
      <c r="O1325">
        <v>12750</v>
      </c>
      <c r="P1325" t="b">
        <v>0</v>
      </c>
      <c r="Q1325">
        <v>2.5</v>
      </c>
      <c r="R1325">
        <v>425</v>
      </c>
      <c r="S1325">
        <v>36.69</v>
      </c>
      <c r="T1325" s="2">
        <v>45047</v>
      </c>
      <c r="U1325" s="1" t="s">
        <v>57</v>
      </c>
      <c r="V1325">
        <v>0</v>
      </c>
      <c r="W1325" s="1" t="s">
        <v>56</v>
      </c>
      <c r="Y1325" s="1" t="s">
        <v>43</v>
      </c>
      <c r="Z1325" s="1" t="s">
        <v>42</v>
      </c>
      <c r="AA1325">
        <v>6.4516129032258063E-2</v>
      </c>
      <c r="AB1325" s="1" t="s">
        <v>52</v>
      </c>
      <c r="AC1325">
        <v>2</v>
      </c>
      <c r="AD1325" s="2">
        <v>45047</v>
      </c>
      <c r="AE1325" s="1" t="s">
        <v>44</v>
      </c>
      <c r="AF1325" s="1" t="s">
        <v>72</v>
      </c>
      <c r="AG1325" s="1" t="s">
        <v>63</v>
      </c>
      <c r="AH1325" s="1" t="s">
        <v>68</v>
      </c>
      <c r="AI1325">
        <v>12750</v>
      </c>
      <c r="AJ1325">
        <v>0</v>
      </c>
    </row>
    <row r="1326" spans="1:36" x14ac:dyDescent="0.25">
      <c r="A1326">
        <v>11325</v>
      </c>
      <c r="B1326">
        <v>31</v>
      </c>
      <c r="C1326" s="1" t="s">
        <v>60</v>
      </c>
      <c r="D1326" s="1" t="s">
        <v>73</v>
      </c>
      <c r="E1326" s="2">
        <v>44247</v>
      </c>
      <c r="F1326" s="2">
        <v>44376</v>
      </c>
      <c r="G1326" s="1" t="s">
        <v>62</v>
      </c>
      <c r="H1326">
        <v>699</v>
      </c>
      <c r="I1326">
        <v>7</v>
      </c>
      <c r="J1326">
        <v>2</v>
      </c>
      <c r="K1326">
        <v>22.76</v>
      </c>
      <c r="L1326">
        <v>20</v>
      </c>
      <c r="M1326" s="1" t="s">
        <v>39</v>
      </c>
      <c r="N1326" s="1" t="s">
        <v>56</v>
      </c>
      <c r="O1326">
        <v>4753.2</v>
      </c>
      <c r="P1326" t="b">
        <v>1</v>
      </c>
      <c r="Q1326">
        <v>0.58333333333333337</v>
      </c>
      <c r="R1326">
        <v>679.02857142857135</v>
      </c>
      <c r="S1326">
        <v>7.5866666666666669</v>
      </c>
      <c r="T1326" s="2">
        <v>44228</v>
      </c>
      <c r="U1326" s="1" t="s">
        <v>57</v>
      </c>
      <c r="V1326">
        <v>0</v>
      </c>
      <c r="W1326" s="1" t="s">
        <v>56</v>
      </c>
      <c r="X1326">
        <v>129</v>
      </c>
      <c r="Y1326" s="1" t="s">
        <v>52</v>
      </c>
      <c r="Z1326" s="1" t="s">
        <v>52</v>
      </c>
      <c r="AA1326">
        <v>0.25</v>
      </c>
      <c r="AB1326" s="1" t="s">
        <v>42</v>
      </c>
      <c r="AC1326">
        <v>2</v>
      </c>
      <c r="AD1326" s="2">
        <v>44228</v>
      </c>
      <c r="AE1326" s="1" t="s">
        <v>74</v>
      </c>
      <c r="AF1326" s="1" t="s">
        <v>72</v>
      </c>
      <c r="AG1326" s="1" t="s">
        <v>70</v>
      </c>
      <c r="AH1326" s="1" t="s">
        <v>64</v>
      </c>
      <c r="AI1326">
        <v>4893</v>
      </c>
      <c r="AJ1326">
        <v>-139.80000000000018</v>
      </c>
    </row>
    <row r="1327" spans="1:36" x14ac:dyDescent="0.25">
      <c r="A1327">
        <v>11326</v>
      </c>
      <c r="B1327">
        <v>26</v>
      </c>
      <c r="C1327" s="1" t="s">
        <v>75</v>
      </c>
      <c r="D1327" s="1" t="s">
        <v>71</v>
      </c>
      <c r="E1327" s="2">
        <v>44924</v>
      </c>
      <c r="F1327" s="2">
        <v>44708</v>
      </c>
      <c r="G1327" s="1" t="s">
        <v>49</v>
      </c>
      <c r="H1327">
        <v>378</v>
      </c>
      <c r="I1327">
        <v>14</v>
      </c>
      <c r="J1327">
        <v>0</v>
      </c>
      <c r="K1327">
        <v>11.55</v>
      </c>
      <c r="L1327">
        <v>5</v>
      </c>
      <c r="M1327" s="1" t="s">
        <v>67</v>
      </c>
      <c r="N1327" s="1" t="s">
        <v>56</v>
      </c>
      <c r="O1327">
        <v>5273.1</v>
      </c>
      <c r="P1327" t="b">
        <v>0</v>
      </c>
      <c r="Q1327">
        <v>1.1666666666666667</v>
      </c>
      <c r="R1327">
        <v>376.65000000000003</v>
      </c>
      <c r="S1327">
        <v>11.55</v>
      </c>
      <c r="T1327" s="2">
        <v>44896</v>
      </c>
      <c r="U1327" s="1" t="s">
        <v>57</v>
      </c>
      <c r="V1327">
        <v>0</v>
      </c>
      <c r="W1327" s="1" t="s">
        <v>56</v>
      </c>
      <c r="Y1327" s="1" t="s">
        <v>42</v>
      </c>
      <c r="Z1327" s="1" t="s">
        <v>42</v>
      </c>
      <c r="AA1327">
        <v>0</v>
      </c>
      <c r="AB1327" s="1" t="s">
        <v>42</v>
      </c>
      <c r="AC1327">
        <v>3</v>
      </c>
      <c r="AD1327" s="2">
        <v>44896</v>
      </c>
      <c r="AE1327" s="1" t="s">
        <v>53</v>
      </c>
      <c r="AF1327" s="1" t="s">
        <v>54</v>
      </c>
      <c r="AG1327" s="1" t="s">
        <v>46</v>
      </c>
      <c r="AH1327" s="1" t="s">
        <v>68</v>
      </c>
      <c r="AI1327">
        <v>5292</v>
      </c>
      <c r="AJ1327">
        <v>-18.899999999999636</v>
      </c>
    </row>
    <row r="1328" spans="1:36" x14ac:dyDescent="0.25">
      <c r="A1328">
        <v>11327</v>
      </c>
      <c r="B1328">
        <v>57</v>
      </c>
      <c r="C1328" s="1" t="s">
        <v>36</v>
      </c>
      <c r="D1328" s="1" t="s">
        <v>37</v>
      </c>
      <c r="E1328" s="2">
        <v>44372</v>
      </c>
      <c r="F1328" s="2">
        <v>44655</v>
      </c>
      <c r="G1328" s="1" t="s">
        <v>38</v>
      </c>
      <c r="H1328">
        <v>688</v>
      </c>
      <c r="I1328">
        <v>6</v>
      </c>
      <c r="J1328">
        <v>0</v>
      </c>
      <c r="K1328">
        <v>62.59</v>
      </c>
      <c r="L1328">
        <v>5</v>
      </c>
      <c r="M1328" s="1" t="s">
        <v>39</v>
      </c>
      <c r="N1328" s="1" t="s">
        <v>56</v>
      </c>
      <c r="O1328">
        <v>4093.6</v>
      </c>
      <c r="P1328" t="b">
        <v>1</v>
      </c>
      <c r="Q1328">
        <v>0.5</v>
      </c>
      <c r="R1328">
        <v>682.26666666666665</v>
      </c>
      <c r="S1328">
        <v>62.59</v>
      </c>
      <c r="T1328" s="2">
        <v>44348</v>
      </c>
      <c r="U1328" s="1" t="s">
        <v>41</v>
      </c>
      <c r="V1328">
        <v>0</v>
      </c>
      <c r="W1328" s="1" t="s">
        <v>56</v>
      </c>
      <c r="X1328">
        <v>283</v>
      </c>
      <c r="Y1328" s="1" t="s">
        <v>43</v>
      </c>
      <c r="Z1328" s="1" t="s">
        <v>42</v>
      </c>
      <c r="AA1328">
        <v>0</v>
      </c>
      <c r="AB1328" s="1" t="s">
        <v>42</v>
      </c>
      <c r="AC1328">
        <v>1</v>
      </c>
      <c r="AD1328" s="2">
        <v>44348</v>
      </c>
      <c r="AE1328" s="1" t="s">
        <v>58</v>
      </c>
      <c r="AF1328" s="1" t="s">
        <v>54</v>
      </c>
      <c r="AG1328" s="1" t="s">
        <v>63</v>
      </c>
      <c r="AH1328" s="1" t="s">
        <v>64</v>
      </c>
      <c r="AI1328">
        <v>4128</v>
      </c>
      <c r="AJ1328">
        <v>-34.400000000000091</v>
      </c>
    </row>
    <row r="1329" spans="1:36" x14ac:dyDescent="0.25">
      <c r="A1329">
        <v>11328</v>
      </c>
      <c r="B1329">
        <v>19</v>
      </c>
      <c r="C1329" s="1" t="s">
        <v>36</v>
      </c>
      <c r="D1329" s="1" t="s">
        <v>48</v>
      </c>
      <c r="E1329" s="2">
        <v>45066</v>
      </c>
      <c r="F1329" s="2">
        <v>45230</v>
      </c>
      <c r="G1329" s="1" t="s">
        <v>62</v>
      </c>
      <c r="H1329">
        <v>373</v>
      </c>
      <c r="I1329">
        <v>34</v>
      </c>
      <c r="J1329">
        <v>2</v>
      </c>
      <c r="K1329">
        <v>26.75</v>
      </c>
      <c r="L1329">
        <v>15</v>
      </c>
      <c r="M1329" s="1" t="s">
        <v>67</v>
      </c>
      <c r="N1329" s="1" t="s">
        <v>56</v>
      </c>
      <c r="O1329">
        <v>12626.05</v>
      </c>
      <c r="P1329" t="b">
        <v>1</v>
      </c>
      <c r="Q1329">
        <v>2.8333333333333335</v>
      </c>
      <c r="R1329">
        <v>371.35441176470584</v>
      </c>
      <c r="S1329">
        <v>8.9166666666666661</v>
      </c>
      <c r="T1329" s="2">
        <v>45047</v>
      </c>
      <c r="U1329" s="1" t="s">
        <v>66</v>
      </c>
      <c r="V1329">
        <v>0</v>
      </c>
      <c r="W1329" s="1" t="s">
        <v>56</v>
      </c>
      <c r="X1329">
        <v>164</v>
      </c>
      <c r="Y1329" s="1" t="s">
        <v>52</v>
      </c>
      <c r="Z1329" s="1" t="s">
        <v>42</v>
      </c>
      <c r="AA1329">
        <v>5.7142857142857141E-2</v>
      </c>
      <c r="AB1329" s="1" t="s">
        <v>52</v>
      </c>
      <c r="AC1329">
        <v>2</v>
      </c>
      <c r="AD1329" s="2">
        <v>45047</v>
      </c>
      <c r="AE1329" s="1" t="s">
        <v>44</v>
      </c>
      <c r="AF1329" s="1" t="s">
        <v>72</v>
      </c>
      <c r="AG1329" s="1" t="s">
        <v>70</v>
      </c>
      <c r="AH1329" s="1" t="s">
        <v>68</v>
      </c>
      <c r="AI1329">
        <v>12682</v>
      </c>
      <c r="AJ1329">
        <v>-55.950000000000728</v>
      </c>
    </row>
    <row r="1330" spans="1:36" x14ac:dyDescent="0.25">
      <c r="A1330">
        <v>11329</v>
      </c>
      <c r="B1330">
        <v>62</v>
      </c>
      <c r="C1330" s="1" t="s">
        <v>60</v>
      </c>
      <c r="D1330" s="1" t="s">
        <v>48</v>
      </c>
      <c r="E1330" s="2">
        <v>44449</v>
      </c>
      <c r="F1330" s="2">
        <v>44509</v>
      </c>
      <c r="G1330" s="1" t="s">
        <v>62</v>
      </c>
      <c r="H1330">
        <v>1328</v>
      </c>
      <c r="I1330">
        <v>16</v>
      </c>
      <c r="J1330">
        <v>2</v>
      </c>
      <c r="K1330">
        <v>112.8</v>
      </c>
      <c r="L1330">
        <v>5</v>
      </c>
      <c r="M1330" s="1" t="s">
        <v>65</v>
      </c>
      <c r="N1330" s="1" t="s">
        <v>40</v>
      </c>
      <c r="O1330">
        <v>21181.599999999999</v>
      </c>
      <c r="P1330" t="b">
        <v>1</v>
      </c>
      <c r="Q1330">
        <v>1.3333333333333333</v>
      </c>
      <c r="R1330">
        <v>1323.85</v>
      </c>
      <c r="S1330">
        <v>37.6</v>
      </c>
      <c r="T1330" s="2">
        <v>44440</v>
      </c>
      <c r="U1330" s="1" t="s">
        <v>41</v>
      </c>
      <c r="V1330">
        <v>1</v>
      </c>
      <c r="W1330" s="1" t="s">
        <v>40</v>
      </c>
      <c r="X1330">
        <v>60</v>
      </c>
      <c r="Y1330" s="1" t="s">
        <v>43</v>
      </c>
      <c r="Z1330" s="1" t="s">
        <v>42</v>
      </c>
      <c r="AA1330">
        <v>0.11764705882352941</v>
      </c>
      <c r="AB1330" s="1" t="s">
        <v>43</v>
      </c>
      <c r="AC1330">
        <v>2</v>
      </c>
      <c r="AD1330" s="2">
        <v>44440</v>
      </c>
      <c r="AE1330" s="1" t="s">
        <v>53</v>
      </c>
      <c r="AF1330" s="1" t="s">
        <v>72</v>
      </c>
      <c r="AG1330" s="1" t="s">
        <v>63</v>
      </c>
      <c r="AH1330" s="1" t="s">
        <v>47</v>
      </c>
      <c r="AI1330">
        <v>21248</v>
      </c>
      <c r="AJ1330">
        <v>-66.400000000001455</v>
      </c>
    </row>
    <row r="1331" spans="1:36" x14ac:dyDescent="0.25">
      <c r="A1331">
        <v>11330</v>
      </c>
      <c r="B1331">
        <v>41</v>
      </c>
      <c r="C1331" s="1" t="s">
        <v>36</v>
      </c>
      <c r="D1331" s="1" t="s">
        <v>48</v>
      </c>
      <c r="E1331" s="2">
        <v>44442</v>
      </c>
      <c r="F1331" s="2">
        <v>45216</v>
      </c>
      <c r="G1331" s="1" t="s">
        <v>62</v>
      </c>
      <c r="H1331">
        <v>381</v>
      </c>
      <c r="I1331">
        <v>6</v>
      </c>
      <c r="J1331">
        <v>3</v>
      </c>
      <c r="K1331">
        <v>6.18</v>
      </c>
      <c r="L1331">
        <v>5</v>
      </c>
      <c r="M1331" s="1" t="s">
        <v>39</v>
      </c>
      <c r="N1331" s="1" t="s">
        <v>56</v>
      </c>
      <c r="O1331">
        <v>2266.9499999999998</v>
      </c>
      <c r="P1331" t="b">
        <v>1</v>
      </c>
      <c r="Q1331">
        <v>0.5</v>
      </c>
      <c r="R1331">
        <v>377.82499999999999</v>
      </c>
      <c r="S1331">
        <v>1.5449999999999999</v>
      </c>
      <c r="T1331" s="2">
        <v>44440</v>
      </c>
      <c r="U1331" s="1" t="s">
        <v>51</v>
      </c>
      <c r="V1331">
        <v>0</v>
      </c>
      <c r="W1331" s="1" t="s">
        <v>56</v>
      </c>
      <c r="X1331">
        <v>774</v>
      </c>
      <c r="Y1331" s="1" t="s">
        <v>42</v>
      </c>
      <c r="Z1331" s="1" t="s">
        <v>42</v>
      </c>
      <c r="AA1331">
        <v>0.42857142857142855</v>
      </c>
      <c r="AB1331" s="1" t="s">
        <v>42</v>
      </c>
      <c r="AC1331">
        <v>2</v>
      </c>
      <c r="AD1331" s="2">
        <v>44440</v>
      </c>
      <c r="AE1331" s="1" t="s">
        <v>58</v>
      </c>
      <c r="AF1331" s="1" t="s">
        <v>72</v>
      </c>
      <c r="AG1331" s="1" t="s">
        <v>77</v>
      </c>
      <c r="AH1331" s="1" t="s">
        <v>68</v>
      </c>
      <c r="AI1331">
        <v>2286</v>
      </c>
      <c r="AJ1331">
        <v>-19.050000000000182</v>
      </c>
    </row>
    <row r="1332" spans="1:36" x14ac:dyDescent="0.25">
      <c r="A1332">
        <v>11331</v>
      </c>
      <c r="B1332">
        <v>56</v>
      </c>
      <c r="C1332" s="1" t="s">
        <v>36</v>
      </c>
      <c r="D1332" s="1" t="s">
        <v>71</v>
      </c>
      <c r="E1332" s="2">
        <v>44935</v>
      </c>
      <c r="F1332" s="2">
        <v>45199</v>
      </c>
      <c r="G1332" s="1" t="s">
        <v>49</v>
      </c>
      <c r="H1332">
        <v>1075</v>
      </c>
      <c r="I1332">
        <v>8</v>
      </c>
      <c r="J1332">
        <v>3</v>
      </c>
      <c r="K1332">
        <v>52.45</v>
      </c>
      <c r="L1332">
        <v>20</v>
      </c>
      <c r="M1332" s="1" t="s">
        <v>65</v>
      </c>
      <c r="N1332" s="1" t="s">
        <v>56</v>
      </c>
      <c r="O1332">
        <v>8385</v>
      </c>
      <c r="P1332" t="b">
        <v>1</v>
      </c>
      <c r="Q1332">
        <v>0.66666666666666663</v>
      </c>
      <c r="R1332">
        <v>1048.125</v>
      </c>
      <c r="S1332">
        <v>13.112500000000001</v>
      </c>
      <c r="T1332" s="2">
        <v>44927</v>
      </c>
      <c r="U1332" s="1" t="s">
        <v>41</v>
      </c>
      <c r="V1332">
        <v>0</v>
      </c>
      <c r="W1332" s="1" t="s">
        <v>56</v>
      </c>
      <c r="X1332">
        <v>264</v>
      </c>
      <c r="Y1332" s="1" t="s">
        <v>52</v>
      </c>
      <c r="Z1332" s="1" t="s">
        <v>52</v>
      </c>
      <c r="AA1332">
        <v>0.33333333333333331</v>
      </c>
      <c r="AB1332" s="1" t="s">
        <v>42</v>
      </c>
      <c r="AC1332">
        <v>3</v>
      </c>
      <c r="AD1332" s="2">
        <v>44927</v>
      </c>
      <c r="AE1332" s="1" t="s">
        <v>74</v>
      </c>
      <c r="AF1332" s="1" t="s">
        <v>72</v>
      </c>
      <c r="AG1332" s="1" t="s">
        <v>63</v>
      </c>
      <c r="AH1332" s="1" t="s">
        <v>47</v>
      </c>
      <c r="AI1332">
        <v>8600</v>
      </c>
      <c r="AJ1332">
        <v>-215</v>
      </c>
    </row>
    <row r="1333" spans="1:36" x14ac:dyDescent="0.25">
      <c r="A1333">
        <v>11332</v>
      </c>
      <c r="B1333">
        <v>26</v>
      </c>
      <c r="C1333" s="1" t="s">
        <v>36</v>
      </c>
      <c r="D1333" s="1" t="s">
        <v>61</v>
      </c>
      <c r="E1333" s="2">
        <v>44302</v>
      </c>
      <c r="F1333" s="2">
        <v>44408</v>
      </c>
      <c r="G1333" s="1" t="s">
        <v>62</v>
      </c>
      <c r="H1333">
        <v>1290</v>
      </c>
      <c r="I1333">
        <v>24</v>
      </c>
      <c r="J1333">
        <v>1</v>
      </c>
      <c r="K1333">
        <v>111.58</v>
      </c>
      <c r="L1333">
        <v>20</v>
      </c>
      <c r="M1333" s="1" t="s">
        <v>67</v>
      </c>
      <c r="N1333" s="1" t="s">
        <v>56</v>
      </c>
      <c r="O1333">
        <v>30702</v>
      </c>
      <c r="P1333" t="b">
        <v>1</v>
      </c>
      <c r="Q1333">
        <v>2</v>
      </c>
      <c r="R1333">
        <v>1279.25</v>
      </c>
      <c r="S1333">
        <v>55.79</v>
      </c>
      <c r="T1333" s="2">
        <v>44287</v>
      </c>
      <c r="U1333" s="1" t="s">
        <v>57</v>
      </c>
      <c r="V1333">
        <v>0</v>
      </c>
      <c r="W1333" s="1" t="s">
        <v>40</v>
      </c>
      <c r="X1333">
        <v>106</v>
      </c>
      <c r="Y1333" s="1" t="s">
        <v>43</v>
      </c>
      <c r="Z1333" s="1" t="s">
        <v>52</v>
      </c>
      <c r="AA1333">
        <v>0.04</v>
      </c>
      <c r="AB1333" s="1" t="s">
        <v>43</v>
      </c>
      <c r="AC1333">
        <v>2</v>
      </c>
      <c r="AD1333" s="2">
        <v>44287</v>
      </c>
      <c r="AE1333" s="1" t="s">
        <v>53</v>
      </c>
      <c r="AF1333" s="1" t="s">
        <v>54</v>
      </c>
      <c r="AG1333" s="1" t="s">
        <v>63</v>
      </c>
      <c r="AH1333" s="1" t="s">
        <v>47</v>
      </c>
      <c r="AI1333">
        <v>30960</v>
      </c>
      <c r="AJ1333">
        <v>-258</v>
      </c>
    </row>
    <row r="1334" spans="1:36" x14ac:dyDescent="0.25">
      <c r="A1334">
        <v>11333</v>
      </c>
      <c r="B1334">
        <v>41</v>
      </c>
      <c r="C1334" s="1" t="s">
        <v>75</v>
      </c>
      <c r="D1334" s="1" t="s">
        <v>48</v>
      </c>
      <c r="E1334" s="2">
        <v>44389</v>
      </c>
      <c r="F1334" s="2">
        <v>44472</v>
      </c>
      <c r="G1334" s="1" t="s">
        <v>49</v>
      </c>
      <c r="H1334">
        <v>577</v>
      </c>
      <c r="I1334">
        <v>3</v>
      </c>
      <c r="J1334">
        <v>2</v>
      </c>
      <c r="K1334">
        <v>49.21</v>
      </c>
      <c r="L1334">
        <v>0</v>
      </c>
      <c r="M1334" s="1" t="s">
        <v>65</v>
      </c>
      <c r="N1334" s="1" t="s">
        <v>56</v>
      </c>
      <c r="O1334">
        <v>1731</v>
      </c>
      <c r="P1334" t="b">
        <v>1</v>
      </c>
      <c r="Q1334">
        <v>0.25</v>
      </c>
      <c r="R1334">
        <v>577</v>
      </c>
      <c r="S1334">
        <v>16.403333333333332</v>
      </c>
      <c r="T1334" s="2">
        <v>44378</v>
      </c>
      <c r="U1334" s="1" t="s">
        <v>51</v>
      </c>
      <c r="V1334">
        <v>0</v>
      </c>
      <c r="W1334" s="1" t="s">
        <v>56</v>
      </c>
      <c r="X1334">
        <v>83</v>
      </c>
      <c r="Y1334" s="1" t="s">
        <v>52</v>
      </c>
      <c r="Z1334" s="1" t="s">
        <v>42</v>
      </c>
      <c r="AA1334">
        <v>0.5</v>
      </c>
      <c r="AB1334" s="1" t="s">
        <v>42</v>
      </c>
      <c r="AC1334">
        <v>3</v>
      </c>
      <c r="AD1334" s="2">
        <v>44378</v>
      </c>
      <c r="AE1334" s="1" t="s">
        <v>58</v>
      </c>
      <c r="AF1334" s="1" t="s">
        <v>72</v>
      </c>
      <c r="AG1334" s="1" t="s">
        <v>63</v>
      </c>
      <c r="AH1334" s="1" t="s">
        <v>64</v>
      </c>
      <c r="AI1334">
        <v>1731</v>
      </c>
      <c r="AJ1334">
        <v>0</v>
      </c>
    </row>
    <row r="1335" spans="1:36" x14ac:dyDescent="0.25">
      <c r="A1335">
        <v>11334</v>
      </c>
      <c r="B1335">
        <v>60</v>
      </c>
      <c r="C1335" s="1" t="s">
        <v>60</v>
      </c>
      <c r="D1335" s="1" t="s">
        <v>71</v>
      </c>
      <c r="E1335" s="2">
        <v>44512</v>
      </c>
      <c r="F1335" s="2">
        <v>44803</v>
      </c>
      <c r="G1335" s="1" t="s">
        <v>38</v>
      </c>
      <c r="H1335">
        <v>1139</v>
      </c>
      <c r="I1335">
        <v>4</v>
      </c>
      <c r="J1335">
        <v>1</v>
      </c>
      <c r="K1335">
        <v>15.71</v>
      </c>
      <c r="L1335">
        <v>0</v>
      </c>
      <c r="M1335" s="1" t="s">
        <v>50</v>
      </c>
      <c r="N1335" s="1" t="s">
        <v>40</v>
      </c>
      <c r="O1335">
        <v>4556</v>
      </c>
      <c r="P1335" t="b">
        <v>1</v>
      </c>
      <c r="Q1335">
        <v>0.33333333333333331</v>
      </c>
      <c r="R1335">
        <v>1139</v>
      </c>
      <c r="S1335">
        <v>7.8550000000000004</v>
      </c>
      <c r="T1335" s="2">
        <v>44501</v>
      </c>
      <c r="U1335" s="1" t="s">
        <v>41</v>
      </c>
      <c r="V1335">
        <v>1</v>
      </c>
      <c r="W1335" s="1" t="s">
        <v>56</v>
      </c>
      <c r="X1335">
        <v>291</v>
      </c>
      <c r="Y1335" s="1" t="s">
        <v>42</v>
      </c>
      <c r="Z1335" s="1" t="s">
        <v>42</v>
      </c>
      <c r="AA1335">
        <v>0.2</v>
      </c>
      <c r="AB1335" s="1" t="s">
        <v>42</v>
      </c>
      <c r="AC1335">
        <v>1</v>
      </c>
      <c r="AD1335" s="2">
        <v>44501</v>
      </c>
      <c r="AE1335" s="1" t="s">
        <v>58</v>
      </c>
      <c r="AF1335" s="1" t="s">
        <v>54</v>
      </c>
      <c r="AG1335" s="1" t="s">
        <v>46</v>
      </c>
      <c r="AH1335" s="1" t="s">
        <v>47</v>
      </c>
      <c r="AI1335">
        <v>4556</v>
      </c>
      <c r="AJ1335">
        <v>0</v>
      </c>
    </row>
    <row r="1336" spans="1:36" x14ac:dyDescent="0.25">
      <c r="A1336">
        <v>11335</v>
      </c>
      <c r="B1336">
        <v>63</v>
      </c>
      <c r="C1336" s="1" t="s">
        <v>36</v>
      </c>
      <c r="D1336" s="1" t="s">
        <v>37</v>
      </c>
      <c r="E1336" s="2">
        <v>44498</v>
      </c>
      <c r="F1336" s="2">
        <v>44418</v>
      </c>
      <c r="G1336" s="1" t="s">
        <v>62</v>
      </c>
      <c r="H1336">
        <v>523</v>
      </c>
      <c r="I1336">
        <v>32</v>
      </c>
      <c r="J1336">
        <v>1</v>
      </c>
      <c r="K1336">
        <v>39.83</v>
      </c>
      <c r="L1336">
        <v>5</v>
      </c>
      <c r="M1336" s="1" t="s">
        <v>67</v>
      </c>
      <c r="N1336" s="1" t="s">
        <v>40</v>
      </c>
      <c r="O1336">
        <v>16709.849999999999</v>
      </c>
      <c r="P1336" t="b">
        <v>0</v>
      </c>
      <c r="Q1336">
        <v>2.6666666666666665</v>
      </c>
      <c r="R1336">
        <v>522.18281249999995</v>
      </c>
      <c r="S1336">
        <v>19.914999999999999</v>
      </c>
      <c r="T1336" s="2">
        <v>44470</v>
      </c>
      <c r="U1336" s="1" t="s">
        <v>41</v>
      </c>
      <c r="V1336">
        <v>1</v>
      </c>
      <c r="W1336" s="1" t="s">
        <v>40</v>
      </c>
      <c r="Y1336" s="1" t="s">
        <v>52</v>
      </c>
      <c r="Z1336" s="1" t="s">
        <v>42</v>
      </c>
      <c r="AA1336">
        <v>3.0303030303030304E-2</v>
      </c>
      <c r="AB1336" s="1" t="s">
        <v>52</v>
      </c>
      <c r="AC1336">
        <v>2</v>
      </c>
      <c r="AD1336" s="2">
        <v>44470</v>
      </c>
      <c r="AE1336" s="1" t="s">
        <v>44</v>
      </c>
      <c r="AF1336" s="1" t="s">
        <v>54</v>
      </c>
      <c r="AG1336" s="1" t="s">
        <v>55</v>
      </c>
      <c r="AH1336" s="1" t="s">
        <v>64</v>
      </c>
      <c r="AI1336">
        <v>16736</v>
      </c>
      <c r="AJ1336">
        <v>-26.150000000001455</v>
      </c>
    </row>
    <row r="1337" spans="1:36" x14ac:dyDescent="0.25">
      <c r="A1337">
        <v>11336</v>
      </c>
      <c r="B1337">
        <v>41</v>
      </c>
      <c r="C1337" s="1" t="s">
        <v>36</v>
      </c>
      <c r="D1337" s="1" t="s">
        <v>73</v>
      </c>
      <c r="E1337" s="2">
        <v>44744</v>
      </c>
      <c r="F1337" s="2">
        <v>45185</v>
      </c>
      <c r="G1337" s="1" t="s">
        <v>38</v>
      </c>
      <c r="H1337">
        <v>1391</v>
      </c>
      <c r="I1337">
        <v>1</v>
      </c>
      <c r="J1337">
        <v>0</v>
      </c>
      <c r="K1337">
        <v>62.27</v>
      </c>
      <c r="L1337">
        <v>10</v>
      </c>
      <c r="M1337" s="1" t="s">
        <v>39</v>
      </c>
      <c r="N1337" s="1" t="s">
        <v>56</v>
      </c>
      <c r="O1337">
        <v>1251.9000000000001</v>
      </c>
      <c r="P1337" t="b">
        <v>1</v>
      </c>
      <c r="Q1337">
        <v>8.3333333333333329E-2</v>
      </c>
      <c r="R1337">
        <v>1251.9000000000001</v>
      </c>
      <c r="S1337">
        <v>62.27</v>
      </c>
      <c r="T1337" s="2">
        <v>44743</v>
      </c>
      <c r="U1337" s="1" t="s">
        <v>51</v>
      </c>
      <c r="V1337">
        <v>0</v>
      </c>
      <c r="W1337" s="1" t="s">
        <v>56</v>
      </c>
      <c r="X1337">
        <v>441</v>
      </c>
      <c r="Y1337" s="1" t="s">
        <v>43</v>
      </c>
      <c r="Z1337" s="1" t="s">
        <v>42</v>
      </c>
      <c r="AA1337">
        <v>0</v>
      </c>
      <c r="AB1337" s="1" t="s">
        <v>42</v>
      </c>
      <c r="AC1337">
        <v>1</v>
      </c>
      <c r="AD1337" s="2">
        <v>44743</v>
      </c>
      <c r="AE1337" s="1" t="s">
        <v>58</v>
      </c>
      <c r="AF1337" s="1" t="s">
        <v>54</v>
      </c>
      <c r="AG1337" s="1" t="s">
        <v>63</v>
      </c>
      <c r="AH1337" s="1" t="s">
        <v>47</v>
      </c>
      <c r="AI1337">
        <v>1391</v>
      </c>
      <c r="AJ1337">
        <v>-139.09999999999991</v>
      </c>
    </row>
    <row r="1338" spans="1:36" x14ac:dyDescent="0.25">
      <c r="A1338">
        <v>11337</v>
      </c>
      <c r="B1338">
        <v>43</v>
      </c>
      <c r="C1338" s="1" t="s">
        <v>60</v>
      </c>
      <c r="D1338" s="1" t="s">
        <v>69</v>
      </c>
      <c r="E1338" s="2">
        <v>44912</v>
      </c>
      <c r="F1338" s="2">
        <v>45223</v>
      </c>
      <c r="G1338" s="1" t="s">
        <v>38</v>
      </c>
      <c r="H1338">
        <v>905</v>
      </c>
      <c r="I1338">
        <v>34</v>
      </c>
      <c r="J1338">
        <v>3</v>
      </c>
      <c r="K1338">
        <v>26.29</v>
      </c>
      <c r="L1338">
        <v>0</v>
      </c>
      <c r="M1338" s="1" t="s">
        <v>39</v>
      </c>
      <c r="N1338" s="1" t="s">
        <v>40</v>
      </c>
      <c r="O1338">
        <v>30770</v>
      </c>
      <c r="P1338" t="b">
        <v>1</v>
      </c>
      <c r="Q1338">
        <v>2.8333333333333335</v>
      </c>
      <c r="R1338">
        <v>905</v>
      </c>
      <c r="S1338">
        <v>6.5724999999999998</v>
      </c>
      <c r="T1338" s="2">
        <v>44896</v>
      </c>
      <c r="U1338" s="1" t="s">
        <v>51</v>
      </c>
      <c r="V1338">
        <v>1</v>
      </c>
      <c r="W1338" s="1" t="s">
        <v>40</v>
      </c>
      <c r="X1338">
        <v>311</v>
      </c>
      <c r="Y1338" s="1" t="s">
        <v>52</v>
      </c>
      <c r="Z1338" s="1" t="s">
        <v>42</v>
      </c>
      <c r="AA1338">
        <v>8.5714285714285715E-2</v>
      </c>
      <c r="AB1338" s="1" t="s">
        <v>43</v>
      </c>
      <c r="AC1338">
        <v>1</v>
      </c>
      <c r="AD1338" s="2">
        <v>44896</v>
      </c>
      <c r="AE1338" s="1" t="s">
        <v>44</v>
      </c>
      <c r="AF1338" s="1" t="s">
        <v>72</v>
      </c>
      <c r="AG1338" s="1" t="s">
        <v>70</v>
      </c>
      <c r="AH1338" s="1" t="s">
        <v>59</v>
      </c>
      <c r="AI1338">
        <v>30770</v>
      </c>
      <c r="AJ1338">
        <v>0</v>
      </c>
    </row>
    <row r="1339" spans="1:36" x14ac:dyDescent="0.25">
      <c r="A1339">
        <v>11338</v>
      </c>
      <c r="B1339">
        <v>46</v>
      </c>
      <c r="C1339" s="1" t="s">
        <v>60</v>
      </c>
      <c r="D1339" s="1" t="s">
        <v>71</v>
      </c>
      <c r="E1339" s="2">
        <v>44975</v>
      </c>
      <c r="F1339" s="2">
        <v>44813</v>
      </c>
      <c r="G1339" s="1" t="s">
        <v>38</v>
      </c>
      <c r="H1339">
        <v>318</v>
      </c>
      <c r="I1339">
        <v>9</v>
      </c>
      <c r="J1339">
        <v>2</v>
      </c>
      <c r="K1339">
        <v>58.65</v>
      </c>
      <c r="L1339">
        <v>5</v>
      </c>
      <c r="M1339" s="1" t="s">
        <v>50</v>
      </c>
      <c r="N1339" s="1" t="s">
        <v>56</v>
      </c>
      <c r="O1339">
        <v>2846.1</v>
      </c>
      <c r="P1339" t="b">
        <v>0</v>
      </c>
      <c r="Q1339">
        <v>0.75</v>
      </c>
      <c r="R1339">
        <v>316.23333333333335</v>
      </c>
      <c r="S1339">
        <v>19.55</v>
      </c>
      <c r="T1339" s="2">
        <v>44958</v>
      </c>
      <c r="U1339" s="1" t="s">
        <v>51</v>
      </c>
      <c r="V1339">
        <v>0</v>
      </c>
      <c r="W1339" s="1" t="s">
        <v>56</v>
      </c>
      <c r="Y1339" s="1" t="s">
        <v>52</v>
      </c>
      <c r="Z1339" s="1" t="s">
        <v>42</v>
      </c>
      <c r="AA1339">
        <v>0.2</v>
      </c>
      <c r="AB1339" s="1" t="s">
        <v>42</v>
      </c>
      <c r="AC1339">
        <v>1</v>
      </c>
      <c r="AD1339" s="2">
        <v>44958</v>
      </c>
      <c r="AE1339" s="1" t="s">
        <v>74</v>
      </c>
      <c r="AF1339" s="1" t="s">
        <v>72</v>
      </c>
      <c r="AG1339" s="1" t="s">
        <v>63</v>
      </c>
      <c r="AH1339" s="1" t="s">
        <v>68</v>
      </c>
      <c r="AI1339">
        <v>2862</v>
      </c>
      <c r="AJ1339">
        <v>-15.900000000000091</v>
      </c>
    </row>
    <row r="1340" spans="1:36" x14ac:dyDescent="0.25">
      <c r="A1340">
        <v>11339</v>
      </c>
      <c r="B1340">
        <v>62</v>
      </c>
      <c r="C1340" s="1" t="s">
        <v>75</v>
      </c>
      <c r="D1340" s="1" t="s">
        <v>69</v>
      </c>
      <c r="E1340" s="2">
        <v>44464</v>
      </c>
      <c r="F1340" s="2">
        <v>44590</v>
      </c>
      <c r="G1340" s="1" t="s">
        <v>38</v>
      </c>
      <c r="H1340">
        <v>939</v>
      </c>
      <c r="I1340">
        <v>12</v>
      </c>
      <c r="J1340">
        <v>2</v>
      </c>
      <c r="K1340">
        <v>101.18</v>
      </c>
      <c r="L1340">
        <v>20</v>
      </c>
      <c r="M1340" s="1" t="s">
        <v>67</v>
      </c>
      <c r="N1340" s="1" t="s">
        <v>56</v>
      </c>
      <c r="O1340">
        <v>11080.2</v>
      </c>
      <c r="P1340" t="b">
        <v>1</v>
      </c>
      <c r="Q1340">
        <v>1</v>
      </c>
      <c r="R1340">
        <v>923.35</v>
      </c>
      <c r="S1340">
        <v>33.726666666666667</v>
      </c>
      <c r="T1340" s="2">
        <v>44440</v>
      </c>
      <c r="U1340" s="1" t="s">
        <v>41</v>
      </c>
      <c r="V1340">
        <v>0</v>
      </c>
      <c r="W1340" s="1" t="s">
        <v>56</v>
      </c>
      <c r="X1340">
        <v>126</v>
      </c>
      <c r="Y1340" s="1" t="s">
        <v>43</v>
      </c>
      <c r="Z1340" s="1" t="s">
        <v>52</v>
      </c>
      <c r="AA1340">
        <v>0.15384615384615385</v>
      </c>
      <c r="AB1340" s="1" t="s">
        <v>52</v>
      </c>
      <c r="AC1340">
        <v>1</v>
      </c>
      <c r="AD1340" s="2">
        <v>44440</v>
      </c>
      <c r="AE1340" s="1" t="s">
        <v>74</v>
      </c>
      <c r="AF1340" s="1" t="s">
        <v>72</v>
      </c>
      <c r="AG1340" s="1" t="s">
        <v>63</v>
      </c>
      <c r="AH1340" s="1" t="s">
        <v>59</v>
      </c>
      <c r="AI1340">
        <v>11268</v>
      </c>
      <c r="AJ1340">
        <v>-187.79999999999927</v>
      </c>
    </row>
    <row r="1341" spans="1:36" x14ac:dyDescent="0.25">
      <c r="A1341">
        <v>11340</v>
      </c>
      <c r="B1341">
        <v>51</v>
      </c>
      <c r="C1341" s="1" t="s">
        <v>60</v>
      </c>
      <c r="D1341" s="1" t="s">
        <v>48</v>
      </c>
      <c r="E1341" s="2">
        <v>44366</v>
      </c>
      <c r="F1341" s="2">
        <v>44837</v>
      </c>
      <c r="G1341" s="1" t="s">
        <v>38</v>
      </c>
      <c r="H1341">
        <v>396</v>
      </c>
      <c r="I1341">
        <v>10</v>
      </c>
      <c r="J1341">
        <v>0</v>
      </c>
      <c r="K1341">
        <v>105.35</v>
      </c>
      <c r="L1341">
        <v>15</v>
      </c>
      <c r="M1341" s="1" t="s">
        <v>67</v>
      </c>
      <c r="N1341" s="1" t="s">
        <v>56</v>
      </c>
      <c r="O1341">
        <v>3900.6</v>
      </c>
      <c r="P1341" t="b">
        <v>1</v>
      </c>
      <c r="Q1341">
        <v>0.83333333333333337</v>
      </c>
      <c r="R1341">
        <v>390.06</v>
      </c>
      <c r="S1341">
        <v>105.35</v>
      </c>
      <c r="T1341" s="2">
        <v>44348</v>
      </c>
      <c r="U1341" s="1" t="s">
        <v>41</v>
      </c>
      <c r="V1341">
        <v>0</v>
      </c>
      <c r="W1341" s="1" t="s">
        <v>56</v>
      </c>
      <c r="X1341">
        <v>471</v>
      </c>
      <c r="Y1341" s="1" t="s">
        <v>43</v>
      </c>
      <c r="Z1341" s="1" t="s">
        <v>42</v>
      </c>
      <c r="AA1341">
        <v>0</v>
      </c>
      <c r="AB1341" s="1" t="s">
        <v>42</v>
      </c>
      <c r="AC1341">
        <v>1</v>
      </c>
      <c r="AD1341" s="2">
        <v>44348</v>
      </c>
      <c r="AE1341" s="1" t="s">
        <v>74</v>
      </c>
      <c r="AF1341" s="1" t="s">
        <v>54</v>
      </c>
      <c r="AG1341" s="1" t="s">
        <v>63</v>
      </c>
      <c r="AH1341" s="1" t="s">
        <v>68</v>
      </c>
      <c r="AI1341">
        <v>3960</v>
      </c>
      <c r="AJ1341">
        <v>-59.400000000000091</v>
      </c>
    </row>
    <row r="1342" spans="1:36" x14ac:dyDescent="0.25">
      <c r="A1342">
        <v>11341</v>
      </c>
      <c r="B1342">
        <v>40</v>
      </c>
      <c r="C1342" s="1" t="s">
        <v>36</v>
      </c>
      <c r="D1342" s="1" t="s">
        <v>48</v>
      </c>
      <c r="E1342" s="2">
        <v>44747</v>
      </c>
      <c r="F1342" s="2">
        <v>45108</v>
      </c>
      <c r="G1342" s="1" t="s">
        <v>38</v>
      </c>
      <c r="H1342">
        <v>1375</v>
      </c>
      <c r="I1342">
        <v>10</v>
      </c>
      <c r="J1342">
        <v>3</v>
      </c>
      <c r="K1342">
        <v>10.66</v>
      </c>
      <c r="L1342">
        <v>20</v>
      </c>
      <c r="M1342" s="1" t="s">
        <v>67</v>
      </c>
      <c r="N1342" s="1" t="s">
        <v>56</v>
      </c>
      <c r="O1342">
        <v>13475</v>
      </c>
      <c r="P1342" t="b">
        <v>1</v>
      </c>
      <c r="Q1342">
        <v>0.83333333333333337</v>
      </c>
      <c r="R1342">
        <v>1347.5</v>
      </c>
      <c r="S1342">
        <v>2.665</v>
      </c>
      <c r="T1342" s="2">
        <v>44743</v>
      </c>
      <c r="U1342" s="1" t="s">
        <v>51</v>
      </c>
      <c r="V1342">
        <v>0</v>
      </c>
      <c r="W1342" s="1" t="s">
        <v>40</v>
      </c>
      <c r="X1342">
        <v>361</v>
      </c>
      <c r="Y1342" s="1" t="s">
        <v>42</v>
      </c>
      <c r="Z1342" s="1" t="s">
        <v>52</v>
      </c>
      <c r="AA1342">
        <v>0.27272727272727271</v>
      </c>
      <c r="AB1342" s="1" t="s">
        <v>52</v>
      </c>
      <c r="AC1342">
        <v>1</v>
      </c>
      <c r="AD1342" s="2">
        <v>44743</v>
      </c>
      <c r="AE1342" s="1" t="s">
        <v>74</v>
      </c>
      <c r="AF1342" s="1" t="s">
        <v>72</v>
      </c>
      <c r="AG1342" s="1" t="s">
        <v>46</v>
      </c>
      <c r="AH1342" s="1" t="s">
        <v>47</v>
      </c>
      <c r="AI1342">
        <v>13750</v>
      </c>
      <c r="AJ1342">
        <v>-275</v>
      </c>
    </row>
    <row r="1343" spans="1:36" x14ac:dyDescent="0.25">
      <c r="A1343">
        <v>11342</v>
      </c>
      <c r="B1343">
        <v>54</v>
      </c>
      <c r="C1343" s="1" t="s">
        <v>75</v>
      </c>
      <c r="D1343" s="1" t="s">
        <v>71</v>
      </c>
      <c r="E1343" s="2">
        <v>44651</v>
      </c>
      <c r="F1343" s="2">
        <v>44568</v>
      </c>
      <c r="G1343" s="1" t="s">
        <v>38</v>
      </c>
      <c r="H1343">
        <v>474</v>
      </c>
      <c r="I1343">
        <v>23</v>
      </c>
      <c r="J1343">
        <v>2</v>
      </c>
      <c r="K1343">
        <v>23.5</v>
      </c>
      <c r="L1343">
        <v>20</v>
      </c>
      <c r="M1343" s="1" t="s">
        <v>67</v>
      </c>
      <c r="N1343" s="1" t="s">
        <v>56</v>
      </c>
      <c r="O1343">
        <v>10807.2</v>
      </c>
      <c r="P1343" t="b">
        <v>0</v>
      </c>
      <c r="Q1343">
        <v>1.9166666666666667</v>
      </c>
      <c r="R1343">
        <v>469.87826086956522</v>
      </c>
      <c r="S1343">
        <v>7.833333333333333</v>
      </c>
      <c r="T1343" s="2">
        <v>44621</v>
      </c>
      <c r="U1343" s="1" t="s">
        <v>41</v>
      </c>
      <c r="V1343">
        <v>0</v>
      </c>
      <c r="W1343" s="1" t="s">
        <v>56</v>
      </c>
      <c r="Y1343" s="1" t="s">
        <v>52</v>
      </c>
      <c r="Z1343" s="1" t="s">
        <v>52</v>
      </c>
      <c r="AA1343">
        <v>8.3333333333333329E-2</v>
      </c>
      <c r="AB1343" s="1" t="s">
        <v>52</v>
      </c>
      <c r="AC1343">
        <v>1</v>
      </c>
      <c r="AD1343" s="2">
        <v>44621</v>
      </c>
      <c r="AE1343" s="1" t="s">
        <v>53</v>
      </c>
      <c r="AF1343" s="1" t="s">
        <v>72</v>
      </c>
      <c r="AG1343" s="1" t="s">
        <v>70</v>
      </c>
      <c r="AH1343" s="1" t="s">
        <v>68</v>
      </c>
      <c r="AI1343">
        <v>10902</v>
      </c>
      <c r="AJ1343">
        <v>-94.799999999999272</v>
      </c>
    </row>
    <row r="1344" spans="1:36" x14ac:dyDescent="0.25">
      <c r="A1344">
        <v>11343</v>
      </c>
      <c r="B1344">
        <v>28</v>
      </c>
      <c r="C1344" s="1" t="s">
        <v>36</v>
      </c>
      <c r="D1344" s="1" t="s">
        <v>69</v>
      </c>
      <c r="E1344" s="2">
        <v>44847</v>
      </c>
      <c r="F1344" s="2">
        <v>44820</v>
      </c>
      <c r="G1344" s="1" t="s">
        <v>49</v>
      </c>
      <c r="H1344">
        <v>1438</v>
      </c>
      <c r="I1344">
        <v>6</v>
      </c>
      <c r="J1344">
        <v>3</v>
      </c>
      <c r="K1344">
        <v>36.659999999999997</v>
      </c>
      <c r="L1344">
        <v>15</v>
      </c>
      <c r="M1344" s="1" t="s">
        <v>65</v>
      </c>
      <c r="N1344" s="1" t="s">
        <v>56</v>
      </c>
      <c r="O1344">
        <v>8412.2999999999993</v>
      </c>
      <c r="P1344" t="b">
        <v>0</v>
      </c>
      <c r="Q1344">
        <v>0.5</v>
      </c>
      <c r="R1344">
        <v>1402.05</v>
      </c>
      <c r="S1344">
        <v>9.1649999999999991</v>
      </c>
      <c r="T1344" s="2">
        <v>44835</v>
      </c>
      <c r="U1344" s="1" t="s">
        <v>57</v>
      </c>
      <c r="V1344">
        <v>0</v>
      </c>
      <c r="W1344" s="1" t="s">
        <v>56</v>
      </c>
      <c r="Y1344" s="1" t="s">
        <v>52</v>
      </c>
      <c r="Z1344" s="1" t="s">
        <v>42</v>
      </c>
      <c r="AA1344">
        <v>0.42857142857142855</v>
      </c>
      <c r="AB1344" s="1" t="s">
        <v>42</v>
      </c>
      <c r="AC1344">
        <v>3</v>
      </c>
      <c r="AD1344" s="2">
        <v>44835</v>
      </c>
      <c r="AE1344" s="1" t="s">
        <v>58</v>
      </c>
      <c r="AF1344" s="1" t="s">
        <v>72</v>
      </c>
      <c r="AG1344" s="1" t="s">
        <v>55</v>
      </c>
      <c r="AH1344" s="1" t="s">
        <v>47</v>
      </c>
      <c r="AI1344">
        <v>8628</v>
      </c>
      <c r="AJ1344">
        <v>-215.70000000000073</v>
      </c>
    </row>
    <row r="1345" spans="1:36" x14ac:dyDescent="0.25">
      <c r="A1345">
        <v>11344</v>
      </c>
      <c r="B1345">
        <v>23</v>
      </c>
      <c r="C1345" s="1" t="s">
        <v>60</v>
      </c>
      <c r="D1345" s="1" t="s">
        <v>48</v>
      </c>
      <c r="E1345" s="2">
        <v>44488</v>
      </c>
      <c r="F1345" s="2">
        <v>44880</v>
      </c>
      <c r="G1345" s="1" t="s">
        <v>38</v>
      </c>
      <c r="H1345">
        <v>647</v>
      </c>
      <c r="I1345">
        <v>24</v>
      </c>
      <c r="J1345">
        <v>2</v>
      </c>
      <c r="K1345">
        <v>73.41</v>
      </c>
      <c r="L1345">
        <v>20</v>
      </c>
      <c r="M1345" s="1" t="s">
        <v>67</v>
      </c>
      <c r="N1345" s="1" t="s">
        <v>56</v>
      </c>
      <c r="O1345">
        <v>15398.6</v>
      </c>
      <c r="P1345" t="b">
        <v>1</v>
      </c>
      <c r="Q1345">
        <v>2</v>
      </c>
      <c r="R1345">
        <v>641.60833333333335</v>
      </c>
      <c r="S1345">
        <v>24.47</v>
      </c>
      <c r="T1345" s="2">
        <v>44470</v>
      </c>
      <c r="U1345" s="1" t="s">
        <v>66</v>
      </c>
      <c r="V1345">
        <v>0</v>
      </c>
      <c r="W1345" s="1" t="s">
        <v>40</v>
      </c>
      <c r="X1345">
        <v>392</v>
      </c>
      <c r="Y1345" s="1" t="s">
        <v>43</v>
      </c>
      <c r="Z1345" s="1" t="s">
        <v>52</v>
      </c>
      <c r="AA1345">
        <v>0.08</v>
      </c>
      <c r="AB1345" s="1" t="s">
        <v>52</v>
      </c>
      <c r="AC1345">
        <v>1</v>
      </c>
      <c r="AD1345" s="2">
        <v>44470</v>
      </c>
      <c r="AE1345" s="1" t="s">
        <v>53</v>
      </c>
      <c r="AF1345" s="1" t="s">
        <v>72</v>
      </c>
      <c r="AG1345" s="1" t="s">
        <v>63</v>
      </c>
      <c r="AH1345" s="1" t="s">
        <v>64</v>
      </c>
      <c r="AI1345">
        <v>15528</v>
      </c>
      <c r="AJ1345">
        <v>-129.39999999999964</v>
      </c>
    </row>
    <row r="1346" spans="1:36" x14ac:dyDescent="0.25">
      <c r="A1346">
        <v>11345</v>
      </c>
      <c r="B1346">
        <v>35</v>
      </c>
      <c r="C1346" s="1" t="s">
        <v>36</v>
      </c>
      <c r="D1346" s="1" t="s">
        <v>37</v>
      </c>
      <c r="E1346" s="2">
        <v>44760</v>
      </c>
      <c r="F1346" s="2">
        <v>44841</v>
      </c>
      <c r="G1346" s="1" t="s">
        <v>62</v>
      </c>
      <c r="H1346">
        <v>300</v>
      </c>
      <c r="I1346">
        <v>24</v>
      </c>
      <c r="J1346">
        <v>5</v>
      </c>
      <c r="K1346">
        <v>46.51</v>
      </c>
      <c r="L1346">
        <v>0</v>
      </c>
      <c r="M1346" s="1" t="s">
        <v>65</v>
      </c>
      <c r="N1346" s="1" t="s">
        <v>56</v>
      </c>
      <c r="O1346">
        <v>7200</v>
      </c>
      <c r="P1346" t="b">
        <v>1</v>
      </c>
      <c r="Q1346">
        <v>2</v>
      </c>
      <c r="R1346">
        <v>300</v>
      </c>
      <c r="S1346">
        <v>7.751666666666666</v>
      </c>
      <c r="T1346" s="2">
        <v>44743</v>
      </c>
      <c r="U1346" s="1" t="s">
        <v>57</v>
      </c>
      <c r="V1346">
        <v>0</v>
      </c>
      <c r="W1346" s="1" t="s">
        <v>56</v>
      </c>
      <c r="X1346">
        <v>81</v>
      </c>
      <c r="Y1346" s="1" t="s">
        <v>52</v>
      </c>
      <c r="Z1346" s="1" t="s">
        <v>42</v>
      </c>
      <c r="AA1346">
        <v>0.2</v>
      </c>
      <c r="AB1346" s="1" t="s">
        <v>42</v>
      </c>
      <c r="AC1346">
        <v>2</v>
      </c>
      <c r="AD1346" s="2">
        <v>44743</v>
      </c>
      <c r="AE1346" s="1" t="s">
        <v>53</v>
      </c>
      <c r="AF1346" s="1" t="s">
        <v>45</v>
      </c>
      <c r="AG1346" s="1" t="s">
        <v>63</v>
      </c>
      <c r="AH1346" s="1" t="s">
        <v>79</v>
      </c>
      <c r="AI1346">
        <v>7200</v>
      </c>
      <c r="AJ1346">
        <v>0</v>
      </c>
    </row>
    <row r="1347" spans="1:36" x14ac:dyDescent="0.25">
      <c r="A1347">
        <v>11346</v>
      </c>
      <c r="B1347">
        <v>38</v>
      </c>
      <c r="C1347" s="1" t="s">
        <v>60</v>
      </c>
      <c r="D1347" s="1" t="s">
        <v>61</v>
      </c>
      <c r="E1347" s="2">
        <v>44995</v>
      </c>
      <c r="F1347" s="2">
        <v>45246</v>
      </c>
      <c r="G1347" s="1" t="s">
        <v>38</v>
      </c>
      <c r="H1347">
        <v>362</v>
      </c>
      <c r="I1347">
        <v>21</v>
      </c>
      <c r="J1347">
        <v>3</v>
      </c>
      <c r="K1347">
        <v>102.06</v>
      </c>
      <c r="L1347">
        <v>20</v>
      </c>
      <c r="M1347" s="1" t="s">
        <v>65</v>
      </c>
      <c r="N1347" s="1" t="s">
        <v>56</v>
      </c>
      <c r="O1347">
        <v>7529.6</v>
      </c>
      <c r="P1347" t="b">
        <v>1</v>
      </c>
      <c r="Q1347">
        <v>1.75</v>
      </c>
      <c r="R1347">
        <v>358.55238095238099</v>
      </c>
      <c r="S1347">
        <v>25.515000000000001</v>
      </c>
      <c r="T1347" s="2">
        <v>44986</v>
      </c>
      <c r="U1347" s="1" t="s">
        <v>51</v>
      </c>
      <c r="V1347">
        <v>0</v>
      </c>
      <c r="W1347" s="1" t="s">
        <v>56</v>
      </c>
      <c r="X1347">
        <v>251</v>
      </c>
      <c r="Y1347" s="1" t="s">
        <v>43</v>
      </c>
      <c r="Z1347" s="1" t="s">
        <v>52</v>
      </c>
      <c r="AA1347">
        <v>0.13636363636363635</v>
      </c>
      <c r="AB1347" s="1" t="s">
        <v>42</v>
      </c>
      <c r="AC1347">
        <v>1</v>
      </c>
      <c r="AD1347" s="2">
        <v>44986</v>
      </c>
      <c r="AE1347" s="1" t="s">
        <v>53</v>
      </c>
      <c r="AF1347" s="1" t="s">
        <v>72</v>
      </c>
      <c r="AG1347" s="1" t="s">
        <v>63</v>
      </c>
      <c r="AH1347" s="1" t="s">
        <v>68</v>
      </c>
      <c r="AI1347">
        <v>7602</v>
      </c>
      <c r="AJ1347">
        <v>-72.399999999999636</v>
      </c>
    </row>
    <row r="1348" spans="1:36" x14ac:dyDescent="0.25">
      <c r="A1348">
        <v>11347</v>
      </c>
      <c r="B1348">
        <v>59</v>
      </c>
      <c r="C1348" s="1" t="s">
        <v>36</v>
      </c>
      <c r="D1348" s="1" t="s">
        <v>61</v>
      </c>
      <c r="E1348" s="2">
        <v>44997</v>
      </c>
      <c r="F1348" s="2">
        <v>44429</v>
      </c>
      <c r="G1348" s="1" t="s">
        <v>49</v>
      </c>
      <c r="H1348">
        <v>525</v>
      </c>
      <c r="I1348">
        <v>31</v>
      </c>
      <c r="J1348">
        <v>0</v>
      </c>
      <c r="K1348">
        <v>87.42</v>
      </c>
      <c r="L1348">
        <v>15</v>
      </c>
      <c r="M1348" s="1" t="s">
        <v>39</v>
      </c>
      <c r="N1348" s="1" t="s">
        <v>56</v>
      </c>
      <c r="O1348">
        <v>16196.25</v>
      </c>
      <c r="P1348" t="b">
        <v>0</v>
      </c>
      <c r="Q1348">
        <v>2.5833333333333335</v>
      </c>
      <c r="R1348">
        <v>522.45967741935488</v>
      </c>
      <c r="S1348">
        <v>87.42</v>
      </c>
      <c r="T1348" s="2">
        <v>44986</v>
      </c>
      <c r="U1348" s="1" t="s">
        <v>41</v>
      </c>
      <c r="V1348">
        <v>0</v>
      </c>
      <c r="W1348" s="1" t="s">
        <v>40</v>
      </c>
      <c r="Y1348" s="1" t="s">
        <v>43</v>
      </c>
      <c r="Z1348" s="1" t="s">
        <v>42</v>
      </c>
      <c r="AA1348">
        <v>0</v>
      </c>
      <c r="AB1348" s="1" t="s">
        <v>52</v>
      </c>
      <c r="AC1348">
        <v>3</v>
      </c>
      <c r="AD1348" s="2">
        <v>44986</v>
      </c>
      <c r="AE1348" s="1" t="s">
        <v>44</v>
      </c>
      <c r="AF1348" s="1" t="s">
        <v>54</v>
      </c>
      <c r="AG1348" s="1" t="s">
        <v>63</v>
      </c>
      <c r="AH1348" s="1" t="s">
        <v>64</v>
      </c>
      <c r="AI1348">
        <v>16275</v>
      </c>
      <c r="AJ1348">
        <v>-78.75</v>
      </c>
    </row>
    <row r="1349" spans="1:36" x14ac:dyDescent="0.25">
      <c r="A1349">
        <v>11348</v>
      </c>
      <c r="B1349">
        <v>53</v>
      </c>
      <c r="C1349" s="1" t="s">
        <v>60</v>
      </c>
      <c r="D1349" s="1" t="s">
        <v>48</v>
      </c>
      <c r="E1349" s="2">
        <v>44337</v>
      </c>
      <c r="F1349" s="2">
        <v>45203</v>
      </c>
      <c r="G1349" s="1" t="s">
        <v>49</v>
      </c>
      <c r="H1349">
        <v>722</v>
      </c>
      <c r="I1349">
        <v>30</v>
      </c>
      <c r="J1349">
        <v>3</v>
      </c>
      <c r="K1349">
        <v>16.55</v>
      </c>
      <c r="L1349">
        <v>5</v>
      </c>
      <c r="M1349" s="1" t="s">
        <v>67</v>
      </c>
      <c r="N1349" s="1" t="s">
        <v>40</v>
      </c>
      <c r="O1349">
        <v>21623.9</v>
      </c>
      <c r="P1349" t="b">
        <v>1</v>
      </c>
      <c r="Q1349">
        <v>2.5</v>
      </c>
      <c r="R1349">
        <v>720.79666666666674</v>
      </c>
      <c r="S1349">
        <v>4.1375000000000002</v>
      </c>
      <c r="T1349" s="2">
        <v>44317</v>
      </c>
      <c r="U1349" s="1" t="s">
        <v>41</v>
      </c>
      <c r="V1349">
        <v>1</v>
      </c>
      <c r="W1349" s="1" t="s">
        <v>40</v>
      </c>
      <c r="X1349">
        <v>866</v>
      </c>
      <c r="Y1349" s="1" t="s">
        <v>42</v>
      </c>
      <c r="Z1349" s="1" t="s">
        <v>42</v>
      </c>
      <c r="AA1349">
        <v>9.6774193548387094E-2</v>
      </c>
      <c r="AB1349" s="1" t="s">
        <v>43</v>
      </c>
      <c r="AC1349">
        <v>3</v>
      </c>
      <c r="AD1349" s="2">
        <v>44317</v>
      </c>
      <c r="AE1349" s="1" t="s">
        <v>44</v>
      </c>
      <c r="AF1349" s="1" t="s">
        <v>72</v>
      </c>
      <c r="AG1349" s="1" t="s">
        <v>46</v>
      </c>
      <c r="AH1349" s="1" t="s">
        <v>59</v>
      </c>
      <c r="AI1349">
        <v>21660</v>
      </c>
      <c r="AJ1349">
        <v>-36.099999999998545</v>
      </c>
    </row>
    <row r="1350" spans="1:36" x14ac:dyDescent="0.25">
      <c r="A1350">
        <v>11349</v>
      </c>
      <c r="B1350">
        <v>58</v>
      </c>
      <c r="C1350" s="1" t="s">
        <v>36</v>
      </c>
      <c r="D1350" s="1" t="s">
        <v>69</v>
      </c>
      <c r="E1350" s="2">
        <v>44342</v>
      </c>
      <c r="F1350" s="2">
        <v>45226</v>
      </c>
      <c r="G1350" s="1" t="s">
        <v>62</v>
      </c>
      <c r="H1350">
        <v>1342</v>
      </c>
      <c r="I1350">
        <v>34</v>
      </c>
      <c r="J1350">
        <v>2</v>
      </c>
      <c r="K1350">
        <v>76.819999999999993</v>
      </c>
      <c r="L1350">
        <v>5</v>
      </c>
      <c r="M1350" s="1" t="s">
        <v>65</v>
      </c>
      <c r="N1350" s="1" t="s">
        <v>56</v>
      </c>
      <c r="O1350">
        <v>45560.9</v>
      </c>
      <c r="P1350" t="b">
        <v>1</v>
      </c>
      <c r="Q1350">
        <v>2.8333333333333335</v>
      </c>
      <c r="R1350">
        <v>1340.0264705882353</v>
      </c>
      <c r="S1350">
        <v>25.606666666666666</v>
      </c>
      <c r="T1350" s="2">
        <v>44317</v>
      </c>
      <c r="U1350" s="1" t="s">
        <v>41</v>
      </c>
      <c r="V1350">
        <v>0</v>
      </c>
      <c r="W1350" s="1" t="s">
        <v>40</v>
      </c>
      <c r="X1350">
        <v>884</v>
      </c>
      <c r="Y1350" s="1" t="s">
        <v>43</v>
      </c>
      <c r="Z1350" s="1" t="s">
        <v>42</v>
      </c>
      <c r="AA1350">
        <v>5.7142857142857141E-2</v>
      </c>
      <c r="AB1350" s="1" t="s">
        <v>43</v>
      </c>
      <c r="AC1350">
        <v>2</v>
      </c>
      <c r="AD1350" s="2">
        <v>44317</v>
      </c>
      <c r="AE1350" s="1" t="s">
        <v>44</v>
      </c>
      <c r="AF1350" s="1" t="s">
        <v>72</v>
      </c>
      <c r="AG1350" s="1" t="s">
        <v>63</v>
      </c>
      <c r="AH1350" s="1" t="s">
        <v>47</v>
      </c>
      <c r="AI1350">
        <v>45628</v>
      </c>
      <c r="AJ1350">
        <v>-67.099999999998545</v>
      </c>
    </row>
    <row r="1351" spans="1:36" x14ac:dyDescent="0.25">
      <c r="A1351">
        <v>11350</v>
      </c>
      <c r="B1351">
        <v>55</v>
      </c>
      <c r="C1351" s="1" t="s">
        <v>36</v>
      </c>
      <c r="D1351" s="1" t="s">
        <v>73</v>
      </c>
      <c r="E1351" s="2">
        <v>44621</v>
      </c>
      <c r="F1351" s="2">
        <v>44869</v>
      </c>
      <c r="G1351" s="1" t="s">
        <v>62</v>
      </c>
      <c r="H1351">
        <v>330</v>
      </c>
      <c r="I1351">
        <v>18</v>
      </c>
      <c r="J1351">
        <v>4</v>
      </c>
      <c r="K1351">
        <v>18</v>
      </c>
      <c r="L1351">
        <v>5</v>
      </c>
      <c r="M1351" s="1" t="s">
        <v>67</v>
      </c>
      <c r="N1351" s="1" t="s">
        <v>56</v>
      </c>
      <c r="O1351">
        <v>5923.5</v>
      </c>
      <c r="P1351" t="b">
        <v>1</v>
      </c>
      <c r="Q1351">
        <v>1.5</v>
      </c>
      <c r="R1351">
        <v>329.08333333333331</v>
      </c>
      <c r="S1351">
        <v>3.6</v>
      </c>
      <c r="T1351" s="2">
        <v>44621</v>
      </c>
      <c r="U1351" s="1" t="s">
        <v>41</v>
      </c>
      <c r="V1351">
        <v>0</v>
      </c>
      <c r="W1351" s="1" t="s">
        <v>56</v>
      </c>
      <c r="X1351">
        <v>248</v>
      </c>
      <c r="Y1351" s="1" t="s">
        <v>42</v>
      </c>
      <c r="Z1351" s="1" t="s">
        <v>42</v>
      </c>
      <c r="AA1351">
        <v>0.21052631578947367</v>
      </c>
      <c r="AB1351" s="1" t="s">
        <v>42</v>
      </c>
      <c r="AC1351">
        <v>2</v>
      </c>
      <c r="AD1351" s="2">
        <v>44621</v>
      </c>
      <c r="AE1351" s="1" t="s">
        <v>53</v>
      </c>
      <c r="AF1351" s="1" t="s">
        <v>45</v>
      </c>
      <c r="AG1351" s="1" t="s">
        <v>46</v>
      </c>
      <c r="AH1351" s="1" t="s">
        <v>68</v>
      </c>
      <c r="AI1351">
        <v>5940</v>
      </c>
      <c r="AJ1351">
        <v>-16.5</v>
      </c>
    </row>
    <row r="1352" spans="1:36" x14ac:dyDescent="0.25">
      <c r="A1352">
        <v>11351</v>
      </c>
      <c r="B1352">
        <v>51</v>
      </c>
      <c r="C1352" s="1" t="s">
        <v>36</v>
      </c>
      <c r="D1352" s="1" t="s">
        <v>48</v>
      </c>
      <c r="E1352" s="2">
        <v>44510</v>
      </c>
      <c r="F1352" s="2">
        <v>44359</v>
      </c>
      <c r="G1352" s="1" t="s">
        <v>38</v>
      </c>
      <c r="H1352">
        <v>1144</v>
      </c>
      <c r="I1352">
        <v>12</v>
      </c>
      <c r="J1352">
        <v>2</v>
      </c>
      <c r="K1352">
        <v>62.59</v>
      </c>
      <c r="L1352">
        <v>15</v>
      </c>
      <c r="M1352" s="1" t="s">
        <v>50</v>
      </c>
      <c r="N1352" s="1" t="s">
        <v>56</v>
      </c>
      <c r="O1352">
        <v>13556.4</v>
      </c>
      <c r="P1352" t="b">
        <v>0</v>
      </c>
      <c r="Q1352">
        <v>1</v>
      </c>
      <c r="R1352">
        <v>1129.7</v>
      </c>
      <c r="S1352">
        <v>20.863333333333333</v>
      </c>
      <c r="T1352" s="2">
        <v>44501</v>
      </c>
      <c r="U1352" s="1" t="s">
        <v>41</v>
      </c>
      <c r="V1352">
        <v>0</v>
      </c>
      <c r="W1352" s="1" t="s">
        <v>40</v>
      </c>
      <c r="Y1352" s="1" t="s">
        <v>43</v>
      </c>
      <c r="Z1352" s="1" t="s">
        <v>42</v>
      </c>
      <c r="AA1352">
        <v>0.15384615384615385</v>
      </c>
      <c r="AB1352" s="1" t="s">
        <v>52</v>
      </c>
      <c r="AC1352">
        <v>1</v>
      </c>
      <c r="AD1352" s="2">
        <v>44501</v>
      </c>
      <c r="AE1352" s="1" t="s">
        <v>74</v>
      </c>
      <c r="AF1352" s="1" t="s">
        <v>72</v>
      </c>
      <c r="AG1352" s="1" t="s">
        <v>63</v>
      </c>
      <c r="AH1352" s="1" t="s">
        <v>47</v>
      </c>
      <c r="AI1352">
        <v>13728</v>
      </c>
      <c r="AJ1352">
        <v>-171.60000000000036</v>
      </c>
    </row>
    <row r="1353" spans="1:36" x14ac:dyDescent="0.25">
      <c r="A1353">
        <v>11352</v>
      </c>
      <c r="B1353">
        <v>34</v>
      </c>
      <c r="C1353" s="1" t="s">
        <v>36</v>
      </c>
      <c r="D1353" s="1" t="s">
        <v>73</v>
      </c>
      <c r="E1353" s="2">
        <v>44380</v>
      </c>
      <c r="F1353" s="2">
        <v>44610</v>
      </c>
      <c r="G1353" s="1" t="s">
        <v>49</v>
      </c>
      <c r="H1353">
        <v>932</v>
      </c>
      <c r="I1353">
        <v>35</v>
      </c>
      <c r="J1353">
        <v>4</v>
      </c>
      <c r="K1353">
        <v>25.46</v>
      </c>
      <c r="L1353">
        <v>15</v>
      </c>
      <c r="M1353" s="1" t="s">
        <v>65</v>
      </c>
      <c r="N1353" s="1" t="s">
        <v>56</v>
      </c>
      <c r="O1353">
        <v>32480.2</v>
      </c>
      <c r="P1353" t="b">
        <v>1</v>
      </c>
      <c r="Q1353">
        <v>2.9166666666666665</v>
      </c>
      <c r="R1353">
        <v>928.00571428571436</v>
      </c>
      <c r="S1353">
        <v>5.0920000000000005</v>
      </c>
      <c r="T1353" s="2">
        <v>44378</v>
      </c>
      <c r="U1353" s="1" t="s">
        <v>57</v>
      </c>
      <c r="V1353">
        <v>0</v>
      </c>
      <c r="W1353" s="1" t="s">
        <v>40</v>
      </c>
      <c r="X1353">
        <v>230</v>
      </c>
      <c r="Y1353" s="1" t="s">
        <v>52</v>
      </c>
      <c r="Z1353" s="1" t="s">
        <v>42</v>
      </c>
      <c r="AA1353">
        <v>0.1111111111111111</v>
      </c>
      <c r="AB1353" s="1" t="s">
        <v>43</v>
      </c>
      <c r="AC1353">
        <v>3</v>
      </c>
      <c r="AD1353" s="2">
        <v>44378</v>
      </c>
      <c r="AE1353" s="1" t="s">
        <v>44</v>
      </c>
      <c r="AF1353" s="1" t="s">
        <v>45</v>
      </c>
      <c r="AG1353" s="1" t="s">
        <v>70</v>
      </c>
      <c r="AH1353" s="1" t="s">
        <v>59</v>
      </c>
      <c r="AI1353">
        <v>32620</v>
      </c>
      <c r="AJ1353">
        <v>-139.79999999999927</v>
      </c>
    </row>
    <row r="1354" spans="1:36" x14ac:dyDescent="0.25">
      <c r="A1354">
        <v>11353</v>
      </c>
      <c r="B1354">
        <v>54</v>
      </c>
      <c r="C1354" s="1" t="s">
        <v>36</v>
      </c>
      <c r="D1354" s="1" t="s">
        <v>73</v>
      </c>
      <c r="E1354" s="2">
        <v>44860</v>
      </c>
      <c r="F1354" s="2">
        <v>45004</v>
      </c>
      <c r="G1354" s="1" t="s">
        <v>49</v>
      </c>
      <c r="H1354">
        <v>323</v>
      </c>
      <c r="I1354">
        <v>7</v>
      </c>
      <c r="J1354">
        <v>4</v>
      </c>
      <c r="K1354">
        <v>24.9</v>
      </c>
      <c r="L1354">
        <v>0</v>
      </c>
      <c r="M1354" s="1" t="s">
        <v>39</v>
      </c>
      <c r="N1354" s="1" t="s">
        <v>56</v>
      </c>
      <c r="O1354">
        <v>2261</v>
      </c>
      <c r="P1354" t="b">
        <v>1</v>
      </c>
      <c r="Q1354">
        <v>0.58333333333333337</v>
      </c>
      <c r="R1354">
        <v>323</v>
      </c>
      <c r="S1354">
        <v>4.9799999999999995</v>
      </c>
      <c r="T1354" s="2">
        <v>44835</v>
      </c>
      <c r="U1354" s="1" t="s">
        <v>41</v>
      </c>
      <c r="V1354">
        <v>0</v>
      </c>
      <c r="W1354" s="1" t="s">
        <v>56</v>
      </c>
      <c r="X1354">
        <v>144</v>
      </c>
      <c r="Y1354" s="1" t="s">
        <v>52</v>
      </c>
      <c r="Z1354" s="1" t="s">
        <v>42</v>
      </c>
      <c r="AA1354">
        <v>0.5</v>
      </c>
      <c r="AB1354" s="1" t="s">
        <v>42</v>
      </c>
      <c r="AC1354">
        <v>3</v>
      </c>
      <c r="AD1354" s="2">
        <v>44835</v>
      </c>
      <c r="AE1354" s="1" t="s">
        <v>74</v>
      </c>
      <c r="AF1354" s="1" t="s">
        <v>45</v>
      </c>
      <c r="AG1354" s="1" t="s">
        <v>70</v>
      </c>
      <c r="AH1354" s="1" t="s">
        <v>68</v>
      </c>
      <c r="AI1354">
        <v>2261</v>
      </c>
      <c r="AJ1354">
        <v>0</v>
      </c>
    </row>
    <row r="1355" spans="1:36" x14ac:dyDescent="0.25">
      <c r="A1355">
        <v>11354</v>
      </c>
      <c r="B1355">
        <v>41</v>
      </c>
      <c r="C1355" s="1" t="s">
        <v>36</v>
      </c>
      <c r="D1355" s="1" t="s">
        <v>69</v>
      </c>
      <c r="E1355" s="2">
        <v>44909</v>
      </c>
      <c r="F1355" s="2">
        <v>44796</v>
      </c>
      <c r="G1355" s="1" t="s">
        <v>49</v>
      </c>
      <c r="H1355">
        <v>1136</v>
      </c>
      <c r="I1355">
        <v>25</v>
      </c>
      <c r="J1355">
        <v>2</v>
      </c>
      <c r="K1355">
        <v>75.89</v>
      </c>
      <c r="L1355">
        <v>15</v>
      </c>
      <c r="M1355" s="1" t="s">
        <v>67</v>
      </c>
      <c r="N1355" s="1" t="s">
        <v>56</v>
      </c>
      <c r="O1355">
        <v>28229.599999999999</v>
      </c>
      <c r="P1355" t="b">
        <v>0</v>
      </c>
      <c r="Q1355">
        <v>2.0833333333333335</v>
      </c>
      <c r="R1355">
        <v>1129.184</v>
      </c>
      <c r="S1355">
        <v>25.296666666666667</v>
      </c>
      <c r="T1355" s="2">
        <v>44896</v>
      </c>
      <c r="U1355" s="1" t="s">
        <v>51</v>
      </c>
      <c r="V1355">
        <v>0</v>
      </c>
      <c r="W1355" s="1" t="s">
        <v>40</v>
      </c>
      <c r="Y1355" s="1" t="s">
        <v>43</v>
      </c>
      <c r="Z1355" s="1" t="s">
        <v>42</v>
      </c>
      <c r="AA1355">
        <v>7.6923076923076927E-2</v>
      </c>
      <c r="AB1355" s="1" t="s">
        <v>43</v>
      </c>
      <c r="AC1355">
        <v>3</v>
      </c>
      <c r="AD1355" s="2">
        <v>44896</v>
      </c>
      <c r="AE1355" s="1" t="s">
        <v>44</v>
      </c>
      <c r="AF1355" s="1" t="s">
        <v>72</v>
      </c>
      <c r="AG1355" s="1" t="s">
        <v>63</v>
      </c>
      <c r="AH1355" s="1" t="s">
        <v>47</v>
      </c>
      <c r="AI1355">
        <v>28400</v>
      </c>
      <c r="AJ1355">
        <v>-170.40000000000146</v>
      </c>
    </row>
    <row r="1356" spans="1:36" x14ac:dyDescent="0.25">
      <c r="A1356">
        <v>11355</v>
      </c>
      <c r="B1356">
        <v>55</v>
      </c>
      <c r="C1356" s="1" t="s">
        <v>60</v>
      </c>
      <c r="D1356" s="1" t="s">
        <v>73</v>
      </c>
      <c r="E1356" s="2">
        <v>44324</v>
      </c>
      <c r="F1356" s="2">
        <v>44539</v>
      </c>
      <c r="G1356" s="1" t="s">
        <v>62</v>
      </c>
      <c r="H1356">
        <v>1282</v>
      </c>
      <c r="I1356">
        <v>6</v>
      </c>
      <c r="J1356">
        <v>2</v>
      </c>
      <c r="K1356">
        <v>69.81</v>
      </c>
      <c r="L1356">
        <v>5</v>
      </c>
      <c r="M1356" s="1" t="s">
        <v>39</v>
      </c>
      <c r="N1356" s="1" t="s">
        <v>40</v>
      </c>
      <c r="O1356">
        <v>7627.9</v>
      </c>
      <c r="P1356" t="b">
        <v>1</v>
      </c>
      <c r="Q1356">
        <v>0.5</v>
      </c>
      <c r="R1356">
        <v>1271.3166666666666</v>
      </c>
      <c r="S1356">
        <v>23.27</v>
      </c>
      <c r="T1356" s="2">
        <v>44317</v>
      </c>
      <c r="U1356" s="1" t="s">
        <v>41</v>
      </c>
      <c r="V1356">
        <v>1</v>
      </c>
      <c r="W1356" s="1" t="s">
        <v>56</v>
      </c>
      <c r="X1356">
        <v>215</v>
      </c>
      <c r="Y1356" s="1" t="s">
        <v>43</v>
      </c>
      <c r="Z1356" s="1" t="s">
        <v>42</v>
      </c>
      <c r="AA1356">
        <v>0.2857142857142857</v>
      </c>
      <c r="AB1356" s="1" t="s">
        <v>42</v>
      </c>
      <c r="AC1356">
        <v>2</v>
      </c>
      <c r="AD1356" s="2">
        <v>44317</v>
      </c>
      <c r="AE1356" s="1" t="s">
        <v>58</v>
      </c>
      <c r="AF1356" s="1" t="s">
        <v>72</v>
      </c>
      <c r="AG1356" s="1" t="s">
        <v>63</v>
      </c>
      <c r="AH1356" s="1" t="s">
        <v>47</v>
      </c>
      <c r="AI1356">
        <v>7692</v>
      </c>
      <c r="AJ1356">
        <v>-64.100000000000364</v>
      </c>
    </row>
    <row r="1357" spans="1:36" x14ac:dyDescent="0.25">
      <c r="A1357">
        <v>11356</v>
      </c>
      <c r="B1357">
        <v>29</v>
      </c>
      <c r="C1357" s="1" t="s">
        <v>36</v>
      </c>
      <c r="D1357" s="1" t="s">
        <v>37</v>
      </c>
      <c r="E1357" s="2">
        <v>44483</v>
      </c>
      <c r="F1357" s="2">
        <v>45109</v>
      </c>
      <c r="G1357" s="1" t="s">
        <v>38</v>
      </c>
      <c r="H1357">
        <v>460</v>
      </c>
      <c r="I1357">
        <v>1</v>
      </c>
      <c r="J1357">
        <v>3</v>
      </c>
      <c r="K1357">
        <v>25.24</v>
      </c>
      <c r="L1357">
        <v>15</v>
      </c>
      <c r="M1357" s="1" t="s">
        <v>65</v>
      </c>
      <c r="N1357" s="1" t="s">
        <v>56</v>
      </c>
      <c r="O1357">
        <v>391</v>
      </c>
      <c r="P1357" t="b">
        <v>1</v>
      </c>
      <c r="Q1357">
        <v>8.3333333333333329E-2</v>
      </c>
      <c r="R1357">
        <v>391</v>
      </c>
      <c r="S1357">
        <v>6.31</v>
      </c>
      <c r="T1357" s="2">
        <v>44470</v>
      </c>
      <c r="U1357" s="1" t="s">
        <v>57</v>
      </c>
      <c r="V1357">
        <v>0</v>
      </c>
      <c r="W1357" s="1" t="s">
        <v>56</v>
      </c>
      <c r="X1357">
        <v>626</v>
      </c>
      <c r="Y1357" s="1" t="s">
        <v>52</v>
      </c>
      <c r="Z1357" s="1" t="s">
        <v>42</v>
      </c>
      <c r="AA1357">
        <v>1.5</v>
      </c>
      <c r="AB1357" s="1" t="s">
        <v>42</v>
      </c>
      <c r="AC1357">
        <v>1</v>
      </c>
      <c r="AD1357" s="2">
        <v>44470</v>
      </c>
      <c r="AE1357" s="1" t="s">
        <v>58</v>
      </c>
      <c r="AF1357" s="1" t="s">
        <v>72</v>
      </c>
      <c r="AG1357" s="1" t="s">
        <v>70</v>
      </c>
      <c r="AH1357" s="1" t="s">
        <v>68</v>
      </c>
      <c r="AI1357">
        <v>460</v>
      </c>
      <c r="AJ1357">
        <v>-69</v>
      </c>
    </row>
    <row r="1358" spans="1:36" x14ac:dyDescent="0.25">
      <c r="A1358">
        <v>11357</v>
      </c>
      <c r="B1358">
        <v>40</v>
      </c>
      <c r="C1358" s="1" t="s">
        <v>60</v>
      </c>
      <c r="D1358" s="1" t="s">
        <v>76</v>
      </c>
      <c r="E1358" s="2">
        <v>45019</v>
      </c>
      <c r="F1358" s="2">
        <v>44461</v>
      </c>
      <c r="G1358" s="1" t="s">
        <v>49</v>
      </c>
      <c r="H1358">
        <v>413</v>
      </c>
      <c r="I1358">
        <v>16</v>
      </c>
      <c r="J1358">
        <v>2</v>
      </c>
      <c r="K1358">
        <v>118.87</v>
      </c>
      <c r="L1358">
        <v>10</v>
      </c>
      <c r="M1358" s="1" t="s">
        <v>65</v>
      </c>
      <c r="N1358" s="1" t="s">
        <v>40</v>
      </c>
      <c r="O1358">
        <v>6566.7</v>
      </c>
      <c r="P1358" t="b">
        <v>0</v>
      </c>
      <c r="Q1358">
        <v>1.3333333333333333</v>
      </c>
      <c r="R1358">
        <v>410.41874999999999</v>
      </c>
      <c r="S1358">
        <v>39.623333333333335</v>
      </c>
      <c r="T1358" s="2">
        <v>45017</v>
      </c>
      <c r="U1358" s="1" t="s">
        <v>51</v>
      </c>
      <c r="V1358">
        <v>1</v>
      </c>
      <c r="W1358" s="1" t="s">
        <v>56</v>
      </c>
      <c r="Y1358" s="1" t="s">
        <v>43</v>
      </c>
      <c r="Z1358" s="1" t="s">
        <v>42</v>
      </c>
      <c r="AA1358">
        <v>0.11764705882352941</v>
      </c>
      <c r="AB1358" s="1" t="s">
        <v>42</v>
      </c>
      <c r="AC1358">
        <v>3</v>
      </c>
      <c r="AD1358" s="2">
        <v>45017</v>
      </c>
      <c r="AE1358" s="1" t="s">
        <v>53</v>
      </c>
      <c r="AF1358" s="1" t="s">
        <v>72</v>
      </c>
      <c r="AG1358" s="1" t="s">
        <v>63</v>
      </c>
      <c r="AH1358" s="1" t="s">
        <v>68</v>
      </c>
      <c r="AI1358">
        <v>6608</v>
      </c>
      <c r="AJ1358">
        <v>-41.300000000000182</v>
      </c>
    </row>
    <row r="1359" spans="1:36" x14ac:dyDescent="0.25">
      <c r="A1359">
        <v>11358</v>
      </c>
      <c r="B1359">
        <v>59</v>
      </c>
      <c r="C1359" s="1" t="s">
        <v>36</v>
      </c>
      <c r="D1359" s="1" t="s">
        <v>48</v>
      </c>
      <c r="E1359" s="2">
        <v>44449</v>
      </c>
      <c r="F1359" s="2">
        <v>44373</v>
      </c>
      <c r="G1359" s="1" t="s">
        <v>38</v>
      </c>
      <c r="H1359">
        <v>803</v>
      </c>
      <c r="I1359">
        <v>4</v>
      </c>
      <c r="J1359">
        <v>2</v>
      </c>
      <c r="K1359">
        <v>62.59</v>
      </c>
      <c r="L1359">
        <v>20</v>
      </c>
      <c r="M1359" s="1" t="s">
        <v>39</v>
      </c>
      <c r="N1359" s="1" t="s">
        <v>56</v>
      </c>
      <c r="O1359">
        <v>3051.4</v>
      </c>
      <c r="P1359" t="b">
        <v>0</v>
      </c>
      <c r="Q1359">
        <v>0.33333333333333331</v>
      </c>
      <c r="R1359">
        <v>762.85</v>
      </c>
      <c r="S1359">
        <v>20.863333333333333</v>
      </c>
      <c r="T1359" s="2">
        <v>44440</v>
      </c>
      <c r="U1359" s="1" t="s">
        <v>41</v>
      </c>
      <c r="V1359">
        <v>0</v>
      </c>
      <c r="W1359" s="1" t="s">
        <v>56</v>
      </c>
      <c r="Y1359" s="1" t="s">
        <v>43</v>
      </c>
      <c r="Z1359" s="1" t="s">
        <v>52</v>
      </c>
      <c r="AA1359">
        <v>0.4</v>
      </c>
      <c r="AB1359" s="1" t="s">
        <v>42</v>
      </c>
      <c r="AC1359">
        <v>1</v>
      </c>
      <c r="AD1359" s="2">
        <v>44440</v>
      </c>
      <c r="AE1359" s="1" t="s">
        <v>58</v>
      </c>
      <c r="AF1359" s="1" t="s">
        <v>72</v>
      </c>
      <c r="AG1359" s="1" t="s">
        <v>63</v>
      </c>
      <c r="AH1359" s="1" t="s">
        <v>59</v>
      </c>
      <c r="AI1359">
        <v>3212</v>
      </c>
      <c r="AJ1359">
        <v>-160.59999999999991</v>
      </c>
    </row>
    <row r="1360" spans="1:36" x14ac:dyDescent="0.25">
      <c r="A1360">
        <v>11359</v>
      </c>
      <c r="B1360">
        <v>39</v>
      </c>
      <c r="C1360" s="1" t="s">
        <v>60</v>
      </c>
      <c r="D1360" s="1" t="s">
        <v>37</v>
      </c>
      <c r="E1360" s="2">
        <v>44974</v>
      </c>
      <c r="F1360" s="2">
        <v>45130</v>
      </c>
      <c r="G1360" s="1" t="s">
        <v>62</v>
      </c>
      <c r="H1360">
        <v>1254</v>
      </c>
      <c r="I1360">
        <v>29</v>
      </c>
      <c r="J1360">
        <v>3</v>
      </c>
      <c r="K1360">
        <v>16.16</v>
      </c>
      <c r="L1360">
        <v>0</v>
      </c>
      <c r="M1360" s="1" t="s">
        <v>67</v>
      </c>
      <c r="N1360" s="1" t="s">
        <v>56</v>
      </c>
      <c r="O1360">
        <v>36366</v>
      </c>
      <c r="P1360" t="b">
        <v>1</v>
      </c>
      <c r="Q1360">
        <v>2.4166666666666665</v>
      </c>
      <c r="R1360">
        <v>1254</v>
      </c>
      <c r="S1360">
        <v>4.04</v>
      </c>
      <c r="T1360" s="2">
        <v>44958</v>
      </c>
      <c r="U1360" s="1" t="s">
        <v>51</v>
      </c>
      <c r="V1360">
        <v>0</v>
      </c>
      <c r="W1360" s="1" t="s">
        <v>40</v>
      </c>
      <c r="X1360">
        <v>156</v>
      </c>
      <c r="Y1360" s="1" t="s">
        <v>42</v>
      </c>
      <c r="Z1360" s="1" t="s">
        <v>42</v>
      </c>
      <c r="AA1360">
        <v>0.1</v>
      </c>
      <c r="AB1360" s="1" t="s">
        <v>43</v>
      </c>
      <c r="AC1360">
        <v>2</v>
      </c>
      <c r="AD1360" s="2">
        <v>44958</v>
      </c>
      <c r="AE1360" s="1" t="s">
        <v>44</v>
      </c>
      <c r="AF1360" s="1" t="s">
        <v>72</v>
      </c>
      <c r="AG1360" s="1" t="s">
        <v>46</v>
      </c>
      <c r="AH1360" s="1" t="s">
        <v>47</v>
      </c>
      <c r="AI1360">
        <v>36366</v>
      </c>
      <c r="AJ1360">
        <v>0</v>
      </c>
    </row>
    <row r="1361" spans="1:36" x14ac:dyDescent="0.25">
      <c r="A1361">
        <v>11360</v>
      </c>
      <c r="B1361">
        <v>38</v>
      </c>
      <c r="C1361" s="1" t="s">
        <v>60</v>
      </c>
      <c r="D1361" s="1" t="s">
        <v>71</v>
      </c>
      <c r="E1361" s="2">
        <v>44896</v>
      </c>
      <c r="F1361" s="2">
        <v>44846</v>
      </c>
      <c r="G1361" s="1" t="s">
        <v>38</v>
      </c>
      <c r="H1361">
        <v>656</v>
      </c>
      <c r="I1361">
        <v>28</v>
      </c>
      <c r="J1361">
        <v>3</v>
      </c>
      <c r="K1361">
        <v>18.87</v>
      </c>
      <c r="L1361">
        <v>5</v>
      </c>
      <c r="M1361" s="1" t="s">
        <v>65</v>
      </c>
      <c r="N1361" s="1" t="s">
        <v>40</v>
      </c>
      <c r="O1361">
        <v>18335.2</v>
      </c>
      <c r="P1361" t="b">
        <v>0</v>
      </c>
      <c r="Q1361">
        <v>2.3333333333333335</v>
      </c>
      <c r="R1361">
        <v>654.82857142857142</v>
      </c>
      <c r="S1361">
        <v>4.7175000000000002</v>
      </c>
      <c r="T1361" s="2">
        <v>44896</v>
      </c>
      <c r="U1361" s="1" t="s">
        <v>51</v>
      </c>
      <c r="V1361">
        <v>1</v>
      </c>
      <c r="W1361" s="1" t="s">
        <v>40</v>
      </c>
      <c r="Y1361" s="1" t="s">
        <v>42</v>
      </c>
      <c r="Z1361" s="1" t="s">
        <v>42</v>
      </c>
      <c r="AA1361">
        <v>0.10344827586206896</v>
      </c>
      <c r="AB1361" s="1" t="s">
        <v>52</v>
      </c>
      <c r="AC1361">
        <v>1</v>
      </c>
      <c r="AD1361" s="2">
        <v>44896</v>
      </c>
      <c r="AE1361" s="1" t="s">
        <v>44</v>
      </c>
      <c r="AF1361" s="1" t="s">
        <v>72</v>
      </c>
      <c r="AG1361" s="1" t="s">
        <v>46</v>
      </c>
      <c r="AH1361" s="1" t="s">
        <v>64</v>
      </c>
      <c r="AI1361">
        <v>18368</v>
      </c>
      <c r="AJ1361">
        <v>-32.799999999999272</v>
      </c>
    </row>
    <row r="1362" spans="1:36" x14ac:dyDescent="0.25">
      <c r="A1362">
        <v>11361</v>
      </c>
      <c r="B1362">
        <v>44</v>
      </c>
      <c r="C1362" s="1" t="s">
        <v>36</v>
      </c>
      <c r="D1362" s="1" t="s">
        <v>61</v>
      </c>
      <c r="E1362" s="2">
        <v>44582</v>
      </c>
      <c r="F1362" s="2">
        <v>44855</v>
      </c>
      <c r="G1362" s="1" t="s">
        <v>49</v>
      </c>
      <c r="H1362">
        <v>468</v>
      </c>
      <c r="I1362">
        <v>22</v>
      </c>
      <c r="J1362">
        <v>2</v>
      </c>
      <c r="K1362">
        <v>72.150000000000006</v>
      </c>
      <c r="L1362">
        <v>5</v>
      </c>
      <c r="M1362" s="1" t="s">
        <v>50</v>
      </c>
      <c r="N1362" s="1" t="s">
        <v>40</v>
      </c>
      <c r="O1362">
        <v>10272.6</v>
      </c>
      <c r="P1362" t="b">
        <v>1</v>
      </c>
      <c r="Q1362">
        <v>1.8333333333333333</v>
      </c>
      <c r="R1362">
        <v>466.93636363636364</v>
      </c>
      <c r="S1362">
        <v>24.05</v>
      </c>
      <c r="T1362" s="2">
        <v>44562</v>
      </c>
      <c r="U1362" s="1" t="s">
        <v>51</v>
      </c>
      <c r="V1362">
        <v>1</v>
      </c>
      <c r="W1362" s="1" t="s">
        <v>56</v>
      </c>
      <c r="X1362">
        <v>273</v>
      </c>
      <c r="Y1362" s="1" t="s">
        <v>43</v>
      </c>
      <c r="Z1362" s="1" t="s">
        <v>42</v>
      </c>
      <c r="AA1362">
        <v>8.6956521739130432E-2</v>
      </c>
      <c r="AB1362" s="1" t="s">
        <v>52</v>
      </c>
      <c r="AC1362">
        <v>3</v>
      </c>
      <c r="AD1362" s="2">
        <v>44562</v>
      </c>
      <c r="AE1362" s="1" t="s">
        <v>53</v>
      </c>
      <c r="AF1362" s="1" t="s">
        <v>72</v>
      </c>
      <c r="AG1362" s="1" t="s">
        <v>63</v>
      </c>
      <c r="AH1362" s="1" t="s">
        <v>68</v>
      </c>
      <c r="AI1362">
        <v>10296</v>
      </c>
      <c r="AJ1362">
        <v>-23.399999999999636</v>
      </c>
    </row>
    <row r="1363" spans="1:36" x14ac:dyDescent="0.25">
      <c r="A1363">
        <v>11362</v>
      </c>
      <c r="B1363">
        <v>48</v>
      </c>
      <c r="C1363" s="1" t="s">
        <v>60</v>
      </c>
      <c r="D1363" s="1" t="s">
        <v>48</v>
      </c>
      <c r="E1363" s="2">
        <v>44426</v>
      </c>
      <c r="F1363" s="2">
        <v>44892</v>
      </c>
      <c r="G1363" s="1" t="s">
        <v>38</v>
      </c>
      <c r="H1363">
        <v>1268</v>
      </c>
      <c r="I1363">
        <v>8</v>
      </c>
      <c r="J1363">
        <v>2</v>
      </c>
      <c r="K1363">
        <v>117.59</v>
      </c>
      <c r="L1363">
        <v>10</v>
      </c>
      <c r="M1363" s="1" t="s">
        <v>39</v>
      </c>
      <c r="N1363" s="1" t="s">
        <v>56</v>
      </c>
      <c r="O1363">
        <v>10017.200000000001</v>
      </c>
      <c r="P1363" t="b">
        <v>1</v>
      </c>
      <c r="Q1363">
        <v>0.66666666666666663</v>
      </c>
      <c r="R1363">
        <v>1252.1500000000001</v>
      </c>
      <c r="S1363">
        <v>39.196666666666665</v>
      </c>
      <c r="T1363" s="2">
        <v>44409</v>
      </c>
      <c r="U1363" s="1" t="s">
        <v>51</v>
      </c>
      <c r="V1363">
        <v>0</v>
      </c>
      <c r="W1363" s="1" t="s">
        <v>56</v>
      </c>
      <c r="X1363">
        <v>466</v>
      </c>
      <c r="Y1363" s="1" t="s">
        <v>43</v>
      </c>
      <c r="Z1363" s="1" t="s">
        <v>42</v>
      </c>
      <c r="AA1363">
        <v>0.22222222222222221</v>
      </c>
      <c r="AB1363" s="1" t="s">
        <v>52</v>
      </c>
      <c r="AC1363">
        <v>1</v>
      </c>
      <c r="AD1363" s="2">
        <v>44409</v>
      </c>
      <c r="AE1363" s="1" t="s">
        <v>74</v>
      </c>
      <c r="AF1363" s="1" t="s">
        <v>72</v>
      </c>
      <c r="AG1363" s="1" t="s">
        <v>63</v>
      </c>
      <c r="AH1363" s="1" t="s">
        <v>47</v>
      </c>
      <c r="AI1363">
        <v>10144</v>
      </c>
      <c r="AJ1363">
        <v>-126.79999999999927</v>
      </c>
    </row>
    <row r="1364" spans="1:36" x14ac:dyDescent="0.25">
      <c r="A1364">
        <v>11363</v>
      </c>
      <c r="B1364">
        <v>23</v>
      </c>
      <c r="C1364" s="1" t="s">
        <v>60</v>
      </c>
      <c r="D1364" s="1" t="s">
        <v>48</v>
      </c>
      <c r="E1364" s="2">
        <v>44467</v>
      </c>
      <c r="F1364" s="2">
        <v>44409</v>
      </c>
      <c r="G1364" s="1" t="s">
        <v>38</v>
      </c>
      <c r="H1364">
        <v>541</v>
      </c>
      <c r="I1364">
        <v>32</v>
      </c>
      <c r="J1364">
        <v>2</v>
      </c>
      <c r="K1364">
        <v>70.77</v>
      </c>
      <c r="L1364">
        <v>0</v>
      </c>
      <c r="M1364" s="1" t="s">
        <v>65</v>
      </c>
      <c r="N1364" s="1" t="s">
        <v>56</v>
      </c>
      <c r="O1364">
        <v>17312</v>
      </c>
      <c r="P1364" t="b">
        <v>0</v>
      </c>
      <c r="Q1364">
        <v>2.6666666666666665</v>
      </c>
      <c r="R1364">
        <v>541</v>
      </c>
      <c r="S1364">
        <v>23.59</v>
      </c>
      <c r="T1364" s="2">
        <v>44440</v>
      </c>
      <c r="U1364" s="1" t="s">
        <v>66</v>
      </c>
      <c r="V1364">
        <v>0</v>
      </c>
      <c r="W1364" s="1" t="s">
        <v>40</v>
      </c>
      <c r="Y1364" s="1" t="s">
        <v>43</v>
      </c>
      <c r="Z1364" s="1" t="s">
        <v>42</v>
      </c>
      <c r="AA1364">
        <v>6.0606060606060608E-2</v>
      </c>
      <c r="AB1364" s="1" t="s">
        <v>52</v>
      </c>
      <c r="AC1364">
        <v>1</v>
      </c>
      <c r="AD1364" s="2">
        <v>44440</v>
      </c>
      <c r="AE1364" s="1" t="s">
        <v>44</v>
      </c>
      <c r="AF1364" s="1" t="s">
        <v>72</v>
      </c>
      <c r="AG1364" s="1" t="s">
        <v>63</v>
      </c>
      <c r="AH1364" s="1" t="s">
        <v>64</v>
      </c>
      <c r="AI1364">
        <v>17312</v>
      </c>
      <c r="AJ1364">
        <v>0</v>
      </c>
    </row>
    <row r="1365" spans="1:36" x14ac:dyDescent="0.25">
      <c r="A1365">
        <v>11364</v>
      </c>
      <c r="B1365">
        <v>44</v>
      </c>
      <c r="C1365" s="1" t="s">
        <v>36</v>
      </c>
      <c r="D1365" s="1" t="s">
        <v>48</v>
      </c>
      <c r="E1365" s="2">
        <v>44967</v>
      </c>
      <c r="F1365" s="2">
        <v>44576</v>
      </c>
      <c r="G1365" s="1" t="s">
        <v>62</v>
      </c>
      <c r="H1365">
        <v>438</v>
      </c>
      <c r="I1365">
        <v>33</v>
      </c>
      <c r="J1365">
        <v>4</v>
      </c>
      <c r="K1365">
        <v>114.14</v>
      </c>
      <c r="L1365">
        <v>20</v>
      </c>
      <c r="M1365" s="1" t="s">
        <v>67</v>
      </c>
      <c r="N1365" s="1" t="s">
        <v>40</v>
      </c>
      <c r="O1365">
        <v>14366.4</v>
      </c>
      <c r="P1365" t="b">
        <v>0</v>
      </c>
      <c r="Q1365">
        <v>2.75</v>
      </c>
      <c r="R1365">
        <v>435.34545454545452</v>
      </c>
      <c r="S1365">
        <v>22.827999999999999</v>
      </c>
      <c r="T1365" s="2">
        <v>44958</v>
      </c>
      <c r="U1365" s="1" t="s">
        <v>51</v>
      </c>
      <c r="V1365">
        <v>1</v>
      </c>
      <c r="W1365" s="1" t="s">
        <v>40</v>
      </c>
      <c r="Y1365" s="1" t="s">
        <v>43</v>
      </c>
      <c r="Z1365" s="1" t="s">
        <v>52</v>
      </c>
      <c r="AA1365">
        <v>0.11764705882352941</v>
      </c>
      <c r="AB1365" s="1" t="s">
        <v>52</v>
      </c>
      <c r="AC1365">
        <v>2</v>
      </c>
      <c r="AD1365" s="2">
        <v>44958</v>
      </c>
      <c r="AE1365" s="1" t="s">
        <v>44</v>
      </c>
      <c r="AF1365" s="1" t="s">
        <v>45</v>
      </c>
      <c r="AG1365" s="1" t="s">
        <v>63</v>
      </c>
      <c r="AH1365" s="1" t="s">
        <v>68</v>
      </c>
      <c r="AI1365">
        <v>14454</v>
      </c>
      <c r="AJ1365">
        <v>-87.600000000000364</v>
      </c>
    </row>
    <row r="1366" spans="1:36" x14ac:dyDescent="0.25">
      <c r="A1366">
        <v>11365</v>
      </c>
      <c r="B1366">
        <v>57</v>
      </c>
      <c r="C1366" s="1" t="s">
        <v>36</v>
      </c>
      <c r="D1366" s="1" t="s">
        <v>37</v>
      </c>
      <c r="E1366" s="2">
        <v>45007</v>
      </c>
      <c r="F1366" s="2">
        <v>45162</v>
      </c>
      <c r="G1366" s="1" t="s">
        <v>62</v>
      </c>
      <c r="H1366">
        <v>396</v>
      </c>
      <c r="I1366">
        <v>13</v>
      </c>
      <c r="J1366">
        <v>4</v>
      </c>
      <c r="K1366">
        <v>56.08</v>
      </c>
      <c r="L1366">
        <v>0</v>
      </c>
      <c r="M1366" s="1" t="s">
        <v>65</v>
      </c>
      <c r="N1366" s="1" t="s">
        <v>56</v>
      </c>
      <c r="O1366">
        <v>5148</v>
      </c>
      <c r="P1366" t="b">
        <v>1</v>
      </c>
      <c r="Q1366">
        <v>1.0833333333333333</v>
      </c>
      <c r="R1366">
        <v>396</v>
      </c>
      <c r="S1366">
        <v>11.215999999999999</v>
      </c>
      <c r="T1366" s="2">
        <v>44986</v>
      </c>
      <c r="U1366" s="1" t="s">
        <v>41</v>
      </c>
      <c r="V1366">
        <v>0</v>
      </c>
      <c r="W1366" s="1" t="s">
        <v>56</v>
      </c>
      <c r="X1366">
        <v>155</v>
      </c>
      <c r="Y1366" s="1" t="s">
        <v>52</v>
      </c>
      <c r="Z1366" s="1" t="s">
        <v>42</v>
      </c>
      <c r="AA1366">
        <v>0.2857142857142857</v>
      </c>
      <c r="AB1366" s="1" t="s">
        <v>42</v>
      </c>
      <c r="AC1366">
        <v>2</v>
      </c>
      <c r="AD1366" s="2">
        <v>44986</v>
      </c>
      <c r="AE1366" s="1" t="s">
        <v>53</v>
      </c>
      <c r="AF1366" s="1" t="s">
        <v>45</v>
      </c>
      <c r="AG1366" s="1" t="s">
        <v>63</v>
      </c>
      <c r="AH1366" s="1" t="s">
        <v>68</v>
      </c>
      <c r="AI1366">
        <v>5148</v>
      </c>
      <c r="AJ1366">
        <v>0</v>
      </c>
    </row>
    <row r="1367" spans="1:36" x14ac:dyDescent="0.25">
      <c r="A1367">
        <v>11366</v>
      </c>
      <c r="B1367">
        <v>51</v>
      </c>
      <c r="C1367" s="1" t="s">
        <v>36</v>
      </c>
      <c r="D1367" s="1" t="s">
        <v>71</v>
      </c>
      <c r="E1367" s="2">
        <v>44611</v>
      </c>
      <c r="F1367" s="2">
        <v>44954</v>
      </c>
      <c r="G1367" s="1" t="s">
        <v>62</v>
      </c>
      <c r="H1367">
        <v>446</v>
      </c>
      <c r="I1367">
        <v>27</v>
      </c>
      <c r="J1367">
        <v>3</v>
      </c>
      <c r="K1367">
        <v>55.12</v>
      </c>
      <c r="L1367">
        <v>0</v>
      </c>
      <c r="M1367" s="1" t="s">
        <v>67</v>
      </c>
      <c r="N1367" s="1" t="s">
        <v>56</v>
      </c>
      <c r="O1367">
        <v>12042</v>
      </c>
      <c r="P1367" t="b">
        <v>1</v>
      </c>
      <c r="Q1367">
        <v>2.25</v>
      </c>
      <c r="R1367">
        <v>446</v>
      </c>
      <c r="S1367">
        <v>13.78</v>
      </c>
      <c r="T1367" s="2">
        <v>44593</v>
      </c>
      <c r="U1367" s="1" t="s">
        <v>41</v>
      </c>
      <c r="V1367">
        <v>0</v>
      </c>
      <c r="W1367" s="1" t="s">
        <v>56</v>
      </c>
      <c r="X1367">
        <v>343</v>
      </c>
      <c r="Y1367" s="1" t="s">
        <v>52</v>
      </c>
      <c r="Z1367" s="1" t="s">
        <v>42</v>
      </c>
      <c r="AA1367">
        <v>0.10714285714285714</v>
      </c>
      <c r="AB1367" s="1" t="s">
        <v>52</v>
      </c>
      <c r="AC1367">
        <v>2</v>
      </c>
      <c r="AD1367" s="2">
        <v>44593</v>
      </c>
      <c r="AE1367" s="1" t="s">
        <v>44</v>
      </c>
      <c r="AF1367" s="1" t="s">
        <v>72</v>
      </c>
      <c r="AG1367" s="1" t="s">
        <v>63</v>
      </c>
      <c r="AH1367" s="1" t="s">
        <v>68</v>
      </c>
      <c r="AI1367">
        <v>12042</v>
      </c>
      <c r="AJ1367">
        <v>0</v>
      </c>
    </row>
    <row r="1368" spans="1:36" x14ac:dyDescent="0.25">
      <c r="A1368">
        <v>11367</v>
      </c>
      <c r="B1368">
        <v>29</v>
      </c>
      <c r="C1368" s="1" t="s">
        <v>60</v>
      </c>
      <c r="D1368" s="1" t="s">
        <v>69</v>
      </c>
      <c r="E1368" s="2">
        <v>44394</v>
      </c>
      <c r="F1368" s="2">
        <v>44382</v>
      </c>
      <c r="G1368" s="1" t="s">
        <v>38</v>
      </c>
      <c r="H1368">
        <v>1380</v>
      </c>
      <c r="I1368">
        <v>18</v>
      </c>
      <c r="J1368">
        <v>2</v>
      </c>
      <c r="K1368">
        <v>62.5</v>
      </c>
      <c r="L1368">
        <v>5</v>
      </c>
      <c r="M1368" s="1" t="s">
        <v>67</v>
      </c>
      <c r="N1368" s="1" t="s">
        <v>40</v>
      </c>
      <c r="O1368">
        <v>24771</v>
      </c>
      <c r="P1368" t="b">
        <v>0</v>
      </c>
      <c r="Q1368">
        <v>1.5</v>
      </c>
      <c r="R1368">
        <v>1376.1666666666667</v>
      </c>
      <c r="S1368">
        <v>20.833333333333332</v>
      </c>
      <c r="T1368" s="2">
        <v>44378</v>
      </c>
      <c r="U1368" s="1" t="s">
        <v>57</v>
      </c>
      <c r="V1368">
        <v>1</v>
      </c>
      <c r="W1368" s="1" t="s">
        <v>40</v>
      </c>
      <c r="Y1368" s="1" t="s">
        <v>43</v>
      </c>
      <c r="Z1368" s="1" t="s">
        <v>42</v>
      </c>
      <c r="AA1368">
        <v>0.10526315789473684</v>
      </c>
      <c r="AB1368" s="1" t="s">
        <v>43</v>
      </c>
      <c r="AC1368">
        <v>1</v>
      </c>
      <c r="AD1368" s="2">
        <v>44378</v>
      </c>
      <c r="AE1368" s="1" t="s">
        <v>53</v>
      </c>
      <c r="AF1368" s="1" t="s">
        <v>72</v>
      </c>
      <c r="AG1368" s="1" t="s">
        <v>63</v>
      </c>
      <c r="AH1368" s="1" t="s">
        <v>47</v>
      </c>
      <c r="AI1368">
        <v>24840</v>
      </c>
      <c r="AJ1368">
        <v>-69</v>
      </c>
    </row>
    <row r="1369" spans="1:36" x14ac:dyDescent="0.25">
      <c r="A1369">
        <v>11368</v>
      </c>
      <c r="B1369">
        <v>62</v>
      </c>
      <c r="C1369" s="1" t="s">
        <v>36</v>
      </c>
      <c r="D1369" s="1" t="s">
        <v>71</v>
      </c>
      <c r="E1369" s="2">
        <v>44519</v>
      </c>
      <c r="F1369" s="2">
        <v>45052</v>
      </c>
      <c r="G1369" s="1" t="s">
        <v>38</v>
      </c>
      <c r="H1369">
        <v>1365</v>
      </c>
      <c r="I1369">
        <v>18</v>
      </c>
      <c r="J1369">
        <v>4</v>
      </c>
      <c r="K1369">
        <v>85.2</v>
      </c>
      <c r="L1369">
        <v>15</v>
      </c>
      <c r="M1369" s="1" t="s">
        <v>65</v>
      </c>
      <c r="N1369" s="1" t="s">
        <v>56</v>
      </c>
      <c r="O1369">
        <v>24365.25</v>
      </c>
      <c r="P1369" t="b">
        <v>1</v>
      </c>
      <c r="Q1369">
        <v>1.5</v>
      </c>
      <c r="R1369">
        <v>1353.625</v>
      </c>
      <c r="S1369">
        <v>17.04</v>
      </c>
      <c r="T1369" s="2">
        <v>44501</v>
      </c>
      <c r="U1369" s="1" t="s">
        <v>41</v>
      </c>
      <c r="V1369">
        <v>0</v>
      </c>
      <c r="W1369" s="1" t="s">
        <v>40</v>
      </c>
      <c r="X1369">
        <v>533</v>
      </c>
      <c r="Y1369" s="1" t="s">
        <v>43</v>
      </c>
      <c r="Z1369" s="1" t="s">
        <v>42</v>
      </c>
      <c r="AA1369">
        <v>0.21052631578947367</v>
      </c>
      <c r="AB1369" s="1" t="s">
        <v>43</v>
      </c>
      <c r="AC1369">
        <v>1</v>
      </c>
      <c r="AD1369" s="2">
        <v>44501</v>
      </c>
      <c r="AE1369" s="1" t="s">
        <v>53</v>
      </c>
      <c r="AF1369" s="1" t="s">
        <v>45</v>
      </c>
      <c r="AG1369" s="1" t="s">
        <v>63</v>
      </c>
      <c r="AH1369" s="1" t="s">
        <v>47</v>
      </c>
      <c r="AI1369">
        <v>24570</v>
      </c>
      <c r="AJ1369">
        <v>-204.75</v>
      </c>
    </row>
    <row r="1370" spans="1:36" x14ac:dyDescent="0.25">
      <c r="A1370">
        <v>11369</v>
      </c>
      <c r="B1370">
        <v>24</v>
      </c>
      <c r="C1370" s="1" t="s">
        <v>60</v>
      </c>
      <c r="D1370" s="1" t="s">
        <v>37</v>
      </c>
      <c r="E1370" s="2">
        <v>44252</v>
      </c>
      <c r="F1370" s="2">
        <v>44803</v>
      </c>
      <c r="G1370" s="1" t="s">
        <v>62</v>
      </c>
      <c r="H1370">
        <v>1165</v>
      </c>
      <c r="I1370">
        <v>13</v>
      </c>
      <c r="J1370">
        <v>2</v>
      </c>
      <c r="K1370">
        <v>62.59</v>
      </c>
      <c r="L1370">
        <v>20</v>
      </c>
      <c r="M1370" s="1" t="s">
        <v>50</v>
      </c>
      <c r="N1370" s="1" t="s">
        <v>56</v>
      </c>
      <c r="O1370">
        <v>14912</v>
      </c>
      <c r="P1370" t="b">
        <v>1</v>
      </c>
      <c r="Q1370">
        <v>1.0833333333333333</v>
      </c>
      <c r="R1370">
        <v>1147.0769230769231</v>
      </c>
      <c r="S1370">
        <v>20.863333333333333</v>
      </c>
      <c r="T1370" s="2">
        <v>44228</v>
      </c>
      <c r="U1370" s="1" t="s">
        <v>66</v>
      </c>
      <c r="V1370">
        <v>0</v>
      </c>
      <c r="W1370" s="1" t="s">
        <v>40</v>
      </c>
      <c r="X1370">
        <v>551</v>
      </c>
      <c r="Y1370" s="1" t="s">
        <v>43</v>
      </c>
      <c r="Z1370" s="1" t="s">
        <v>52</v>
      </c>
      <c r="AA1370">
        <v>0.14285714285714285</v>
      </c>
      <c r="AB1370" s="1" t="s">
        <v>52</v>
      </c>
      <c r="AC1370">
        <v>2</v>
      </c>
      <c r="AD1370" s="2">
        <v>44228</v>
      </c>
      <c r="AE1370" s="1" t="s">
        <v>53</v>
      </c>
      <c r="AF1370" s="1" t="s">
        <v>72</v>
      </c>
      <c r="AG1370" s="1" t="s">
        <v>63</v>
      </c>
      <c r="AH1370" s="1" t="s">
        <v>47</v>
      </c>
      <c r="AI1370">
        <v>15145</v>
      </c>
      <c r="AJ1370">
        <v>-233</v>
      </c>
    </row>
    <row r="1371" spans="1:36" x14ac:dyDescent="0.25">
      <c r="A1371">
        <v>11370</v>
      </c>
      <c r="B1371">
        <v>27</v>
      </c>
      <c r="C1371" s="1" t="s">
        <v>36</v>
      </c>
      <c r="D1371" s="1" t="s">
        <v>48</v>
      </c>
      <c r="E1371" s="2">
        <v>45027</v>
      </c>
      <c r="F1371" s="2">
        <v>44935</v>
      </c>
      <c r="G1371" s="1" t="s">
        <v>49</v>
      </c>
      <c r="H1371">
        <v>842</v>
      </c>
      <c r="I1371">
        <v>22</v>
      </c>
      <c r="J1371">
        <v>2</v>
      </c>
      <c r="K1371">
        <v>104.35</v>
      </c>
      <c r="L1371">
        <v>0</v>
      </c>
      <c r="M1371" s="1" t="s">
        <v>67</v>
      </c>
      <c r="N1371" s="1" t="s">
        <v>56</v>
      </c>
      <c r="O1371">
        <v>18524</v>
      </c>
      <c r="P1371" t="b">
        <v>0</v>
      </c>
      <c r="Q1371">
        <v>1.8333333333333333</v>
      </c>
      <c r="R1371">
        <v>842</v>
      </c>
      <c r="S1371">
        <v>34.783333333333331</v>
      </c>
      <c r="T1371" s="2">
        <v>45017</v>
      </c>
      <c r="U1371" s="1" t="s">
        <v>57</v>
      </c>
      <c r="V1371">
        <v>0</v>
      </c>
      <c r="W1371" s="1" t="s">
        <v>40</v>
      </c>
      <c r="Y1371" s="1" t="s">
        <v>43</v>
      </c>
      <c r="Z1371" s="1" t="s">
        <v>42</v>
      </c>
      <c r="AA1371">
        <v>8.6956521739130432E-2</v>
      </c>
      <c r="AB1371" s="1" t="s">
        <v>52</v>
      </c>
      <c r="AC1371">
        <v>3</v>
      </c>
      <c r="AD1371" s="2">
        <v>45017</v>
      </c>
      <c r="AE1371" s="1" t="s">
        <v>53</v>
      </c>
      <c r="AF1371" s="1" t="s">
        <v>72</v>
      </c>
      <c r="AG1371" s="1" t="s">
        <v>63</v>
      </c>
      <c r="AH1371" s="1" t="s">
        <v>59</v>
      </c>
      <c r="AI1371">
        <v>18524</v>
      </c>
      <c r="AJ1371">
        <v>0</v>
      </c>
    </row>
    <row r="1372" spans="1:36" x14ac:dyDescent="0.25">
      <c r="A1372">
        <v>11371</v>
      </c>
      <c r="B1372">
        <v>62</v>
      </c>
      <c r="C1372" s="1" t="s">
        <v>36</v>
      </c>
      <c r="D1372" s="1" t="s">
        <v>61</v>
      </c>
      <c r="E1372" s="2">
        <v>44399</v>
      </c>
      <c r="F1372" s="2">
        <v>45238</v>
      </c>
      <c r="G1372" s="1" t="s">
        <v>49</v>
      </c>
      <c r="H1372">
        <v>991</v>
      </c>
      <c r="I1372">
        <v>14</v>
      </c>
      <c r="J1372">
        <v>6</v>
      </c>
      <c r="K1372">
        <v>62.59</v>
      </c>
      <c r="L1372">
        <v>10</v>
      </c>
      <c r="M1372" s="1" t="s">
        <v>39</v>
      </c>
      <c r="N1372" s="1" t="s">
        <v>56</v>
      </c>
      <c r="O1372">
        <v>13774.9</v>
      </c>
      <c r="P1372" t="b">
        <v>1</v>
      </c>
      <c r="Q1372">
        <v>1.1666666666666667</v>
      </c>
      <c r="R1372">
        <v>983.92142857142858</v>
      </c>
      <c r="S1372">
        <v>8.9414285714285722</v>
      </c>
      <c r="T1372" s="2">
        <v>44378</v>
      </c>
      <c r="U1372" s="1" t="s">
        <v>41</v>
      </c>
      <c r="V1372">
        <v>0</v>
      </c>
      <c r="W1372" s="1" t="s">
        <v>40</v>
      </c>
      <c r="X1372">
        <v>839</v>
      </c>
      <c r="Y1372" s="1" t="s">
        <v>43</v>
      </c>
      <c r="Z1372" s="1" t="s">
        <v>42</v>
      </c>
      <c r="AA1372">
        <v>0.4</v>
      </c>
      <c r="AB1372" s="1" t="s">
        <v>52</v>
      </c>
      <c r="AC1372">
        <v>3</v>
      </c>
      <c r="AD1372" s="2">
        <v>44378</v>
      </c>
      <c r="AE1372" s="1" t="s">
        <v>53</v>
      </c>
      <c r="AF1372" s="1" t="s">
        <v>78</v>
      </c>
      <c r="AG1372" s="1" t="s">
        <v>63</v>
      </c>
      <c r="AH1372" s="1" t="s">
        <v>59</v>
      </c>
      <c r="AI1372">
        <v>13874</v>
      </c>
      <c r="AJ1372">
        <v>-99.100000000000364</v>
      </c>
    </row>
    <row r="1373" spans="1:36" x14ac:dyDescent="0.25">
      <c r="A1373">
        <v>11372</v>
      </c>
      <c r="B1373">
        <v>34</v>
      </c>
      <c r="C1373" s="1" t="s">
        <v>36</v>
      </c>
      <c r="D1373" s="1" t="s">
        <v>48</v>
      </c>
      <c r="E1373" s="2">
        <v>44979</v>
      </c>
      <c r="F1373" s="2">
        <v>44849</v>
      </c>
      <c r="G1373" s="1" t="s">
        <v>62</v>
      </c>
      <c r="H1373">
        <v>1325</v>
      </c>
      <c r="I1373">
        <v>11</v>
      </c>
      <c r="J1373">
        <v>1</v>
      </c>
      <c r="K1373">
        <v>55.57</v>
      </c>
      <c r="L1373">
        <v>5</v>
      </c>
      <c r="M1373" s="1" t="s">
        <v>67</v>
      </c>
      <c r="N1373" s="1" t="s">
        <v>56</v>
      </c>
      <c r="O1373">
        <v>14508.75</v>
      </c>
      <c r="P1373" t="b">
        <v>0</v>
      </c>
      <c r="Q1373">
        <v>0.91666666666666663</v>
      </c>
      <c r="R1373">
        <v>1318.9772727272727</v>
      </c>
      <c r="S1373">
        <v>27.785</v>
      </c>
      <c r="T1373" s="2">
        <v>44958</v>
      </c>
      <c r="U1373" s="1" t="s">
        <v>57</v>
      </c>
      <c r="V1373">
        <v>0</v>
      </c>
      <c r="W1373" s="1" t="s">
        <v>40</v>
      </c>
      <c r="Y1373" s="1" t="s">
        <v>52</v>
      </c>
      <c r="Z1373" s="1" t="s">
        <v>42</v>
      </c>
      <c r="AA1373">
        <v>8.3333333333333329E-2</v>
      </c>
      <c r="AB1373" s="1" t="s">
        <v>52</v>
      </c>
      <c r="AC1373">
        <v>2</v>
      </c>
      <c r="AD1373" s="2">
        <v>44958</v>
      </c>
      <c r="AE1373" s="1" t="s">
        <v>74</v>
      </c>
      <c r="AF1373" s="1" t="s">
        <v>54</v>
      </c>
      <c r="AG1373" s="1" t="s">
        <v>63</v>
      </c>
      <c r="AH1373" s="1" t="s">
        <v>47</v>
      </c>
      <c r="AI1373">
        <v>14575</v>
      </c>
      <c r="AJ1373">
        <v>-66.25</v>
      </c>
    </row>
    <row r="1374" spans="1:36" x14ac:dyDescent="0.25">
      <c r="A1374">
        <v>11373</v>
      </c>
      <c r="B1374">
        <v>41</v>
      </c>
      <c r="C1374" s="1" t="s">
        <v>60</v>
      </c>
      <c r="D1374" s="1" t="s">
        <v>69</v>
      </c>
      <c r="E1374" s="2">
        <v>44817</v>
      </c>
      <c r="F1374" s="2">
        <v>45108</v>
      </c>
      <c r="G1374" s="1" t="s">
        <v>49</v>
      </c>
      <c r="H1374">
        <v>1461</v>
      </c>
      <c r="I1374">
        <v>22</v>
      </c>
      <c r="J1374">
        <v>0</v>
      </c>
      <c r="K1374">
        <v>63.76</v>
      </c>
      <c r="L1374">
        <v>15</v>
      </c>
      <c r="M1374" s="1" t="s">
        <v>67</v>
      </c>
      <c r="N1374" s="1" t="s">
        <v>56</v>
      </c>
      <c r="O1374">
        <v>31922.85</v>
      </c>
      <c r="P1374" t="b">
        <v>1</v>
      </c>
      <c r="Q1374">
        <v>1.8333333333333333</v>
      </c>
      <c r="R1374">
        <v>1451.0386363636362</v>
      </c>
      <c r="S1374">
        <v>63.76</v>
      </c>
      <c r="T1374" s="2">
        <v>44805</v>
      </c>
      <c r="U1374" s="1" t="s">
        <v>51</v>
      </c>
      <c r="V1374">
        <v>0</v>
      </c>
      <c r="W1374" s="1" t="s">
        <v>40</v>
      </c>
      <c r="X1374">
        <v>291</v>
      </c>
      <c r="Y1374" s="1" t="s">
        <v>43</v>
      </c>
      <c r="Z1374" s="1" t="s">
        <v>42</v>
      </c>
      <c r="AA1374">
        <v>0</v>
      </c>
      <c r="AB1374" s="1" t="s">
        <v>43</v>
      </c>
      <c r="AC1374">
        <v>3</v>
      </c>
      <c r="AD1374" s="2">
        <v>44805</v>
      </c>
      <c r="AE1374" s="1" t="s">
        <v>53</v>
      </c>
      <c r="AF1374" s="1" t="s">
        <v>54</v>
      </c>
      <c r="AG1374" s="1" t="s">
        <v>63</v>
      </c>
      <c r="AH1374" s="1" t="s">
        <v>47</v>
      </c>
      <c r="AI1374">
        <v>32142</v>
      </c>
      <c r="AJ1374">
        <v>-219.15000000000146</v>
      </c>
    </row>
    <row r="1375" spans="1:36" x14ac:dyDescent="0.25">
      <c r="A1375">
        <v>11374</v>
      </c>
      <c r="B1375">
        <v>38</v>
      </c>
      <c r="C1375" s="1" t="s">
        <v>60</v>
      </c>
      <c r="D1375" s="1" t="s">
        <v>73</v>
      </c>
      <c r="E1375" s="2">
        <v>44824</v>
      </c>
      <c r="F1375" s="2">
        <v>44942</v>
      </c>
      <c r="G1375" s="1" t="s">
        <v>38</v>
      </c>
      <c r="H1375">
        <v>1203</v>
      </c>
      <c r="I1375">
        <v>17</v>
      </c>
      <c r="J1375">
        <v>1</v>
      </c>
      <c r="K1375">
        <v>74.81</v>
      </c>
      <c r="L1375">
        <v>15</v>
      </c>
      <c r="M1375" s="1" t="s">
        <v>50</v>
      </c>
      <c r="N1375" s="1" t="s">
        <v>40</v>
      </c>
      <c r="O1375">
        <v>20270.55</v>
      </c>
      <c r="P1375" t="b">
        <v>1</v>
      </c>
      <c r="Q1375">
        <v>1.4166666666666667</v>
      </c>
      <c r="R1375">
        <v>1192.3852941176469</v>
      </c>
      <c r="S1375">
        <v>37.405000000000001</v>
      </c>
      <c r="T1375" s="2">
        <v>44805</v>
      </c>
      <c r="U1375" s="1" t="s">
        <v>51</v>
      </c>
      <c r="V1375">
        <v>1</v>
      </c>
      <c r="W1375" s="1" t="s">
        <v>40</v>
      </c>
      <c r="X1375">
        <v>118</v>
      </c>
      <c r="Y1375" s="1" t="s">
        <v>43</v>
      </c>
      <c r="Z1375" s="1" t="s">
        <v>42</v>
      </c>
      <c r="AA1375">
        <v>5.5555555555555552E-2</v>
      </c>
      <c r="AB1375" s="1" t="s">
        <v>43</v>
      </c>
      <c r="AC1375">
        <v>1</v>
      </c>
      <c r="AD1375" s="2">
        <v>44805</v>
      </c>
      <c r="AE1375" s="1" t="s">
        <v>53</v>
      </c>
      <c r="AF1375" s="1" t="s">
        <v>54</v>
      </c>
      <c r="AG1375" s="1" t="s">
        <v>63</v>
      </c>
      <c r="AH1375" s="1" t="s">
        <v>47</v>
      </c>
      <c r="AI1375">
        <v>20451</v>
      </c>
      <c r="AJ1375">
        <v>-180.45000000000073</v>
      </c>
    </row>
    <row r="1376" spans="1:36" x14ac:dyDescent="0.25">
      <c r="A1376">
        <v>11375</v>
      </c>
      <c r="B1376">
        <v>45</v>
      </c>
      <c r="C1376" s="1" t="s">
        <v>60</v>
      </c>
      <c r="D1376" s="1" t="s">
        <v>61</v>
      </c>
      <c r="E1376" s="2">
        <v>44800</v>
      </c>
      <c r="F1376" s="2">
        <v>44372</v>
      </c>
      <c r="G1376" s="1" t="s">
        <v>62</v>
      </c>
      <c r="H1376">
        <v>1029</v>
      </c>
      <c r="I1376">
        <v>32</v>
      </c>
      <c r="J1376">
        <v>1</v>
      </c>
      <c r="K1376">
        <v>36.75</v>
      </c>
      <c r="L1376">
        <v>5</v>
      </c>
      <c r="M1376" s="1" t="s">
        <v>67</v>
      </c>
      <c r="N1376" s="1" t="s">
        <v>56</v>
      </c>
      <c r="O1376">
        <v>32876.550000000003</v>
      </c>
      <c r="P1376" t="b">
        <v>0</v>
      </c>
      <c r="Q1376">
        <v>2.6666666666666665</v>
      </c>
      <c r="R1376">
        <v>1027.3921875000001</v>
      </c>
      <c r="S1376">
        <v>18.375</v>
      </c>
      <c r="T1376" s="2">
        <v>44774</v>
      </c>
      <c r="U1376" s="1" t="s">
        <v>51</v>
      </c>
      <c r="V1376">
        <v>0</v>
      </c>
      <c r="W1376" s="1" t="s">
        <v>40</v>
      </c>
      <c r="Y1376" s="1" t="s">
        <v>52</v>
      </c>
      <c r="Z1376" s="1" t="s">
        <v>42</v>
      </c>
      <c r="AA1376">
        <v>3.0303030303030304E-2</v>
      </c>
      <c r="AB1376" s="1" t="s">
        <v>43</v>
      </c>
      <c r="AC1376">
        <v>2</v>
      </c>
      <c r="AD1376" s="2">
        <v>44774</v>
      </c>
      <c r="AE1376" s="1" t="s">
        <v>44</v>
      </c>
      <c r="AF1376" s="1" t="s">
        <v>54</v>
      </c>
      <c r="AG1376" s="1" t="s">
        <v>55</v>
      </c>
      <c r="AH1376" s="1" t="s">
        <v>47</v>
      </c>
      <c r="AI1376">
        <v>32928</v>
      </c>
      <c r="AJ1376">
        <v>-51.44999999999709</v>
      </c>
    </row>
    <row r="1377" spans="1:36" x14ac:dyDescent="0.25">
      <c r="A1377">
        <v>11376</v>
      </c>
      <c r="B1377">
        <v>63</v>
      </c>
      <c r="C1377" s="1" t="s">
        <v>60</v>
      </c>
      <c r="D1377" s="1" t="s">
        <v>48</v>
      </c>
      <c r="E1377" s="2">
        <v>44334</v>
      </c>
      <c r="F1377" s="2">
        <v>44916</v>
      </c>
      <c r="G1377" s="1" t="s">
        <v>62</v>
      </c>
      <c r="H1377">
        <v>630</v>
      </c>
      <c r="I1377">
        <v>14</v>
      </c>
      <c r="J1377">
        <v>2</v>
      </c>
      <c r="K1377">
        <v>54.16</v>
      </c>
      <c r="L1377">
        <v>0</v>
      </c>
      <c r="M1377" s="1" t="s">
        <v>65</v>
      </c>
      <c r="N1377" s="1" t="s">
        <v>56</v>
      </c>
      <c r="O1377">
        <v>8820</v>
      </c>
      <c r="P1377" t="b">
        <v>1</v>
      </c>
      <c r="Q1377">
        <v>1.1666666666666667</v>
      </c>
      <c r="R1377">
        <v>630</v>
      </c>
      <c r="S1377">
        <v>18.053333333333331</v>
      </c>
      <c r="T1377" s="2">
        <v>44317</v>
      </c>
      <c r="U1377" s="1" t="s">
        <v>41</v>
      </c>
      <c r="V1377">
        <v>0</v>
      </c>
      <c r="W1377" s="1" t="s">
        <v>56</v>
      </c>
      <c r="X1377">
        <v>582</v>
      </c>
      <c r="Y1377" s="1" t="s">
        <v>52</v>
      </c>
      <c r="Z1377" s="1" t="s">
        <v>42</v>
      </c>
      <c r="AA1377">
        <v>0.13333333333333333</v>
      </c>
      <c r="AB1377" s="1" t="s">
        <v>52</v>
      </c>
      <c r="AC1377">
        <v>2</v>
      </c>
      <c r="AD1377" s="2">
        <v>44317</v>
      </c>
      <c r="AE1377" s="1" t="s">
        <v>53</v>
      </c>
      <c r="AF1377" s="1" t="s">
        <v>72</v>
      </c>
      <c r="AG1377" s="1" t="s">
        <v>63</v>
      </c>
      <c r="AH1377" s="1" t="s">
        <v>64</v>
      </c>
      <c r="AI1377">
        <v>8820</v>
      </c>
      <c r="AJ1377">
        <v>0</v>
      </c>
    </row>
    <row r="1378" spans="1:36" x14ac:dyDescent="0.25">
      <c r="A1378">
        <v>11377</v>
      </c>
      <c r="B1378">
        <v>19</v>
      </c>
      <c r="C1378" s="1" t="s">
        <v>60</v>
      </c>
      <c r="D1378" s="1" t="s">
        <v>61</v>
      </c>
      <c r="E1378" s="2">
        <v>44618</v>
      </c>
      <c r="F1378" s="2">
        <v>44379</v>
      </c>
      <c r="G1378" s="1" t="s">
        <v>38</v>
      </c>
      <c r="H1378">
        <v>916</v>
      </c>
      <c r="I1378">
        <v>29</v>
      </c>
      <c r="J1378">
        <v>0</v>
      </c>
      <c r="K1378">
        <v>62.59</v>
      </c>
      <c r="L1378">
        <v>5</v>
      </c>
      <c r="M1378" s="1" t="s">
        <v>50</v>
      </c>
      <c r="N1378" s="1" t="s">
        <v>56</v>
      </c>
      <c r="O1378">
        <v>26518.2</v>
      </c>
      <c r="P1378" t="b">
        <v>0</v>
      </c>
      <c r="Q1378">
        <v>2.4166666666666665</v>
      </c>
      <c r="R1378">
        <v>914.4206896551724</v>
      </c>
      <c r="S1378">
        <v>62.59</v>
      </c>
      <c r="T1378" s="2">
        <v>44593</v>
      </c>
      <c r="U1378" s="1" t="s">
        <v>66</v>
      </c>
      <c r="V1378">
        <v>0</v>
      </c>
      <c r="W1378" s="1" t="s">
        <v>40</v>
      </c>
      <c r="Y1378" s="1" t="s">
        <v>43</v>
      </c>
      <c r="Z1378" s="1" t="s">
        <v>42</v>
      </c>
      <c r="AA1378">
        <v>0</v>
      </c>
      <c r="AB1378" s="1" t="s">
        <v>43</v>
      </c>
      <c r="AC1378">
        <v>1</v>
      </c>
      <c r="AD1378" s="2">
        <v>44593</v>
      </c>
      <c r="AE1378" s="1" t="s">
        <v>44</v>
      </c>
      <c r="AF1378" s="1" t="s">
        <v>54</v>
      </c>
      <c r="AG1378" s="1" t="s">
        <v>63</v>
      </c>
      <c r="AH1378" s="1" t="s">
        <v>59</v>
      </c>
      <c r="AI1378">
        <v>26564</v>
      </c>
      <c r="AJ1378">
        <v>-45.799999999999272</v>
      </c>
    </row>
    <row r="1379" spans="1:36" x14ac:dyDescent="0.25">
      <c r="A1379">
        <v>11378</v>
      </c>
      <c r="B1379">
        <v>41</v>
      </c>
      <c r="C1379" s="1" t="s">
        <v>36</v>
      </c>
      <c r="D1379" s="1" t="s">
        <v>73</v>
      </c>
      <c r="E1379" s="2">
        <v>45011</v>
      </c>
      <c r="F1379" s="2">
        <v>45178</v>
      </c>
      <c r="G1379" s="1" t="s">
        <v>62</v>
      </c>
      <c r="H1379">
        <v>703</v>
      </c>
      <c r="I1379">
        <v>6</v>
      </c>
      <c r="J1379">
        <v>5</v>
      </c>
      <c r="K1379">
        <v>83.99</v>
      </c>
      <c r="L1379">
        <v>15</v>
      </c>
      <c r="M1379" s="1" t="s">
        <v>67</v>
      </c>
      <c r="N1379" s="1" t="s">
        <v>56</v>
      </c>
      <c r="O1379">
        <v>4112.55</v>
      </c>
      <c r="P1379" t="b">
        <v>1</v>
      </c>
      <c r="Q1379">
        <v>0.5</v>
      </c>
      <c r="R1379">
        <v>685.42500000000007</v>
      </c>
      <c r="S1379">
        <v>13.998333333333333</v>
      </c>
      <c r="T1379" s="2">
        <v>44986</v>
      </c>
      <c r="U1379" s="1" t="s">
        <v>51</v>
      </c>
      <c r="V1379">
        <v>0</v>
      </c>
      <c r="W1379" s="1" t="s">
        <v>56</v>
      </c>
      <c r="X1379">
        <v>167</v>
      </c>
      <c r="Y1379" s="1" t="s">
        <v>43</v>
      </c>
      <c r="Z1379" s="1" t="s">
        <v>42</v>
      </c>
      <c r="AA1379">
        <v>0.7142857142857143</v>
      </c>
      <c r="AB1379" s="1" t="s">
        <v>42</v>
      </c>
      <c r="AC1379">
        <v>2</v>
      </c>
      <c r="AD1379" s="2">
        <v>44986</v>
      </c>
      <c r="AE1379" s="1" t="s">
        <v>58</v>
      </c>
      <c r="AF1379" s="1" t="s">
        <v>45</v>
      </c>
      <c r="AG1379" s="1" t="s">
        <v>63</v>
      </c>
      <c r="AH1379" s="1" t="s">
        <v>59</v>
      </c>
      <c r="AI1379">
        <v>4218</v>
      </c>
      <c r="AJ1379">
        <v>-105.44999999999982</v>
      </c>
    </row>
    <row r="1380" spans="1:36" x14ac:dyDescent="0.25">
      <c r="A1380">
        <v>11379</v>
      </c>
      <c r="B1380">
        <v>18</v>
      </c>
      <c r="C1380" s="1" t="s">
        <v>60</v>
      </c>
      <c r="D1380" s="1" t="s">
        <v>71</v>
      </c>
      <c r="E1380" s="2">
        <v>44253</v>
      </c>
      <c r="F1380" s="2">
        <v>44359</v>
      </c>
      <c r="G1380" s="1" t="s">
        <v>62</v>
      </c>
      <c r="H1380">
        <v>807</v>
      </c>
      <c r="I1380">
        <v>4</v>
      </c>
      <c r="J1380">
        <v>4</v>
      </c>
      <c r="K1380">
        <v>93.96</v>
      </c>
      <c r="L1380">
        <v>15</v>
      </c>
      <c r="M1380" s="1" t="s">
        <v>65</v>
      </c>
      <c r="N1380" s="1" t="s">
        <v>56</v>
      </c>
      <c r="O1380">
        <v>3106.95</v>
      </c>
      <c r="P1380" t="b">
        <v>1</v>
      </c>
      <c r="Q1380">
        <v>0.33333333333333331</v>
      </c>
      <c r="R1380">
        <v>776.73749999999995</v>
      </c>
      <c r="S1380">
        <v>18.791999999999998</v>
      </c>
      <c r="T1380" s="2">
        <v>44228</v>
      </c>
      <c r="U1380" s="1" t="s">
        <v>66</v>
      </c>
      <c r="V1380">
        <v>0</v>
      </c>
      <c r="W1380" s="1" t="s">
        <v>56</v>
      </c>
      <c r="X1380">
        <v>106</v>
      </c>
      <c r="Y1380" s="1" t="s">
        <v>43</v>
      </c>
      <c r="Z1380" s="1" t="s">
        <v>42</v>
      </c>
      <c r="AA1380">
        <v>0.8</v>
      </c>
      <c r="AB1380" s="1" t="s">
        <v>42</v>
      </c>
      <c r="AC1380">
        <v>2</v>
      </c>
      <c r="AD1380" s="2">
        <v>44228</v>
      </c>
      <c r="AE1380" s="1" t="s">
        <v>58</v>
      </c>
      <c r="AF1380" s="1" t="s">
        <v>45</v>
      </c>
      <c r="AG1380" s="1" t="s">
        <v>63</v>
      </c>
      <c r="AH1380" s="1" t="s">
        <v>59</v>
      </c>
      <c r="AI1380">
        <v>3228</v>
      </c>
      <c r="AJ1380">
        <v>-121.05000000000018</v>
      </c>
    </row>
    <row r="1381" spans="1:36" x14ac:dyDescent="0.25">
      <c r="A1381">
        <v>11380</v>
      </c>
      <c r="B1381">
        <v>53</v>
      </c>
      <c r="C1381" s="1" t="s">
        <v>36</v>
      </c>
      <c r="D1381" s="1" t="s">
        <v>37</v>
      </c>
      <c r="E1381" s="2">
        <v>44758</v>
      </c>
      <c r="F1381" s="2">
        <v>44666</v>
      </c>
      <c r="G1381" s="1" t="s">
        <v>38</v>
      </c>
      <c r="H1381">
        <v>1450</v>
      </c>
      <c r="I1381">
        <v>11</v>
      </c>
      <c r="J1381">
        <v>3</v>
      </c>
      <c r="K1381">
        <v>89.85</v>
      </c>
      <c r="L1381">
        <v>10</v>
      </c>
      <c r="M1381" s="1" t="s">
        <v>65</v>
      </c>
      <c r="N1381" s="1" t="s">
        <v>56</v>
      </c>
      <c r="O1381">
        <v>15805</v>
      </c>
      <c r="P1381" t="b">
        <v>0</v>
      </c>
      <c r="Q1381">
        <v>0.91666666666666663</v>
      </c>
      <c r="R1381">
        <v>1436.8181818181818</v>
      </c>
      <c r="S1381">
        <v>22.462499999999999</v>
      </c>
      <c r="T1381" s="2">
        <v>44743</v>
      </c>
      <c r="U1381" s="1" t="s">
        <v>41</v>
      </c>
      <c r="V1381">
        <v>0</v>
      </c>
      <c r="W1381" s="1" t="s">
        <v>40</v>
      </c>
      <c r="Y1381" s="1" t="s">
        <v>43</v>
      </c>
      <c r="Z1381" s="1" t="s">
        <v>42</v>
      </c>
      <c r="AA1381">
        <v>0.25</v>
      </c>
      <c r="AB1381" s="1" t="s">
        <v>52</v>
      </c>
      <c r="AC1381">
        <v>1</v>
      </c>
      <c r="AD1381" s="2">
        <v>44743</v>
      </c>
      <c r="AE1381" s="1" t="s">
        <v>74</v>
      </c>
      <c r="AF1381" s="1" t="s">
        <v>72</v>
      </c>
      <c r="AG1381" s="1" t="s">
        <v>63</v>
      </c>
      <c r="AH1381" s="1" t="s">
        <v>47</v>
      </c>
      <c r="AI1381">
        <v>15950</v>
      </c>
      <c r="AJ1381">
        <v>-145</v>
      </c>
    </row>
    <row r="1382" spans="1:36" x14ac:dyDescent="0.25">
      <c r="A1382">
        <v>11381</v>
      </c>
      <c r="B1382">
        <v>43</v>
      </c>
      <c r="C1382" s="1" t="s">
        <v>60</v>
      </c>
      <c r="D1382" s="1" t="s">
        <v>48</v>
      </c>
      <c r="E1382" s="2">
        <v>44267</v>
      </c>
      <c r="F1382" s="2">
        <v>45192</v>
      </c>
      <c r="G1382" s="1" t="s">
        <v>38</v>
      </c>
      <c r="H1382">
        <v>1338</v>
      </c>
      <c r="I1382">
        <v>10</v>
      </c>
      <c r="J1382">
        <v>2</v>
      </c>
      <c r="K1382">
        <v>44.28</v>
      </c>
      <c r="L1382">
        <v>10</v>
      </c>
      <c r="M1382" s="1" t="s">
        <v>67</v>
      </c>
      <c r="N1382" s="1" t="s">
        <v>56</v>
      </c>
      <c r="O1382">
        <v>13246.2</v>
      </c>
      <c r="P1382" t="b">
        <v>1</v>
      </c>
      <c r="Q1382">
        <v>0.83333333333333337</v>
      </c>
      <c r="R1382">
        <v>1324.6200000000001</v>
      </c>
      <c r="S1382">
        <v>14.76</v>
      </c>
      <c r="T1382" s="2">
        <v>44256</v>
      </c>
      <c r="U1382" s="1" t="s">
        <v>51</v>
      </c>
      <c r="V1382">
        <v>0</v>
      </c>
      <c r="W1382" s="1" t="s">
        <v>56</v>
      </c>
      <c r="X1382">
        <v>925</v>
      </c>
      <c r="Y1382" s="1" t="s">
        <v>52</v>
      </c>
      <c r="Z1382" s="1" t="s">
        <v>42</v>
      </c>
      <c r="AA1382">
        <v>0.18181818181818182</v>
      </c>
      <c r="AB1382" s="1" t="s">
        <v>52</v>
      </c>
      <c r="AC1382">
        <v>1</v>
      </c>
      <c r="AD1382" s="2">
        <v>44256</v>
      </c>
      <c r="AE1382" s="1" t="s">
        <v>74</v>
      </c>
      <c r="AF1382" s="1" t="s">
        <v>72</v>
      </c>
      <c r="AG1382" s="1" t="s">
        <v>55</v>
      </c>
      <c r="AH1382" s="1" t="s">
        <v>47</v>
      </c>
      <c r="AI1382">
        <v>13380</v>
      </c>
      <c r="AJ1382">
        <v>-133.79999999999927</v>
      </c>
    </row>
    <row r="1383" spans="1:36" x14ac:dyDescent="0.25">
      <c r="A1383">
        <v>11382</v>
      </c>
      <c r="B1383">
        <v>46</v>
      </c>
      <c r="C1383" s="1" t="s">
        <v>36</v>
      </c>
      <c r="D1383" s="1" t="s">
        <v>69</v>
      </c>
      <c r="E1383" s="2">
        <v>44790</v>
      </c>
      <c r="F1383" s="2">
        <v>44951</v>
      </c>
      <c r="G1383" s="1" t="s">
        <v>38</v>
      </c>
      <c r="H1383">
        <v>525</v>
      </c>
      <c r="I1383">
        <v>28</v>
      </c>
      <c r="J1383">
        <v>1</v>
      </c>
      <c r="K1383">
        <v>119.94</v>
      </c>
      <c r="L1383">
        <v>15</v>
      </c>
      <c r="M1383" s="1" t="s">
        <v>39</v>
      </c>
      <c r="N1383" s="1" t="s">
        <v>56</v>
      </c>
      <c r="O1383">
        <v>14621.25</v>
      </c>
      <c r="P1383" t="b">
        <v>1</v>
      </c>
      <c r="Q1383">
        <v>2.3333333333333335</v>
      </c>
      <c r="R1383">
        <v>522.1875</v>
      </c>
      <c r="S1383">
        <v>59.97</v>
      </c>
      <c r="T1383" s="2">
        <v>44774</v>
      </c>
      <c r="U1383" s="1" t="s">
        <v>51</v>
      </c>
      <c r="V1383">
        <v>0</v>
      </c>
      <c r="W1383" s="1" t="s">
        <v>40</v>
      </c>
      <c r="X1383">
        <v>161</v>
      </c>
      <c r="Y1383" s="1" t="s">
        <v>43</v>
      </c>
      <c r="Z1383" s="1" t="s">
        <v>42</v>
      </c>
      <c r="AA1383">
        <v>3.4482758620689655E-2</v>
      </c>
      <c r="AB1383" s="1" t="s">
        <v>52</v>
      </c>
      <c r="AC1383">
        <v>1</v>
      </c>
      <c r="AD1383" s="2">
        <v>44774</v>
      </c>
      <c r="AE1383" s="1" t="s">
        <v>44</v>
      </c>
      <c r="AF1383" s="1" t="s">
        <v>54</v>
      </c>
      <c r="AG1383" s="1" t="s">
        <v>63</v>
      </c>
      <c r="AH1383" s="1" t="s">
        <v>64</v>
      </c>
      <c r="AI1383">
        <v>14700</v>
      </c>
      <c r="AJ1383">
        <v>-78.75</v>
      </c>
    </row>
    <row r="1384" spans="1:36" x14ac:dyDescent="0.25">
      <c r="A1384">
        <v>11383</v>
      </c>
      <c r="B1384">
        <v>38</v>
      </c>
      <c r="C1384" s="1" t="s">
        <v>36</v>
      </c>
      <c r="D1384" s="1" t="s">
        <v>71</v>
      </c>
      <c r="E1384" s="2">
        <v>44568</v>
      </c>
      <c r="F1384" s="2">
        <v>44348</v>
      </c>
      <c r="G1384" s="1" t="s">
        <v>62</v>
      </c>
      <c r="H1384">
        <v>1283</v>
      </c>
      <c r="I1384">
        <v>11</v>
      </c>
      <c r="J1384">
        <v>2</v>
      </c>
      <c r="K1384">
        <v>62.59</v>
      </c>
      <c r="L1384">
        <v>10</v>
      </c>
      <c r="M1384" s="1" t="s">
        <v>39</v>
      </c>
      <c r="N1384" s="1" t="s">
        <v>56</v>
      </c>
      <c r="O1384">
        <v>13984.7</v>
      </c>
      <c r="P1384" t="b">
        <v>0</v>
      </c>
      <c r="Q1384">
        <v>0.91666666666666663</v>
      </c>
      <c r="R1384">
        <v>1271.3363636363638</v>
      </c>
      <c r="S1384">
        <v>20.863333333333333</v>
      </c>
      <c r="T1384" s="2">
        <v>44562</v>
      </c>
      <c r="U1384" s="1" t="s">
        <v>51</v>
      </c>
      <c r="V1384">
        <v>0</v>
      </c>
      <c r="W1384" s="1" t="s">
        <v>40</v>
      </c>
      <c r="Y1384" s="1" t="s">
        <v>43</v>
      </c>
      <c r="Z1384" s="1" t="s">
        <v>42</v>
      </c>
      <c r="AA1384">
        <v>0.16666666666666666</v>
      </c>
      <c r="AB1384" s="1" t="s">
        <v>52</v>
      </c>
      <c r="AC1384">
        <v>2</v>
      </c>
      <c r="AD1384" s="2">
        <v>44562</v>
      </c>
      <c r="AE1384" s="1" t="s">
        <v>74</v>
      </c>
      <c r="AF1384" s="1" t="s">
        <v>72</v>
      </c>
      <c r="AG1384" s="1" t="s">
        <v>63</v>
      </c>
      <c r="AH1384" s="1" t="s">
        <v>47</v>
      </c>
      <c r="AI1384">
        <v>14113</v>
      </c>
      <c r="AJ1384">
        <v>-128.29999999999927</v>
      </c>
    </row>
    <row r="1385" spans="1:36" x14ac:dyDescent="0.25">
      <c r="A1385">
        <v>11384</v>
      </c>
      <c r="B1385">
        <v>28</v>
      </c>
      <c r="C1385" s="1" t="s">
        <v>60</v>
      </c>
      <c r="D1385" s="1" t="s">
        <v>48</v>
      </c>
      <c r="E1385" s="2">
        <v>44813</v>
      </c>
      <c r="F1385" s="2">
        <v>44782</v>
      </c>
      <c r="G1385" s="1" t="s">
        <v>38</v>
      </c>
      <c r="H1385">
        <v>1164</v>
      </c>
      <c r="I1385">
        <v>35</v>
      </c>
      <c r="J1385">
        <v>3</v>
      </c>
      <c r="K1385">
        <v>62.59</v>
      </c>
      <c r="L1385">
        <v>10</v>
      </c>
      <c r="M1385" s="1" t="s">
        <v>67</v>
      </c>
      <c r="N1385" s="1" t="s">
        <v>56</v>
      </c>
      <c r="O1385">
        <v>40623.599999999999</v>
      </c>
      <c r="P1385" t="b">
        <v>0</v>
      </c>
      <c r="Q1385">
        <v>2.9166666666666665</v>
      </c>
      <c r="R1385">
        <v>1160.6742857142856</v>
      </c>
      <c r="S1385">
        <v>15.647500000000001</v>
      </c>
      <c r="T1385" s="2">
        <v>44805</v>
      </c>
      <c r="U1385" s="1" t="s">
        <v>57</v>
      </c>
      <c r="V1385">
        <v>0</v>
      </c>
      <c r="W1385" s="1" t="s">
        <v>40</v>
      </c>
      <c r="Y1385" s="1" t="s">
        <v>43</v>
      </c>
      <c r="Z1385" s="1" t="s">
        <v>42</v>
      </c>
      <c r="AA1385">
        <v>8.3333333333333329E-2</v>
      </c>
      <c r="AB1385" s="1" t="s">
        <v>43</v>
      </c>
      <c r="AC1385">
        <v>1</v>
      </c>
      <c r="AD1385" s="2">
        <v>44805</v>
      </c>
      <c r="AE1385" s="1" t="s">
        <v>44</v>
      </c>
      <c r="AF1385" s="1" t="s">
        <v>72</v>
      </c>
      <c r="AG1385" s="1" t="s">
        <v>63</v>
      </c>
      <c r="AH1385" s="1" t="s">
        <v>47</v>
      </c>
      <c r="AI1385">
        <v>40740</v>
      </c>
      <c r="AJ1385">
        <v>-116.40000000000146</v>
      </c>
    </row>
    <row r="1386" spans="1:36" x14ac:dyDescent="0.25">
      <c r="A1386">
        <v>11385</v>
      </c>
      <c r="B1386">
        <v>57</v>
      </c>
      <c r="C1386" s="1" t="s">
        <v>60</v>
      </c>
      <c r="D1386" s="1" t="s">
        <v>71</v>
      </c>
      <c r="E1386" s="2">
        <v>44796</v>
      </c>
      <c r="F1386" s="2">
        <v>45185</v>
      </c>
      <c r="G1386" s="1" t="s">
        <v>38</v>
      </c>
      <c r="H1386">
        <v>1428</v>
      </c>
      <c r="I1386">
        <v>15</v>
      </c>
      <c r="J1386">
        <v>4</v>
      </c>
      <c r="K1386">
        <v>27.44</v>
      </c>
      <c r="L1386">
        <v>10</v>
      </c>
      <c r="M1386" s="1" t="s">
        <v>67</v>
      </c>
      <c r="N1386" s="1" t="s">
        <v>56</v>
      </c>
      <c r="O1386">
        <v>21277.200000000001</v>
      </c>
      <c r="P1386" t="b">
        <v>1</v>
      </c>
      <c r="Q1386">
        <v>1.25</v>
      </c>
      <c r="R1386">
        <v>1418.48</v>
      </c>
      <c r="S1386">
        <v>5.4880000000000004</v>
      </c>
      <c r="T1386" s="2">
        <v>44774</v>
      </c>
      <c r="U1386" s="1" t="s">
        <v>41</v>
      </c>
      <c r="V1386">
        <v>0</v>
      </c>
      <c r="W1386" s="1" t="s">
        <v>40</v>
      </c>
      <c r="X1386">
        <v>389</v>
      </c>
      <c r="Y1386" s="1" t="s">
        <v>52</v>
      </c>
      <c r="Z1386" s="1" t="s">
        <v>42</v>
      </c>
      <c r="AA1386">
        <v>0.25</v>
      </c>
      <c r="AB1386" s="1" t="s">
        <v>43</v>
      </c>
      <c r="AC1386">
        <v>1</v>
      </c>
      <c r="AD1386" s="2">
        <v>44774</v>
      </c>
      <c r="AE1386" s="1" t="s">
        <v>53</v>
      </c>
      <c r="AF1386" s="1" t="s">
        <v>45</v>
      </c>
      <c r="AG1386" s="1" t="s">
        <v>70</v>
      </c>
      <c r="AH1386" s="1" t="s">
        <v>47</v>
      </c>
      <c r="AI1386">
        <v>21420</v>
      </c>
      <c r="AJ1386">
        <v>-142.79999999999927</v>
      </c>
    </row>
    <row r="1387" spans="1:36" x14ac:dyDescent="0.25">
      <c r="A1387">
        <v>11386</v>
      </c>
      <c r="B1387">
        <v>28</v>
      </c>
      <c r="C1387" s="1" t="s">
        <v>36</v>
      </c>
      <c r="D1387" s="1" t="s">
        <v>69</v>
      </c>
      <c r="E1387" s="2">
        <v>44710</v>
      </c>
      <c r="F1387" s="2">
        <v>44483</v>
      </c>
      <c r="G1387" s="1" t="s">
        <v>62</v>
      </c>
      <c r="H1387">
        <v>1044</v>
      </c>
      <c r="I1387">
        <v>8</v>
      </c>
      <c r="J1387">
        <v>1</v>
      </c>
      <c r="K1387">
        <v>41.11</v>
      </c>
      <c r="L1387">
        <v>15</v>
      </c>
      <c r="M1387" s="1" t="s">
        <v>65</v>
      </c>
      <c r="N1387" s="1" t="s">
        <v>56</v>
      </c>
      <c r="O1387">
        <v>8195.4</v>
      </c>
      <c r="P1387" t="b">
        <v>0</v>
      </c>
      <c r="Q1387">
        <v>0.66666666666666663</v>
      </c>
      <c r="R1387">
        <v>1024.425</v>
      </c>
      <c r="S1387">
        <v>20.555</v>
      </c>
      <c r="T1387" s="2">
        <v>44682</v>
      </c>
      <c r="U1387" s="1" t="s">
        <v>57</v>
      </c>
      <c r="V1387">
        <v>0</v>
      </c>
      <c r="W1387" s="1" t="s">
        <v>56</v>
      </c>
      <c r="Y1387" s="1" t="s">
        <v>52</v>
      </c>
      <c r="Z1387" s="1" t="s">
        <v>42</v>
      </c>
      <c r="AA1387">
        <v>0.1111111111111111</v>
      </c>
      <c r="AB1387" s="1" t="s">
        <v>42</v>
      </c>
      <c r="AC1387">
        <v>2</v>
      </c>
      <c r="AD1387" s="2">
        <v>44682</v>
      </c>
      <c r="AE1387" s="1" t="s">
        <v>74</v>
      </c>
      <c r="AF1387" s="1" t="s">
        <v>54</v>
      </c>
      <c r="AG1387" s="1" t="s">
        <v>55</v>
      </c>
      <c r="AH1387" s="1" t="s">
        <v>47</v>
      </c>
      <c r="AI1387">
        <v>8352</v>
      </c>
      <c r="AJ1387">
        <v>-156.60000000000036</v>
      </c>
    </row>
    <row r="1388" spans="1:36" x14ac:dyDescent="0.25">
      <c r="A1388">
        <v>11387</v>
      </c>
      <c r="B1388">
        <v>41</v>
      </c>
      <c r="C1388" s="1" t="s">
        <v>60</v>
      </c>
      <c r="D1388" s="1" t="s">
        <v>48</v>
      </c>
      <c r="E1388" s="2">
        <v>45068</v>
      </c>
      <c r="F1388" s="2">
        <v>44543</v>
      </c>
      <c r="G1388" s="1" t="s">
        <v>62</v>
      </c>
      <c r="H1388">
        <v>792</v>
      </c>
      <c r="I1388">
        <v>20</v>
      </c>
      <c r="J1388">
        <v>0</v>
      </c>
      <c r="K1388">
        <v>57.02</v>
      </c>
      <c r="L1388">
        <v>0</v>
      </c>
      <c r="M1388" s="1" t="s">
        <v>67</v>
      </c>
      <c r="N1388" s="1" t="s">
        <v>56</v>
      </c>
      <c r="O1388">
        <v>15840</v>
      </c>
      <c r="P1388" t="b">
        <v>0</v>
      </c>
      <c r="Q1388">
        <v>1.6666666666666667</v>
      </c>
      <c r="R1388">
        <v>792</v>
      </c>
      <c r="S1388">
        <v>57.02</v>
      </c>
      <c r="T1388" s="2">
        <v>45047</v>
      </c>
      <c r="U1388" s="1" t="s">
        <v>51</v>
      </c>
      <c r="V1388">
        <v>0</v>
      </c>
      <c r="W1388" s="1" t="s">
        <v>40</v>
      </c>
      <c r="Y1388" s="1" t="s">
        <v>52</v>
      </c>
      <c r="Z1388" s="1" t="s">
        <v>42</v>
      </c>
      <c r="AA1388">
        <v>0</v>
      </c>
      <c r="AB1388" s="1" t="s">
        <v>52</v>
      </c>
      <c r="AC1388">
        <v>2</v>
      </c>
      <c r="AD1388" s="2">
        <v>45047</v>
      </c>
      <c r="AE1388" s="1" t="s">
        <v>53</v>
      </c>
      <c r="AF1388" s="1" t="s">
        <v>54</v>
      </c>
      <c r="AG1388" s="1" t="s">
        <v>63</v>
      </c>
      <c r="AH1388" s="1" t="s">
        <v>59</v>
      </c>
      <c r="AI1388">
        <v>15840</v>
      </c>
      <c r="AJ1388">
        <v>0</v>
      </c>
    </row>
    <row r="1389" spans="1:36" x14ac:dyDescent="0.25">
      <c r="A1389">
        <v>11388</v>
      </c>
      <c r="B1389">
        <v>56</v>
      </c>
      <c r="C1389" s="1" t="s">
        <v>36</v>
      </c>
      <c r="D1389" s="1" t="s">
        <v>76</v>
      </c>
      <c r="E1389" s="2">
        <v>44280</v>
      </c>
      <c r="F1389" s="2">
        <v>44480</v>
      </c>
      <c r="G1389" s="1" t="s">
        <v>62</v>
      </c>
      <c r="H1389">
        <v>618</v>
      </c>
      <c r="I1389">
        <v>21</v>
      </c>
      <c r="J1389">
        <v>1</v>
      </c>
      <c r="K1389">
        <v>62.59</v>
      </c>
      <c r="L1389">
        <v>0</v>
      </c>
      <c r="M1389" s="1" t="s">
        <v>67</v>
      </c>
      <c r="N1389" s="1" t="s">
        <v>56</v>
      </c>
      <c r="O1389">
        <v>12978</v>
      </c>
      <c r="P1389" t="b">
        <v>1</v>
      </c>
      <c r="Q1389">
        <v>1.75</v>
      </c>
      <c r="R1389">
        <v>618</v>
      </c>
      <c r="S1389">
        <v>31.295000000000002</v>
      </c>
      <c r="T1389" s="2">
        <v>44256</v>
      </c>
      <c r="U1389" s="1" t="s">
        <v>41</v>
      </c>
      <c r="V1389">
        <v>0</v>
      </c>
      <c r="W1389" s="1" t="s">
        <v>56</v>
      </c>
      <c r="X1389">
        <v>200</v>
      </c>
      <c r="Y1389" s="1" t="s">
        <v>43</v>
      </c>
      <c r="Z1389" s="1" t="s">
        <v>42</v>
      </c>
      <c r="AA1389">
        <v>4.5454545454545456E-2</v>
      </c>
      <c r="AB1389" s="1" t="s">
        <v>52</v>
      </c>
      <c r="AC1389">
        <v>2</v>
      </c>
      <c r="AD1389" s="2">
        <v>44256</v>
      </c>
      <c r="AE1389" s="1" t="s">
        <v>53</v>
      </c>
      <c r="AF1389" s="1" t="s">
        <v>54</v>
      </c>
      <c r="AG1389" s="1" t="s">
        <v>63</v>
      </c>
      <c r="AH1389" s="1" t="s">
        <v>64</v>
      </c>
      <c r="AI1389">
        <v>12978</v>
      </c>
      <c r="AJ1389">
        <v>0</v>
      </c>
    </row>
    <row r="1390" spans="1:36" x14ac:dyDescent="0.25">
      <c r="A1390">
        <v>11389</v>
      </c>
      <c r="B1390">
        <v>57</v>
      </c>
      <c r="C1390" s="1" t="s">
        <v>36</v>
      </c>
      <c r="D1390" s="1" t="s">
        <v>73</v>
      </c>
      <c r="E1390" s="2">
        <v>44239</v>
      </c>
      <c r="F1390" s="2">
        <v>44433</v>
      </c>
      <c r="G1390" s="1" t="s">
        <v>62</v>
      </c>
      <c r="H1390">
        <v>1072</v>
      </c>
      <c r="I1390">
        <v>1</v>
      </c>
      <c r="J1390">
        <v>0</v>
      </c>
      <c r="K1390">
        <v>94.51</v>
      </c>
      <c r="L1390">
        <v>20</v>
      </c>
      <c r="M1390" s="1" t="s">
        <v>65</v>
      </c>
      <c r="N1390" s="1" t="s">
        <v>56</v>
      </c>
      <c r="O1390">
        <v>857.6</v>
      </c>
      <c r="P1390" t="b">
        <v>1</v>
      </c>
      <c r="Q1390">
        <v>8.3333333333333329E-2</v>
      </c>
      <c r="R1390">
        <v>857.6</v>
      </c>
      <c r="S1390">
        <v>94.51</v>
      </c>
      <c r="T1390" s="2">
        <v>44228</v>
      </c>
      <c r="U1390" s="1" t="s">
        <v>41</v>
      </c>
      <c r="V1390">
        <v>0</v>
      </c>
      <c r="W1390" s="1" t="s">
        <v>56</v>
      </c>
      <c r="X1390">
        <v>194</v>
      </c>
      <c r="Y1390" s="1" t="s">
        <v>43</v>
      </c>
      <c r="Z1390" s="1" t="s">
        <v>52</v>
      </c>
      <c r="AA1390">
        <v>0</v>
      </c>
      <c r="AB1390" s="1" t="s">
        <v>42</v>
      </c>
      <c r="AC1390">
        <v>2</v>
      </c>
      <c r="AD1390" s="2">
        <v>44228</v>
      </c>
      <c r="AE1390" s="1" t="s">
        <v>58</v>
      </c>
      <c r="AF1390" s="1" t="s">
        <v>54</v>
      </c>
      <c r="AG1390" s="1" t="s">
        <v>63</v>
      </c>
      <c r="AH1390" s="1" t="s">
        <v>47</v>
      </c>
      <c r="AI1390">
        <v>1072</v>
      </c>
      <c r="AJ1390">
        <v>-214.39999999999998</v>
      </c>
    </row>
    <row r="1391" spans="1:36" x14ac:dyDescent="0.25">
      <c r="A1391">
        <v>11390</v>
      </c>
      <c r="B1391">
        <v>52</v>
      </c>
      <c r="C1391" s="1" t="s">
        <v>36</v>
      </c>
      <c r="D1391" s="1" t="s">
        <v>69</v>
      </c>
      <c r="E1391" s="2">
        <v>44862</v>
      </c>
      <c r="F1391" s="2">
        <v>44823</v>
      </c>
      <c r="G1391" s="1" t="s">
        <v>49</v>
      </c>
      <c r="H1391">
        <v>751</v>
      </c>
      <c r="I1391">
        <v>29</v>
      </c>
      <c r="J1391">
        <v>2</v>
      </c>
      <c r="K1391">
        <v>102.89</v>
      </c>
      <c r="L1391">
        <v>10</v>
      </c>
      <c r="M1391" s="1" t="s">
        <v>67</v>
      </c>
      <c r="N1391" s="1" t="s">
        <v>40</v>
      </c>
      <c r="O1391">
        <v>21703.9</v>
      </c>
      <c r="P1391" t="b">
        <v>0</v>
      </c>
      <c r="Q1391">
        <v>2.4166666666666665</v>
      </c>
      <c r="R1391">
        <v>748.4103448275863</v>
      </c>
      <c r="S1391">
        <v>34.296666666666667</v>
      </c>
      <c r="T1391" s="2">
        <v>44835</v>
      </c>
      <c r="U1391" s="1" t="s">
        <v>41</v>
      </c>
      <c r="V1391">
        <v>1</v>
      </c>
      <c r="W1391" s="1" t="s">
        <v>40</v>
      </c>
      <c r="Y1391" s="1" t="s">
        <v>43</v>
      </c>
      <c r="Z1391" s="1" t="s">
        <v>42</v>
      </c>
      <c r="AA1391">
        <v>6.6666666666666666E-2</v>
      </c>
      <c r="AB1391" s="1" t="s">
        <v>43</v>
      </c>
      <c r="AC1391">
        <v>3</v>
      </c>
      <c r="AD1391" s="2">
        <v>44835</v>
      </c>
      <c r="AE1391" s="1" t="s">
        <v>44</v>
      </c>
      <c r="AF1391" s="1" t="s">
        <v>72</v>
      </c>
      <c r="AG1391" s="1" t="s">
        <v>63</v>
      </c>
      <c r="AH1391" s="1" t="s">
        <v>59</v>
      </c>
      <c r="AI1391">
        <v>21779</v>
      </c>
      <c r="AJ1391">
        <v>-75.099999999998545</v>
      </c>
    </row>
    <row r="1392" spans="1:36" x14ac:dyDescent="0.25">
      <c r="A1392">
        <v>11391</v>
      </c>
      <c r="B1392">
        <v>51</v>
      </c>
      <c r="C1392" s="1" t="s">
        <v>60</v>
      </c>
      <c r="D1392" s="1" t="s">
        <v>61</v>
      </c>
      <c r="E1392" s="2">
        <v>45035</v>
      </c>
      <c r="F1392" s="2">
        <v>45154</v>
      </c>
      <c r="G1392" s="1" t="s">
        <v>49</v>
      </c>
      <c r="H1392">
        <v>1243</v>
      </c>
      <c r="I1392">
        <v>24</v>
      </c>
      <c r="J1392">
        <v>2</v>
      </c>
      <c r="K1392">
        <v>36.28</v>
      </c>
      <c r="L1392">
        <v>0</v>
      </c>
      <c r="M1392" s="1" t="s">
        <v>67</v>
      </c>
      <c r="N1392" s="1" t="s">
        <v>56</v>
      </c>
      <c r="O1392">
        <v>29832</v>
      </c>
      <c r="P1392" t="b">
        <v>1</v>
      </c>
      <c r="Q1392">
        <v>2</v>
      </c>
      <c r="R1392">
        <v>1243</v>
      </c>
      <c r="S1392">
        <v>12.093333333333334</v>
      </c>
      <c r="T1392" s="2">
        <v>45017</v>
      </c>
      <c r="U1392" s="1" t="s">
        <v>41</v>
      </c>
      <c r="V1392">
        <v>0</v>
      </c>
      <c r="W1392" s="1" t="s">
        <v>40</v>
      </c>
      <c r="X1392">
        <v>119</v>
      </c>
      <c r="Y1392" s="1" t="s">
        <v>52</v>
      </c>
      <c r="Z1392" s="1" t="s">
        <v>42</v>
      </c>
      <c r="AA1392">
        <v>0.08</v>
      </c>
      <c r="AB1392" s="1" t="s">
        <v>43</v>
      </c>
      <c r="AC1392">
        <v>3</v>
      </c>
      <c r="AD1392" s="2">
        <v>45017</v>
      </c>
      <c r="AE1392" s="1" t="s">
        <v>53</v>
      </c>
      <c r="AF1392" s="1" t="s">
        <v>72</v>
      </c>
      <c r="AG1392" s="1" t="s">
        <v>55</v>
      </c>
      <c r="AH1392" s="1" t="s">
        <v>47</v>
      </c>
      <c r="AI1392">
        <v>29832</v>
      </c>
      <c r="AJ1392">
        <v>0</v>
      </c>
    </row>
    <row r="1393" spans="1:36" x14ac:dyDescent="0.25">
      <c r="A1393">
        <v>11392</v>
      </c>
      <c r="B1393">
        <v>64</v>
      </c>
      <c r="C1393" s="1" t="s">
        <v>36</v>
      </c>
      <c r="D1393" s="1" t="s">
        <v>69</v>
      </c>
      <c r="E1393" s="2">
        <v>44802</v>
      </c>
      <c r="F1393" s="2">
        <v>45138</v>
      </c>
      <c r="G1393" s="1" t="s">
        <v>49</v>
      </c>
      <c r="H1393">
        <v>1147</v>
      </c>
      <c r="I1393">
        <v>30</v>
      </c>
      <c r="J1393">
        <v>0</v>
      </c>
      <c r="K1393">
        <v>73.25</v>
      </c>
      <c r="L1393">
        <v>20</v>
      </c>
      <c r="M1393" s="1" t="s">
        <v>67</v>
      </c>
      <c r="N1393" s="1" t="s">
        <v>56</v>
      </c>
      <c r="O1393">
        <v>34180.6</v>
      </c>
      <c r="P1393" t="b">
        <v>1</v>
      </c>
      <c r="Q1393">
        <v>2.5</v>
      </c>
      <c r="R1393">
        <v>1139.3533333333332</v>
      </c>
      <c r="S1393">
        <v>73.25</v>
      </c>
      <c r="T1393" s="2">
        <v>44774</v>
      </c>
      <c r="U1393" s="1" t="s">
        <v>41</v>
      </c>
      <c r="V1393">
        <v>0</v>
      </c>
      <c r="W1393" s="1" t="s">
        <v>40</v>
      </c>
      <c r="X1393">
        <v>336</v>
      </c>
      <c r="Y1393" s="1" t="s">
        <v>43</v>
      </c>
      <c r="Z1393" s="1" t="s">
        <v>52</v>
      </c>
      <c r="AA1393">
        <v>0</v>
      </c>
      <c r="AB1393" s="1" t="s">
        <v>43</v>
      </c>
      <c r="AC1393">
        <v>3</v>
      </c>
      <c r="AD1393" s="2">
        <v>44774</v>
      </c>
      <c r="AE1393" s="1" t="s">
        <v>44</v>
      </c>
      <c r="AF1393" s="1" t="s">
        <v>54</v>
      </c>
      <c r="AG1393" s="1" t="s">
        <v>63</v>
      </c>
      <c r="AH1393" s="1" t="s">
        <v>47</v>
      </c>
      <c r="AI1393">
        <v>34410</v>
      </c>
      <c r="AJ1393">
        <v>-229.40000000000146</v>
      </c>
    </row>
    <row r="1394" spans="1:36" x14ac:dyDescent="0.25">
      <c r="A1394">
        <v>11393</v>
      </c>
      <c r="B1394">
        <v>41</v>
      </c>
      <c r="C1394" s="1" t="s">
        <v>36</v>
      </c>
      <c r="D1394" s="1" t="s">
        <v>61</v>
      </c>
      <c r="E1394" s="2">
        <v>45006</v>
      </c>
      <c r="F1394" s="2">
        <v>44671</v>
      </c>
      <c r="G1394" s="1" t="s">
        <v>62</v>
      </c>
      <c r="H1394">
        <v>1316</v>
      </c>
      <c r="I1394">
        <v>35</v>
      </c>
      <c r="J1394">
        <v>0</v>
      </c>
      <c r="K1394">
        <v>37.57</v>
      </c>
      <c r="L1394">
        <v>5</v>
      </c>
      <c r="M1394" s="1" t="s">
        <v>65</v>
      </c>
      <c r="N1394" s="1" t="s">
        <v>56</v>
      </c>
      <c r="O1394">
        <v>45994.2</v>
      </c>
      <c r="P1394" t="b">
        <v>0</v>
      </c>
      <c r="Q1394">
        <v>2.9166666666666665</v>
      </c>
      <c r="R1394">
        <v>1314.12</v>
      </c>
      <c r="S1394">
        <v>37.57</v>
      </c>
      <c r="T1394" s="2">
        <v>44986</v>
      </c>
      <c r="U1394" s="1" t="s">
        <v>51</v>
      </c>
      <c r="V1394">
        <v>0</v>
      </c>
      <c r="W1394" s="1" t="s">
        <v>40</v>
      </c>
      <c r="Y1394" s="1" t="s">
        <v>52</v>
      </c>
      <c r="Z1394" s="1" t="s">
        <v>42</v>
      </c>
      <c r="AA1394">
        <v>0</v>
      </c>
      <c r="AB1394" s="1" t="s">
        <v>43</v>
      </c>
      <c r="AC1394">
        <v>2</v>
      </c>
      <c r="AD1394" s="2">
        <v>44986</v>
      </c>
      <c r="AE1394" s="1" t="s">
        <v>44</v>
      </c>
      <c r="AF1394" s="1" t="s">
        <v>54</v>
      </c>
      <c r="AG1394" s="1" t="s">
        <v>55</v>
      </c>
      <c r="AH1394" s="1" t="s">
        <v>47</v>
      </c>
      <c r="AI1394">
        <v>46060</v>
      </c>
      <c r="AJ1394">
        <v>-65.80000000000291</v>
      </c>
    </row>
    <row r="1395" spans="1:36" x14ac:dyDescent="0.25">
      <c r="A1395">
        <v>11394</v>
      </c>
      <c r="B1395">
        <v>39</v>
      </c>
      <c r="C1395" s="1" t="s">
        <v>36</v>
      </c>
      <c r="D1395" s="1" t="s">
        <v>48</v>
      </c>
      <c r="E1395" s="2">
        <v>44329</v>
      </c>
      <c r="F1395" s="2">
        <v>44527</v>
      </c>
      <c r="G1395" s="1" t="s">
        <v>38</v>
      </c>
      <c r="H1395">
        <v>1183</v>
      </c>
      <c r="I1395">
        <v>33</v>
      </c>
      <c r="J1395">
        <v>0</v>
      </c>
      <c r="K1395">
        <v>17.54</v>
      </c>
      <c r="L1395">
        <v>10</v>
      </c>
      <c r="M1395" s="1" t="s">
        <v>67</v>
      </c>
      <c r="N1395" s="1" t="s">
        <v>56</v>
      </c>
      <c r="O1395">
        <v>38920.699999999997</v>
      </c>
      <c r="P1395" t="b">
        <v>1</v>
      </c>
      <c r="Q1395">
        <v>2.75</v>
      </c>
      <c r="R1395">
        <v>1179.4151515151514</v>
      </c>
      <c r="S1395">
        <v>17.54</v>
      </c>
      <c r="T1395" s="2">
        <v>44317</v>
      </c>
      <c r="U1395" s="1" t="s">
        <v>51</v>
      </c>
      <c r="V1395">
        <v>0</v>
      </c>
      <c r="W1395" s="1" t="s">
        <v>40</v>
      </c>
      <c r="X1395">
        <v>198</v>
      </c>
      <c r="Y1395" s="1" t="s">
        <v>42</v>
      </c>
      <c r="Z1395" s="1" t="s">
        <v>42</v>
      </c>
      <c r="AA1395">
        <v>0</v>
      </c>
      <c r="AB1395" s="1" t="s">
        <v>43</v>
      </c>
      <c r="AC1395">
        <v>1</v>
      </c>
      <c r="AD1395" s="2">
        <v>44317</v>
      </c>
      <c r="AE1395" s="1" t="s">
        <v>44</v>
      </c>
      <c r="AF1395" s="1" t="s">
        <v>54</v>
      </c>
      <c r="AG1395" s="1" t="s">
        <v>46</v>
      </c>
      <c r="AH1395" s="1" t="s">
        <v>47</v>
      </c>
      <c r="AI1395">
        <v>39039</v>
      </c>
      <c r="AJ1395">
        <v>-118.30000000000291</v>
      </c>
    </row>
    <row r="1396" spans="1:36" x14ac:dyDescent="0.25">
      <c r="A1396">
        <v>11395</v>
      </c>
      <c r="B1396">
        <v>22</v>
      </c>
      <c r="C1396" s="1" t="s">
        <v>60</v>
      </c>
      <c r="D1396" s="1" t="s">
        <v>61</v>
      </c>
      <c r="E1396" s="2">
        <v>44591</v>
      </c>
      <c r="F1396" s="2">
        <v>44863</v>
      </c>
      <c r="G1396" s="1" t="s">
        <v>49</v>
      </c>
      <c r="H1396">
        <v>718</v>
      </c>
      <c r="I1396">
        <v>20</v>
      </c>
      <c r="J1396">
        <v>0</v>
      </c>
      <c r="K1396">
        <v>83.68</v>
      </c>
      <c r="L1396">
        <v>0</v>
      </c>
      <c r="M1396" s="1" t="s">
        <v>39</v>
      </c>
      <c r="N1396" s="1" t="s">
        <v>56</v>
      </c>
      <c r="O1396">
        <v>14360</v>
      </c>
      <c r="P1396" t="b">
        <v>1</v>
      </c>
      <c r="Q1396">
        <v>1.6666666666666667</v>
      </c>
      <c r="R1396">
        <v>718</v>
      </c>
      <c r="S1396">
        <v>83.68</v>
      </c>
      <c r="T1396" s="2">
        <v>44562</v>
      </c>
      <c r="U1396" s="1" t="s">
        <v>66</v>
      </c>
      <c r="V1396">
        <v>0</v>
      </c>
      <c r="W1396" s="1" t="s">
        <v>40</v>
      </c>
      <c r="X1396">
        <v>272</v>
      </c>
      <c r="Y1396" s="1" t="s">
        <v>43</v>
      </c>
      <c r="Z1396" s="1" t="s">
        <v>42</v>
      </c>
      <c r="AA1396">
        <v>0</v>
      </c>
      <c r="AB1396" s="1" t="s">
        <v>52</v>
      </c>
      <c r="AC1396">
        <v>3</v>
      </c>
      <c r="AD1396" s="2">
        <v>44562</v>
      </c>
      <c r="AE1396" s="1" t="s">
        <v>53</v>
      </c>
      <c r="AF1396" s="1" t="s">
        <v>54</v>
      </c>
      <c r="AG1396" s="1" t="s">
        <v>63</v>
      </c>
      <c r="AH1396" s="1" t="s">
        <v>59</v>
      </c>
      <c r="AI1396">
        <v>14360</v>
      </c>
      <c r="AJ1396">
        <v>0</v>
      </c>
    </row>
    <row r="1397" spans="1:36" x14ac:dyDescent="0.25">
      <c r="A1397">
        <v>11396</v>
      </c>
      <c r="B1397">
        <v>50</v>
      </c>
      <c r="C1397" s="1" t="s">
        <v>36</v>
      </c>
      <c r="D1397" s="1" t="s">
        <v>48</v>
      </c>
      <c r="E1397" s="2">
        <v>44261</v>
      </c>
      <c r="F1397" s="2">
        <v>44985</v>
      </c>
      <c r="G1397" s="1" t="s">
        <v>38</v>
      </c>
      <c r="H1397">
        <v>1164</v>
      </c>
      <c r="I1397">
        <v>16</v>
      </c>
      <c r="J1397">
        <v>2</v>
      </c>
      <c r="K1397">
        <v>21.44</v>
      </c>
      <c r="L1397">
        <v>0</v>
      </c>
      <c r="M1397" s="1" t="s">
        <v>67</v>
      </c>
      <c r="N1397" s="1" t="s">
        <v>40</v>
      </c>
      <c r="O1397">
        <v>18624</v>
      </c>
      <c r="P1397" t="b">
        <v>1</v>
      </c>
      <c r="Q1397">
        <v>1.3333333333333333</v>
      </c>
      <c r="R1397">
        <v>1164</v>
      </c>
      <c r="S1397">
        <v>7.1466666666666674</v>
      </c>
      <c r="T1397" s="2">
        <v>44256</v>
      </c>
      <c r="U1397" s="1" t="s">
        <v>51</v>
      </c>
      <c r="V1397">
        <v>1</v>
      </c>
      <c r="W1397" s="1" t="s">
        <v>40</v>
      </c>
      <c r="X1397">
        <v>724</v>
      </c>
      <c r="Y1397" s="1" t="s">
        <v>52</v>
      </c>
      <c r="Z1397" s="1" t="s">
        <v>42</v>
      </c>
      <c r="AA1397">
        <v>0.11764705882352941</v>
      </c>
      <c r="AB1397" s="1" t="s">
        <v>52</v>
      </c>
      <c r="AC1397">
        <v>1</v>
      </c>
      <c r="AD1397" s="2">
        <v>44256</v>
      </c>
      <c r="AE1397" s="1" t="s">
        <v>53</v>
      </c>
      <c r="AF1397" s="1" t="s">
        <v>72</v>
      </c>
      <c r="AG1397" s="1" t="s">
        <v>70</v>
      </c>
      <c r="AH1397" s="1" t="s">
        <v>47</v>
      </c>
      <c r="AI1397">
        <v>18624</v>
      </c>
      <c r="AJ1397">
        <v>0</v>
      </c>
    </row>
    <row r="1398" spans="1:36" x14ac:dyDescent="0.25">
      <c r="A1398">
        <v>11397</v>
      </c>
      <c r="B1398">
        <v>53</v>
      </c>
      <c r="C1398" s="1" t="s">
        <v>36</v>
      </c>
      <c r="D1398" s="1" t="s">
        <v>48</v>
      </c>
      <c r="E1398" s="2">
        <v>44486</v>
      </c>
      <c r="F1398" s="2">
        <v>44522</v>
      </c>
      <c r="G1398" s="1" t="s">
        <v>38</v>
      </c>
      <c r="H1398">
        <v>1088</v>
      </c>
      <c r="I1398">
        <v>9</v>
      </c>
      <c r="J1398">
        <v>3</v>
      </c>
      <c r="K1398">
        <v>81.790000000000006</v>
      </c>
      <c r="L1398">
        <v>0</v>
      </c>
      <c r="M1398" s="1" t="s">
        <v>39</v>
      </c>
      <c r="N1398" s="1" t="s">
        <v>56</v>
      </c>
      <c r="O1398">
        <v>9792</v>
      </c>
      <c r="P1398" t="b">
        <v>1</v>
      </c>
      <c r="Q1398">
        <v>0.75</v>
      </c>
      <c r="R1398">
        <v>1088</v>
      </c>
      <c r="S1398">
        <v>20.447500000000002</v>
      </c>
      <c r="T1398" s="2">
        <v>44470</v>
      </c>
      <c r="U1398" s="1" t="s">
        <v>41</v>
      </c>
      <c r="V1398">
        <v>0</v>
      </c>
      <c r="W1398" s="1" t="s">
        <v>56</v>
      </c>
      <c r="X1398">
        <v>36</v>
      </c>
      <c r="Y1398" s="1" t="s">
        <v>43</v>
      </c>
      <c r="Z1398" s="1" t="s">
        <v>42</v>
      </c>
      <c r="AA1398">
        <v>0.3</v>
      </c>
      <c r="AB1398" s="1" t="s">
        <v>52</v>
      </c>
      <c r="AC1398">
        <v>1</v>
      </c>
      <c r="AD1398" s="2">
        <v>44470</v>
      </c>
      <c r="AE1398" s="1" t="s">
        <v>74</v>
      </c>
      <c r="AF1398" s="1" t="s">
        <v>72</v>
      </c>
      <c r="AG1398" s="1" t="s">
        <v>63</v>
      </c>
      <c r="AH1398" s="1" t="s">
        <v>47</v>
      </c>
      <c r="AI1398">
        <v>9792</v>
      </c>
      <c r="AJ1398">
        <v>0</v>
      </c>
    </row>
    <row r="1399" spans="1:36" x14ac:dyDescent="0.25">
      <c r="A1399">
        <v>11398</v>
      </c>
      <c r="B1399">
        <v>64</v>
      </c>
      <c r="C1399" s="1" t="s">
        <v>36</v>
      </c>
      <c r="D1399" s="1" t="s">
        <v>37</v>
      </c>
      <c r="E1399" s="2">
        <v>44572</v>
      </c>
      <c r="F1399" s="2">
        <v>45110</v>
      </c>
      <c r="G1399" s="1" t="s">
        <v>38</v>
      </c>
      <c r="H1399">
        <v>794</v>
      </c>
      <c r="I1399">
        <v>31</v>
      </c>
      <c r="J1399">
        <v>2</v>
      </c>
      <c r="K1399">
        <v>79.52</v>
      </c>
      <c r="L1399">
        <v>20</v>
      </c>
      <c r="M1399" s="1" t="s">
        <v>67</v>
      </c>
      <c r="N1399" s="1" t="s">
        <v>56</v>
      </c>
      <c r="O1399">
        <v>24455.200000000001</v>
      </c>
      <c r="P1399" t="b">
        <v>1</v>
      </c>
      <c r="Q1399">
        <v>2.5833333333333335</v>
      </c>
      <c r="R1399">
        <v>788.87741935483871</v>
      </c>
      <c r="S1399">
        <v>26.506666666666664</v>
      </c>
      <c r="T1399" s="2">
        <v>44562</v>
      </c>
      <c r="U1399" s="1" t="s">
        <v>41</v>
      </c>
      <c r="V1399">
        <v>0</v>
      </c>
      <c r="W1399" s="1" t="s">
        <v>40</v>
      </c>
      <c r="X1399">
        <v>538</v>
      </c>
      <c r="Y1399" s="1" t="s">
        <v>43</v>
      </c>
      <c r="Z1399" s="1" t="s">
        <v>52</v>
      </c>
      <c r="AA1399">
        <v>6.25E-2</v>
      </c>
      <c r="AB1399" s="1" t="s">
        <v>43</v>
      </c>
      <c r="AC1399">
        <v>1</v>
      </c>
      <c r="AD1399" s="2">
        <v>44562</v>
      </c>
      <c r="AE1399" s="1" t="s">
        <v>44</v>
      </c>
      <c r="AF1399" s="1" t="s">
        <v>72</v>
      </c>
      <c r="AG1399" s="1" t="s">
        <v>63</v>
      </c>
      <c r="AH1399" s="1" t="s">
        <v>59</v>
      </c>
      <c r="AI1399">
        <v>24614</v>
      </c>
      <c r="AJ1399">
        <v>-158.79999999999927</v>
      </c>
    </row>
    <row r="1400" spans="1:36" x14ac:dyDescent="0.25">
      <c r="A1400">
        <v>11399</v>
      </c>
      <c r="B1400">
        <v>37</v>
      </c>
      <c r="C1400" s="1" t="s">
        <v>60</v>
      </c>
      <c r="D1400" s="1" t="s">
        <v>48</v>
      </c>
      <c r="E1400" s="2">
        <v>44965</v>
      </c>
      <c r="F1400" s="2">
        <v>44368</v>
      </c>
      <c r="G1400" s="1" t="s">
        <v>38</v>
      </c>
      <c r="H1400">
        <v>1362</v>
      </c>
      <c r="I1400">
        <v>17</v>
      </c>
      <c r="J1400">
        <v>2</v>
      </c>
      <c r="K1400">
        <v>98.18</v>
      </c>
      <c r="L1400">
        <v>5</v>
      </c>
      <c r="M1400" s="1" t="s">
        <v>65</v>
      </c>
      <c r="N1400" s="1" t="s">
        <v>56</v>
      </c>
      <c r="O1400">
        <v>23085.9</v>
      </c>
      <c r="P1400" t="b">
        <v>0</v>
      </c>
      <c r="Q1400">
        <v>1.4166666666666667</v>
      </c>
      <c r="R1400">
        <v>1357.9941176470588</v>
      </c>
      <c r="S1400">
        <v>32.726666666666667</v>
      </c>
      <c r="T1400" s="2">
        <v>44958</v>
      </c>
      <c r="U1400" s="1" t="s">
        <v>51</v>
      </c>
      <c r="V1400">
        <v>0</v>
      </c>
      <c r="W1400" s="1" t="s">
        <v>40</v>
      </c>
      <c r="Y1400" s="1" t="s">
        <v>43</v>
      </c>
      <c r="Z1400" s="1" t="s">
        <v>42</v>
      </c>
      <c r="AA1400">
        <v>0.1111111111111111</v>
      </c>
      <c r="AB1400" s="1" t="s">
        <v>43</v>
      </c>
      <c r="AC1400">
        <v>1</v>
      </c>
      <c r="AD1400" s="2">
        <v>44958</v>
      </c>
      <c r="AE1400" s="1" t="s">
        <v>53</v>
      </c>
      <c r="AF1400" s="1" t="s">
        <v>72</v>
      </c>
      <c r="AG1400" s="1" t="s">
        <v>63</v>
      </c>
      <c r="AH1400" s="1" t="s">
        <v>47</v>
      </c>
      <c r="AI1400">
        <v>23154</v>
      </c>
      <c r="AJ1400">
        <v>-68.099999999998545</v>
      </c>
    </row>
    <row r="1401" spans="1:36" x14ac:dyDescent="0.25">
      <c r="A1401">
        <v>11400</v>
      </c>
      <c r="B1401">
        <v>36</v>
      </c>
      <c r="C1401" s="1" t="s">
        <v>36</v>
      </c>
      <c r="D1401" s="1" t="s">
        <v>61</v>
      </c>
      <c r="E1401" s="2">
        <v>44663</v>
      </c>
      <c r="F1401" s="2">
        <v>44452</v>
      </c>
      <c r="G1401" s="1" t="s">
        <v>49</v>
      </c>
      <c r="H1401">
        <v>461</v>
      </c>
      <c r="I1401">
        <v>31</v>
      </c>
      <c r="J1401">
        <v>3</v>
      </c>
      <c r="K1401">
        <v>21.05</v>
      </c>
      <c r="L1401">
        <v>10</v>
      </c>
      <c r="M1401" s="1" t="s">
        <v>39</v>
      </c>
      <c r="N1401" s="1" t="s">
        <v>56</v>
      </c>
      <c r="O1401">
        <v>14244.9</v>
      </c>
      <c r="P1401" t="b">
        <v>0</v>
      </c>
      <c r="Q1401">
        <v>2.5833333333333335</v>
      </c>
      <c r="R1401">
        <v>459.51290322580644</v>
      </c>
      <c r="S1401">
        <v>5.2625000000000002</v>
      </c>
      <c r="T1401" s="2">
        <v>44652</v>
      </c>
      <c r="U1401" s="1" t="s">
        <v>51</v>
      </c>
      <c r="V1401">
        <v>0</v>
      </c>
      <c r="W1401" s="1" t="s">
        <v>40</v>
      </c>
      <c r="Y1401" s="1" t="s">
        <v>52</v>
      </c>
      <c r="Z1401" s="1" t="s">
        <v>42</v>
      </c>
      <c r="AA1401">
        <v>9.375E-2</v>
      </c>
      <c r="AB1401" s="1" t="s">
        <v>52</v>
      </c>
      <c r="AC1401">
        <v>3</v>
      </c>
      <c r="AD1401" s="2">
        <v>44652</v>
      </c>
      <c r="AE1401" s="1" t="s">
        <v>44</v>
      </c>
      <c r="AF1401" s="1" t="s">
        <v>72</v>
      </c>
      <c r="AG1401" s="1" t="s">
        <v>70</v>
      </c>
      <c r="AH1401" s="1" t="s">
        <v>68</v>
      </c>
      <c r="AI1401">
        <v>14291</v>
      </c>
      <c r="AJ1401">
        <v>-46.100000000000364</v>
      </c>
    </row>
    <row r="1402" spans="1:36" x14ac:dyDescent="0.25">
      <c r="A1402">
        <v>11401</v>
      </c>
      <c r="B1402">
        <v>52</v>
      </c>
      <c r="C1402" s="1" t="s">
        <v>60</v>
      </c>
      <c r="D1402" s="1" t="s">
        <v>37</v>
      </c>
      <c r="E1402" s="2">
        <v>45094</v>
      </c>
      <c r="F1402" s="2">
        <v>44925</v>
      </c>
      <c r="G1402" s="1" t="s">
        <v>62</v>
      </c>
      <c r="H1402">
        <v>420</v>
      </c>
      <c r="I1402">
        <v>23</v>
      </c>
      <c r="J1402">
        <v>2</v>
      </c>
      <c r="K1402">
        <v>95.1</v>
      </c>
      <c r="L1402">
        <v>0</v>
      </c>
      <c r="M1402" s="1" t="s">
        <v>67</v>
      </c>
      <c r="N1402" s="1" t="s">
        <v>56</v>
      </c>
      <c r="O1402">
        <v>9660</v>
      </c>
      <c r="P1402" t="b">
        <v>0</v>
      </c>
      <c r="Q1402">
        <v>1.9166666666666667</v>
      </c>
      <c r="R1402">
        <v>420</v>
      </c>
      <c r="S1402">
        <v>31.7</v>
      </c>
      <c r="T1402" s="2">
        <v>45078</v>
      </c>
      <c r="U1402" s="1" t="s">
        <v>41</v>
      </c>
      <c r="V1402">
        <v>0</v>
      </c>
      <c r="W1402" s="1" t="s">
        <v>56</v>
      </c>
      <c r="Y1402" s="1" t="s">
        <v>43</v>
      </c>
      <c r="Z1402" s="1" t="s">
        <v>42</v>
      </c>
      <c r="AA1402">
        <v>8.3333333333333329E-2</v>
      </c>
      <c r="AB1402" s="1" t="s">
        <v>52</v>
      </c>
      <c r="AC1402">
        <v>2</v>
      </c>
      <c r="AD1402" s="2">
        <v>45078</v>
      </c>
      <c r="AE1402" s="1" t="s">
        <v>53</v>
      </c>
      <c r="AF1402" s="1" t="s">
        <v>72</v>
      </c>
      <c r="AG1402" s="1" t="s">
        <v>63</v>
      </c>
      <c r="AH1402" s="1" t="s">
        <v>68</v>
      </c>
      <c r="AI1402">
        <v>9660</v>
      </c>
      <c r="AJ1402">
        <v>0</v>
      </c>
    </row>
    <row r="1403" spans="1:36" x14ac:dyDescent="0.25">
      <c r="A1403">
        <v>11402</v>
      </c>
      <c r="B1403">
        <v>60</v>
      </c>
      <c r="C1403" s="1" t="s">
        <v>36</v>
      </c>
      <c r="D1403" s="1" t="s">
        <v>37</v>
      </c>
      <c r="E1403" s="2">
        <v>44409</v>
      </c>
      <c r="F1403" s="2">
        <v>44790</v>
      </c>
      <c r="G1403" s="1" t="s">
        <v>62</v>
      </c>
      <c r="H1403">
        <v>698</v>
      </c>
      <c r="I1403">
        <v>6</v>
      </c>
      <c r="J1403">
        <v>3</v>
      </c>
      <c r="K1403">
        <v>119.92</v>
      </c>
      <c r="L1403">
        <v>15</v>
      </c>
      <c r="M1403" s="1" t="s">
        <v>67</v>
      </c>
      <c r="N1403" s="1" t="s">
        <v>56</v>
      </c>
      <c r="O1403">
        <v>4083.3</v>
      </c>
      <c r="P1403" t="b">
        <v>1</v>
      </c>
      <c r="Q1403">
        <v>0.5</v>
      </c>
      <c r="R1403">
        <v>680.55000000000007</v>
      </c>
      <c r="S1403">
        <v>29.98</v>
      </c>
      <c r="T1403" s="2">
        <v>44409</v>
      </c>
      <c r="U1403" s="1" t="s">
        <v>41</v>
      </c>
      <c r="V1403">
        <v>0</v>
      </c>
      <c r="W1403" s="1" t="s">
        <v>56</v>
      </c>
      <c r="X1403">
        <v>381</v>
      </c>
      <c r="Y1403" s="1" t="s">
        <v>43</v>
      </c>
      <c r="Z1403" s="1" t="s">
        <v>42</v>
      </c>
      <c r="AA1403">
        <v>0.42857142857142855</v>
      </c>
      <c r="AB1403" s="1" t="s">
        <v>42</v>
      </c>
      <c r="AC1403">
        <v>2</v>
      </c>
      <c r="AD1403" s="2">
        <v>44409</v>
      </c>
      <c r="AE1403" s="1" t="s">
        <v>58</v>
      </c>
      <c r="AF1403" s="1" t="s">
        <v>72</v>
      </c>
      <c r="AG1403" s="1" t="s">
        <v>63</v>
      </c>
      <c r="AH1403" s="1" t="s">
        <v>64</v>
      </c>
      <c r="AI1403">
        <v>4188</v>
      </c>
      <c r="AJ1403">
        <v>-104.69999999999982</v>
      </c>
    </row>
    <row r="1404" spans="1:36" x14ac:dyDescent="0.25">
      <c r="A1404">
        <v>11403</v>
      </c>
      <c r="B1404">
        <v>34</v>
      </c>
      <c r="C1404" s="1" t="s">
        <v>36</v>
      </c>
      <c r="D1404" s="1" t="s">
        <v>48</v>
      </c>
      <c r="E1404" s="2">
        <v>44344</v>
      </c>
      <c r="F1404" s="2">
        <v>45122</v>
      </c>
      <c r="G1404" s="1" t="s">
        <v>62</v>
      </c>
      <c r="H1404">
        <v>1027</v>
      </c>
      <c r="I1404">
        <v>30</v>
      </c>
      <c r="J1404">
        <v>3</v>
      </c>
      <c r="K1404">
        <v>102.87</v>
      </c>
      <c r="L1404">
        <v>10</v>
      </c>
      <c r="M1404" s="1" t="s">
        <v>67</v>
      </c>
      <c r="N1404" s="1" t="s">
        <v>56</v>
      </c>
      <c r="O1404">
        <v>30707.3</v>
      </c>
      <c r="P1404" t="b">
        <v>1</v>
      </c>
      <c r="Q1404">
        <v>2.5</v>
      </c>
      <c r="R1404">
        <v>1023.5766666666666</v>
      </c>
      <c r="S1404">
        <v>25.717500000000001</v>
      </c>
      <c r="T1404" s="2">
        <v>44317</v>
      </c>
      <c r="U1404" s="1" t="s">
        <v>57</v>
      </c>
      <c r="V1404">
        <v>0</v>
      </c>
      <c r="W1404" s="1" t="s">
        <v>40</v>
      </c>
      <c r="X1404">
        <v>778</v>
      </c>
      <c r="Y1404" s="1" t="s">
        <v>43</v>
      </c>
      <c r="Z1404" s="1" t="s">
        <v>42</v>
      </c>
      <c r="AA1404">
        <v>9.6774193548387094E-2</v>
      </c>
      <c r="AB1404" s="1" t="s">
        <v>43</v>
      </c>
      <c r="AC1404">
        <v>2</v>
      </c>
      <c r="AD1404" s="2">
        <v>44317</v>
      </c>
      <c r="AE1404" s="1" t="s">
        <v>44</v>
      </c>
      <c r="AF1404" s="1" t="s">
        <v>72</v>
      </c>
      <c r="AG1404" s="1" t="s">
        <v>63</v>
      </c>
      <c r="AH1404" s="1" t="s">
        <v>47</v>
      </c>
      <c r="AI1404">
        <v>30810</v>
      </c>
      <c r="AJ1404">
        <v>-102.70000000000073</v>
      </c>
    </row>
    <row r="1405" spans="1:36" x14ac:dyDescent="0.25">
      <c r="A1405">
        <v>11404</v>
      </c>
      <c r="B1405">
        <v>62</v>
      </c>
      <c r="C1405" s="1" t="s">
        <v>36</v>
      </c>
      <c r="D1405" s="1" t="s">
        <v>69</v>
      </c>
      <c r="E1405" s="2">
        <v>44769</v>
      </c>
      <c r="F1405" s="2">
        <v>44396</v>
      </c>
      <c r="G1405" s="1" t="s">
        <v>62</v>
      </c>
      <c r="H1405">
        <v>860</v>
      </c>
      <c r="I1405">
        <v>7</v>
      </c>
      <c r="J1405">
        <v>3</v>
      </c>
      <c r="K1405">
        <v>91.46</v>
      </c>
      <c r="L1405">
        <v>15</v>
      </c>
      <c r="M1405" s="1" t="s">
        <v>67</v>
      </c>
      <c r="N1405" s="1" t="s">
        <v>56</v>
      </c>
      <c r="O1405">
        <v>5891</v>
      </c>
      <c r="P1405" t="b">
        <v>0</v>
      </c>
      <c r="Q1405">
        <v>0.58333333333333337</v>
      </c>
      <c r="R1405">
        <v>841.57142857142856</v>
      </c>
      <c r="S1405">
        <v>22.864999999999998</v>
      </c>
      <c r="T1405" s="2">
        <v>44743</v>
      </c>
      <c r="U1405" s="1" t="s">
        <v>41</v>
      </c>
      <c r="V1405">
        <v>0</v>
      </c>
      <c r="W1405" s="1" t="s">
        <v>56</v>
      </c>
      <c r="Y1405" s="1" t="s">
        <v>43</v>
      </c>
      <c r="Z1405" s="1" t="s">
        <v>42</v>
      </c>
      <c r="AA1405">
        <v>0.375</v>
      </c>
      <c r="AB1405" s="1" t="s">
        <v>42</v>
      </c>
      <c r="AC1405">
        <v>2</v>
      </c>
      <c r="AD1405" s="2">
        <v>44743</v>
      </c>
      <c r="AE1405" s="1" t="s">
        <v>74</v>
      </c>
      <c r="AF1405" s="1" t="s">
        <v>72</v>
      </c>
      <c r="AG1405" s="1" t="s">
        <v>63</v>
      </c>
      <c r="AH1405" s="1" t="s">
        <v>59</v>
      </c>
      <c r="AI1405">
        <v>6020</v>
      </c>
      <c r="AJ1405">
        <v>-129</v>
      </c>
    </row>
    <row r="1406" spans="1:36" x14ac:dyDescent="0.25">
      <c r="A1406">
        <v>11405</v>
      </c>
      <c r="B1406">
        <v>41</v>
      </c>
      <c r="C1406" s="1" t="s">
        <v>36</v>
      </c>
      <c r="D1406" s="1" t="s">
        <v>69</v>
      </c>
      <c r="E1406" s="2">
        <v>44667</v>
      </c>
      <c r="F1406" s="2">
        <v>44875</v>
      </c>
      <c r="G1406" s="1" t="s">
        <v>38</v>
      </c>
      <c r="H1406">
        <v>903</v>
      </c>
      <c r="I1406">
        <v>11</v>
      </c>
      <c r="J1406">
        <v>2</v>
      </c>
      <c r="K1406">
        <v>81.150000000000006</v>
      </c>
      <c r="L1406">
        <v>20</v>
      </c>
      <c r="M1406" s="1" t="s">
        <v>65</v>
      </c>
      <c r="N1406" s="1" t="s">
        <v>40</v>
      </c>
      <c r="O1406">
        <v>9752.4</v>
      </c>
      <c r="P1406" t="b">
        <v>1</v>
      </c>
      <c r="Q1406">
        <v>0.91666666666666663</v>
      </c>
      <c r="R1406">
        <v>886.58181818181811</v>
      </c>
      <c r="S1406">
        <v>27.05</v>
      </c>
      <c r="T1406" s="2">
        <v>44652</v>
      </c>
      <c r="U1406" s="1" t="s">
        <v>51</v>
      </c>
      <c r="V1406">
        <v>1</v>
      </c>
      <c r="W1406" s="1" t="s">
        <v>56</v>
      </c>
      <c r="X1406">
        <v>208</v>
      </c>
      <c r="Y1406" s="1" t="s">
        <v>43</v>
      </c>
      <c r="Z1406" s="1" t="s">
        <v>52</v>
      </c>
      <c r="AA1406">
        <v>0.16666666666666666</v>
      </c>
      <c r="AB1406" s="1" t="s">
        <v>52</v>
      </c>
      <c r="AC1406">
        <v>1</v>
      </c>
      <c r="AD1406" s="2">
        <v>44652</v>
      </c>
      <c r="AE1406" s="1" t="s">
        <v>74</v>
      </c>
      <c r="AF1406" s="1" t="s">
        <v>72</v>
      </c>
      <c r="AG1406" s="1" t="s">
        <v>63</v>
      </c>
      <c r="AH1406" s="1" t="s">
        <v>59</v>
      </c>
      <c r="AI1406">
        <v>9933</v>
      </c>
      <c r="AJ1406">
        <v>-180.60000000000036</v>
      </c>
    </row>
    <row r="1407" spans="1:36" x14ac:dyDescent="0.25">
      <c r="A1407">
        <v>11406</v>
      </c>
      <c r="B1407">
        <v>51</v>
      </c>
      <c r="C1407" s="1" t="s">
        <v>60</v>
      </c>
      <c r="D1407" s="1" t="s">
        <v>76</v>
      </c>
      <c r="E1407" s="2">
        <v>44345</v>
      </c>
      <c r="F1407" s="2">
        <v>44492</v>
      </c>
      <c r="G1407" s="1" t="s">
        <v>62</v>
      </c>
      <c r="H1407">
        <v>1452</v>
      </c>
      <c r="I1407">
        <v>34</v>
      </c>
      <c r="J1407">
        <v>0</v>
      </c>
      <c r="K1407">
        <v>53.5</v>
      </c>
      <c r="L1407">
        <v>0</v>
      </c>
      <c r="M1407" s="1" t="s">
        <v>50</v>
      </c>
      <c r="N1407" s="1" t="s">
        <v>40</v>
      </c>
      <c r="O1407">
        <v>49368</v>
      </c>
      <c r="P1407" t="b">
        <v>1</v>
      </c>
      <c r="Q1407">
        <v>2.8333333333333335</v>
      </c>
      <c r="R1407">
        <v>1452</v>
      </c>
      <c r="S1407">
        <v>53.5</v>
      </c>
      <c r="T1407" s="2">
        <v>44317</v>
      </c>
      <c r="U1407" s="1" t="s">
        <v>41</v>
      </c>
      <c r="V1407">
        <v>1</v>
      </c>
      <c r="W1407" s="1" t="s">
        <v>40</v>
      </c>
      <c r="X1407">
        <v>147</v>
      </c>
      <c r="Y1407" s="1" t="s">
        <v>52</v>
      </c>
      <c r="Z1407" s="1" t="s">
        <v>42</v>
      </c>
      <c r="AA1407">
        <v>0</v>
      </c>
      <c r="AB1407" s="1" t="s">
        <v>43</v>
      </c>
      <c r="AC1407">
        <v>2</v>
      </c>
      <c r="AD1407" s="2">
        <v>44317</v>
      </c>
      <c r="AE1407" s="1" t="s">
        <v>44</v>
      </c>
      <c r="AF1407" s="1" t="s">
        <v>54</v>
      </c>
      <c r="AG1407" s="1" t="s">
        <v>63</v>
      </c>
      <c r="AH1407" s="1" t="s">
        <v>47</v>
      </c>
      <c r="AI1407">
        <v>49368</v>
      </c>
      <c r="AJ1407">
        <v>0</v>
      </c>
    </row>
    <row r="1408" spans="1:36" x14ac:dyDescent="0.25">
      <c r="A1408">
        <v>11407</v>
      </c>
      <c r="B1408">
        <v>26</v>
      </c>
      <c r="C1408" s="1" t="s">
        <v>75</v>
      </c>
      <c r="D1408" s="1" t="s">
        <v>37</v>
      </c>
      <c r="E1408" s="2">
        <v>44284</v>
      </c>
      <c r="F1408" s="2">
        <v>44687</v>
      </c>
      <c r="G1408" s="1" t="s">
        <v>62</v>
      </c>
      <c r="H1408">
        <v>839</v>
      </c>
      <c r="I1408">
        <v>12</v>
      </c>
      <c r="J1408">
        <v>4</v>
      </c>
      <c r="K1408">
        <v>89.01</v>
      </c>
      <c r="L1408">
        <v>10</v>
      </c>
      <c r="M1408" s="1" t="s">
        <v>39</v>
      </c>
      <c r="N1408" s="1" t="s">
        <v>56</v>
      </c>
      <c r="O1408">
        <v>9984.1</v>
      </c>
      <c r="P1408" t="b">
        <v>1</v>
      </c>
      <c r="Q1408">
        <v>1</v>
      </c>
      <c r="R1408">
        <v>832.00833333333333</v>
      </c>
      <c r="S1408">
        <v>17.802</v>
      </c>
      <c r="T1408" s="2">
        <v>44256</v>
      </c>
      <c r="U1408" s="1" t="s">
        <v>57</v>
      </c>
      <c r="V1408">
        <v>0</v>
      </c>
      <c r="W1408" s="1" t="s">
        <v>56</v>
      </c>
      <c r="X1408">
        <v>403</v>
      </c>
      <c r="Y1408" s="1" t="s">
        <v>43</v>
      </c>
      <c r="Z1408" s="1" t="s">
        <v>42</v>
      </c>
      <c r="AA1408">
        <v>0.30769230769230771</v>
      </c>
      <c r="AB1408" s="1" t="s">
        <v>52</v>
      </c>
      <c r="AC1408">
        <v>2</v>
      </c>
      <c r="AD1408" s="2">
        <v>44256</v>
      </c>
      <c r="AE1408" s="1" t="s">
        <v>74</v>
      </c>
      <c r="AF1408" s="1" t="s">
        <v>45</v>
      </c>
      <c r="AG1408" s="1" t="s">
        <v>63</v>
      </c>
      <c r="AH1408" s="1" t="s">
        <v>59</v>
      </c>
      <c r="AI1408">
        <v>10068</v>
      </c>
      <c r="AJ1408">
        <v>-83.899999999999636</v>
      </c>
    </row>
    <row r="1409" spans="1:36" x14ac:dyDescent="0.25">
      <c r="A1409">
        <v>11408</v>
      </c>
      <c r="B1409">
        <v>43</v>
      </c>
      <c r="C1409" s="1" t="s">
        <v>60</v>
      </c>
      <c r="D1409" s="1" t="s">
        <v>48</v>
      </c>
      <c r="E1409" s="2">
        <v>44520</v>
      </c>
      <c r="F1409" s="2">
        <v>45109</v>
      </c>
      <c r="G1409" s="1" t="s">
        <v>38</v>
      </c>
      <c r="H1409">
        <v>655</v>
      </c>
      <c r="I1409">
        <v>27</v>
      </c>
      <c r="J1409">
        <v>1</v>
      </c>
      <c r="K1409">
        <v>88.28</v>
      </c>
      <c r="L1409">
        <v>10</v>
      </c>
      <c r="M1409" s="1" t="s">
        <v>67</v>
      </c>
      <c r="N1409" s="1" t="s">
        <v>56</v>
      </c>
      <c r="O1409">
        <v>17619.5</v>
      </c>
      <c r="P1409" t="b">
        <v>1</v>
      </c>
      <c r="Q1409">
        <v>2.25</v>
      </c>
      <c r="R1409">
        <v>652.57407407407402</v>
      </c>
      <c r="S1409">
        <v>44.14</v>
      </c>
      <c r="T1409" s="2">
        <v>44501</v>
      </c>
      <c r="U1409" s="1" t="s">
        <v>51</v>
      </c>
      <c r="V1409">
        <v>0</v>
      </c>
      <c r="W1409" s="1" t="s">
        <v>40</v>
      </c>
      <c r="X1409">
        <v>589</v>
      </c>
      <c r="Y1409" s="1" t="s">
        <v>43</v>
      </c>
      <c r="Z1409" s="1" t="s">
        <v>42</v>
      </c>
      <c r="AA1409">
        <v>3.5714285714285712E-2</v>
      </c>
      <c r="AB1409" s="1" t="s">
        <v>52</v>
      </c>
      <c r="AC1409">
        <v>1</v>
      </c>
      <c r="AD1409" s="2">
        <v>44501</v>
      </c>
      <c r="AE1409" s="1" t="s">
        <v>44</v>
      </c>
      <c r="AF1409" s="1" t="s">
        <v>54</v>
      </c>
      <c r="AG1409" s="1" t="s">
        <v>63</v>
      </c>
      <c r="AH1409" s="1" t="s">
        <v>64</v>
      </c>
      <c r="AI1409">
        <v>17685</v>
      </c>
      <c r="AJ1409">
        <v>-65.5</v>
      </c>
    </row>
    <row r="1410" spans="1:36" x14ac:dyDescent="0.25">
      <c r="A1410">
        <v>11409</v>
      </c>
      <c r="B1410">
        <v>19</v>
      </c>
      <c r="C1410" s="1" t="s">
        <v>36</v>
      </c>
      <c r="D1410" s="1" t="s">
        <v>69</v>
      </c>
      <c r="E1410" s="2">
        <v>45091</v>
      </c>
      <c r="F1410" s="2">
        <v>45202</v>
      </c>
      <c r="G1410" s="1" t="s">
        <v>62</v>
      </c>
      <c r="H1410">
        <v>959</v>
      </c>
      <c r="I1410">
        <v>12</v>
      </c>
      <c r="J1410">
        <v>2</v>
      </c>
      <c r="K1410">
        <v>77.62</v>
      </c>
      <c r="L1410">
        <v>0</v>
      </c>
      <c r="M1410" s="1" t="s">
        <v>65</v>
      </c>
      <c r="N1410" s="1" t="s">
        <v>56</v>
      </c>
      <c r="O1410">
        <v>11508</v>
      </c>
      <c r="P1410" t="b">
        <v>1</v>
      </c>
      <c r="Q1410">
        <v>1</v>
      </c>
      <c r="R1410">
        <v>959</v>
      </c>
      <c r="S1410">
        <v>25.873333333333335</v>
      </c>
      <c r="T1410" s="2">
        <v>45078</v>
      </c>
      <c r="U1410" s="1" t="s">
        <v>66</v>
      </c>
      <c r="V1410">
        <v>0</v>
      </c>
      <c r="W1410" s="1" t="s">
        <v>56</v>
      </c>
      <c r="X1410">
        <v>111</v>
      </c>
      <c r="Y1410" s="1" t="s">
        <v>43</v>
      </c>
      <c r="Z1410" s="1" t="s">
        <v>42</v>
      </c>
      <c r="AA1410">
        <v>0.15384615384615385</v>
      </c>
      <c r="AB1410" s="1" t="s">
        <v>52</v>
      </c>
      <c r="AC1410">
        <v>2</v>
      </c>
      <c r="AD1410" s="2">
        <v>45078</v>
      </c>
      <c r="AE1410" s="1" t="s">
        <v>74</v>
      </c>
      <c r="AF1410" s="1" t="s">
        <v>72</v>
      </c>
      <c r="AG1410" s="1" t="s">
        <v>63</v>
      </c>
      <c r="AH1410" s="1" t="s">
        <v>59</v>
      </c>
      <c r="AI1410">
        <v>11508</v>
      </c>
      <c r="AJ1410">
        <v>0</v>
      </c>
    </row>
    <row r="1411" spans="1:36" x14ac:dyDescent="0.25">
      <c r="A1411">
        <v>11410</v>
      </c>
      <c r="B1411">
        <v>26</v>
      </c>
      <c r="C1411" s="1" t="s">
        <v>36</v>
      </c>
      <c r="D1411" s="1" t="s">
        <v>48</v>
      </c>
      <c r="E1411" s="2">
        <v>44592</v>
      </c>
      <c r="F1411" s="2">
        <v>44701</v>
      </c>
      <c r="G1411" s="1" t="s">
        <v>38</v>
      </c>
      <c r="H1411">
        <v>731</v>
      </c>
      <c r="I1411">
        <v>13</v>
      </c>
      <c r="J1411">
        <v>3</v>
      </c>
      <c r="K1411">
        <v>96.57</v>
      </c>
      <c r="L1411">
        <v>5</v>
      </c>
      <c r="M1411" s="1" t="s">
        <v>50</v>
      </c>
      <c r="N1411" s="1" t="s">
        <v>56</v>
      </c>
      <c r="O1411">
        <v>9466.4500000000007</v>
      </c>
      <c r="P1411" t="b">
        <v>1</v>
      </c>
      <c r="Q1411">
        <v>1.0833333333333333</v>
      </c>
      <c r="R1411">
        <v>728.18846153846164</v>
      </c>
      <c r="S1411">
        <v>24.142499999999998</v>
      </c>
      <c r="T1411" s="2">
        <v>44562</v>
      </c>
      <c r="U1411" s="1" t="s">
        <v>57</v>
      </c>
      <c r="V1411">
        <v>0</v>
      </c>
      <c r="W1411" s="1" t="s">
        <v>56</v>
      </c>
      <c r="X1411">
        <v>109</v>
      </c>
      <c r="Y1411" s="1" t="s">
        <v>43</v>
      </c>
      <c r="Z1411" s="1" t="s">
        <v>42</v>
      </c>
      <c r="AA1411">
        <v>0.21428571428571427</v>
      </c>
      <c r="AB1411" s="1" t="s">
        <v>52</v>
      </c>
      <c r="AC1411">
        <v>1</v>
      </c>
      <c r="AD1411" s="2">
        <v>44562</v>
      </c>
      <c r="AE1411" s="1" t="s">
        <v>53</v>
      </c>
      <c r="AF1411" s="1" t="s">
        <v>72</v>
      </c>
      <c r="AG1411" s="1" t="s">
        <v>63</v>
      </c>
      <c r="AH1411" s="1" t="s">
        <v>59</v>
      </c>
      <c r="AI1411">
        <v>9503</v>
      </c>
      <c r="AJ1411">
        <v>-36.549999999999272</v>
      </c>
    </row>
    <row r="1412" spans="1:36" x14ac:dyDescent="0.25">
      <c r="A1412">
        <v>11411</v>
      </c>
      <c r="B1412">
        <v>26</v>
      </c>
      <c r="C1412" s="1" t="s">
        <v>36</v>
      </c>
      <c r="D1412" s="1" t="s">
        <v>48</v>
      </c>
      <c r="E1412" s="2">
        <v>44986</v>
      </c>
      <c r="F1412" s="2">
        <v>44422</v>
      </c>
      <c r="G1412" s="1" t="s">
        <v>38</v>
      </c>
      <c r="H1412">
        <v>1388</v>
      </c>
      <c r="I1412">
        <v>8</v>
      </c>
      <c r="J1412">
        <v>5</v>
      </c>
      <c r="K1412">
        <v>56.61</v>
      </c>
      <c r="L1412">
        <v>20</v>
      </c>
      <c r="M1412" s="1" t="s">
        <v>65</v>
      </c>
      <c r="N1412" s="1" t="s">
        <v>56</v>
      </c>
      <c r="O1412">
        <v>10826.4</v>
      </c>
      <c r="P1412" t="b">
        <v>0</v>
      </c>
      <c r="Q1412">
        <v>0.66666666666666663</v>
      </c>
      <c r="R1412">
        <v>1353.3</v>
      </c>
      <c r="S1412">
        <v>9.4350000000000005</v>
      </c>
      <c r="T1412" s="2">
        <v>44986</v>
      </c>
      <c r="U1412" s="1" t="s">
        <v>57</v>
      </c>
      <c r="V1412">
        <v>0</v>
      </c>
      <c r="W1412" s="1" t="s">
        <v>56</v>
      </c>
      <c r="Y1412" s="1" t="s">
        <v>52</v>
      </c>
      <c r="Z1412" s="1" t="s">
        <v>52</v>
      </c>
      <c r="AA1412">
        <v>0.55555555555555558</v>
      </c>
      <c r="AB1412" s="1" t="s">
        <v>52</v>
      </c>
      <c r="AC1412">
        <v>1</v>
      </c>
      <c r="AD1412" s="2">
        <v>44986</v>
      </c>
      <c r="AE1412" s="1" t="s">
        <v>74</v>
      </c>
      <c r="AF1412" s="1" t="s">
        <v>45</v>
      </c>
      <c r="AG1412" s="1" t="s">
        <v>63</v>
      </c>
      <c r="AH1412" s="1" t="s">
        <v>47</v>
      </c>
      <c r="AI1412">
        <v>11104</v>
      </c>
      <c r="AJ1412">
        <v>-277.60000000000036</v>
      </c>
    </row>
    <row r="1413" spans="1:36" x14ac:dyDescent="0.25">
      <c r="A1413">
        <v>11412</v>
      </c>
      <c r="B1413">
        <v>57</v>
      </c>
      <c r="C1413" s="1" t="s">
        <v>60</v>
      </c>
      <c r="D1413" s="1" t="s">
        <v>37</v>
      </c>
      <c r="E1413" s="2">
        <v>44600</v>
      </c>
      <c r="F1413" s="2">
        <v>45149</v>
      </c>
      <c r="G1413" s="1" t="s">
        <v>38</v>
      </c>
      <c r="H1413">
        <v>862</v>
      </c>
      <c r="I1413">
        <v>16</v>
      </c>
      <c r="J1413">
        <v>1</v>
      </c>
      <c r="K1413">
        <v>18.940000000000001</v>
      </c>
      <c r="L1413">
        <v>0</v>
      </c>
      <c r="M1413" s="1" t="s">
        <v>67</v>
      </c>
      <c r="N1413" s="1" t="s">
        <v>56</v>
      </c>
      <c r="O1413">
        <v>13792</v>
      </c>
      <c r="P1413" t="b">
        <v>1</v>
      </c>
      <c r="Q1413">
        <v>1.3333333333333333</v>
      </c>
      <c r="R1413">
        <v>862</v>
      </c>
      <c r="S1413">
        <v>9.4700000000000006</v>
      </c>
      <c r="T1413" s="2">
        <v>44593</v>
      </c>
      <c r="U1413" s="1" t="s">
        <v>41</v>
      </c>
      <c r="V1413">
        <v>0</v>
      </c>
      <c r="W1413" s="1" t="s">
        <v>40</v>
      </c>
      <c r="X1413">
        <v>549</v>
      </c>
      <c r="Y1413" s="1" t="s">
        <v>42</v>
      </c>
      <c r="Z1413" s="1" t="s">
        <v>42</v>
      </c>
      <c r="AA1413">
        <v>5.8823529411764705E-2</v>
      </c>
      <c r="AB1413" s="1" t="s">
        <v>52</v>
      </c>
      <c r="AC1413">
        <v>1</v>
      </c>
      <c r="AD1413" s="2">
        <v>44593</v>
      </c>
      <c r="AE1413" s="1" t="s">
        <v>53</v>
      </c>
      <c r="AF1413" s="1" t="s">
        <v>54</v>
      </c>
      <c r="AG1413" s="1" t="s">
        <v>46</v>
      </c>
      <c r="AH1413" s="1" t="s">
        <v>59</v>
      </c>
      <c r="AI1413">
        <v>13792</v>
      </c>
      <c r="AJ1413">
        <v>0</v>
      </c>
    </row>
    <row r="1414" spans="1:36" x14ac:dyDescent="0.25">
      <c r="A1414">
        <v>11413</v>
      </c>
      <c r="B1414">
        <v>34</v>
      </c>
      <c r="C1414" s="1" t="s">
        <v>36</v>
      </c>
      <c r="D1414" s="1" t="s">
        <v>73</v>
      </c>
      <c r="E1414" s="2">
        <v>44278</v>
      </c>
      <c r="F1414" s="2">
        <v>45141</v>
      </c>
      <c r="G1414" s="1" t="s">
        <v>38</v>
      </c>
      <c r="H1414">
        <v>1116</v>
      </c>
      <c r="I1414">
        <v>29</v>
      </c>
      <c r="J1414">
        <v>2</v>
      </c>
      <c r="K1414">
        <v>69.290000000000006</v>
      </c>
      <c r="L1414">
        <v>10</v>
      </c>
      <c r="M1414" s="1" t="s">
        <v>50</v>
      </c>
      <c r="N1414" s="1" t="s">
        <v>56</v>
      </c>
      <c r="O1414">
        <v>32252.400000000001</v>
      </c>
      <c r="P1414" t="b">
        <v>1</v>
      </c>
      <c r="Q1414">
        <v>2.4166666666666665</v>
      </c>
      <c r="R1414">
        <v>1112.1517241379311</v>
      </c>
      <c r="S1414">
        <v>23.096666666666668</v>
      </c>
      <c r="T1414" s="2">
        <v>44256</v>
      </c>
      <c r="U1414" s="1" t="s">
        <v>57</v>
      </c>
      <c r="V1414">
        <v>0</v>
      </c>
      <c r="W1414" s="1" t="s">
        <v>40</v>
      </c>
      <c r="X1414">
        <v>863</v>
      </c>
      <c r="Y1414" s="1" t="s">
        <v>43</v>
      </c>
      <c r="Z1414" s="1" t="s">
        <v>42</v>
      </c>
      <c r="AA1414">
        <v>6.6666666666666666E-2</v>
      </c>
      <c r="AB1414" s="1" t="s">
        <v>43</v>
      </c>
      <c r="AC1414">
        <v>1</v>
      </c>
      <c r="AD1414" s="2">
        <v>44256</v>
      </c>
      <c r="AE1414" s="1" t="s">
        <v>44</v>
      </c>
      <c r="AF1414" s="1" t="s">
        <v>72</v>
      </c>
      <c r="AG1414" s="1" t="s">
        <v>63</v>
      </c>
      <c r="AH1414" s="1" t="s">
        <v>47</v>
      </c>
      <c r="AI1414">
        <v>32364</v>
      </c>
      <c r="AJ1414">
        <v>-111.59999999999854</v>
      </c>
    </row>
    <row r="1415" spans="1:36" x14ac:dyDescent="0.25">
      <c r="A1415">
        <v>11414</v>
      </c>
      <c r="B1415">
        <v>18</v>
      </c>
      <c r="C1415" s="1" t="s">
        <v>36</v>
      </c>
      <c r="D1415" s="1" t="s">
        <v>37</v>
      </c>
      <c r="E1415" s="2">
        <v>44837</v>
      </c>
      <c r="F1415" s="2">
        <v>44925</v>
      </c>
      <c r="G1415" s="1" t="s">
        <v>49</v>
      </c>
      <c r="H1415">
        <v>1397</v>
      </c>
      <c r="I1415">
        <v>35</v>
      </c>
      <c r="J1415">
        <v>2</v>
      </c>
      <c r="K1415">
        <v>35.479999999999997</v>
      </c>
      <c r="L1415">
        <v>5</v>
      </c>
      <c r="M1415" s="1" t="s">
        <v>39</v>
      </c>
      <c r="N1415" s="1" t="s">
        <v>40</v>
      </c>
      <c r="O1415">
        <v>48825.15</v>
      </c>
      <c r="P1415" t="b">
        <v>1</v>
      </c>
      <c r="Q1415">
        <v>2.9166666666666665</v>
      </c>
      <c r="R1415">
        <v>1395.0042857142857</v>
      </c>
      <c r="S1415">
        <v>11.826666666666666</v>
      </c>
      <c r="T1415" s="2">
        <v>44835</v>
      </c>
      <c r="U1415" s="1" t="s">
        <v>66</v>
      </c>
      <c r="V1415">
        <v>1</v>
      </c>
      <c r="W1415" s="1" t="s">
        <v>40</v>
      </c>
      <c r="X1415">
        <v>88</v>
      </c>
      <c r="Y1415" s="1" t="s">
        <v>52</v>
      </c>
      <c r="Z1415" s="1" t="s">
        <v>42</v>
      </c>
      <c r="AA1415">
        <v>5.5555555555555552E-2</v>
      </c>
      <c r="AB1415" s="1" t="s">
        <v>43</v>
      </c>
      <c r="AC1415">
        <v>3</v>
      </c>
      <c r="AD1415" s="2">
        <v>44835</v>
      </c>
      <c r="AE1415" s="1" t="s">
        <v>44</v>
      </c>
      <c r="AF1415" s="1" t="s">
        <v>72</v>
      </c>
      <c r="AG1415" s="1" t="s">
        <v>55</v>
      </c>
      <c r="AH1415" s="1" t="s">
        <v>47</v>
      </c>
      <c r="AI1415">
        <v>48895</v>
      </c>
      <c r="AJ1415">
        <v>-69.849999999998545</v>
      </c>
    </row>
    <row r="1416" spans="1:36" x14ac:dyDescent="0.25">
      <c r="A1416">
        <v>11415</v>
      </c>
      <c r="B1416">
        <v>42</v>
      </c>
      <c r="C1416" s="1" t="s">
        <v>60</v>
      </c>
      <c r="D1416" s="1" t="s">
        <v>71</v>
      </c>
      <c r="E1416" s="2">
        <v>44482</v>
      </c>
      <c r="F1416" s="2">
        <v>44984</v>
      </c>
      <c r="G1416" s="1" t="s">
        <v>49</v>
      </c>
      <c r="H1416">
        <v>1010</v>
      </c>
      <c r="I1416">
        <v>29</v>
      </c>
      <c r="J1416">
        <v>3</v>
      </c>
      <c r="K1416">
        <v>49.21</v>
      </c>
      <c r="L1416">
        <v>10</v>
      </c>
      <c r="M1416" s="1" t="s">
        <v>39</v>
      </c>
      <c r="N1416" s="1" t="s">
        <v>56</v>
      </c>
      <c r="O1416">
        <v>29189</v>
      </c>
      <c r="P1416" t="b">
        <v>1</v>
      </c>
      <c r="Q1416">
        <v>2.4166666666666665</v>
      </c>
      <c r="R1416">
        <v>1006.5172413793103</v>
      </c>
      <c r="S1416">
        <v>12.3025</v>
      </c>
      <c r="T1416" s="2">
        <v>44470</v>
      </c>
      <c r="U1416" s="1" t="s">
        <v>51</v>
      </c>
      <c r="V1416">
        <v>0</v>
      </c>
      <c r="W1416" s="1" t="s">
        <v>40</v>
      </c>
      <c r="X1416">
        <v>502</v>
      </c>
      <c r="Y1416" s="1" t="s">
        <v>52</v>
      </c>
      <c r="Z1416" s="1" t="s">
        <v>42</v>
      </c>
      <c r="AA1416">
        <v>0.1</v>
      </c>
      <c r="AB1416" s="1" t="s">
        <v>43</v>
      </c>
      <c r="AC1416">
        <v>3</v>
      </c>
      <c r="AD1416" s="2">
        <v>44470</v>
      </c>
      <c r="AE1416" s="1" t="s">
        <v>44</v>
      </c>
      <c r="AF1416" s="1" t="s">
        <v>72</v>
      </c>
      <c r="AG1416" s="1" t="s">
        <v>63</v>
      </c>
      <c r="AH1416" s="1" t="s">
        <v>47</v>
      </c>
      <c r="AI1416">
        <v>29290</v>
      </c>
      <c r="AJ1416">
        <v>-101</v>
      </c>
    </row>
    <row r="1417" spans="1:36" x14ac:dyDescent="0.25">
      <c r="A1417">
        <v>11416</v>
      </c>
      <c r="B1417">
        <v>60</v>
      </c>
      <c r="C1417" s="1" t="s">
        <v>36</v>
      </c>
      <c r="D1417" s="1" t="s">
        <v>69</v>
      </c>
      <c r="E1417" s="2">
        <v>44578</v>
      </c>
      <c r="F1417" s="2">
        <v>44666</v>
      </c>
      <c r="G1417" s="1" t="s">
        <v>38</v>
      </c>
      <c r="H1417">
        <v>311</v>
      </c>
      <c r="I1417">
        <v>31</v>
      </c>
      <c r="J1417">
        <v>3</v>
      </c>
      <c r="K1417">
        <v>7</v>
      </c>
      <c r="L1417">
        <v>15</v>
      </c>
      <c r="M1417" s="1" t="s">
        <v>65</v>
      </c>
      <c r="N1417" s="1" t="s">
        <v>56</v>
      </c>
      <c r="O1417">
        <v>9594.35</v>
      </c>
      <c r="P1417" t="b">
        <v>1</v>
      </c>
      <c r="Q1417">
        <v>2.5833333333333335</v>
      </c>
      <c r="R1417">
        <v>309.49516129032259</v>
      </c>
      <c r="S1417">
        <v>1.75</v>
      </c>
      <c r="T1417" s="2">
        <v>44562</v>
      </c>
      <c r="U1417" s="1" t="s">
        <v>41</v>
      </c>
      <c r="V1417">
        <v>0</v>
      </c>
      <c r="W1417" s="1" t="s">
        <v>56</v>
      </c>
      <c r="X1417">
        <v>88</v>
      </c>
      <c r="Y1417" s="1" t="s">
        <v>42</v>
      </c>
      <c r="Z1417" s="1" t="s">
        <v>42</v>
      </c>
      <c r="AA1417">
        <v>9.375E-2</v>
      </c>
      <c r="AB1417" s="1" t="s">
        <v>52</v>
      </c>
      <c r="AC1417">
        <v>1</v>
      </c>
      <c r="AD1417" s="2">
        <v>44562</v>
      </c>
      <c r="AE1417" s="1" t="s">
        <v>44</v>
      </c>
      <c r="AF1417" s="1" t="s">
        <v>72</v>
      </c>
      <c r="AG1417" s="1" t="s">
        <v>77</v>
      </c>
      <c r="AH1417" s="1" t="s">
        <v>68</v>
      </c>
      <c r="AI1417">
        <v>9641</v>
      </c>
      <c r="AJ1417">
        <v>-46.649999999999636</v>
      </c>
    </row>
    <row r="1418" spans="1:36" x14ac:dyDescent="0.25">
      <c r="A1418">
        <v>11417</v>
      </c>
      <c r="B1418">
        <v>57</v>
      </c>
      <c r="C1418" s="1" t="s">
        <v>60</v>
      </c>
      <c r="D1418" s="1" t="s">
        <v>69</v>
      </c>
      <c r="E1418" s="2">
        <v>45061</v>
      </c>
      <c r="F1418" s="2">
        <v>44434</v>
      </c>
      <c r="G1418" s="1" t="s">
        <v>62</v>
      </c>
      <c r="H1418">
        <v>538</v>
      </c>
      <c r="I1418">
        <v>13</v>
      </c>
      <c r="J1418">
        <v>1</v>
      </c>
      <c r="K1418">
        <v>49.02</v>
      </c>
      <c r="L1418">
        <v>10</v>
      </c>
      <c r="M1418" s="1" t="s">
        <v>39</v>
      </c>
      <c r="N1418" s="1" t="s">
        <v>56</v>
      </c>
      <c r="O1418">
        <v>6940.2</v>
      </c>
      <c r="P1418" t="b">
        <v>0</v>
      </c>
      <c r="Q1418">
        <v>1.0833333333333333</v>
      </c>
      <c r="R1418">
        <v>533.86153846153843</v>
      </c>
      <c r="S1418">
        <v>24.51</v>
      </c>
      <c r="T1418" s="2">
        <v>45047</v>
      </c>
      <c r="U1418" s="1" t="s">
        <v>41</v>
      </c>
      <c r="V1418">
        <v>0</v>
      </c>
      <c r="W1418" s="1" t="s">
        <v>56</v>
      </c>
      <c r="Y1418" s="1" t="s">
        <v>52</v>
      </c>
      <c r="Z1418" s="1" t="s">
        <v>42</v>
      </c>
      <c r="AA1418">
        <v>7.1428571428571425E-2</v>
      </c>
      <c r="AB1418" s="1" t="s">
        <v>42</v>
      </c>
      <c r="AC1418">
        <v>2</v>
      </c>
      <c r="AD1418" s="2">
        <v>45047</v>
      </c>
      <c r="AE1418" s="1" t="s">
        <v>53</v>
      </c>
      <c r="AF1418" s="1" t="s">
        <v>54</v>
      </c>
      <c r="AG1418" s="1" t="s">
        <v>63</v>
      </c>
      <c r="AH1418" s="1" t="s">
        <v>64</v>
      </c>
      <c r="AI1418">
        <v>6994</v>
      </c>
      <c r="AJ1418">
        <v>-53.800000000000182</v>
      </c>
    </row>
    <row r="1419" spans="1:36" x14ac:dyDescent="0.25">
      <c r="A1419">
        <v>11418</v>
      </c>
      <c r="B1419">
        <v>59</v>
      </c>
      <c r="C1419" s="1" t="s">
        <v>60</v>
      </c>
      <c r="D1419" s="1" t="s">
        <v>69</v>
      </c>
      <c r="E1419" s="2">
        <v>44988</v>
      </c>
      <c r="F1419" s="2">
        <v>44900</v>
      </c>
      <c r="G1419" s="1" t="s">
        <v>62</v>
      </c>
      <c r="H1419">
        <v>752</v>
      </c>
      <c r="I1419">
        <v>12</v>
      </c>
      <c r="J1419">
        <v>4</v>
      </c>
      <c r="K1419">
        <v>98.01</v>
      </c>
      <c r="L1419">
        <v>20</v>
      </c>
      <c r="M1419" s="1" t="s">
        <v>39</v>
      </c>
      <c r="N1419" s="1" t="s">
        <v>56</v>
      </c>
      <c r="O1419">
        <v>8873.6</v>
      </c>
      <c r="P1419" t="b">
        <v>0</v>
      </c>
      <c r="Q1419">
        <v>1</v>
      </c>
      <c r="R1419">
        <v>739.4666666666667</v>
      </c>
      <c r="S1419">
        <v>19.602</v>
      </c>
      <c r="T1419" s="2">
        <v>44986</v>
      </c>
      <c r="U1419" s="1" t="s">
        <v>41</v>
      </c>
      <c r="V1419">
        <v>0</v>
      </c>
      <c r="W1419" s="1" t="s">
        <v>56</v>
      </c>
      <c r="Y1419" s="1" t="s">
        <v>43</v>
      </c>
      <c r="Z1419" s="1" t="s">
        <v>52</v>
      </c>
      <c r="AA1419">
        <v>0.30769230769230771</v>
      </c>
      <c r="AB1419" s="1" t="s">
        <v>52</v>
      </c>
      <c r="AC1419">
        <v>2</v>
      </c>
      <c r="AD1419" s="2">
        <v>44986</v>
      </c>
      <c r="AE1419" s="1" t="s">
        <v>74</v>
      </c>
      <c r="AF1419" s="1" t="s">
        <v>45</v>
      </c>
      <c r="AG1419" s="1" t="s">
        <v>63</v>
      </c>
      <c r="AH1419" s="1" t="s">
        <v>59</v>
      </c>
      <c r="AI1419">
        <v>9024</v>
      </c>
      <c r="AJ1419">
        <v>-150.39999999999964</v>
      </c>
    </row>
    <row r="1420" spans="1:36" x14ac:dyDescent="0.25">
      <c r="A1420">
        <v>11419</v>
      </c>
      <c r="B1420">
        <v>42</v>
      </c>
      <c r="C1420" s="1" t="s">
        <v>60</v>
      </c>
      <c r="D1420" s="1" t="s">
        <v>61</v>
      </c>
      <c r="E1420" s="2">
        <v>44466</v>
      </c>
      <c r="F1420" s="2">
        <v>45045</v>
      </c>
      <c r="G1420" s="1" t="s">
        <v>38</v>
      </c>
      <c r="H1420">
        <v>682</v>
      </c>
      <c r="I1420">
        <v>2</v>
      </c>
      <c r="J1420">
        <v>2</v>
      </c>
      <c r="K1420">
        <v>67.41</v>
      </c>
      <c r="L1420">
        <v>0</v>
      </c>
      <c r="M1420" s="1" t="s">
        <v>50</v>
      </c>
      <c r="N1420" s="1" t="s">
        <v>40</v>
      </c>
      <c r="O1420">
        <v>1364</v>
      </c>
      <c r="P1420" t="b">
        <v>1</v>
      </c>
      <c r="Q1420">
        <v>0.16666666666666666</v>
      </c>
      <c r="R1420">
        <v>682</v>
      </c>
      <c r="S1420">
        <v>22.47</v>
      </c>
      <c r="T1420" s="2">
        <v>44440</v>
      </c>
      <c r="U1420" s="1" t="s">
        <v>51</v>
      </c>
      <c r="V1420">
        <v>1</v>
      </c>
      <c r="W1420" s="1" t="s">
        <v>56</v>
      </c>
      <c r="X1420">
        <v>579</v>
      </c>
      <c r="Y1420" s="1" t="s">
        <v>43</v>
      </c>
      <c r="Z1420" s="1" t="s">
        <v>42</v>
      </c>
      <c r="AA1420">
        <v>0.66666666666666663</v>
      </c>
      <c r="AB1420" s="1" t="s">
        <v>42</v>
      </c>
      <c r="AC1420">
        <v>1</v>
      </c>
      <c r="AD1420" s="2">
        <v>44440</v>
      </c>
      <c r="AE1420" s="1" t="s">
        <v>58</v>
      </c>
      <c r="AF1420" s="1" t="s">
        <v>72</v>
      </c>
      <c r="AG1420" s="1" t="s">
        <v>63</v>
      </c>
      <c r="AH1420" s="1" t="s">
        <v>64</v>
      </c>
      <c r="AI1420">
        <v>1364</v>
      </c>
      <c r="AJ1420">
        <v>0</v>
      </c>
    </row>
    <row r="1421" spans="1:36" x14ac:dyDescent="0.25">
      <c r="A1421">
        <v>11420</v>
      </c>
      <c r="B1421">
        <v>56</v>
      </c>
      <c r="C1421" s="1" t="s">
        <v>60</v>
      </c>
      <c r="D1421" s="1" t="s">
        <v>48</v>
      </c>
      <c r="E1421" s="2">
        <v>44488</v>
      </c>
      <c r="F1421" s="2">
        <v>45213</v>
      </c>
      <c r="G1421" s="1" t="s">
        <v>38</v>
      </c>
      <c r="H1421">
        <v>1081</v>
      </c>
      <c r="I1421">
        <v>33</v>
      </c>
      <c r="J1421">
        <v>3</v>
      </c>
      <c r="K1421">
        <v>6.13</v>
      </c>
      <c r="L1421">
        <v>10</v>
      </c>
      <c r="M1421" s="1" t="s">
        <v>39</v>
      </c>
      <c r="N1421" s="1" t="s">
        <v>56</v>
      </c>
      <c r="O1421">
        <v>35564.9</v>
      </c>
      <c r="P1421" t="b">
        <v>1</v>
      </c>
      <c r="Q1421">
        <v>2.75</v>
      </c>
      <c r="R1421">
        <v>1077.7242424242424</v>
      </c>
      <c r="S1421">
        <v>1.5325</v>
      </c>
      <c r="T1421" s="2">
        <v>44470</v>
      </c>
      <c r="U1421" s="1" t="s">
        <v>41</v>
      </c>
      <c r="V1421">
        <v>0</v>
      </c>
      <c r="W1421" s="1" t="s">
        <v>40</v>
      </c>
      <c r="X1421">
        <v>725</v>
      </c>
      <c r="Y1421" s="1" t="s">
        <v>42</v>
      </c>
      <c r="Z1421" s="1" t="s">
        <v>42</v>
      </c>
      <c r="AA1421">
        <v>8.8235294117647065E-2</v>
      </c>
      <c r="AB1421" s="1" t="s">
        <v>43</v>
      </c>
      <c r="AC1421">
        <v>1</v>
      </c>
      <c r="AD1421" s="2">
        <v>44470</v>
      </c>
      <c r="AE1421" s="1" t="s">
        <v>44</v>
      </c>
      <c r="AF1421" s="1" t="s">
        <v>72</v>
      </c>
      <c r="AG1421" s="1" t="s">
        <v>77</v>
      </c>
      <c r="AH1421" s="1" t="s">
        <v>47</v>
      </c>
      <c r="AI1421">
        <v>35673</v>
      </c>
      <c r="AJ1421">
        <v>-108.09999999999854</v>
      </c>
    </row>
    <row r="1422" spans="1:36" x14ac:dyDescent="0.25">
      <c r="A1422">
        <v>11421</v>
      </c>
      <c r="B1422">
        <v>52</v>
      </c>
      <c r="C1422" s="1" t="s">
        <v>36</v>
      </c>
      <c r="D1422" s="1" t="s">
        <v>37</v>
      </c>
      <c r="E1422" s="2">
        <v>44649</v>
      </c>
      <c r="F1422" s="2">
        <v>45239</v>
      </c>
      <c r="G1422" s="1" t="s">
        <v>49</v>
      </c>
      <c r="H1422">
        <v>347</v>
      </c>
      <c r="I1422">
        <v>8</v>
      </c>
      <c r="J1422">
        <v>1</v>
      </c>
      <c r="K1422">
        <v>59.03</v>
      </c>
      <c r="L1422">
        <v>15</v>
      </c>
      <c r="M1422" s="1" t="s">
        <v>50</v>
      </c>
      <c r="N1422" s="1" t="s">
        <v>56</v>
      </c>
      <c r="O1422">
        <v>2723.95</v>
      </c>
      <c r="P1422" t="b">
        <v>1</v>
      </c>
      <c r="Q1422">
        <v>0.66666666666666663</v>
      </c>
      <c r="R1422">
        <v>340.49374999999998</v>
      </c>
      <c r="S1422">
        <v>29.515000000000001</v>
      </c>
      <c r="T1422" s="2">
        <v>44621</v>
      </c>
      <c r="U1422" s="1" t="s">
        <v>41</v>
      </c>
      <c r="V1422">
        <v>0</v>
      </c>
      <c r="W1422" s="1" t="s">
        <v>56</v>
      </c>
      <c r="X1422">
        <v>590</v>
      </c>
      <c r="Y1422" s="1" t="s">
        <v>52</v>
      </c>
      <c r="Z1422" s="1" t="s">
        <v>42</v>
      </c>
      <c r="AA1422">
        <v>0.1111111111111111</v>
      </c>
      <c r="AB1422" s="1" t="s">
        <v>42</v>
      </c>
      <c r="AC1422">
        <v>3</v>
      </c>
      <c r="AD1422" s="2">
        <v>44621</v>
      </c>
      <c r="AE1422" s="1" t="s">
        <v>74</v>
      </c>
      <c r="AF1422" s="1" t="s">
        <v>54</v>
      </c>
      <c r="AG1422" s="1" t="s">
        <v>63</v>
      </c>
      <c r="AH1422" s="1" t="s">
        <v>68</v>
      </c>
      <c r="AI1422">
        <v>2776</v>
      </c>
      <c r="AJ1422">
        <v>-52.050000000000182</v>
      </c>
    </row>
    <row r="1423" spans="1:36" x14ac:dyDescent="0.25">
      <c r="A1423">
        <v>11422</v>
      </c>
      <c r="B1423">
        <v>20</v>
      </c>
      <c r="C1423" s="1" t="s">
        <v>60</v>
      </c>
      <c r="D1423" s="1" t="s">
        <v>69</v>
      </c>
      <c r="E1423" s="2">
        <v>44911</v>
      </c>
      <c r="F1423" s="2">
        <v>45194</v>
      </c>
      <c r="G1423" s="1" t="s">
        <v>62</v>
      </c>
      <c r="H1423">
        <v>616</v>
      </c>
      <c r="I1423">
        <v>32</v>
      </c>
      <c r="J1423">
        <v>3</v>
      </c>
      <c r="K1423">
        <v>38.520000000000003</v>
      </c>
      <c r="L1423">
        <v>15</v>
      </c>
      <c r="M1423" s="1" t="s">
        <v>50</v>
      </c>
      <c r="N1423" s="1" t="s">
        <v>56</v>
      </c>
      <c r="O1423">
        <v>19619.599999999999</v>
      </c>
      <c r="P1423" t="b">
        <v>1</v>
      </c>
      <c r="Q1423">
        <v>2.6666666666666665</v>
      </c>
      <c r="R1423">
        <v>613.11249999999995</v>
      </c>
      <c r="S1423">
        <v>9.6300000000000008</v>
      </c>
      <c r="T1423" s="2">
        <v>44896</v>
      </c>
      <c r="U1423" s="1" t="s">
        <v>66</v>
      </c>
      <c r="V1423">
        <v>0</v>
      </c>
      <c r="W1423" s="1" t="s">
        <v>40</v>
      </c>
      <c r="X1423">
        <v>283</v>
      </c>
      <c r="Y1423" s="1" t="s">
        <v>52</v>
      </c>
      <c r="Z1423" s="1" t="s">
        <v>42</v>
      </c>
      <c r="AA1423">
        <v>9.0909090909090912E-2</v>
      </c>
      <c r="AB1423" s="1" t="s">
        <v>43</v>
      </c>
      <c r="AC1423">
        <v>2</v>
      </c>
      <c r="AD1423" s="2">
        <v>44896</v>
      </c>
      <c r="AE1423" s="1" t="s">
        <v>44</v>
      </c>
      <c r="AF1423" s="1" t="s">
        <v>72</v>
      </c>
      <c r="AG1423" s="1" t="s">
        <v>55</v>
      </c>
      <c r="AH1423" s="1" t="s">
        <v>64</v>
      </c>
      <c r="AI1423">
        <v>19712</v>
      </c>
      <c r="AJ1423">
        <v>-92.400000000001455</v>
      </c>
    </row>
    <row r="1424" spans="1:36" x14ac:dyDescent="0.25">
      <c r="A1424">
        <v>11423</v>
      </c>
      <c r="B1424">
        <v>41</v>
      </c>
      <c r="C1424" s="1" t="s">
        <v>60</v>
      </c>
      <c r="D1424" s="1" t="s">
        <v>71</v>
      </c>
      <c r="E1424" s="2">
        <v>44220</v>
      </c>
      <c r="F1424" s="2">
        <v>45125</v>
      </c>
      <c r="G1424" s="1" t="s">
        <v>49</v>
      </c>
      <c r="H1424">
        <v>508</v>
      </c>
      <c r="I1424">
        <v>28</v>
      </c>
      <c r="J1424">
        <v>1</v>
      </c>
      <c r="K1424">
        <v>59.92</v>
      </c>
      <c r="L1424">
        <v>0</v>
      </c>
      <c r="M1424" s="1" t="s">
        <v>50</v>
      </c>
      <c r="N1424" s="1" t="s">
        <v>56</v>
      </c>
      <c r="O1424">
        <v>14224</v>
      </c>
      <c r="P1424" t="b">
        <v>1</v>
      </c>
      <c r="Q1424">
        <v>2.3333333333333335</v>
      </c>
      <c r="R1424">
        <v>508</v>
      </c>
      <c r="S1424">
        <v>29.96</v>
      </c>
      <c r="T1424" s="2">
        <v>44197</v>
      </c>
      <c r="U1424" s="1" t="s">
        <v>51</v>
      </c>
      <c r="V1424">
        <v>0</v>
      </c>
      <c r="W1424" s="1" t="s">
        <v>40</v>
      </c>
      <c r="X1424">
        <v>905</v>
      </c>
      <c r="Y1424" s="1" t="s">
        <v>52</v>
      </c>
      <c r="Z1424" s="1" t="s">
        <v>42</v>
      </c>
      <c r="AA1424">
        <v>3.4482758620689655E-2</v>
      </c>
      <c r="AB1424" s="1" t="s">
        <v>52</v>
      </c>
      <c r="AC1424">
        <v>3</v>
      </c>
      <c r="AD1424" s="2">
        <v>44197</v>
      </c>
      <c r="AE1424" s="1" t="s">
        <v>44</v>
      </c>
      <c r="AF1424" s="1" t="s">
        <v>54</v>
      </c>
      <c r="AG1424" s="1" t="s">
        <v>63</v>
      </c>
      <c r="AH1424" s="1" t="s">
        <v>64</v>
      </c>
      <c r="AI1424">
        <v>14224</v>
      </c>
      <c r="AJ1424">
        <v>0</v>
      </c>
    </row>
    <row r="1425" spans="1:36" x14ac:dyDescent="0.25">
      <c r="A1425">
        <v>11424</v>
      </c>
      <c r="B1425">
        <v>61</v>
      </c>
      <c r="C1425" s="1" t="s">
        <v>60</v>
      </c>
      <c r="D1425" s="1" t="s">
        <v>69</v>
      </c>
      <c r="E1425" s="2">
        <v>45059</v>
      </c>
      <c r="F1425" s="2">
        <v>45130</v>
      </c>
      <c r="G1425" s="1" t="s">
        <v>38</v>
      </c>
      <c r="H1425">
        <v>1442</v>
      </c>
      <c r="I1425">
        <v>15</v>
      </c>
      <c r="J1425">
        <v>1</v>
      </c>
      <c r="K1425">
        <v>51.54</v>
      </c>
      <c r="L1425">
        <v>15</v>
      </c>
      <c r="M1425" s="1" t="s">
        <v>39</v>
      </c>
      <c r="N1425" s="1" t="s">
        <v>56</v>
      </c>
      <c r="O1425">
        <v>21413.7</v>
      </c>
      <c r="P1425" t="b">
        <v>1</v>
      </c>
      <c r="Q1425">
        <v>1.25</v>
      </c>
      <c r="R1425">
        <v>1427.5800000000002</v>
      </c>
      <c r="S1425">
        <v>25.77</v>
      </c>
      <c r="T1425" s="2">
        <v>45047</v>
      </c>
      <c r="U1425" s="1" t="s">
        <v>41</v>
      </c>
      <c r="V1425">
        <v>0</v>
      </c>
      <c r="W1425" s="1" t="s">
        <v>40</v>
      </c>
      <c r="X1425">
        <v>71</v>
      </c>
      <c r="Y1425" s="1" t="s">
        <v>52</v>
      </c>
      <c r="Z1425" s="1" t="s">
        <v>42</v>
      </c>
      <c r="AA1425">
        <v>6.25E-2</v>
      </c>
      <c r="AB1425" s="1" t="s">
        <v>43</v>
      </c>
      <c r="AC1425">
        <v>1</v>
      </c>
      <c r="AD1425" s="2">
        <v>45047</v>
      </c>
      <c r="AE1425" s="1" t="s">
        <v>53</v>
      </c>
      <c r="AF1425" s="1" t="s">
        <v>54</v>
      </c>
      <c r="AG1425" s="1" t="s">
        <v>63</v>
      </c>
      <c r="AH1425" s="1" t="s">
        <v>47</v>
      </c>
      <c r="AI1425">
        <v>21630</v>
      </c>
      <c r="AJ1425">
        <v>-216.29999999999927</v>
      </c>
    </row>
    <row r="1426" spans="1:36" x14ac:dyDescent="0.25">
      <c r="A1426">
        <v>11425</v>
      </c>
      <c r="B1426">
        <v>61</v>
      </c>
      <c r="C1426" s="1" t="s">
        <v>36</v>
      </c>
      <c r="D1426" s="1" t="s">
        <v>73</v>
      </c>
      <c r="E1426" s="2">
        <v>44507</v>
      </c>
      <c r="F1426" s="2">
        <v>44389</v>
      </c>
      <c r="G1426" s="1" t="s">
        <v>62</v>
      </c>
      <c r="H1426">
        <v>876</v>
      </c>
      <c r="I1426">
        <v>23</v>
      </c>
      <c r="J1426">
        <v>1</v>
      </c>
      <c r="K1426">
        <v>112.18</v>
      </c>
      <c r="L1426">
        <v>0</v>
      </c>
      <c r="M1426" s="1" t="s">
        <v>65</v>
      </c>
      <c r="N1426" s="1" t="s">
        <v>40</v>
      </c>
      <c r="O1426">
        <v>20148</v>
      </c>
      <c r="P1426" t="b">
        <v>0</v>
      </c>
      <c r="Q1426">
        <v>1.9166666666666667</v>
      </c>
      <c r="R1426">
        <v>876</v>
      </c>
      <c r="S1426">
        <v>56.09</v>
      </c>
      <c r="T1426" s="2">
        <v>44501</v>
      </c>
      <c r="U1426" s="1" t="s">
        <v>41</v>
      </c>
      <c r="V1426">
        <v>1</v>
      </c>
      <c r="W1426" s="1" t="s">
        <v>40</v>
      </c>
      <c r="Y1426" s="1" t="s">
        <v>43</v>
      </c>
      <c r="Z1426" s="1" t="s">
        <v>42</v>
      </c>
      <c r="AA1426">
        <v>4.1666666666666664E-2</v>
      </c>
      <c r="AB1426" s="1" t="s">
        <v>43</v>
      </c>
      <c r="AC1426">
        <v>2</v>
      </c>
      <c r="AD1426" s="2">
        <v>44501</v>
      </c>
      <c r="AE1426" s="1" t="s">
        <v>53</v>
      </c>
      <c r="AF1426" s="1" t="s">
        <v>54</v>
      </c>
      <c r="AG1426" s="1" t="s">
        <v>63</v>
      </c>
      <c r="AH1426" s="1" t="s">
        <v>59</v>
      </c>
      <c r="AI1426">
        <v>20148</v>
      </c>
      <c r="AJ1426">
        <v>0</v>
      </c>
    </row>
    <row r="1427" spans="1:36" x14ac:dyDescent="0.25">
      <c r="A1427">
        <v>11426</v>
      </c>
      <c r="B1427">
        <v>47</v>
      </c>
      <c r="C1427" s="1" t="s">
        <v>36</v>
      </c>
      <c r="D1427" s="1" t="s">
        <v>76</v>
      </c>
      <c r="E1427" s="2">
        <v>44657</v>
      </c>
      <c r="F1427" s="2">
        <v>44440</v>
      </c>
      <c r="G1427" s="1" t="s">
        <v>38</v>
      </c>
      <c r="H1427">
        <v>614</v>
      </c>
      <c r="I1427">
        <v>24</v>
      </c>
      <c r="J1427">
        <v>4</v>
      </c>
      <c r="K1427">
        <v>9.74</v>
      </c>
      <c r="L1427">
        <v>20</v>
      </c>
      <c r="M1427" s="1" t="s">
        <v>65</v>
      </c>
      <c r="N1427" s="1" t="s">
        <v>56</v>
      </c>
      <c r="O1427">
        <v>14613.2</v>
      </c>
      <c r="P1427" t="b">
        <v>0</v>
      </c>
      <c r="Q1427">
        <v>2</v>
      </c>
      <c r="R1427">
        <v>608.88333333333333</v>
      </c>
      <c r="S1427">
        <v>1.948</v>
      </c>
      <c r="T1427" s="2">
        <v>44652</v>
      </c>
      <c r="U1427" s="1" t="s">
        <v>51</v>
      </c>
      <c r="V1427">
        <v>0</v>
      </c>
      <c r="W1427" s="1" t="s">
        <v>40</v>
      </c>
      <c r="Y1427" s="1" t="s">
        <v>42</v>
      </c>
      <c r="Z1427" s="1" t="s">
        <v>52</v>
      </c>
      <c r="AA1427">
        <v>0.16</v>
      </c>
      <c r="AB1427" s="1" t="s">
        <v>52</v>
      </c>
      <c r="AC1427">
        <v>1</v>
      </c>
      <c r="AD1427" s="2">
        <v>44652</v>
      </c>
      <c r="AE1427" s="1" t="s">
        <v>53</v>
      </c>
      <c r="AF1427" s="1" t="s">
        <v>45</v>
      </c>
      <c r="AG1427" s="1" t="s">
        <v>77</v>
      </c>
      <c r="AH1427" s="1" t="s">
        <v>64</v>
      </c>
      <c r="AI1427">
        <v>14736</v>
      </c>
      <c r="AJ1427">
        <v>-122.79999999999927</v>
      </c>
    </row>
    <row r="1428" spans="1:36" x14ac:dyDescent="0.25">
      <c r="A1428">
        <v>11427</v>
      </c>
      <c r="B1428">
        <v>55</v>
      </c>
      <c r="C1428" s="1" t="s">
        <v>60</v>
      </c>
      <c r="D1428" s="1" t="s">
        <v>48</v>
      </c>
      <c r="E1428" s="2">
        <v>44404</v>
      </c>
      <c r="F1428" s="2">
        <v>45044</v>
      </c>
      <c r="G1428" s="1" t="s">
        <v>38</v>
      </c>
      <c r="H1428">
        <v>1053</v>
      </c>
      <c r="I1428">
        <v>13</v>
      </c>
      <c r="J1428">
        <v>2</v>
      </c>
      <c r="K1428">
        <v>83.61</v>
      </c>
      <c r="L1428">
        <v>0</v>
      </c>
      <c r="M1428" s="1" t="s">
        <v>39</v>
      </c>
      <c r="N1428" s="1" t="s">
        <v>56</v>
      </c>
      <c r="O1428">
        <v>13689</v>
      </c>
      <c r="P1428" t="b">
        <v>1</v>
      </c>
      <c r="Q1428">
        <v>1.0833333333333333</v>
      </c>
      <c r="R1428">
        <v>1053</v>
      </c>
      <c r="S1428">
        <v>27.87</v>
      </c>
      <c r="T1428" s="2">
        <v>44378</v>
      </c>
      <c r="U1428" s="1" t="s">
        <v>41</v>
      </c>
      <c r="V1428">
        <v>0</v>
      </c>
      <c r="W1428" s="1" t="s">
        <v>40</v>
      </c>
      <c r="X1428">
        <v>640</v>
      </c>
      <c r="Y1428" s="1" t="s">
        <v>43</v>
      </c>
      <c r="Z1428" s="1" t="s">
        <v>42</v>
      </c>
      <c r="AA1428">
        <v>0.14285714285714285</v>
      </c>
      <c r="AB1428" s="1" t="s">
        <v>52</v>
      </c>
      <c r="AC1428">
        <v>1</v>
      </c>
      <c r="AD1428" s="2">
        <v>44378</v>
      </c>
      <c r="AE1428" s="1" t="s">
        <v>53</v>
      </c>
      <c r="AF1428" s="1" t="s">
        <v>72</v>
      </c>
      <c r="AG1428" s="1" t="s">
        <v>63</v>
      </c>
      <c r="AH1428" s="1" t="s">
        <v>47</v>
      </c>
      <c r="AI1428">
        <v>13689</v>
      </c>
      <c r="AJ1428">
        <v>0</v>
      </c>
    </row>
    <row r="1429" spans="1:36" x14ac:dyDescent="0.25">
      <c r="A1429">
        <v>11428</v>
      </c>
      <c r="B1429">
        <v>51</v>
      </c>
      <c r="C1429" s="1" t="s">
        <v>60</v>
      </c>
      <c r="D1429" s="1" t="s">
        <v>37</v>
      </c>
      <c r="E1429" s="2">
        <v>44988</v>
      </c>
      <c r="F1429" s="2">
        <v>45074</v>
      </c>
      <c r="G1429" s="1" t="s">
        <v>62</v>
      </c>
      <c r="H1429">
        <v>1359</v>
      </c>
      <c r="I1429">
        <v>21</v>
      </c>
      <c r="J1429">
        <v>0</v>
      </c>
      <c r="K1429">
        <v>102.87</v>
      </c>
      <c r="L1429">
        <v>5</v>
      </c>
      <c r="M1429" s="1" t="s">
        <v>50</v>
      </c>
      <c r="N1429" s="1" t="s">
        <v>40</v>
      </c>
      <c r="O1429">
        <v>28471.05</v>
      </c>
      <c r="P1429" t="b">
        <v>1</v>
      </c>
      <c r="Q1429">
        <v>1.75</v>
      </c>
      <c r="R1429">
        <v>1355.7642857142857</v>
      </c>
      <c r="S1429">
        <v>102.87</v>
      </c>
      <c r="T1429" s="2">
        <v>44986</v>
      </c>
      <c r="U1429" s="1" t="s">
        <v>41</v>
      </c>
      <c r="V1429">
        <v>1</v>
      </c>
      <c r="W1429" s="1" t="s">
        <v>40</v>
      </c>
      <c r="X1429">
        <v>86</v>
      </c>
      <c r="Y1429" s="1" t="s">
        <v>43</v>
      </c>
      <c r="Z1429" s="1" t="s">
        <v>42</v>
      </c>
      <c r="AA1429">
        <v>0</v>
      </c>
      <c r="AB1429" s="1" t="s">
        <v>43</v>
      </c>
      <c r="AC1429">
        <v>2</v>
      </c>
      <c r="AD1429" s="2">
        <v>44986</v>
      </c>
      <c r="AE1429" s="1" t="s">
        <v>53</v>
      </c>
      <c r="AF1429" s="1" t="s">
        <v>54</v>
      </c>
      <c r="AG1429" s="1" t="s">
        <v>63</v>
      </c>
      <c r="AH1429" s="1" t="s">
        <v>47</v>
      </c>
      <c r="AI1429">
        <v>28539</v>
      </c>
      <c r="AJ1429">
        <v>-67.950000000000728</v>
      </c>
    </row>
    <row r="1430" spans="1:36" x14ac:dyDescent="0.25">
      <c r="A1430">
        <v>11429</v>
      </c>
      <c r="B1430">
        <v>29</v>
      </c>
      <c r="C1430" s="1" t="s">
        <v>36</v>
      </c>
      <c r="D1430" s="1" t="s">
        <v>61</v>
      </c>
      <c r="E1430" s="2">
        <v>44913</v>
      </c>
      <c r="F1430" s="2">
        <v>44854</v>
      </c>
      <c r="G1430" s="1" t="s">
        <v>38</v>
      </c>
      <c r="H1430">
        <v>1214</v>
      </c>
      <c r="I1430">
        <v>12</v>
      </c>
      <c r="J1430">
        <v>1</v>
      </c>
      <c r="K1430">
        <v>115.31</v>
      </c>
      <c r="L1430">
        <v>15</v>
      </c>
      <c r="M1430" s="1" t="s">
        <v>39</v>
      </c>
      <c r="N1430" s="1" t="s">
        <v>56</v>
      </c>
      <c r="O1430">
        <v>14385.9</v>
      </c>
      <c r="P1430" t="b">
        <v>0</v>
      </c>
      <c r="Q1430">
        <v>1</v>
      </c>
      <c r="R1430">
        <v>1198.825</v>
      </c>
      <c r="S1430">
        <v>57.655000000000001</v>
      </c>
      <c r="T1430" s="2">
        <v>44896</v>
      </c>
      <c r="U1430" s="1" t="s">
        <v>57</v>
      </c>
      <c r="V1430">
        <v>0</v>
      </c>
      <c r="W1430" s="1" t="s">
        <v>40</v>
      </c>
      <c r="Y1430" s="1" t="s">
        <v>43</v>
      </c>
      <c r="Z1430" s="1" t="s">
        <v>42</v>
      </c>
      <c r="AA1430">
        <v>7.6923076923076927E-2</v>
      </c>
      <c r="AB1430" s="1" t="s">
        <v>52</v>
      </c>
      <c r="AC1430">
        <v>1</v>
      </c>
      <c r="AD1430" s="2">
        <v>44896</v>
      </c>
      <c r="AE1430" s="1" t="s">
        <v>74</v>
      </c>
      <c r="AF1430" s="1" t="s">
        <v>54</v>
      </c>
      <c r="AG1430" s="1" t="s">
        <v>63</v>
      </c>
      <c r="AH1430" s="1" t="s">
        <v>47</v>
      </c>
      <c r="AI1430">
        <v>14568</v>
      </c>
      <c r="AJ1430">
        <v>-182.10000000000036</v>
      </c>
    </row>
    <row r="1431" spans="1:36" x14ac:dyDescent="0.25">
      <c r="A1431">
        <v>11430</v>
      </c>
      <c r="B1431">
        <v>36</v>
      </c>
      <c r="C1431" s="1" t="s">
        <v>60</v>
      </c>
      <c r="D1431" s="1" t="s">
        <v>37</v>
      </c>
      <c r="E1431" s="2">
        <v>44860</v>
      </c>
      <c r="F1431" s="2">
        <v>44876</v>
      </c>
      <c r="G1431" s="1" t="s">
        <v>38</v>
      </c>
      <c r="H1431">
        <v>1054</v>
      </c>
      <c r="I1431">
        <v>13</v>
      </c>
      <c r="J1431">
        <v>4</v>
      </c>
      <c r="K1431">
        <v>25.43</v>
      </c>
      <c r="L1431">
        <v>15</v>
      </c>
      <c r="M1431" s="1" t="s">
        <v>67</v>
      </c>
      <c r="N1431" s="1" t="s">
        <v>40</v>
      </c>
      <c r="O1431">
        <v>13543.9</v>
      </c>
      <c r="P1431" t="b">
        <v>1</v>
      </c>
      <c r="Q1431">
        <v>1.0833333333333333</v>
      </c>
      <c r="R1431">
        <v>1041.8384615384616</v>
      </c>
      <c r="S1431">
        <v>5.0860000000000003</v>
      </c>
      <c r="T1431" s="2">
        <v>44835</v>
      </c>
      <c r="U1431" s="1" t="s">
        <v>51</v>
      </c>
      <c r="V1431">
        <v>1</v>
      </c>
      <c r="W1431" s="1" t="s">
        <v>40</v>
      </c>
      <c r="X1431">
        <v>16</v>
      </c>
      <c r="Y1431" s="1" t="s">
        <v>52</v>
      </c>
      <c r="Z1431" s="1" t="s">
        <v>42</v>
      </c>
      <c r="AA1431">
        <v>0.2857142857142857</v>
      </c>
      <c r="AB1431" s="1" t="s">
        <v>52</v>
      </c>
      <c r="AC1431">
        <v>1</v>
      </c>
      <c r="AD1431" s="2">
        <v>44835</v>
      </c>
      <c r="AE1431" s="1" t="s">
        <v>53</v>
      </c>
      <c r="AF1431" s="1" t="s">
        <v>45</v>
      </c>
      <c r="AG1431" s="1" t="s">
        <v>70</v>
      </c>
      <c r="AH1431" s="1" t="s">
        <v>47</v>
      </c>
      <c r="AI1431">
        <v>13702</v>
      </c>
      <c r="AJ1431">
        <v>-158.10000000000036</v>
      </c>
    </row>
    <row r="1432" spans="1:36" x14ac:dyDescent="0.25">
      <c r="A1432">
        <v>11431</v>
      </c>
      <c r="B1432">
        <v>54</v>
      </c>
      <c r="C1432" s="1" t="s">
        <v>36</v>
      </c>
      <c r="D1432" s="1" t="s">
        <v>69</v>
      </c>
      <c r="E1432" s="2">
        <v>44634</v>
      </c>
      <c r="F1432" s="2">
        <v>44612</v>
      </c>
      <c r="G1432" s="1" t="s">
        <v>38</v>
      </c>
      <c r="H1432">
        <v>853</v>
      </c>
      <c r="I1432">
        <v>23</v>
      </c>
      <c r="J1432">
        <v>1</v>
      </c>
      <c r="K1432">
        <v>66.099999999999994</v>
      </c>
      <c r="L1432">
        <v>10</v>
      </c>
      <c r="M1432" s="1" t="s">
        <v>65</v>
      </c>
      <c r="N1432" s="1" t="s">
        <v>56</v>
      </c>
      <c r="O1432">
        <v>19533.7</v>
      </c>
      <c r="P1432" t="b">
        <v>0</v>
      </c>
      <c r="Q1432">
        <v>1.9166666666666667</v>
      </c>
      <c r="R1432">
        <v>849.2913043478261</v>
      </c>
      <c r="S1432">
        <v>33.049999999999997</v>
      </c>
      <c r="T1432" s="2">
        <v>44621</v>
      </c>
      <c r="U1432" s="1" t="s">
        <v>41</v>
      </c>
      <c r="V1432">
        <v>0</v>
      </c>
      <c r="W1432" s="1" t="s">
        <v>40</v>
      </c>
      <c r="Y1432" s="1" t="s">
        <v>43</v>
      </c>
      <c r="Z1432" s="1" t="s">
        <v>42</v>
      </c>
      <c r="AA1432">
        <v>4.1666666666666664E-2</v>
      </c>
      <c r="AB1432" s="1" t="s">
        <v>43</v>
      </c>
      <c r="AC1432">
        <v>1</v>
      </c>
      <c r="AD1432" s="2">
        <v>44621</v>
      </c>
      <c r="AE1432" s="1" t="s">
        <v>53</v>
      </c>
      <c r="AF1432" s="1" t="s">
        <v>54</v>
      </c>
      <c r="AG1432" s="1" t="s">
        <v>63</v>
      </c>
      <c r="AH1432" s="1" t="s">
        <v>59</v>
      </c>
      <c r="AI1432">
        <v>19619</v>
      </c>
      <c r="AJ1432">
        <v>-85.299999999999272</v>
      </c>
    </row>
    <row r="1433" spans="1:36" x14ac:dyDescent="0.25">
      <c r="A1433">
        <v>11432</v>
      </c>
      <c r="B1433">
        <v>61</v>
      </c>
      <c r="C1433" s="1" t="s">
        <v>60</v>
      </c>
      <c r="D1433" s="1" t="s">
        <v>73</v>
      </c>
      <c r="E1433" s="2">
        <v>44734</v>
      </c>
      <c r="F1433" s="2">
        <v>44973</v>
      </c>
      <c r="G1433" s="1" t="s">
        <v>38</v>
      </c>
      <c r="H1433">
        <v>702</v>
      </c>
      <c r="I1433">
        <v>28</v>
      </c>
      <c r="J1433">
        <v>1</v>
      </c>
      <c r="K1433">
        <v>10.01</v>
      </c>
      <c r="L1433">
        <v>5</v>
      </c>
      <c r="M1433" s="1" t="s">
        <v>50</v>
      </c>
      <c r="N1433" s="1" t="s">
        <v>56</v>
      </c>
      <c r="O1433">
        <v>19620.900000000001</v>
      </c>
      <c r="P1433" t="b">
        <v>1</v>
      </c>
      <c r="Q1433">
        <v>2.3333333333333335</v>
      </c>
      <c r="R1433">
        <v>700.74642857142862</v>
      </c>
      <c r="S1433">
        <v>5.0049999999999999</v>
      </c>
      <c r="T1433" s="2">
        <v>44713</v>
      </c>
      <c r="U1433" s="1" t="s">
        <v>41</v>
      </c>
      <c r="V1433">
        <v>0</v>
      </c>
      <c r="W1433" s="1" t="s">
        <v>40</v>
      </c>
      <c r="X1433">
        <v>239</v>
      </c>
      <c r="Y1433" s="1" t="s">
        <v>42</v>
      </c>
      <c r="Z1433" s="1" t="s">
        <v>42</v>
      </c>
      <c r="AA1433">
        <v>3.4482758620689655E-2</v>
      </c>
      <c r="AB1433" s="1" t="s">
        <v>43</v>
      </c>
      <c r="AC1433">
        <v>1</v>
      </c>
      <c r="AD1433" s="2">
        <v>44713</v>
      </c>
      <c r="AE1433" s="1" t="s">
        <v>44</v>
      </c>
      <c r="AF1433" s="1" t="s">
        <v>54</v>
      </c>
      <c r="AG1433" s="1" t="s">
        <v>46</v>
      </c>
      <c r="AH1433" s="1" t="s">
        <v>59</v>
      </c>
      <c r="AI1433">
        <v>19656</v>
      </c>
      <c r="AJ1433">
        <v>-35.099999999998545</v>
      </c>
    </row>
    <row r="1434" spans="1:36" x14ac:dyDescent="0.25">
      <c r="A1434">
        <v>11433</v>
      </c>
      <c r="B1434">
        <v>34</v>
      </c>
      <c r="C1434" s="1" t="s">
        <v>36</v>
      </c>
      <c r="D1434" s="1" t="s">
        <v>71</v>
      </c>
      <c r="E1434" s="2">
        <v>44902</v>
      </c>
      <c r="F1434" s="2">
        <v>44639</v>
      </c>
      <c r="G1434" s="1" t="s">
        <v>62</v>
      </c>
      <c r="H1434">
        <v>1430</v>
      </c>
      <c r="I1434">
        <v>14</v>
      </c>
      <c r="J1434">
        <v>3</v>
      </c>
      <c r="K1434">
        <v>62.41</v>
      </c>
      <c r="L1434">
        <v>10</v>
      </c>
      <c r="M1434" s="1" t="s">
        <v>39</v>
      </c>
      <c r="N1434" s="1" t="s">
        <v>56</v>
      </c>
      <c r="O1434">
        <v>19877</v>
      </c>
      <c r="P1434" t="b">
        <v>0</v>
      </c>
      <c r="Q1434">
        <v>1.1666666666666667</v>
      </c>
      <c r="R1434">
        <v>1419.7857142857142</v>
      </c>
      <c r="S1434">
        <v>15.602499999999999</v>
      </c>
      <c r="T1434" s="2">
        <v>44896</v>
      </c>
      <c r="U1434" s="1" t="s">
        <v>57</v>
      </c>
      <c r="V1434">
        <v>0</v>
      </c>
      <c r="W1434" s="1" t="s">
        <v>40</v>
      </c>
      <c r="Y1434" s="1" t="s">
        <v>43</v>
      </c>
      <c r="Z1434" s="1" t="s">
        <v>42</v>
      </c>
      <c r="AA1434">
        <v>0.2</v>
      </c>
      <c r="AB1434" s="1" t="s">
        <v>43</v>
      </c>
      <c r="AC1434">
        <v>2</v>
      </c>
      <c r="AD1434" s="2">
        <v>44896</v>
      </c>
      <c r="AE1434" s="1" t="s">
        <v>53</v>
      </c>
      <c r="AF1434" s="1" t="s">
        <v>72</v>
      </c>
      <c r="AG1434" s="1" t="s">
        <v>63</v>
      </c>
      <c r="AH1434" s="1" t="s">
        <v>47</v>
      </c>
      <c r="AI1434">
        <v>20020</v>
      </c>
      <c r="AJ1434">
        <v>-143</v>
      </c>
    </row>
    <row r="1435" spans="1:36" x14ac:dyDescent="0.25">
      <c r="A1435">
        <v>11434</v>
      </c>
      <c r="B1435">
        <v>27</v>
      </c>
      <c r="C1435" s="1" t="s">
        <v>60</v>
      </c>
      <c r="D1435" s="1" t="s">
        <v>37</v>
      </c>
      <c r="E1435" s="2">
        <v>44532</v>
      </c>
      <c r="F1435" s="2">
        <v>44811</v>
      </c>
      <c r="G1435" s="1" t="s">
        <v>62</v>
      </c>
      <c r="H1435">
        <v>338</v>
      </c>
      <c r="I1435">
        <v>17</v>
      </c>
      <c r="J1435">
        <v>0</v>
      </c>
      <c r="K1435">
        <v>19.43</v>
      </c>
      <c r="L1435">
        <v>0</v>
      </c>
      <c r="M1435" s="1" t="s">
        <v>50</v>
      </c>
      <c r="N1435" s="1" t="s">
        <v>56</v>
      </c>
      <c r="O1435">
        <v>5746</v>
      </c>
      <c r="P1435" t="b">
        <v>1</v>
      </c>
      <c r="Q1435">
        <v>1.4166666666666667</v>
      </c>
      <c r="R1435">
        <v>338</v>
      </c>
      <c r="S1435">
        <v>19.43</v>
      </c>
      <c r="T1435" s="2">
        <v>44531</v>
      </c>
      <c r="U1435" s="1" t="s">
        <v>57</v>
      </c>
      <c r="V1435">
        <v>0</v>
      </c>
      <c r="W1435" s="1" t="s">
        <v>56</v>
      </c>
      <c r="X1435">
        <v>279</v>
      </c>
      <c r="Y1435" s="1" t="s">
        <v>42</v>
      </c>
      <c r="Z1435" s="1" t="s">
        <v>42</v>
      </c>
      <c r="AA1435">
        <v>0</v>
      </c>
      <c r="AB1435" s="1" t="s">
        <v>42</v>
      </c>
      <c r="AC1435">
        <v>2</v>
      </c>
      <c r="AD1435" s="2">
        <v>44531</v>
      </c>
      <c r="AE1435" s="1" t="s">
        <v>53</v>
      </c>
      <c r="AF1435" s="1" t="s">
        <v>54</v>
      </c>
      <c r="AG1435" s="1" t="s">
        <v>46</v>
      </c>
      <c r="AH1435" s="1" t="s">
        <v>68</v>
      </c>
      <c r="AI1435">
        <v>5746</v>
      </c>
      <c r="AJ1435">
        <v>0</v>
      </c>
    </row>
    <row r="1436" spans="1:36" x14ac:dyDescent="0.25">
      <c r="A1436">
        <v>11435</v>
      </c>
      <c r="B1436">
        <v>64</v>
      </c>
      <c r="C1436" s="1" t="s">
        <v>36</v>
      </c>
      <c r="D1436" s="1" t="s">
        <v>61</v>
      </c>
      <c r="E1436" s="2">
        <v>44618</v>
      </c>
      <c r="F1436" s="2">
        <v>45151</v>
      </c>
      <c r="G1436" s="1" t="s">
        <v>38</v>
      </c>
      <c r="H1436">
        <v>880</v>
      </c>
      <c r="I1436">
        <v>24</v>
      </c>
      <c r="J1436">
        <v>1</v>
      </c>
      <c r="K1436">
        <v>101.36</v>
      </c>
      <c r="L1436">
        <v>20</v>
      </c>
      <c r="M1436" s="1" t="s">
        <v>67</v>
      </c>
      <c r="N1436" s="1" t="s">
        <v>56</v>
      </c>
      <c r="O1436">
        <v>20944</v>
      </c>
      <c r="P1436" t="b">
        <v>1</v>
      </c>
      <c r="Q1436">
        <v>2</v>
      </c>
      <c r="R1436">
        <v>872.66666666666663</v>
      </c>
      <c r="S1436">
        <v>50.68</v>
      </c>
      <c r="T1436" s="2">
        <v>44593</v>
      </c>
      <c r="U1436" s="1" t="s">
        <v>41</v>
      </c>
      <c r="V1436">
        <v>0</v>
      </c>
      <c r="W1436" s="1" t="s">
        <v>40</v>
      </c>
      <c r="X1436">
        <v>533</v>
      </c>
      <c r="Y1436" s="1" t="s">
        <v>43</v>
      </c>
      <c r="Z1436" s="1" t="s">
        <v>52</v>
      </c>
      <c r="AA1436">
        <v>0.04</v>
      </c>
      <c r="AB1436" s="1" t="s">
        <v>43</v>
      </c>
      <c r="AC1436">
        <v>1</v>
      </c>
      <c r="AD1436" s="2">
        <v>44593</v>
      </c>
      <c r="AE1436" s="1" t="s">
        <v>53</v>
      </c>
      <c r="AF1436" s="1" t="s">
        <v>54</v>
      </c>
      <c r="AG1436" s="1" t="s">
        <v>63</v>
      </c>
      <c r="AH1436" s="1" t="s">
        <v>59</v>
      </c>
      <c r="AI1436">
        <v>21120</v>
      </c>
      <c r="AJ1436">
        <v>-176</v>
      </c>
    </row>
    <row r="1437" spans="1:36" x14ac:dyDescent="0.25">
      <c r="A1437">
        <v>11436</v>
      </c>
      <c r="B1437">
        <v>29</v>
      </c>
      <c r="C1437" s="1" t="s">
        <v>60</v>
      </c>
      <c r="D1437" s="1" t="s">
        <v>37</v>
      </c>
      <c r="E1437" s="2">
        <v>44946</v>
      </c>
      <c r="F1437" s="2">
        <v>44907</v>
      </c>
      <c r="G1437" s="1" t="s">
        <v>38</v>
      </c>
      <c r="H1437">
        <v>479</v>
      </c>
      <c r="I1437">
        <v>34</v>
      </c>
      <c r="J1437">
        <v>1</v>
      </c>
      <c r="K1437">
        <v>18.100000000000001</v>
      </c>
      <c r="L1437">
        <v>15</v>
      </c>
      <c r="M1437" s="1" t="s">
        <v>50</v>
      </c>
      <c r="N1437" s="1" t="s">
        <v>56</v>
      </c>
      <c r="O1437">
        <v>16214.15</v>
      </c>
      <c r="P1437" t="b">
        <v>0</v>
      </c>
      <c r="Q1437">
        <v>2.8333333333333335</v>
      </c>
      <c r="R1437">
        <v>476.88676470588234</v>
      </c>
      <c r="S1437">
        <v>9.0500000000000007</v>
      </c>
      <c r="T1437" s="2">
        <v>44927</v>
      </c>
      <c r="U1437" s="1" t="s">
        <v>57</v>
      </c>
      <c r="V1437">
        <v>0</v>
      </c>
      <c r="W1437" s="1" t="s">
        <v>40</v>
      </c>
      <c r="Y1437" s="1" t="s">
        <v>42</v>
      </c>
      <c r="Z1437" s="1" t="s">
        <v>42</v>
      </c>
      <c r="AA1437">
        <v>2.8571428571428571E-2</v>
      </c>
      <c r="AB1437" s="1" t="s">
        <v>52</v>
      </c>
      <c r="AC1437">
        <v>1</v>
      </c>
      <c r="AD1437" s="2">
        <v>44927</v>
      </c>
      <c r="AE1437" s="1" t="s">
        <v>44</v>
      </c>
      <c r="AF1437" s="1" t="s">
        <v>54</v>
      </c>
      <c r="AG1437" s="1" t="s">
        <v>46</v>
      </c>
      <c r="AH1437" s="1" t="s">
        <v>68</v>
      </c>
      <c r="AI1437">
        <v>16286</v>
      </c>
      <c r="AJ1437">
        <v>-71.850000000000364</v>
      </c>
    </row>
    <row r="1438" spans="1:36" x14ac:dyDescent="0.25">
      <c r="A1438">
        <v>11437</v>
      </c>
      <c r="B1438">
        <v>33</v>
      </c>
      <c r="C1438" s="1" t="s">
        <v>75</v>
      </c>
      <c r="D1438" s="1" t="s">
        <v>48</v>
      </c>
      <c r="E1438" s="2">
        <v>44517</v>
      </c>
      <c r="F1438" s="2">
        <v>45166</v>
      </c>
      <c r="G1438" s="1" t="s">
        <v>38</v>
      </c>
      <c r="H1438">
        <v>311</v>
      </c>
      <c r="I1438">
        <v>22</v>
      </c>
      <c r="J1438">
        <v>2</v>
      </c>
      <c r="K1438">
        <v>64.03</v>
      </c>
      <c r="L1438">
        <v>20</v>
      </c>
      <c r="M1438" s="1" t="s">
        <v>67</v>
      </c>
      <c r="N1438" s="1" t="s">
        <v>40</v>
      </c>
      <c r="O1438">
        <v>6779.8</v>
      </c>
      <c r="P1438" t="b">
        <v>1</v>
      </c>
      <c r="Q1438">
        <v>1.8333333333333333</v>
      </c>
      <c r="R1438">
        <v>308.17272727272729</v>
      </c>
      <c r="S1438">
        <v>21.343333333333334</v>
      </c>
      <c r="T1438" s="2">
        <v>44501</v>
      </c>
      <c r="U1438" s="1" t="s">
        <v>57</v>
      </c>
      <c r="V1438">
        <v>1</v>
      </c>
      <c r="W1438" s="1" t="s">
        <v>56</v>
      </c>
      <c r="X1438">
        <v>649</v>
      </c>
      <c r="Y1438" s="1" t="s">
        <v>43</v>
      </c>
      <c r="Z1438" s="1" t="s">
        <v>52</v>
      </c>
      <c r="AA1438">
        <v>8.6956521739130432E-2</v>
      </c>
      <c r="AB1438" s="1" t="s">
        <v>42</v>
      </c>
      <c r="AC1438">
        <v>1</v>
      </c>
      <c r="AD1438" s="2">
        <v>44501</v>
      </c>
      <c r="AE1438" s="1" t="s">
        <v>53</v>
      </c>
      <c r="AF1438" s="1" t="s">
        <v>72</v>
      </c>
      <c r="AG1438" s="1" t="s">
        <v>63</v>
      </c>
      <c r="AH1438" s="1" t="s">
        <v>68</v>
      </c>
      <c r="AI1438">
        <v>6842</v>
      </c>
      <c r="AJ1438">
        <v>-62.199999999999818</v>
      </c>
    </row>
    <row r="1439" spans="1:36" x14ac:dyDescent="0.25">
      <c r="A1439">
        <v>11438</v>
      </c>
      <c r="B1439">
        <v>41</v>
      </c>
      <c r="C1439" s="1" t="s">
        <v>60</v>
      </c>
      <c r="D1439" s="1" t="s">
        <v>69</v>
      </c>
      <c r="E1439" s="2">
        <v>44693</v>
      </c>
      <c r="F1439" s="2">
        <v>44444</v>
      </c>
      <c r="G1439" s="1" t="s">
        <v>62</v>
      </c>
      <c r="H1439">
        <v>1242</v>
      </c>
      <c r="I1439">
        <v>10</v>
      </c>
      <c r="J1439">
        <v>2</v>
      </c>
      <c r="K1439">
        <v>62.59</v>
      </c>
      <c r="L1439">
        <v>0</v>
      </c>
      <c r="M1439" s="1" t="s">
        <v>65</v>
      </c>
      <c r="N1439" s="1" t="s">
        <v>56</v>
      </c>
      <c r="O1439">
        <v>12420</v>
      </c>
      <c r="P1439" t="b">
        <v>0</v>
      </c>
      <c r="Q1439">
        <v>0.83333333333333337</v>
      </c>
      <c r="R1439">
        <v>1242</v>
      </c>
      <c r="S1439">
        <v>20.863333333333333</v>
      </c>
      <c r="T1439" s="2">
        <v>44682</v>
      </c>
      <c r="U1439" s="1" t="s">
        <v>51</v>
      </c>
      <c r="V1439">
        <v>0</v>
      </c>
      <c r="W1439" s="1" t="s">
        <v>56</v>
      </c>
      <c r="Y1439" s="1" t="s">
        <v>43</v>
      </c>
      <c r="Z1439" s="1" t="s">
        <v>42</v>
      </c>
      <c r="AA1439">
        <v>0.18181818181818182</v>
      </c>
      <c r="AB1439" s="1" t="s">
        <v>52</v>
      </c>
      <c r="AC1439">
        <v>2</v>
      </c>
      <c r="AD1439" s="2">
        <v>44682</v>
      </c>
      <c r="AE1439" s="1" t="s">
        <v>74</v>
      </c>
      <c r="AF1439" s="1" t="s">
        <v>72</v>
      </c>
      <c r="AG1439" s="1" t="s">
        <v>63</v>
      </c>
      <c r="AH1439" s="1" t="s">
        <v>47</v>
      </c>
      <c r="AI1439">
        <v>12420</v>
      </c>
      <c r="AJ1439">
        <v>0</v>
      </c>
    </row>
    <row r="1440" spans="1:36" x14ac:dyDescent="0.25">
      <c r="A1440">
        <v>11439</v>
      </c>
      <c r="B1440">
        <v>36</v>
      </c>
      <c r="C1440" s="1" t="s">
        <v>36</v>
      </c>
      <c r="D1440" s="1" t="s">
        <v>69</v>
      </c>
      <c r="E1440" s="2">
        <v>44783</v>
      </c>
      <c r="F1440" s="2">
        <v>45234</v>
      </c>
      <c r="G1440" s="1" t="s">
        <v>38</v>
      </c>
      <c r="H1440">
        <v>847</v>
      </c>
      <c r="I1440">
        <v>8</v>
      </c>
      <c r="J1440">
        <v>1</v>
      </c>
      <c r="K1440">
        <v>116.74</v>
      </c>
      <c r="L1440">
        <v>0</v>
      </c>
      <c r="M1440" s="1" t="s">
        <v>50</v>
      </c>
      <c r="N1440" s="1" t="s">
        <v>56</v>
      </c>
      <c r="O1440">
        <v>6776</v>
      </c>
      <c r="P1440" t="b">
        <v>1</v>
      </c>
      <c r="Q1440">
        <v>0.66666666666666663</v>
      </c>
      <c r="R1440">
        <v>847</v>
      </c>
      <c r="S1440">
        <v>58.37</v>
      </c>
      <c r="T1440" s="2">
        <v>44774</v>
      </c>
      <c r="U1440" s="1" t="s">
        <v>51</v>
      </c>
      <c r="V1440">
        <v>0</v>
      </c>
      <c r="W1440" s="1" t="s">
        <v>56</v>
      </c>
      <c r="X1440">
        <v>451</v>
      </c>
      <c r="Y1440" s="1" t="s">
        <v>43</v>
      </c>
      <c r="Z1440" s="1" t="s">
        <v>42</v>
      </c>
      <c r="AA1440">
        <v>0.1111111111111111</v>
      </c>
      <c r="AB1440" s="1" t="s">
        <v>42</v>
      </c>
      <c r="AC1440">
        <v>1</v>
      </c>
      <c r="AD1440" s="2">
        <v>44774</v>
      </c>
      <c r="AE1440" s="1" t="s">
        <v>74</v>
      </c>
      <c r="AF1440" s="1" t="s">
        <v>54</v>
      </c>
      <c r="AG1440" s="1" t="s">
        <v>63</v>
      </c>
      <c r="AH1440" s="1" t="s">
        <v>59</v>
      </c>
      <c r="AI1440">
        <v>6776</v>
      </c>
      <c r="AJ1440">
        <v>0</v>
      </c>
    </row>
    <row r="1441" spans="1:36" x14ac:dyDescent="0.25">
      <c r="A1441">
        <v>11440</v>
      </c>
      <c r="B1441">
        <v>25</v>
      </c>
      <c r="C1441" s="1" t="s">
        <v>60</v>
      </c>
      <c r="D1441" s="1" t="s">
        <v>76</v>
      </c>
      <c r="E1441" s="2">
        <v>44359</v>
      </c>
      <c r="F1441" s="2">
        <v>44442</v>
      </c>
      <c r="G1441" s="1" t="s">
        <v>62</v>
      </c>
      <c r="H1441">
        <v>1449</v>
      </c>
      <c r="I1441">
        <v>21</v>
      </c>
      <c r="J1441">
        <v>2</v>
      </c>
      <c r="K1441">
        <v>80.319999999999993</v>
      </c>
      <c r="L1441">
        <v>5</v>
      </c>
      <c r="M1441" s="1" t="s">
        <v>39</v>
      </c>
      <c r="N1441" s="1" t="s">
        <v>56</v>
      </c>
      <c r="O1441">
        <v>30356.55</v>
      </c>
      <c r="P1441" t="b">
        <v>1</v>
      </c>
      <c r="Q1441">
        <v>1.75</v>
      </c>
      <c r="R1441">
        <v>1445.55</v>
      </c>
      <c r="S1441">
        <v>26.77333333333333</v>
      </c>
      <c r="T1441" s="2">
        <v>44348</v>
      </c>
      <c r="U1441" s="1" t="s">
        <v>66</v>
      </c>
      <c r="V1441">
        <v>0</v>
      </c>
      <c r="W1441" s="1" t="s">
        <v>40</v>
      </c>
      <c r="X1441">
        <v>83</v>
      </c>
      <c r="Y1441" s="1" t="s">
        <v>43</v>
      </c>
      <c r="Z1441" s="1" t="s">
        <v>42</v>
      </c>
      <c r="AA1441">
        <v>9.0909090909090912E-2</v>
      </c>
      <c r="AB1441" s="1" t="s">
        <v>43</v>
      </c>
      <c r="AC1441">
        <v>2</v>
      </c>
      <c r="AD1441" s="2">
        <v>44348</v>
      </c>
      <c r="AE1441" s="1" t="s">
        <v>53</v>
      </c>
      <c r="AF1441" s="1" t="s">
        <v>72</v>
      </c>
      <c r="AG1441" s="1" t="s">
        <v>63</v>
      </c>
      <c r="AH1441" s="1" t="s">
        <v>47</v>
      </c>
      <c r="AI1441">
        <v>30429</v>
      </c>
      <c r="AJ1441">
        <v>-72.450000000000728</v>
      </c>
    </row>
    <row r="1442" spans="1:36" x14ac:dyDescent="0.25">
      <c r="A1442">
        <v>11441</v>
      </c>
      <c r="B1442">
        <v>48</v>
      </c>
      <c r="C1442" s="1" t="s">
        <v>60</v>
      </c>
      <c r="D1442" s="1" t="s">
        <v>69</v>
      </c>
      <c r="E1442" s="2">
        <v>45007</v>
      </c>
      <c r="F1442" s="2">
        <v>44673</v>
      </c>
      <c r="G1442" s="1" t="s">
        <v>38</v>
      </c>
      <c r="H1442">
        <v>362</v>
      </c>
      <c r="I1442">
        <v>7</v>
      </c>
      <c r="J1442">
        <v>1</v>
      </c>
      <c r="K1442">
        <v>38.1</v>
      </c>
      <c r="L1442">
        <v>10</v>
      </c>
      <c r="M1442" s="1" t="s">
        <v>50</v>
      </c>
      <c r="N1442" s="1" t="s">
        <v>56</v>
      </c>
      <c r="O1442">
        <v>2497.8000000000002</v>
      </c>
      <c r="P1442" t="b">
        <v>0</v>
      </c>
      <c r="Q1442">
        <v>0.58333333333333337</v>
      </c>
      <c r="R1442">
        <v>356.82857142857148</v>
      </c>
      <c r="S1442">
        <v>19.05</v>
      </c>
      <c r="T1442" s="2">
        <v>44986</v>
      </c>
      <c r="U1442" s="1" t="s">
        <v>51</v>
      </c>
      <c r="V1442">
        <v>0</v>
      </c>
      <c r="W1442" s="1" t="s">
        <v>56</v>
      </c>
      <c r="Y1442" s="1" t="s">
        <v>52</v>
      </c>
      <c r="Z1442" s="1" t="s">
        <v>42</v>
      </c>
      <c r="AA1442">
        <v>0.125</v>
      </c>
      <c r="AB1442" s="1" t="s">
        <v>42</v>
      </c>
      <c r="AC1442">
        <v>1</v>
      </c>
      <c r="AD1442" s="2">
        <v>44986</v>
      </c>
      <c r="AE1442" s="1" t="s">
        <v>74</v>
      </c>
      <c r="AF1442" s="1" t="s">
        <v>54</v>
      </c>
      <c r="AG1442" s="1" t="s">
        <v>55</v>
      </c>
      <c r="AH1442" s="1" t="s">
        <v>68</v>
      </c>
      <c r="AI1442">
        <v>2534</v>
      </c>
      <c r="AJ1442">
        <v>-36.199999999999818</v>
      </c>
    </row>
    <row r="1443" spans="1:36" x14ac:dyDescent="0.25">
      <c r="A1443">
        <v>11442</v>
      </c>
      <c r="B1443">
        <v>38</v>
      </c>
      <c r="C1443" s="1" t="s">
        <v>36</v>
      </c>
      <c r="D1443" s="1" t="s">
        <v>69</v>
      </c>
      <c r="E1443" s="2">
        <v>44737</v>
      </c>
      <c r="F1443" s="2">
        <v>44421</v>
      </c>
      <c r="G1443" s="1" t="s">
        <v>38</v>
      </c>
      <c r="H1443">
        <v>1143</v>
      </c>
      <c r="I1443">
        <v>26</v>
      </c>
      <c r="J1443">
        <v>2</v>
      </c>
      <c r="K1443">
        <v>32.69</v>
      </c>
      <c r="L1443">
        <v>15</v>
      </c>
      <c r="M1443" s="1" t="s">
        <v>50</v>
      </c>
      <c r="N1443" s="1" t="s">
        <v>56</v>
      </c>
      <c r="O1443">
        <v>29546.55</v>
      </c>
      <c r="P1443" t="b">
        <v>0</v>
      </c>
      <c r="Q1443">
        <v>2.1666666666666665</v>
      </c>
      <c r="R1443">
        <v>1136.4057692307692</v>
      </c>
      <c r="S1443">
        <v>10.896666666666667</v>
      </c>
      <c r="T1443" s="2">
        <v>44713</v>
      </c>
      <c r="U1443" s="1" t="s">
        <v>51</v>
      </c>
      <c r="V1443">
        <v>0</v>
      </c>
      <c r="W1443" s="1" t="s">
        <v>40</v>
      </c>
      <c r="Y1443" s="1" t="s">
        <v>52</v>
      </c>
      <c r="Z1443" s="1" t="s">
        <v>42</v>
      </c>
      <c r="AA1443">
        <v>7.407407407407407E-2</v>
      </c>
      <c r="AB1443" s="1" t="s">
        <v>43</v>
      </c>
      <c r="AC1443">
        <v>1</v>
      </c>
      <c r="AD1443" s="2">
        <v>44713</v>
      </c>
      <c r="AE1443" s="1" t="s">
        <v>44</v>
      </c>
      <c r="AF1443" s="1" t="s">
        <v>72</v>
      </c>
      <c r="AG1443" s="1" t="s">
        <v>55</v>
      </c>
      <c r="AH1443" s="1" t="s">
        <v>47</v>
      </c>
      <c r="AI1443">
        <v>29718</v>
      </c>
      <c r="AJ1443">
        <v>-171.45000000000073</v>
      </c>
    </row>
    <row r="1444" spans="1:36" x14ac:dyDescent="0.25">
      <c r="A1444">
        <v>11443</v>
      </c>
      <c r="B1444">
        <v>34</v>
      </c>
      <c r="C1444" s="1" t="s">
        <v>60</v>
      </c>
      <c r="D1444" s="1" t="s">
        <v>69</v>
      </c>
      <c r="E1444" s="2">
        <v>44361</v>
      </c>
      <c r="F1444" s="2">
        <v>44683</v>
      </c>
      <c r="G1444" s="1" t="s">
        <v>49</v>
      </c>
      <c r="H1444">
        <v>1405</v>
      </c>
      <c r="I1444">
        <v>13</v>
      </c>
      <c r="J1444">
        <v>2</v>
      </c>
      <c r="K1444">
        <v>19.75</v>
      </c>
      <c r="L1444">
        <v>15</v>
      </c>
      <c r="M1444" s="1" t="s">
        <v>67</v>
      </c>
      <c r="N1444" s="1" t="s">
        <v>56</v>
      </c>
      <c r="O1444">
        <v>18054.25</v>
      </c>
      <c r="P1444" t="b">
        <v>1</v>
      </c>
      <c r="Q1444">
        <v>1.0833333333333333</v>
      </c>
      <c r="R1444">
        <v>1388.7884615384614</v>
      </c>
      <c r="S1444">
        <v>6.583333333333333</v>
      </c>
      <c r="T1444" s="2">
        <v>44348</v>
      </c>
      <c r="U1444" s="1" t="s">
        <v>57</v>
      </c>
      <c r="V1444">
        <v>0</v>
      </c>
      <c r="W1444" s="1" t="s">
        <v>40</v>
      </c>
      <c r="X1444">
        <v>322</v>
      </c>
      <c r="Y1444" s="1" t="s">
        <v>42</v>
      </c>
      <c r="Z1444" s="1" t="s">
        <v>42</v>
      </c>
      <c r="AA1444">
        <v>0.14285714285714285</v>
      </c>
      <c r="AB1444" s="1" t="s">
        <v>52</v>
      </c>
      <c r="AC1444">
        <v>3</v>
      </c>
      <c r="AD1444" s="2">
        <v>44348</v>
      </c>
      <c r="AE1444" s="1" t="s">
        <v>53</v>
      </c>
      <c r="AF1444" s="1" t="s">
        <v>72</v>
      </c>
      <c r="AG1444" s="1" t="s">
        <v>46</v>
      </c>
      <c r="AH1444" s="1" t="s">
        <v>47</v>
      </c>
      <c r="AI1444">
        <v>18265</v>
      </c>
      <c r="AJ1444">
        <v>-210.75</v>
      </c>
    </row>
    <row r="1445" spans="1:36" x14ac:dyDescent="0.25">
      <c r="A1445">
        <v>11444</v>
      </c>
      <c r="B1445">
        <v>40</v>
      </c>
      <c r="C1445" s="1" t="s">
        <v>36</v>
      </c>
      <c r="D1445" s="1" t="s">
        <v>71</v>
      </c>
      <c r="E1445" s="2">
        <v>45045</v>
      </c>
      <c r="F1445" s="2">
        <v>44415</v>
      </c>
      <c r="G1445" s="1" t="s">
        <v>62</v>
      </c>
      <c r="H1445">
        <v>1308</v>
      </c>
      <c r="I1445">
        <v>16</v>
      </c>
      <c r="J1445">
        <v>4</v>
      </c>
      <c r="K1445">
        <v>92</v>
      </c>
      <c r="L1445">
        <v>20</v>
      </c>
      <c r="M1445" s="1" t="s">
        <v>67</v>
      </c>
      <c r="N1445" s="1" t="s">
        <v>56</v>
      </c>
      <c r="O1445">
        <v>20666.400000000001</v>
      </c>
      <c r="P1445" t="b">
        <v>0</v>
      </c>
      <c r="Q1445">
        <v>1.3333333333333333</v>
      </c>
      <c r="R1445">
        <v>1291.6500000000001</v>
      </c>
      <c r="S1445">
        <v>18.399999999999999</v>
      </c>
      <c r="T1445" s="2">
        <v>45017</v>
      </c>
      <c r="U1445" s="1" t="s">
        <v>51</v>
      </c>
      <c r="V1445">
        <v>0</v>
      </c>
      <c r="W1445" s="1" t="s">
        <v>40</v>
      </c>
      <c r="Y1445" s="1" t="s">
        <v>43</v>
      </c>
      <c r="Z1445" s="1" t="s">
        <v>52</v>
      </c>
      <c r="AA1445">
        <v>0.23529411764705882</v>
      </c>
      <c r="AB1445" s="1" t="s">
        <v>43</v>
      </c>
      <c r="AC1445">
        <v>2</v>
      </c>
      <c r="AD1445" s="2">
        <v>45017</v>
      </c>
      <c r="AE1445" s="1" t="s">
        <v>53</v>
      </c>
      <c r="AF1445" s="1" t="s">
        <v>45</v>
      </c>
      <c r="AG1445" s="1" t="s">
        <v>63</v>
      </c>
      <c r="AH1445" s="1" t="s">
        <v>47</v>
      </c>
      <c r="AI1445">
        <v>20928</v>
      </c>
      <c r="AJ1445">
        <v>-261.59999999999854</v>
      </c>
    </row>
    <row r="1446" spans="1:36" x14ac:dyDescent="0.25">
      <c r="A1446">
        <v>11445</v>
      </c>
      <c r="B1446">
        <v>54</v>
      </c>
      <c r="C1446" s="1" t="s">
        <v>36</v>
      </c>
      <c r="D1446" s="1" t="s">
        <v>61</v>
      </c>
      <c r="E1446" s="2">
        <v>44894</v>
      </c>
      <c r="F1446" s="2">
        <v>45105</v>
      </c>
      <c r="G1446" s="1" t="s">
        <v>38</v>
      </c>
      <c r="H1446">
        <v>333</v>
      </c>
      <c r="I1446">
        <v>30</v>
      </c>
      <c r="J1446">
        <v>1</v>
      </c>
      <c r="K1446">
        <v>84.44</v>
      </c>
      <c r="L1446">
        <v>5</v>
      </c>
      <c r="M1446" s="1" t="s">
        <v>39</v>
      </c>
      <c r="N1446" s="1" t="s">
        <v>40</v>
      </c>
      <c r="O1446">
        <v>9973.35</v>
      </c>
      <c r="P1446" t="b">
        <v>1</v>
      </c>
      <c r="Q1446">
        <v>2.5</v>
      </c>
      <c r="R1446">
        <v>332.44499999999999</v>
      </c>
      <c r="S1446">
        <v>42.22</v>
      </c>
      <c r="T1446" s="2">
        <v>44866</v>
      </c>
      <c r="U1446" s="1" t="s">
        <v>41</v>
      </c>
      <c r="V1446">
        <v>1</v>
      </c>
      <c r="W1446" s="1" t="s">
        <v>56</v>
      </c>
      <c r="X1446">
        <v>211</v>
      </c>
      <c r="Y1446" s="1" t="s">
        <v>43</v>
      </c>
      <c r="Z1446" s="1" t="s">
        <v>42</v>
      </c>
      <c r="AA1446">
        <v>3.2258064516129031E-2</v>
      </c>
      <c r="AB1446" s="1" t="s">
        <v>52</v>
      </c>
      <c r="AC1446">
        <v>1</v>
      </c>
      <c r="AD1446" s="2">
        <v>44866</v>
      </c>
      <c r="AE1446" s="1" t="s">
        <v>44</v>
      </c>
      <c r="AF1446" s="1" t="s">
        <v>54</v>
      </c>
      <c r="AG1446" s="1" t="s">
        <v>63</v>
      </c>
      <c r="AH1446" s="1" t="s">
        <v>68</v>
      </c>
      <c r="AI1446">
        <v>9990</v>
      </c>
      <c r="AJ1446">
        <v>-16.649999999999636</v>
      </c>
    </row>
    <row r="1447" spans="1:36" x14ac:dyDescent="0.25">
      <c r="A1447">
        <v>11446</v>
      </c>
      <c r="B1447">
        <v>33</v>
      </c>
      <c r="C1447" s="1" t="s">
        <v>36</v>
      </c>
      <c r="D1447" s="1" t="s">
        <v>76</v>
      </c>
      <c r="E1447" s="2">
        <v>44762</v>
      </c>
      <c r="F1447" s="2">
        <v>44424</v>
      </c>
      <c r="G1447" s="1" t="s">
        <v>49</v>
      </c>
      <c r="H1447">
        <v>1051</v>
      </c>
      <c r="I1447">
        <v>31</v>
      </c>
      <c r="J1447">
        <v>4</v>
      </c>
      <c r="K1447">
        <v>75.14</v>
      </c>
      <c r="L1447">
        <v>0</v>
      </c>
      <c r="M1447" s="1" t="s">
        <v>65</v>
      </c>
      <c r="N1447" s="1" t="s">
        <v>40</v>
      </c>
      <c r="O1447">
        <v>32581</v>
      </c>
      <c r="P1447" t="b">
        <v>0</v>
      </c>
      <c r="Q1447">
        <v>2.5833333333333335</v>
      </c>
      <c r="R1447">
        <v>1051</v>
      </c>
      <c r="S1447">
        <v>15.028</v>
      </c>
      <c r="T1447" s="2">
        <v>44743</v>
      </c>
      <c r="U1447" s="1" t="s">
        <v>57</v>
      </c>
      <c r="V1447">
        <v>1</v>
      </c>
      <c r="W1447" s="1" t="s">
        <v>40</v>
      </c>
      <c r="Y1447" s="1" t="s">
        <v>43</v>
      </c>
      <c r="Z1447" s="1" t="s">
        <v>42</v>
      </c>
      <c r="AA1447">
        <v>0.125</v>
      </c>
      <c r="AB1447" s="1" t="s">
        <v>43</v>
      </c>
      <c r="AC1447">
        <v>3</v>
      </c>
      <c r="AD1447" s="2">
        <v>44743</v>
      </c>
      <c r="AE1447" s="1" t="s">
        <v>44</v>
      </c>
      <c r="AF1447" s="1" t="s">
        <v>45</v>
      </c>
      <c r="AG1447" s="1" t="s">
        <v>63</v>
      </c>
      <c r="AH1447" s="1" t="s">
        <v>47</v>
      </c>
      <c r="AI1447">
        <v>32581</v>
      </c>
      <c r="AJ1447">
        <v>0</v>
      </c>
    </row>
    <row r="1448" spans="1:36" x14ac:dyDescent="0.25">
      <c r="A1448">
        <v>11447</v>
      </c>
      <c r="B1448">
        <v>23</v>
      </c>
      <c r="C1448" s="1" t="s">
        <v>60</v>
      </c>
      <c r="D1448" s="1" t="s">
        <v>61</v>
      </c>
      <c r="E1448" s="2">
        <v>44491</v>
      </c>
      <c r="F1448" s="2">
        <v>44555</v>
      </c>
      <c r="G1448" s="1" t="s">
        <v>62</v>
      </c>
      <c r="H1448">
        <v>348</v>
      </c>
      <c r="I1448">
        <v>5</v>
      </c>
      <c r="J1448">
        <v>3</v>
      </c>
      <c r="K1448">
        <v>9.6999999999999993</v>
      </c>
      <c r="L1448">
        <v>5</v>
      </c>
      <c r="M1448" s="1" t="s">
        <v>65</v>
      </c>
      <c r="N1448" s="1" t="s">
        <v>56</v>
      </c>
      <c r="O1448">
        <v>1722.6</v>
      </c>
      <c r="P1448" t="b">
        <v>1</v>
      </c>
      <c r="Q1448">
        <v>0.41666666666666669</v>
      </c>
      <c r="R1448">
        <v>344.52</v>
      </c>
      <c r="S1448">
        <v>2.4249999999999998</v>
      </c>
      <c r="T1448" s="2">
        <v>44470</v>
      </c>
      <c r="U1448" s="1" t="s">
        <v>66</v>
      </c>
      <c r="V1448">
        <v>0</v>
      </c>
      <c r="W1448" s="1" t="s">
        <v>56</v>
      </c>
      <c r="X1448">
        <v>64</v>
      </c>
      <c r="Y1448" s="1" t="s">
        <v>42</v>
      </c>
      <c r="Z1448" s="1" t="s">
        <v>42</v>
      </c>
      <c r="AA1448">
        <v>0.5</v>
      </c>
      <c r="AB1448" s="1" t="s">
        <v>42</v>
      </c>
      <c r="AC1448">
        <v>2</v>
      </c>
      <c r="AD1448" s="2">
        <v>44470</v>
      </c>
      <c r="AE1448" s="1" t="s">
        <v>58</v>
      </c>
      <c r="AF1448" s="1" t="s">
        <v>72</v>
      </c>
      <c r="AG1448" s="1" t="s">
        <v>77</v>
      </c>
      <c r="AH1448" s="1" t="s">
        <v>68</v>
      </c>
      <c r="AI1448">
        <v>1740</v>
      </c>
      <c r="AJ1448">
        <v>-17.400000000000091</v>
      </c>
    </row>
    <row r="1449" spans="1:36" x14ac:dyDescent="0.25">
      <c r="A1449">
        <v>11448</v>
      </c>
      <c r="B1449">
        <v>25</v>
      </c>
      <c r="C1449" s="1" t="s">
        <v>36</v>
      </c>
      <c r="D1449" s="1" t="s">
        <v>73</v>
      </c>
      <c r="E1449" s="2">
        <v>44238</v>
      </c>
      <c r="F1449" s="2">
        <v>45231</v>
      </c>
      <c r="G1449" s="1" t="s">
        <v>49</v>
      </c>
      <c r="H1449">
        <v>957</v>
      </c>
      <c r="I1449">
        <v>32</v>
      </c>
      <c r="J1449">
        <v>3</v>
      </c>
      <c r="K1449">
        <v>92.73</v>
      </c>
      <c r="L1449">
        <v>15</v>
      </c>
      <c r="M1449" s="1" t="s">
        <v>67</v>
      </c>
      <c r="N1449" s="1" t="s">
        <v>56</v>
      </c>
      <c r="O1449">
        <v>30480.45</v>
      </c>
      <c r="P1449" t="b">
        <v>1</v>
      </c>
      <c r="Q1449">
        <v>2.6666666666666665</v>
      </c>
      <c r="R1449">
        <v>952.51406250000002</v>
      </c>
      <c r="S1449">
        <v>23.182500000000001</v>
      </c>
      <c r="T1449" s="2">
        <v>44228</v>
      </c>
      <c r="U1449" s="1" t="s">
        <v>66</v>
      </c>
      <c r="V1449">
        <v>0</v>
      </c>
      <c r="W1449" s="1" t="s">
        <v>40</v>
      </c>
      <c r="X1449">
        <v>993</v>
      </c>
      <c r="Y1449" s="1" t="s">
        <v>43</v>
      </c>
      <c r="Z1449" s="1" t="s">
        <v>42</v>
      </c>
      <c r="AA1449">
        <v>9.0909090909090912E-2</v>
      </c>
      <c r="AB1449" s="1" t="s">
        <v>43</v>
      </c>
      <c r="AC1449">
        <v>3</v>
      </c>
      <c r="AD1449" s="2">
        <v>44228</v>
      </c>
      <c r="AE1449" s="1" t="s">
        <v>44</v>
      </c>
      <c r="AF1449" s="1" t="s">
        <v>72</v>
      </c>
      <c r="AG1449" s="1" t="s">
        <v>63</v>
      </c>
      <c r="AH1449" s="1" t="s">
        <v>59</v>
      </c>
      <c r="AI1449">
        <v>30624</v>
      </c>
      <c r="AJ1449">
        <v>-143.54999999999927</v>
      </c>
    </row>
    <row r="1450" spans="1:36" x14ac:dyDescent="0.25">
      <c r="A1450">
        <v>11449</v>
      </c>
      <c r="B1450">
        <v>42</v>
      </c>
      <c r="C1450" s="1" t="s">
        <v>60</v>
      </c>
      <c r="D1450" s="1" t="s">
        <v>69</v>
      </c>
      <c r="E1450" s="2">
        <v>44481</v>
      </c>
      <c r="F1450" s="2">
        <v>45113</v>
      </c>
      <c r="G1450" s="1" t="s">
        <v>62</v>
      </c>
      <c r="H1450">
        <v>1000</v>
      </c>
      <c r="I1450">
        <v>16</v>
      </c>
      <c r="J1450">
        <v>1</v>
      </c>
      <c r="K1450">
        <v>78.819999999999993</v>
      </c>
      <c r="L1450">
        <v>10</v>
      </c>
      <c r="M1450" s="1" t="s">
        <v>39</v>
      </c>
      <c r="N1450" s="1" t="s">
        <v>56</v>
      </c>
      <c r="O1450">
        <v>15900</v>
      </c>
      <c r="P1450" t="b">
        <v>1</v>
      </c>
      <c r="Q1450">
        <v>1.3333333333333333</v>
      </c>
      <c r="R1450">
        <v>993.75</v>
      </c>
      <c r="S1450">
        <v>39.409999999999997</v>
      </c>
      <c r="T1450" s="2">
        <v>44470</v>
      </c>
      <c r="U1450" s="1" t="s">
        <v>51</v>
      </c>
      <c r="V1450">
        <v>0</v>
      </c>
      <c r="W1450" s="1" t="s">
        <v>40</v>
      </c>
      <c r="X1450">
        <v>632</v>
      </c>
      <c r="Y1450" s="1" t="s">
        <v>43</v>
      </c>
      <c r="Z1450" s="1" t="s">
        <v>42</v>
      </c>
      <c r="AA1450">
        <v>5.8823529411764705E-2</v>
      </c>
      <c r="AB1450" s="1" t="s">
        <v>52</v>
      </c>
      <c r="AC1450">
        <v>2</v>
      </c>
      <c r="AD1450" s="2">
        <v>44470</v>
      </c>
      <c r="AE1450" s="1" t="s">
        <v>53</v>
      </c>
      <c r="AF1450" s="1" t="s">
        <v>54</v>
      </c>
      <c r="AG1450" s="1" t="s">
        <v>63</v>
      </c>
      <c r="AH1450" s="1" t="s">
        <v>59</v>
      </c>
      <c r="AI1450">
        <v>16000</v>
      </c>
      <c r="AJ1450">
        <v>-100</v>
      </c>
    </row>
    <row r="1451" spans="1:36" x14ac:dyDescent="0.25">
      <c r="A1451">
        <v>11450</v>
      </c>
      <c r="B1451">
        <v>35</v>
      </c>
      <c r="C1451" s="1" t="s">
        <v>36</v>
      </c>
      <c r="D1451" s="1" t="s">
        <v>37</v>
      </c>
      <c r="E1451" s="2">
        <v>44583</v>
      </c>
      <c r="F1451" s="2">
        <v>44568</v>
      </c>
      <c r="G1451" s="1" t="s">
        <v>62</v>
      </c>
      <c r="H1451">
        <v>1380</v>
      </c>
      <c r="I1451">
        <v>9</v>
      </c>
      <c r="J1451">
        <v>3</v>
      </c>
      <c r="K1451">
        <v>115.85</v>
      </c>
      <c r="L1451">
        <v>20</v>
      </c>
      <c r="M1451" s="1" t="s">
        <v>50</v>
      </c>
      <c r="N1451" s="1" t="s">
        <v>56</v>
      </c>
      <c r="O1451">
        <v>12144</v>
      </c>
      <c r="P1451" t="b">
        <v>0</v>
      </c>
      <c r="Q1451">
        <v>0.75</v>
      </c>
      <c r="R1451">
        <v>1349.3333333333333</v>
      </c>
      <c r="S1451">
        <v>28.962499999999999</v>
      </c>
      <c r="T1451" s="2">
        <v>44562</v>
      </c>
      <c r="U1451" s="1" t="s">
        <v>57</v>
      </c>
      <c r="V1451">
        <v>0</v>
      </c>
      <c r="W1451" s="1" t="s">
        <v>56</v>
      </c>
      <c r="Y1451" s="1" t="s">
        <v>43</v>
      </c>
      <c r="Z1451" s="1" t="s">
        <v>52</v>
      </c>
      <c r="AA1451">
        <v>0.3</v>
      </c>
      <c r="AB1451" s="1" t="s">
        <v>52</v>
      </c>
      <c r="AC1451">
        <v>2</v>
      </c>
      <c r="AD1451" s="2">
        <v>44562</v>
      </c>
      <c r="AE1451" s="1" t="s">
        <v>74</v>
      </c>
      <c r="AF1451" s="1" t="s">
        <v>72</v>
      </c>
      <c r="AG1451" s="1" t="s">
        <v>63</v>
      </c>
      <c r="AH1451" s="1" t="s">
        <v>47</v>
      </c>
      <c r="AI1451">
        <v>12420</v>
      </c>
      <c r="AJ1451">
        <v>-276</v>
      </c>
    </row>
    <row r="1452" spans="1:36" x14ac:dyDescent="0.25">
      <c r="A1452">
        <v>11451</v>
      </c>
      <c r="B1452">
        <v>42</v>
      </c>
      <c r="C1452" s="1" t="s">
        <v>36</v>
      </c>
      <c r="D1452" s="1" t="s">
        <v>69</v>
      </c>
      <c r="E1452" s="2">
        <v>44334</v>
      </c>
      <c r="F1452" s="2">
        <v>44609</v>
      </c>
      <c r="G1452" s="1" t="s">
        <v>49</v>
      </c>
      <c r="H1452">
        <v>408</v>
      </c>
      <c r="I1452">
        <v>22</v>
      </c>
      <c r="J1452">
        <v>2</v>
      </c>
      <c r="K1452">
        <v>72.53</v>
      </c>
      <c r="L1452">
        <v>0</v>
      </c>
      <c r="M1452" s="1" t="s">
        <v>39</v>
      </c>
      <c r="N1452" s="1" t="s">
        <v>56</v>
      </c>
      <c r="O1452">
        <v>8976</v>
      </c>
      <c r="P1452" t="b">
        <v>1</v>
      </c>
      <c r="Q1452">
        <v>1.8333333333333333</v>
      </c>
      <c r="R1452">
        <v>408</v>
      </c>
      <c r="S1452">
        <v>24.176666666666666</v>
      </c>
      <c r="T1452" s="2">
        <v>44317</v>
      </c>
      <c r="U1452" s="1" t="s">
        <v>51</v>
      </c>
      <c r="V1452">
        <v>0</v>
      </c>
      <c r="W1452" s="1" t="s">
        <v>56</v>
      </c>
      <c r="X1452">
        <v>275</v>
      </c>
      <c r="Y1452" s="1" t="s">
        <v>43</v>
      </c>
      <c r="Z1452" s="1" t="s">
        <v>42</v>
      </c>
      <c r="AA1452">
        <v>8.6956521739130432E-2</v>
      </c>
      <c r="AB1452" s="1" t="s">
        <v>52</v>
      </c>
      <c r="AC1452">
        <v>3</v>
      </c>
      <c r="AD1452" s="2">
        <v>44317</v>
      </c>
      <c r="AE1452" s="1" t="s">
        <v>53</v>
      </c>
      <c r="AF1452" s="1" t="s">
        <v>72</v>
      </c>
      <c r="AG1452" s="1" t="s">
        <v>63</v>
      </c>
      <c r="AH1452" s="1" t="s">
        <v>68</v>
      </c>
      <c r="AI1452">
        <v>8976</v>
      </c>
      <c r="AJ1452">
        <v>0</v>
      </c>
    </row>
    <row r="1453" spans="1:36" x14ac:dyDescent="0.25">
      <c r="A1453">
        <v>11452</v>
      </c>
      <c r="B1453">
        <v>29</v>
      </c>
      <c r="C1453" s="1" t="s">
        <v>36</v>
      </c>
      <c r="D1453" s="1" t="s">
        <v>48</v>
      </c>
      <c r="E1453" s="2">
        <v>44383</v>
      </c>
      <c r="F1453" s="2">
        <v>44757</v>
      </c>
      <c r="G1453" s="1" t="s">
        <v>38</v>
      </c>
      <c r="H1453">
        <v>1284</v>
      </c>
      <c r="I1453">
        <v>14</v>
      </c>
      <c r="J1453">
        <v>2</v>
      </c>
      <c r="K1453">
        <v>39.950000000000003</v>
      </c>
      <c r="L1453">
        <v>10</v>
      </c>
      <c r="M1453" s="1" t="s">
        <v>39</v>
      </c>
      <c r="N1453" s="1" t="s">
        <v>56</v>
      </c>
      <c r="O1453">
        <v>17976</v>
      </c>
      <c r="P1453" t="b">
        <v>1</v>
      </c>
      <c r="Q1453">
        <v>1.1666666666666667</v>
      </c>
      <c r="R1453">
        <v>1284</v>
      </c>
      <c r="S1453">
        <v>13.316666666666668</v>
      </c>
      <c r="T1453" s="2">
        <v>44378</v>
      </c>
      <c r="U1453" s="1" t="s">
        <v>57</v>
      </c>
      <c r="V1453">
        <v>0</v>
      </c>
      <c r="W1453" s="1" t="s">
        <v>40</v>
      </c>
      <c r="X1453">
        <v>374</v>
      </c>
      <c r="Y1453" s="1" t="s">
        <v>52</v>
      </c>
      <c r="Z1453" s="1" t="s">
        <v>42</v>
      </c>
      <c r="AA1453">
        <v>0.13333333333333333</v>
      </c>
      <c r="AB1453" s="1" t="s">
        <v>52</v>
      </c>
      <c r="AC1453">
        <v>1</v>
      </c>
      <c r="AD1453" s="2">
        <v>44378</v>
      </c>
      <c r="AE1453" s="1" t="s">
        <v>53</v>
      </c>
      <c r="AF1453" s="1" t="s">
        <v>72</v>
      </c>
      <c r="AG1453" s="1" t="s">
        <v>55</v>
      </c>
      <c r="AH1453" s="1" t="s">
        <v>47</v>
      </c>
      <c r="AI1453">
        <v>17976</v>
      </c>
      <c r="AJ1453">
        <v>0</v>
      </c>
    </row>
    <row r="1454" spans="1:36" x14ac:dyDescent="0.25">
      <c r="A1454">
        <v>11453</v>
      </c>
      <c r="B1454">
        <v>32</v>
      </c>
      <c r="C1454" s="1" t="s">
        <v>36</v>
      </c>
      <c r="D1454" s="1" t="s">
        <v>71</v>
      </c>
      <c r="E1454" s="2">
        <v>44912</v>
      </c>
      <c r="F1454" s="2">
        <v>44678</v>
      </c>
      <c r="G1454" s="1" t="s">
        <v>62</v>
      </c>
      <c r="H1454">
        <v>323</v>
      </c>
      <c r="I1454">
        <v>16</v>
      </c>
      <c r="J1454">
        <v>1</v>
      </c>
      <c r="K1454">
        <v>48.87</v>
      </c>
      <c r="L1454">
        <v>0</v>
      </c>
      <c r="M1454" s="1" t="s">
        <v>39</v>
      </c>
      <c r="N1454" s="1" t="s">
        <v>56</v>
      </c>
      <c r="O1454">
        <v>5168</v>
      </c>
      <c r="P1454" t="b">
        <v>0</v>
      </c>
      <c r="Q1454">
        <v>1.3333333333333333</v>
      </c>
      <c r="R1454">
        <v>323</v>
      </c>
      <c r="S1454">
        <v>24.434999999999999</v>
      </c>
      <c r="T1454" s="2">
        <v>44896</v>
      </c>
      <c r="U1454" s="1" t="s">
        <v>57</v>
      </c>
      <c r="V1454">
        <v>0</v>
      </c>
      <c r="W1454" s="1" t="s">
        <v>56</v>
      </c>
      <c r="Y1454" s="1" t="s">
        <v>52</v>
      </c>
      <c r="Z1454" s="1" t="s">
        <v>42</v>
      </c>
      <c r="AA1454">
        <v>5.8823529411764705E-2</v>
      </c>
      <c r="AB1454" s="1" t="s">
        <v>42</v>
      </c>
      <c r="AC1454">
        <v>2</v>
      </c>
      <c r="AD1454" s="2">
        <v>44896</v>
      </c>
      <c r="AE1454" s="1" t="s">
        <v>53</v>
      </c>
      <c r="AF1454" s="1" t="s">
        <v>54</v>
      </c>
      <c r="AG1454" s="1" t="s">
        <v>63</v>
      </c>
      <c r="AH1454" s="1" t="s">
        <v>68</v>
      </c>
      <c r="AI1454">
        <v>5168</v>
      </c>
      <c r="AJ1454">
        <v>0</v>
      </c>
    </row>
    <row r="1455" spans="1:36" x14ac:dyDescent="0.25">
      <c r="A1455">
        <v>11454</v>
      </c>
      <c r="B1455">
        <v>41</v>
      </c>
      <c r="C1455" s="1" t="s">
        <v>36</v>
      </c>
      <c r="D1455" s="1" t="s">
        <v>37</v>
      </c>
      <c r="E1455" s="2">
        <v>44627</v>
      </c>
      <c r="F1455" s="2">
        <v>44691</v>
      </c>
      <c r="G1455" s="1" t="s">
        <v>62</v>
      </c>
      <c r="H1455">
        <v>520</v>
      </c>
      <c r="I1455">
        <v>20</v>
      </c>
      <c r="J1455">
        <v>1</v>
      </c>
      <c r="K1455">
        <v>25.22</v>
      </c>
      <c r="L1455">
        <v>10</v>
      </c>
      <c r="M1455" s="1" t="s">
        <v>65</v>
      </c>
      <c r="N1455" s="1" t="s">
        <v>56</v>
      </c>
      <c r="O1455">
        <v>10348</v>
      </c>
      <c r="P1455" t="b">
        <v>1</v>
      </c>
      <c r="Q1455">
        <v>1.6666666666666667</v>
      </c>
      <c r="R1455">
        <v>517.4</v>
      </c>
      <c r="S1455">
        <v>12.61</v>
      </c>
      <c r="T1455" s="2">
        <v>44621</v>
      </c>
      <c r="U1455" s="1" t="s">
        <v>51</v>
      </c>
      <c r="V1455">
        <v>0</v>
      </c>
      <c r="W1455" s="1" t="s">
        <v>56</v>
      </c>
      <c r="X1455">
        <v>64</v>
      </c>
      <c r="Y1455" s="1" t="s">
        <v>52</v>
      </c>
      <c r="Z1455" s="1" t="s">
        <v>42</v>
      </c>
      <c r="AA1455">
        <v>4.7619047619047616E-2</v>
      </c>
      <c r="AB1455" s="1" t="s">
        <v>52</v>
      </c>
      <c r="AC1455">
        <v>2</v>
      </c>
      <c r="AD1455" s="2">
        <v>44621</v>
      </c>
      <c r="AE1455" s="1" t="s">
        <v>53</v>
      </c>
      <c r="AF1455" s="1" t="s">
        <v>54</v>
      </c>
      <c r="AG1455" s="1" t="s">
        <v>70</v>
      </c>
      <c r="AH1455" s="1" t="s">
        <v>64</v>
      </c>
      <c r="AI1455">
        <v>10400</v>
      </c>
      <c r="AJ1455">
        <v>-52</v>
      </c>
    </row>
    <row r="1456" spans="1:36" x14ac:dyDescent="0.25">
      <c r="A1456">
        <v>11455</v>
      </c>
      <c r="B1456">
        <v>58</v>
      </c>
      <c r="C1456" s="1" t="s">
        <v>60</v>
      </c>
      <c r="D1456" s="1" t="s">
        <v>37</v>
      </c>
      <c r="E1456" s="2">
        <v>44750</v>
      </c>
      <c r="F1456" s="2">
        <v>45118</v>
      </c>
      <c r="G1456" s="1" t="s">
        <v>38</v>
      </c>
      <c r="H1456">
        <v>614</v>
      </c>
      <c r="I1456">
        <v>15</v>
      </c>
      <c r="J1456">
        <v>0</v>
      </c>
      <c r="K1456">
        <v>88.14</v>
      </c>
      <c r="L1456">
        <v>15</v>
      </c>
      <c r="M1456" s="1" t="s">
        <v>50</v>
      </c>
      <c r="N1456" s="1" t="s">
        <v>56</v>
      </c>
      <c r="O1456">
        <v>9117.9</v>
      </c>
      <c r="P1456" t="b">
        <v>1</v>
      </c>
      <c r="Q1456">
        <v>1.25</v>
      </c>
      <c r="R1456">
        <v>607.86</v>
      </c>
      <c r="S1456">
        <v>88.14</v>
      </c>
      <c r="T1456" s="2">
        <v>44743</v>
      </c>
      <c r="U1456" s="1" t="s">
        <v>41</v>
      </c>
      <c r="V1456">
        <v>0</v>
      </c>
      <c r="W1456" s="1" t="s">
        <v>56</v>
      </c>
      <c r="X1456">
        <v>368</v>
      </c>
      <c r="Y1456" s="1" t="s">
        <v>43</v>
      </c>
      <c r="Z1456" s="1" t="s">
        <v>42</v>
      </c>
      <c r="AA1456">
        <v>0</v>
      </c>
      <c r="AB1456" s="1" t="s">
        <v>52</v>
      </c>
      <c r="AC1456">
        <v>1</v>
      </c>
      <c r="AD1456" s="2">
        <v>44743</v>
      </c>
      <c r="AE1456" s="1" t="s">
        <v>53</v>
      </c>
      <c r="AF1456" s="1" t="s">
        <v>54</v>
      </c>
      <c r="AG1456" s="1" t="s">
        <v>63</v>
      </c>
      <c r="AH1456" s="1" t="s">
        <v>64</v>
      </c>
      <c r="AI1456">
        <v>9210</v>
      </c>
      <c r="AJ1456">
        <v>-92.100000000000364</v>
      </c>
    </row>
    <row r="1457" spans="1:36" x14ac:dyDescent="0.25">
      <c r="A1457">
        <v>11456</v>
      </c>
      <c r="B1457">
        <v>62</v>
      </c>
      <c r="C1457" s="1" t="s">
        <v>36</v>
      </c>
      <c r="D1457" s="1" t="s">
        <v>48</v>
      </c>
      <c r="E1457" s="2">
        <v>45058</v>
      </c>
      <c r="F1457" s="2">
        <v>45167</v>
      </c>
      <c r="G1457" s="1" t="s">
        <v>38</v>
      </c>
      <c r="H1457">
        <v>593</v>
      </c>
      <c r="I1457">
        <v>26</v>
      </c>
      <c r="J1457">
        <v>3</v>
      </c>
      <c r="K1457">
        <v>86.39</v>
      </c>
      <c r="L1457">
        <v>15</v>
      </c>
      <c r="M1457" s="1" t="s">
        <v>39</v>
      </c>
      <c r="N1457" s="1" t="s">
        <v>56</v>
      </c>
      <c r="O1457">
        <v>15329.05</v>
      </c>
      <c r="P1457" t="b">
        <v>1</v>
      </c>
      <c r="Q1457">
        <v>2.1666666666666665</v>
      </c>
      <c r="R1457">
        <v>589.57884615384614</v>
      </c>
      <c r="S1457">
        <v>21.5975</v>
      </c>
      <c r="T1457" s="2">
        <v>45047</v>
      </c>
      <c r="U1457" s="1" t="s">
        <v>41</v>
      </c>
      <c r="V1457">
        <v>0</v>
      </c>
      <c r="W1457" s="1" t="s">
        <v>40</v>
      </c>
      <c r="X1457">
        <v>109</v>
      </c>
      <c r="Y1457" s="1" t="s">
        <v>43</v>
      </c>
      <c r="Z1457" s="1" t="s">
        <v>42</v>
      </c>
      <c r="AA1457">
        <v>0.1111111111111111</v>
      </c>
      <c r="AB1457" s="1" t="s">
        <v>52</v>
      </c>
      <c r="AC1457">
        <v>1</v>
      </c>
      <c r="AD1457" s="2">
        <v>45047</v>
      </c>
      <c r="AE1457" s="1" t="s">
        <v>44</v>
      </c>
      <c r="AF1457" s="1" t="s">
        <v>72</v>
      </c>
      <c r="AG1457" s="1" t="s">
        <v>63</v>
      </c>
      <c r="AH1457" s="1" t="s">
        <v>64</v>
      </c>
      <c r="AI1457">
        <v>15418</v>
      </c>
      <c r="AJ1457">
        <v>-88.950000000000728</v>
      </c>
    </row>
    <row r="1458" spans="1:36" x14ac:dyDescent="0.25">
      <c r="A1458">
        <v>11457</v>
      </c>
      <c r="B1458">
        <v>43</v>
      </c>
      <c r="C1458" s="1" t="s">
        <v>60</v>
      </c>
      <c r="D1458" s="1" t="s">
        <v>69</v>
      </c>
      <c r="E1458" s="2">
        <v>44612</v>
      </c>
      <c r="F1458" s="2">
        <v>44421</v>
      </c>
      <c r="G1458" s="1" t="s">
        <v>38</v>
      </c>
      <c r="H1458">
        <v>1333</v>
      </c>
      <c r="I1458">
        <v>9</v>
      </c>
      <c r="J1458">
        <v>3</v>
      </c>
      <c r="K1458">
        <v>28.07</v>
      </c>
      <c r="L1458">
        <v>5</v>
      </c>
      <c r="M1458" s="1" t="s">
        <v>65</v>
      </c>
      <c r="N1458" s="1" t="s">
        <v>40</v>
      </c>
      <c r="O1458">
        <v>11930.35</v>
      </c>
      <c r="P1458" t="b">
        <v>0</v>
      </c>
      <c r="Q1458">
        <v>0.75</v>
      </c>
      <c r="R1458">
        <v>1325.5944444444444</v>
      </c>
      <c r="S1458">
        <v>7.0175000000000001</v>
      </c>
      <c r="T1458" s="2">
        <v>44593</v>
      </c>
      <c r="U1458" s="1" t="s">
        <v>51</v>
      </c>
      <c r="V1458">
        <v>1</v>
      </c>
      <c r="W1458" s="1" t="s">
        <v>56</v>
      </c>
      <c r="Y1458" s="1" t="s">
        <v>52</v>
      </c>
      <c r="Z1458" s="1" t="s">
        <v>42</v>
      </c>
      <c r="AA1458">
        <v>0.3</v>
      </c>
      <c r="AB1458" s="1" t="s">
        <v>52</v>
      </c>
      <c r="AC1458">
        <v>1</v>
      </c>
      <c r="AD1458" s="2">
        <v>44593</v>
      </c>
      <c r="AE1458" s="1" t="s">
        <v>74</v>
      </c>
      <c r="AF1458" s="1" t="s">
        <v>72</v>
      </c>
      <c r="AG1458" s="1" t="s">
        <v>70</v>
      </c>
      <c r="AH1458" s="1" t="s">
        <v>47</v>
      </c>
      <c r="AI1458">
        <v>11997</v>
      </c>
      <c r="AJ1458">
        <v>-66.649999999999636</v>
      </c>
    </row>
    <row r="1459" spans="1:36" x14ac:dyDescent="0.25">
      <c r="A1459">
        <v>11458</v>
      </c>
      <c r="B1459">
        <v>64</v>
      </c>
      <c r="C1459" s="1" t="s">
        <v>36</v>
      </c>
      <c r="D1459" s="1" t="s">
        <v>76</v>
      </c>
      <c r="E1459" s="2">
        <v>44996</v>
      </c>
      <c r="F1459" s="2">
        <v>44984</v>
      </c>
      <c r="G1459" s="1" t="s">
        <v>62</v>
      </c>
      <c r="H1459">
        <v>1319</v>
      </c>
      <c r="I1459">
        <v>1</v>
      </c>
      <c r="J1459">
        <v>3</v>
      </c>
      <c r="K1459">
        <v>23.23</v>
      </c>
      <c r="L1459">
        <v>5</v>
      </c>
      <c r="M1459" s="1" t="s">
        <v>65</v>
      </c>
      <c r="N1459" s="1" t="s">
        <v>56</v>
      </c>
      <c r="O1459">
        <v>1253.05</v>
      </c>
      <c r="P1459" t="b">
        <v>0</v>
      </c>
      <c r="Q1459">
        <v>8.3333333333333329E-2</v>
      </c>
      <c r="R1459">
        <v>1253.05</v>
      </c>
      <c r="S1459">
        <v>5.8075000000000001</v>
      </c>
      <c r="T1459" s="2">
        <v>44986</v>
      </c>
      <c r="U1459" s="1" t="s">
        <v>41</v>
      </c>
      <c r="V1459">
        <v>0</v>
      </c>
      <c r="W1459" s="1" t="s">
        <v>56</v>
      </c>
      <c r="Y1459" s="1" t="s">
        <v>52</v>
      </c>
      <c r="Z1459" s="1" t="s">
        <v>42</v>
      </c>
      <c r="AA1459">
        <v>1.5</v>
      </c>
      <c r="AB1459" s="1" t="s">
        <v>42</v>
      </c>
      <c r="AC1459">
        <v>2</v>
      </c>
      <c r="AD1459" s="2">
        <v>44986</v>
      </c>
      <c r="AE1459" s="1" t="s">
        <v>58</v>
      </c>
      <c r="AF1459" s="1" t="s">
        <v>72</v>
      </c>
      <c r="AG1459" s="1" t="s">
        <v>70</v>
      </c>
      <c r="AH1459" s="1" t="s">
        <v>47</v>
      </c>
      <c r="AI1459">
        <v>1319</v>
      </c>
      <c r="AJ1459">
        <v>-65.950000000000045</v>
      </c>
    </row>
    <row r="1460" spans="1:36" x14ac:dyDescent="0.25">
      <c r="A1460">
        <v>11459</v>
      </c>
      <c r="B1460">
        <v>49</v>
      </c>
      <c r="C1460" s="1" t="s">
        <v>36</v>
      </c>
      <c r="D1460" s="1" t="s">
        <v>37</v>
      </c>
      <c r="E1460" s="2">
        <v>44622</v>
      </c>
      <c r="F1460" s="2">
        <v>45047</v>
      </c>
      <c r="G1460" s="1" t="s">
        <v>62</v>
      </c>
      <c r="H1460">
        <v>1317</v>
      </c>
      <c r="I1460">
        <v>35</v>
      </c>
      <c r="J1460">
        <v>1</v>
      </c>
      <c r="K1460">
        <v>13.86</v>
      </c>
      <c r="L1460">
        <v>10</v>
      </c>
      <c r="M1460" s="1" t="s">
        <v>67</v>
      </c>
      <c r="N1460" s="1" t="s">
        <v>40</v>
      </c>
      <c r="O1460">
        <v>45897.45</v>
      </c>
      <c r="P1460" t="b">
        <v>1</v>
      </c>
      <c r="Q1460">
        <v>2.9166666666666665</v>
      </c>
      <c r="R1460">
        <v>1311.3557142857142</v>
      </c>
      <c r="S1460">
        <v>6.93</v>
      </c>
      <c r="T1460" s="2">
        <v>44621</v>
      </c>
      <c r="U1460" s="1" t="s">
        <v>51</v>
      </c>
      <c r="V1460">
        <v>1</v>
      </c>
      <c r="W1460" s="1" t="s">
        <v>40</v>
      </c>
      <c r="X1460">
        <v>425</v>
      </c>
      <c r="Y1460" s="1" t="s">
        <v>42</v>
      </c>
      <c r="Z1460" s="1" t="s">
        <v>42</v>
      </c>
      <c r="AA1460">
        <v>2.7777777777777776E-2</v>
      </c>
      <c r="AB1460" s="1" t="s">
        <v>43</v>
      </c>
      <c r="AC1460">
        <v>2</v>
      </c>
      <c r="AD1460" s="2">
        <v>44621</v>
      </c>
      <c r="AE1460" s="1" t="s">
        <v>44</v>
      </c>
      <c r="AF1460" s="1" t="s">
        <v>54</v>
      </c>
      <c r="AG1460" s="1" t="s">
        <v>46</v>
      </c>
      <c r="AH1460" s="1" t="s">
        <v>47</v>
      </c>
      <c r="AI1460">
        <v>46095</v>
      </c>
      <c r="AJ1460">
        <v>-197.55000000000291</v>
      </c>
    </row>
    <row r="1461" spans="1:36" x14ac:dyDescent="0.25">
      <c r="A1461">
        <v>11460</v>
      </c>
      <c r="B1461">
        <v>27</v>
      </c>
      <c r="C1461" s="1" t="s">
        <v>36</v>
      </c>
      <c r="D1461" s="1" t="s">
        <v>71</v>
      </c>
      <c r="E1461" s="2">
        <v>44612</v>
      </c>
      <c r="F1461" s="2">
        <v>44601</v>
      </c>
      <c r="G1461" s="1" t="s">
        <v>62</v>
      </c>
      <c r="H1461">
        <v>937</v>
      </c>
      <c r="I1461">
        <v>20</v>
      </c>
      <c r="J1461">
        <v>1</v>
      </c>
      <c r="K1461">
        <v>109.88</v>
      </c>
      <c r="L1461">
        <v>0</v>
      </c>
      <c r="M1461" s="1" t="s">
        <v>50</v>
      </c>
      <c r="N1461" s="1" t="s">
        <v>56</v>
      </c>
      <c r="O1461">
        <v>18740</v>
      </c>
      <c r="P1461" t="b">
        <v>0</v>
      </c>
      <c r="Q1461">
        <v>1.6666666666666667</v>
      </c>
      <c r="R1461">
        <v>937</v>
      </c>
      <c r="S1461">
        <v>54.94</v>
      </c>
      <c r="T1461" s="2">
        <v>44593</v>
      </c>
      <c r="U1461" s="1" t="s">
        <v>57</v>
      </c>
      <c r="V1461">
        <v>0</v>
      </c>
      <c r="W1461" s="1" t="s">
        <v>40</v>
      </c>
      <c r="Y1461" s="1" t="s">
        <v>43</v>
      </c>
      <c r="Z1461" s="1" t="s">
        <v>42</v>
      </c>
      <c r="AA1461">
        <v>4.7619047619047616E-2</v>
      </c>
      <c r="AB1461" s="1" t="s">
        <v>52</v>
      </c>
      <c r="AC1461">
        <v>2</v>
      </c>
      <c r="AD1461" s="2">
        <v>44593</v>
      </c>
      <c r="AE1461" s="1" t="s">
        <v>53</v>
      </c>
      <c r="AF1461" s="1" t="s">
        <v>54</v>
      </c>
      <c r="AG1461" s="1" t="s">
        <v>63</v>
      </c>
      <c r="AH1461" s="1" t="s">
        <v>59</v>
      </c>
      <c r="AI1461">
        <v>18740</v>
      </c>
      <c r="AJ1461">
        <v>0</v>
      </c>
    </row>
    <row r="1462" spans="1:36" x14ac:dyDescent="0.25">
      <c r="A1462">
        <v>11461</v>
      </c>
      <c r="B1462">
        <v>33</v>
      </c>
      <c r="C1462" s="1" t="s">
        <v>60</v>
      </c>
      <c r="D1462" s="1" t="s">
        <v>37</v>
      </c>
      <c r="E1462" s="2">
        <v>44222</v>
      </c>
      <c r="F1462" s="2">
        <v>45180</v>
      </c>
      <c r="G1462" s="1" t="s">
        <v>38</v>
      </c>
      <c r="H1462">
        <v>566</v>
      </c>
      <c r="I1462">
        <v>6</v>
      </c>
      <c r="J1462">
        <v>1</v>
      </c>
      <c r="K1462">
        <v>31.8</v>
      </c>
      <c r="L1462">
        <v>10</v>
      </c>
      <c r="M1462" s="1" t="s">
        <v>39</v>
      </c>
      <c r="N1462" s="1" t="s">
        <v>56</v>
      </c>
      <c r="O1462">
        <v>3339.4</v>
      </c>
      <c r="P1462" t="b">
        <v>1</v>
      </c>
      <c r="Q1462">
        <v>0.5</v>
      </c>
      <c r="R1462">
        <v>556.56666666666672</v>
      </c>
      <c r="S1462">
        <v>15.9</v>
      </c>
      <c r="T1462" s="2">
        <v>44197</v>
      </c>
      <c r="U1462" s="1" t="s">
        <v>57</v>
      </c>
      <c r="V1462">
        <v>0</v>
      </c>
      <c r="W1462" s="1" t="s">
        <v>56</v>
      </c>
      <c r="X1462">
        <v>958</v>
      </c>
      <c r="Y1462" s="1" t="s">
        <v>52</v>
      </c>
      <c r="Z1462" s="1" t="s">
        <v>42</v>
      </c>
      <c r="AA1462">
        <v>0.14285714285714285</v>
      </c>
      <c r="AB1462" s="1" t="s">
        <v>42</v>
      </c>
      <c r="AC1462">
        <v>1</v>
      </c>
      <c r="AD1462" s="2">
        <v>44197</v>
      </c>
      <c r="AE1462" s="1" t="s">
        <v>58</v>
      </c>
      <c r="AF1462" s="1" t="s">
        <v>54</v>
      </c>
      <c r="AG1462" s="1" t="s">
        <v>55</v>
      </c>
      <c r="AH1462" s="1" t="s">
        <v>64</v>
      </c>
      <c r="AI1462">
        <v>3396</v>
      </c>
      <c r="AJ1462">
        <v>-56.599999999999909</v>
      </c>
    </row>
    <row r="1463" spans="1:36" x14ac:dyDescent="0.25">
      <c r="A1463">
        <v>11462</v>
      </c>
      <c r="B1463">
        <v>24</v>
      </c>
      <c r="C1463" s="1" t="s">
        <v>36</v>
      </c>
      <c r="D1463" s="1" t="s">
        <v>69</v>
      </c>
      <c r="E1463" s="2">
        <v>44567</v>
      </c>
      <c r="F1463" s="2">
        <v>45167</v>
      </c>
      <c r="G1463" s="1" t="s">
        <v>62</v>
      </c>
      <c r="H1463">
        <v>387</v>
      </c>
      <c r="I1463">
        <v>10</v>
      </c>
      <c r="J1463">
        <v>6</v>
      </c>
      <c r="K1463">
        <v>44.58</v>
      </c>
      <c r="L1463">
        <v>15</v>
      </c>
      <c r="M1463" s="1" t="s">
        <v>50</v>
      </c>
      <c r="N1463" s="1" t="s">
        <v>40</v>
      </c>
      <c r="O1463">
        <v>3811.95</v>
      </c>
      <c r="P1463" t="b">
        <v>1</v>
      </c>
      <c r="Q1463">
        <v>0.83333333333333337</v>
      </c>
      <c r="R1463">
        <v>381.19499999999999</v>
      </c>
      <c r="S1463">
        <v>6.3685714285714283</v>
      </c>
      <c r="T1463" s="2">
        <v>44562</v>
      </c>
      <c r="U1463" s="1" t="s">
        <v>66</v>
      </c>
      <c r="V1463">
        <v>1</v>
      </c>
      <c r="W1463" s="1" t="s">
        <v>56</v>
      </c>
      <c r="X1463">
        <v>600</v>
      </c>
      <c r="Y1463" s="1" t="s">
        <v>52</v>
      </c>
      <c r="Z1463" s="1" t="s">
        <v>42</v>
      </c>
      <c r="AA1463">
        <v>0.54545454545454541</v>
      </c>
      <c r="AB1463" s="1" t="s">
        <v>42</v>
      </c>
      <c r="AC1463">
        <v>2</v>
      </c>
      <c r="AD1463" s="2">
        <v>44562</v>
      </c>
      <c r="AE1463" s="1" t="s">
        <v>74</v>
      </c>
      <c r="AF1463" s="1" t="s">
        <v>78</v>
      </c>
      <c r="AG1463" s="1" t="s">
        <v>55</v>
      </c>
      <c r="AH1463" s="1" t="s">
        <v>68</v>
      </c>
      <c r="AI1463">
        <v>3870</v>
      </c>
      <c r="AJ1463">
        <v>-58.050000000000182</v>
      </c>
    </row>
    <row r="1464" spans="1:36" x14ac:dyDescent="0.25">
      <c r="A1464">
        <v>11463</v>
      </c>
      <c r="B1464">
        <v>34</v>
      </c>
      <c r="C1464" s="1" t="s">
        <v>60</v>
      </c>
      <c r="D1464" s="1" t="s">
        <v>73</v>
      </c>
      <c r="E1464" s="2">
        <v>44581</v>
      </c>
      <c r="F1464" s="2">
        <v>45094</v>
      </c>
      <c r="G1464" s="1" t="s">
        <v>49</v>
      </c>
      <c r="H1464">
        <v>754</v>
      </c>
      <c r="I1464">
        <v>33</v>
      </c>
      <c r="J1464">
        <v>3</v>
      </c>
      <c r="K1464">
        <v>37.26</v>
      </c>
      <c r="L1464">
        <v>10</v>
      </c>
      <c r="M1464" s="1" t="s">
        <v>67</v>
      </c>
      <c r="N1464" s="1" t="s">
        <v>40</v>
      </c>
      <c r="O1464">
        <v>24806.6</v>
      </c>
      <c r="P1464" t="b">
        <v>1</v>
      </c>
      <c r="Q1464">
        <v>2.75</v>
      </c>
      <c r="R1464">
        <v>751.71515151515143</v>
      </c>
      <c r="S1464">
        <v>9.3149999999999995</v>
      </c>
      <c r="T1464" s="2">
        <v>44562</v>
      </c>
      <c r="U1464" s="1" t="s">
        <v>57</v>
      </c>
      <c r="V1464">
        <v>1</v>
      </c>
      <c r="W1464" s="1" t="s">
        <v>40</v>
      </c>
      <c r="X1464">
        <v>513</v>
      </c>
      <c r="Y1464" s="1" t="s">
        <v>52</v>
      </c>
      <c r="Z1464" s="1" t="s">
        <v>42</v>
      </c>
      <c r="AA1464">
        <v>8.8235294117647065E-2</v>
      </c>
      <c r="AB1464" s="1" t="s">
        <v>43</v>
      </c>
      <c r="AC1464">
        <v>3</v>
      </c>
      <c r="AD1464" s="2">
        <v>44562</v>
      </c>
      <c r="AE1464" s="1" t="s">
        <v>44</v>
      </c>
      <c r="AF1464" s="1" t="s">
        <v>72</v>
      </c>
      <c r="AG1464" s="1" t="s">
        <v>55</v>
      </c>
      <c r="AH1464" s="1" t="s">
        <v>59</v>
      </c>
      <c r="AI1464">
        <v>24882</v>
      </c>
      <c r="AJ1464">
        <v>-75.400000000001455</v>
      </c>
    </row>
    <row r="1465" spans="1:36" x14ac:dyDescent="0.25">
      <c r="A1465">
        <v>11464</v>
      </c>
      <c r="B1465">
        <v>40</v>
      </c>
      <c r="C1465" s="1" t="s">
        <v>60</v>
      </c>
      <c r="D1465" s="1" t="s">
        <v>37</v>
      </c>
      <c r="E1465" s="2">
        <v>44252</v>
      </c>
      <c r="F1465" s="2">
        <v>45109</v>
      </c>
      <c r="G1465" s="1" t="s">
        <v>38</v>
      </c>
      <c r="H1465">
        <v>1471</v>
      </c>
      <c r="I1465">
        <v>16</v>
      </c>
      <c r="J1465">
        <v>1</v>
      </c>
      <c r="K1465">
        <v>52.57</v>
      </c>
      <c r="L1465">
        <v>20</v>
      </c>
      <c r="M1465" s="1" t="s">
        <v>67</v>
      </c>
      <c r="N1465" s="1" t="s">
        <v>56</v>
      </c>
      <c r="O1465">
        <v>23241.8</v>
      </c>
      <c r="P1465" t="b">
        <v>1</v>
      </c>
      <c r="Q1465">
        <v>1.3333333333333333</v>
      </c>
      <c r="R1465">
        <v>1452.6125</v>
      </c>
      <c r="S1465">
        <v>26.285</v>
      </c>
      <c r="T1465" s="2">
        <v>44228</v>
      </c>
      <c r="U1465" s="1" t="s">
        <v>51</v>
      </c>
      <c r="V1465">
        <v>0</v>
      </c>
      <c r="W1465" s="1" t="s">
        <v>40</v>
      </c>
      <c r="X1465">
        <v>857</v>
      </c>
      <c r="Y1465" s="1" t="s">
        <v>52</v>
      </c>
      <c r="Z1465" s="1" t="s">
        <v>52</v>
      </c>
      <c r="AA1465">
        <v>5.8823529411764705E-2</v>
      </c>
      <c r="AB1465" s="1" t="s">
        <v>43</v>
      </c>
      <c r="AC1465">
        <v>1</v>
      </c>
      <c r="AD1465" s="2">
        <v>44228</v>
      </c>
      <c r="AE1465" s="1" t="s">
        <v>53</v>
      </c>
      <c r="AF1465" s="1" t="s">
        <v>54</v>
      </c>
      <c r="AG1465" s="1" t="s">
        <v>63</v>
      </c>
      <c r="AH1465" s="1" t="s">
        <v>47</v>
      </c>
      <c r="AI1465">
        <v>23536</v>
      </c>
      <c r="AJ1465">
        <v>-294.20000000000073</v>
      </c>
    </row>
    <row r="1466" spans="1:36" x14ac:dyDescent="0.25">
      <c r="A1466">
        <v>11465</v>
      </c>
      <c r="B1466">
        <v>43</v>
      </c>
      <c r="C1466" s="1" t="s">
        <v>60</v>
      </c>
      <c r="D1466" s="1" t="s">
        <v>73</v>
      </c>
      <c r="E1466" s="2">
        <v>44449</v>
      </c>
      <c r="F1466" s="2">
        <v>44679</v>
      </c>
      <c r="G1466" s="1" t="s">
        <v>62</v>
      </c>
      <c r="H1466">
        <v>1056</v>
      </c>
      <c r="I1466">
        <v>6</v>
      </c>
      <c r="J1466">
        <v>4</v>
      </c>
      <c r="K1466">
        <v>87.12</v>
      </c>
      <c r="L1466">
        <v>0</v>
      </c>
      <c r="M1466" s="1" t="s">
        <v>39</v>
      </c>
      <c r="N1466" s="1" t="s">
        <v>40</v>
      </c>
      <c r="O1466">
        <v>6336</v>
      </c>
      <c r="P1466" t="b">
        <v>1</v>
      </c>
      <c r="Q1466">
        <v>0.5</v>
      </c>
      <c r="R1466">
        <v>1056</v>
      </c>
      <c r="S1466">
        <v>17.423999999999999</v>
      </c>
      <c r="T1466" s="2">
        <v>44440</v>
      </c>
      <c r="U1466" s="1" t="s">
        <v>51</v>
      </c>
      <c r="V1466">
        <v>1</v>
      </c>
      <c r="W1466" s="1" t="s">
        <v>56</v>
      </c>
      <c r="X1466">
        <v>230</v>
      </c>
      <c r="Y1466" s="1" t="s">
        <v>43</v>
      </c>
      <c r="Z1466" s="1" t="s">
        <v>42</v>
      </c>
      <c r="AA1466">
        <v>0.5714285714285714</v>
      </c>
      <c r="AB1466" s="1" t="s">
        <v>42</v>
      </c>
      <c r="AC1466">
        <v>2</v>
      </c>
      <c r="AD1466" s="2">
        <v>44440</v>
      </c>
      <c r="AE1466" s="1" t="s">
        <v>58</v>
      </c>
      <c r="AF1466" s="1" t="s">
        <v>45</v>
      </c>
      <c r="AG1466" s="1" t="s">
        <v>63</v>
      </c>
      <c r="AH1466" s="1" t="s">
        <v>47</v>
      </c>
      <c r="AI1466">
        <v>6336</v>
      </c>
      <c r="AJ1466">
        <v>0</v>
      </c>
    </row>
    <row r="1467" spans="1:36" x14ac:dyDescent="0.25">
      <c r="A1467">
        <v>11466</v>
      </c>
      <c r="B1467">
        <v>38</v>
      </c>
      <c r="C1467" s="1" t="s">
        <v>60</v>
      </c>
      <c r="D1467" s="1" t="s">
        <v>37</v>
      </c>
      <c r="E1467" s="2">
        <v>44830</v>
      </c>
      <c r="F1467" s="2">
        <v>44745</v>
      </c>
      <c r="G1467" s="1" t="s">
        <v>62</v>
      </c>
      <c r="H1467">
        <v>730</v>
      </c>
      <c r="I1467">
        <v>19</v>
      </c>
      <c r="J1467">
        <v>1</v>
      </c>
      <c r="K1467">
        <v>105.12</v>
      </c>
      <c r="L1467">
        <v>20</v>
      </c>
      <c r="M1467" s="1" t="s">
        <v>65</v>
      </c>
      <c r="N1467" s="1" t="s">
        <v>56</v>
      </c>
      <c r="O1467">
        <v>13724</v>
      </c>
      <c r="P1467" t="b">
        <v>0</v>
      </c>
      <c r="Q1467">
        <v>1.5833333333333333</v>
      </c>
      <c r="R1467">
        <v>722.31578947368416</v>
      </c>
      <c r="S1467">
        <v>52.56</v>
      </c>
      <c r="T1467" s="2">
        <v>44805</v>
      </c>
      <c r="U1467" s="1" t="s">
        <v>51</v>
      </c>
      <c r="V1467">
        <v>0</v>
      </c>
      <c r="W1467" s="1" t="s">
        <v>40</v>
      </c>
      <c r="Y1467" s="1" t="s">
        <v>43</v>
      </c>
      <c r="Z1467" s="1" t="s">
        <v>52</v>
      </c>
      <c r="AA1467">
        <v>0.05</v>
      </c>
      <c r="AB1467" s="1" t="s">
        <v>52</v>
      </c>
      <c r="AC1467">
        <v>2</v>
      </c>
      <c r="AD1467" s="2">
        <v>44805</v>
      </c>
      <c r="AE1467" s="1" t="s">
        <v>53</v>
      </c>
      <c r="AF1467" s="1" t="s">
        <v>54</v>
      </c>
      <c r="AG1467" s="1" t="s">
        <v>63</v>
      </c>
      <c r="AH1467" s="1" t="s">
        <v>59</v>
      </c>
      <c r="AI1467">
        <v>13870</v>
      </c>
      <c r="AJ1467">
        <v>-146</v>
      </c>
    </row>
    <row r="1468" spans="1:36" x14ac:dyDescent="0.25">
      <c r="A1468">
        <v>11467</v>
      </c>
      <c r="B1468">
        <v>39</v>
      </c>
      <c r="C1468" s="1" t="s">
        <v>60</v>
      </c>
      <c r="D1468" s="1" t="s">
        <v>61</v>
      </c>
      <c r="E1468" s="2">
        <v>44302</v>
      </c>
      <c r="F1468" s="2">
        <v>44692</v>
      </c>
      <c r="G1468" s="1" t="s">
        <v>62</v>
      </c>
      <c r="H1468">
        <v>1210</v>
      </c>
      <c r="I1468">
        <v>31</v>
      </c>
      <c r="J1468">
        <v>1</v>
      </c>
      <c r="K1468">
        <v>26</v>
      </c>
      <c r="L1468">
        <v>15</v>
      </c>
      <c r="M1468" s="1" t="s">
        <v>67</v>
      </c>
      <c r="N1468" s="1" t="s">
        <v>56</v>
      </c>
      <c r="O1468">
        <v>37328.5</v>
      </c>
      <c r="P1468" t="b">
        <v>1</v>
      </c>
      <c r="Q1468">
        <v>2.5833333333333335</v>
      </c>
      <c r="R1468">
        <v>1204.1451612903227</v>
      </c>
      <c r="S1468">
        <v>13</v>
      </c>
      <c r="T1468" s="2">
        <v>44287</v>
      </c>
      <c r="U1468" s="1" t="s">
        <v>51</v>
      </c>
      <c r="V1468">
        <v>0</v>
      </c>
      <c r="W1468" s="1" t="s">
        <v>40</v>
      </c>
      <c r="X1468">
        <v>390</v>
      </c>
      <c r="Y1468" s="1" t="s">
        <v>52</v>
      </c>
      <c r="Z1468" s="1" t="s">
        <v>42</v>
      </c>
      <c r="AA1468">
        <v>3.125E-2</v>
      </c>
      <c r="AB1468" s="1" t="s">
        <v>43</v>
      </c>
      <c r="AC1468">
        <v>2</v>
      </c>
      <c r="AD1468" s="2">
        <v>44287</v>
      </c>
      <c r="AE1468" s="1" t="s">
        <v>44</v>
      </c>
      <c r="AF1468" s="1" t="s">
        <v>54</v>
      </c>
      <c r="AG1468" s="1" t="s">
        <v>70</v>
      </c>
      <c r="AH1468" s="1" t="s">
        <v>47</v>
      </c>
      <c r="AI1468">
        <v>37510</v>
      </c>
      <c r="AJ1468">
        <v>-181.5</v>
      </c>
    </row>
    <row r="1469" spans="1:36" x14ac:dyDescent="0.25">
      <c r="A1469">
        <v>11468</v>
      </c>
      <c r="B1469">
        <v>24</v>
      </c>
      <c r="C1469" s="1" t="s">
        <v>36</v>
      </c>
      <c r="D1469" s="1" t="s">
        <v>69</v>
      </c>
      <c r="E1469" s="2">
        <v>44326</v>
      </c>
      <c r="F1469" s="2">
        <v>44931</v>
      </c>
      <c r="G1469" s="1" t="s">
        <v>62</v>
      </c>
      <c r="H1469">
        <v>541</v>
      </c>
      <c r="I1469">
        <v>2</v>
      </c>
      <c r="J1469">
        <v>2</v>
      </c>
      <c r="K1469">
        <v>83.94</v>
      </c>
      <c r="L1469">
        <v>5</v>
      </c>
      <c r="M1469" s="1" t="s">
        <v>65</v>
      </c>
      <c r="N1469" s="1" t="s">
        <v>56</v>
      </c>
      <c r="O1469">
        <v>1054.95</v>
      </c>
      <c r="P1469" t="b">
        <v>1</v>
      </c>
      <c r="Q1469">
        <v>0.16666666666666666</v>
      </c>
      <c r="R1469">
        <v>527.47500000000002</v>
      </c>
      <c r="S1469">
        <v>27.98</v>
      </c>
      <c r="T1469" s="2">
        <v>44317</v>
      </c>
      <c r="U1469" s="1" t="s">
        <v>66</v>
      </c>
      <c r="V1469">
        <v>0</v>
      </c>
      <c r="W1469" s="1" t="s">
        <v>56</v>
      </c>
      <c r="X1469">
        <v>605</v>
      </c>
      <c r="Y1469" s="1" t="s">
        <v>43</v>
      </c>
      <c r="Z1469" s="1" t="s">
        <v>42</v>
      </c>
      <c r="AA1469">
        <v>0.66666666666666663</v>
      </c>
      <c r="AB1469" s="1" t="s">
        <v>42</v>
      </c>
      <c r="AC1469">
        <v>2</v>
      </c>
      <c r="AD1469" s="2">
        <v>44317</v>
      </c>
      <c r="AE1469" s="1" t="s">
        <v>58</v>
      </c>
      <c r="AF1469" s="1" t="s">
        <v>72</v>
      </c>
      <c r="AG1469" s="1" t="s">
        <v>63</v>
      </c>
      <c r="AH1469" s="1" t="s">
        <v>64</v>
      </c>
      <c r="AI1469">
        <v>1082</v>
      </c>
      <c r="AJ1469">
        <v>-27.049999999999955</v>
      </c>
    </row>
    <row r="1470" spans="1:36" x14ac:dyDescent="0.25">
      <c r="A1470">
        <v>11469</v>
      </c>
      <c r="B1470">
        <v>31</v>
      </c>
      <c r="C1470" s="1" t="s">
        <v>60</v>
      </c>
      <c r="D1470" s="1" t="s">
        <v>48</v>
      </c>
      <c r="E1470" s="2">
        <v>45045</v>
      </c>
      <c r="F1470" s="2">
        <v>45094</v>
      </c>
      <c r="G1470" s="1" t="s">
        <v>49</v>
      </c>
      <c r="H1470">
        <v>1001</v>
      </c>
      <c r="I1470">
        <v>18</v>
      </c>
      <c r="J1470">
        <v>0</v>
      </c>
      <c r="K1470">
        <v>45.54</v>
      </c>
      <c r="L1470">
        <v>15</v>
      </c>
      <c r="M1470" s="1" t="s">
        <v>67</v>
      </c>
      <c r="N1470" s="1" t="s">
        <v>56</v>
      </c>
      <c r="O1470">
        <v>17867.849999999999</v>
      </c>
      <c r="P1470" t="b">
        <v>1</v>
      </c>
      <c r="Q1470">
        <v>1.5</v>
      </c>
      <c r="R1470">
        <v>992.6583333333333</v>
      </c>
      <c r="S1470">
        <v>45.54</v>
      </c>
      <c r="T1470" s="2">
        <v>45017</v>
      </c>
      <c r="U1470" s="1" t="s">
        <v>57</v>
      </c>
      <c r="V1470">
        <v>0</v>
      </c>
      <c r="W1470" s="1" t="s">
        <v>40</v>
      </c>
      <c r="X1470">
        <v>49</v>
      </c>
      <c r="Y1470" s="1" t="s">
        <v>52</v>
      </c>
      <c r="Z1470" s="1" t="s">
        <v>42</v>
      </c>
      <c r="AA1470">
        <v>0</v>
      </c>
      <c r="AB1470" s="1" t="s">
        <v>52</v>
      </c>
      <c r="AC1470">
        <v>3</v>
      </c>
      <c r="AD1470" s="2">
        <v>45017</v>
      </c>
      <c r="AE1470" s="1" t="s">
        <v>53</v>
      </c>
      <c r="AF1470" s="1" t="s">
        <v>54</v>
      </c>
      <c r="AG1470" s="1" t="s">
        <v>63</v>
      </c>
      <c r="AH1470" s="1" t="s">
        <v>47</v>
      </c>
      <c r="AI1470">
        <v>18018</v>
      </c>
      <c r="AJ1470">
        <v>-150.15000000000146</v>
      </c>
    </row>
    <row r="1471" spans="1:36" x14ac:dyDescent="0.25">
      <c r="A1471">
        <v>11470</v>
      </c>
      <c r="B1471">
        <v>32</v>
      </c>
      <c r="C1471" s="1" t="s">
        <v>60</v>
      </c>
      <c r="D1471" s="1" t="s">
        <v>73</v>
      </c>
      <c r="E1471" s="2">
        <v>44866</v>
      </c>
      <c r="F1471" s="2">
        <v>45183</v>
      </c>
      <c r="G1471" s="1" t="s">
        <v>38</v>
      </c>
      <c r="H1471">
        <v>1201</v>
      </c>
      <c r="I1471">
        <v>28</v>
      </c>
      <c r="J1471">
        <v>2</v>
      </c>
      <c r="K1471">
        <v>117.76</v>
      </c>
      <c r="L1471">
        <v>20</v>
      </c>
      <c r="M1471" s="1" t="s">
        <v>50</v>
      </c>
      <c r="N1471" s="1" t="s">
        <v>56</v>
      </c>
      <c r="O1471">
        <v>33387.800000000003</v>
      </c>
      <c r="P1471" t="b">
        <v>1</v>
      </c>
      <c r="Q1471">
        <v>2.3333333333333335</v>
      </c>
      <c r="R1471">
        <v>1192.4214285714286</v>
      </c>
      <c r="S1471">
        <v>39.253333333333337</v>
      </c>
      <c r="T1471" s="2">
        <v>44866</v>
      </c>
      <c r="U1471" s="1" t="s">
        <v>57</v>
      </c>
      <c r="V1471">
        <v>0</v>
      </c>
      <c r="W1471" s="1" t="s">
        <v>40</v>
      </c>
      <c r="X1471">
        <v>317</v>
      </c>
      <c r="Y1471" s="1" t="s">
        <v>43</v>
      </c>
      <c r="Z1471" s="1" t="s">
        <v>52</v>
      </c>
      <c r="AA1471">
        <v>6.8965517241379309E-2</v>
      </c>
      <c r="AB1471" s="1" t="s">
        <v>43</v>
      </c>
      <c r="AC1471">
        <v>1</v>
      </c>
      <c r="AD1471" s="2">
        <v>44866</v>
      </c>
      <c r="AE1471" s="1" t="s">
        <v>44</v>
      </c>
      <c r="AF1471" s="1" t="s">
        <v>72</v>
      </c>
      <c r="AG1471" s="1" t="s">
        <v>63</v>
      </c>
      <c r="AH1471" s="1" t="s">
        <v>47</v>
      </c>
      <c r="AI1471">
        <v>33628</v>
      </c>
      <c r="AJ1471">
        <v>-240.19999999999709</v>
      </c>
    </row>
    <row r="1472" spans="1:36" x14ac:dyDescent="0.25">
      <c r="A1472">
        <v>11471</v>
      </c>
      <c r="B1472">
        <v>41</v>
      </c>
      <c r="C1472" s="1" t="s">
        <v>36</v>
      </c>
      <c r="D1472" s="1" t="s">
        <v>48</v>
      </c>
      <c r="E1472" s="2">
        <v>44572</v>
      </c>
      <c r="F1472" s="2">
        <v>45015</v>
      </c>
      <c r="G1472" s="1" t="s">
        <v>49</v>
      </c>
      <c r="H1472">
        <v>1040</v>
      </c>
      <c r="I1472">
        <v>4</v>
      </c>
      <c r="J1472">
        <v>0</v>
      </c>
      <c r="K1472">
        <v>39.380000000000003</v>
      </c>
      <c r="L1472">
        <v>10</v>
      </c>
      <c r="M1472" s="1" t="s">
        <v>39</v>
      </c>
      <c r="N1472" s="1" t="s">
        <v>56</v>
      </c>
      <c r="O1472">
        <v>4056</v>
      </c>
      <c r="P1472" t="b">
        <v>1</v>
      </c>
      <c r="Q1472">
        <v>0.33333333333333331</v>
      </c>
      <c r="R1472">
        <v>1014</v>
      </c>
      <c r="S1472">
        <v>39.380000000000003</v>
      </c>
      <c r="T1472" s="2">
        <v>44562</v>
      </c>
      <c r="U1472" s="1" t="s">
        <v>51</v>
      </c>
      <c r="V1472">
        <v>0</v>
      </c>
      <c r="W1472" s="1" t="s">
        <v>56</v>
      </c>
      <c r="X1472">
        <v>443</v>
      </c>
      <c r="Y1472" s="1" t="s">
        <v>52</v>
      </c>
      <c r="Z1472" s="1" t="s">
        <v>42</v>
      </c>
      <c r="AA1472">
        <v>0</v>
      </c>
      <c r="AB1472" s="1" t="s">
        <v>42</v>
      </c>
      <c r="AC1472">
        <v>3</v>
      </c>
      <c r="AD1472" s="2">
        <v>44562</v>
      </c>
      <c r="AE1472" s="1" t="s">
        <v>58</v>
      </c>
      <c r="AF1472" s="1" t="s">
        <v>54</v>
      </c>
      <c r="AG1472" s="1" t="s">
        <v>55</v>
      </c>
      <c r="AH1472" s="1" t="s">
        <v>47</v>
      </c>
      <c r="AI1472">
        <v>4160</v>
      </c>
      <c r="AJ1472">
        <v>-104</v>
      </c>
    </row>
    <row r="1473" spans="1:36" x14ac:dyDescent="0.25">
      <c r="A1473">
        <v>11472</v>
      </c>
      <c r="B1473">
        <v>26</v>
      </c>
      <c r="C1473" s="1" t="s">
        <v>60</v>
      </c>
      <c r="D1473" s="1" t="s">
        <v>69</v>
      </c>
      <c r="E1473" s="2">
        <v>44939</v>
      </c>
      <c r="F1473" s="2">
        <v>44802</v>
      </c>
      <c r="G1473" s="1" t="s">
        <v>38</v>
      </c>
      <c r="H1473">
        <v>365</v>
      </c>
      <c r="I1473">
        <v>1</v>
      </c>
      <c r="J1473">
        <v>1</v>
      </c>
      <c r="K1473">
        <v>5.83</v>
      </c>
      <c r="L1473">
        <v>15</v>
      </c>
      <c r="M1473" s="1" t="s">
        <v>67</v>
      </c>
      <c r="N1473" s="1" t="s">
        <v>40</v>
      </c>
      <c r="O1473">
        <v>310.25</v>
      </c>
      <c r="P1473" t="b">
        <v>0</v>
      </c>
      <c r="Q1473">
        <v>8.3333333333333329E-2</v>
      </c>
      <c r="R1473">
        <v>310.25</v>
      </c>
      <c r="S1473">
        <v>2.915</v>
      </c>
      <c r="T1473" s="2">
        <v>44927</v>
      </c>
      <c r="U1473" s="1" t="s">
        <v>57</v>
      </c>
      <c r="V1473">
        <v>1</v>
      </c>
      <c r="W1473" s="1" t="s">
        <v>56</v>
      </c>
      <c r="Y1473" s="1" t="s">
        <v>42</v>
      </c>
      <c r="Z1473" s="1" t="s">
        <v>42</v>
      </c>
      <c r="AA1473">
        <v>0.5</v>
      </c>
      <c r="AB1473" s="1" t="s">
        <v>42</v>
      </c>
      <c r="AC1473">
        <v>1</v>
      </c>
      <c r="AD1473" s="2">
        <v>44927</v>
      </c>
      <c r="AE1473" s="1" t="s">
        <v>58</v>
      </c>
      <c r="AF1473" s="1" t="s">
        <v>54</v>
      </c>
      <c r="AG1473" s="1" t="s">
        <v>77</v>
      </c>
      <c r="AH1473" s="1" t="s">
        <v>68</v>
      </c>
      <c r="AI1473">
        <v>365</v>
      </c>
      <c r="AJ1473">
        <v>-54.75</v>
      </c>
    </row>
    <row r="1474" spans="1:36" x14ac:dyDescent="0.25">
      <c r="A1474">
        <v>11473</v>
      </c>
      <c r="B1474">
        <v>25</v>
      </c>
      <c r="C1474" s="1" t="s">
        <v>36</v>
      </c>
      <c r="D1474" s="1" t="s">
        <v>48</v>
      </c>
      <c r="E1474" s="2">
        <v>44504</v>
      </c>
      <c r="F1474" s="2">
        <v>44462</v>
      </c>
      <c r="G1474" s="1" t="s">
        <v>38</v>
      </c>
      <c r="H1474">
        <v>1271</v>
      </c>
      <c r="I1474">
        <v>16</v>
      </c>
      <c r="J1474">
        <v>3</v>
      </c>
      <c r="K1474">
        <v>64.3</v>
      </c>
      <c r="L1474">
        <v>5</v>
      </c>
      <c r="M1474" s="1" t="s">
        <v>50</v>
      </c>
      <c r="N1474" s="1" t="s">
        <v>40</v>
      </c>
      <c r="O1474">
        <v>20272.45</v>
      </c>
      <c r="P1474" t="b">
        <v>0</v>
      </c>
      <c r="Q1474">
        <v>1.3333333333333333</v>
      </c>
      <c r="R1474">
        <v>1267.028125</v>
      </c>
      <c r="S1474">
        <v>16.074999999999999</v>
      </c>
      <c r="T1474" s="2">
        <v>44501</v>
      </c>
      <c r="U1474" s="1" t="s">
        <v>66</v>
      </c>
      <c r="V1474">
        <v>1</v>
      </c>
      <c r="W1474" s="1" t="s">
        <v>40</v>
      </c>
      <c r="Y1474" s="1" t="s">
        <v>43</v>
      </c>
      <c r="Z1474" s="1" t="s">
        <v>42</v>
      </c>
      <c r="AA1474">
        <v>0.17647058823529413</v>
      </c>
      <c r="AB1474" s="1" t="s">
        <v>43</v>
      </c>
      <c r="AC1474">
        <v>1</v>
      </c>
      <c r="AD1474" s="2">
        <v>44501</v>
      </c>
      <c r="AE1474" s="1" t="s">
        <v>53</v>
      </c>
      <c r="AF1474" s="1" t="s">
        <v>72</v>
      </c>
      <c r="AG1474" s="1" t="s">
        <v>63</v>
      </c>
      <c r="AH1474" s="1" t="s">
        <v>47</v>
      </c>
      <c r="AI1474">
        <v>20336</v>
      </c>
      <c r="AJ1474">
        <v>-63.549999999999272</v>
      </c>
    </row>
    <row r="1475" spans="1:36" x14ac:dyDescent="0.25">
      <c r="A1475">
        <v>11474</v>
      </c>
      <c r="B1475">
        <v>40</v>
      </c>
      <c r="C1475" s="1" t="s">
        <v>36</v>
      </c>
      <c r="D1475" s="1" t="s">
        <v>69</v>
      </c>
      <c r="E1475" s="2">
        <v>44287</v>
      </c>
      <c r="F1475" s="2">
        <v>44660</v>
      </c>
      <c r="G1475" s="1" t="s">
        <v>38</v>
      </c>
      <c r="H1475">
        <v>677</v>
      </c>
      <c r="I1475">
        <v>2</v>
      </c>
      <c r="J1475">
        <v>3</v>
      </c>
      <c r="K1475">
        <v>22.33</v>
      </c>
      <c r="L1475">
        <v>20</v>
      </c>
      <c r="M1475" s="1" t="s">
        <v>67</v>
      </c>
      <c r="N1475" s="1" t="s">
        <v>56</v>
      </c>
      <c r="O1475">
        <v>1218.5999999999999</v>
      </c>
      <c r="P1475" t="b">
        <v>1</v>
      </c>
      <c r="Q1475">
        <v>0.16666666666666666</v>
      </c>
      <c r="R1475">
        <v>609.29999999999995</v>
      </c>
      <c r="S1475">
        <v>5.5824999999999996</v>
      </c>
      <c r="T1475" s="2">
        <v>44287</v>
      </c>
      <c r="U1475" s="1" t="s">
        <v>51</v>
      </c>
      <c r="V1475">
        <v>0</v>
      </c>
      <c r="W1475" s="1" t="s">
        <v>56</v>
      </c>
      <c r="X1475">
        <v>373</v>
      </c>
      <c r="Y1475" s="1" t="s">
        <v>52</v>
      </c>
      <c r="Z1475" s="1" t="s">
        <v>52</v>
      </c>
      <c r="AA1475">
        <v>1</v>
      </c>
      <c r="AB1475" s="1" t="s">
        <v>42</v>
      </c>
      <c r="AC1475">
        <v>1</v>
      </c>
      <c r="AD1475" s="2">
        <v>44287</v>
      </c>
      <c r="AE1475" s="1" t="s">
        <v>58</v>
      </c>
      <c r="AF1475" s="1" t="s">
        <v>72</v>
      </c>
      <c r="AG1475" s="1" t="s">
        <v>70</v>
      </c>
      <c r="AH1475" s="1" t="s">
        <v>64</v>
      </c>
      <c r="AI1475">
        <v>1354</v>
      </c>
      <c r="AJ1475">
        <v>-135.40000000000009</v>
      </c>
    </row>
    <row r="1476" spans="1:36" x14ac:dyDescent="0.25">
      <c r="A1476">
        <v>11475</v>
      </c>
      <c r="B1476">
        <v>46</v>
      </c>
      <c r="C1476" s="1" t="s">
        <v>36</v>
      </c>
      <c r="D1476" s="1" t="s">
        <v>48</v>
      </c>
      <c r="E1476" s="2">
        <v>44589</v>
      </c>
      <c r="F1476" s="2">
        <v>44575</v>
      </c>
      <c r="G1476" s="1" t="s">
        <v>62</v>
      </c>
      <c r="H1476">
        <v>687</v>
      </c>
      <c r="I1476">
        <v>1</v>
      </c>
      <c r="J1476">
        <v>2</v>
      </c>
      <c r="K1476">
        <v>10.119999999999999</v>
      </c>
      <c r="L1476">
        <v>15</v>
      </c>
      <c r="M1476" s="1" t="s">
        <v>39</v>
      </c>
      <c r="N1476" s="1" t="s">
        <v>56</v>
      </c>
      <c r="O1476">
        <v>583.95000000000005</v>
      </c>
      <c r="P1476" t="b">
        <v>0</v>
      </c>
      <c r="Q1476">
        <v>8.3333333333333329E-2</v>
      </c>
      <c r="R1476">
        <v>583.95000000000005</v>
      </c>
      <c r="S1476">
        <v>3.3733333333333331</v>
      </c>
      <c r="T1476" s="2">
        <v>44562</v>
      </c>
      <c r="U1476" s="1" t="s">
        <v>51</v>
      </c>
      <c r="V1476">
        <v>0</v>
      </c>
      <c r="W1476" s="1" t="s">
        <v>56</v>
      </c>
      <c r="Y1476" s="1" t="s">
        <v>42</v>
      </c>
      <c r="Z1476" s="1" t="s">
        <v>42</v>
      </c>
      <c r="AA1476">
        <v>1</v>
      </c>
      <c r="AB1476" s="1" t="s">
        <v>42</v>
      </c>
      <c r="AC1476">
        <v>2</v>
      </c>
      <c r="AD1476" s="2">
        <v>44562</v>
      </c>
      <c r="AE1476" s="1" t="s">
        <v>58</v>
      </c>
      <c r="AF1476" s="1" t="s">
        <v>72</v>
      </c>
      <c r="AG1476" s="1" t="s">
        <v>46</v>
      </c>
      <c r="AH1476" s="1" t="s">
        <v>64</v>
      </c>
      <c r="AI1476">
        <v>687</v>
      </c>
      <c r="AJ1476">
        <v>-103.04999999999995</v>
      </c>
    </row>
    <row r="1477" spans="1:36" x14ac:dyDescent="0.25">
      <c r="A1477">
        <v>11476</v>
      </c>
      <c r="B1477">
        <v>35</v>
      </c>
      <c r="C1477" s="1" t="s">
        <v>36</v>
      </c>
      <c r="D1477" s="1" t="s">
        <v>73</v>
      </c>
      <c r="E1477" s="2">
        <v>44730</v>
      </c>
      <c r="F1477" s="2">
        <v>45181</v>
      </c>
      <c r="G1477" s="1" t="s">
        <v>38</v>
      </c>
      <c r="H1477">
        <v>1080</v>
      </c>
      <c r="I1477">
        <v>23</v>
      </c>
      <c r="J1477">
        <v>1</v>
      </c>
      <c r="K1477">
        <v>62.59</v>
      </c>
      <c r="L1477">
        <v>20</v>
      </c>
      <c r="M1477" s="1" t="s">
        <v>50</v>
      </c>
      <c r="N1477" s="1" t="s">
        <v>56</v>
      </c>
      <c r="O1477">
        <v>24624</v>
      </c>
      <c r="P1477" t="b">
        <v>1</v>
      </c>
      <c r="Q1477">
        <v>1.9166666666666667</v>
      </c>
      <c r="R1477">
        <v>1070.608695652174</v>
      </c>
      <c r="S1477">
        <v>31.295000000000002</v>
      </c>
      <c r="T1477" s="2">
        <v>44713</v>
      </c>
      <c r="U1477" s="1" t="s">
        <v>57</v>
      </c>
      <c r="V1477">
        <v>0</v>
      </c>
      <c r="W1477" s="1" t="s">
        <v>40</v>
      </c>
      <c r="X1477">
        <v>451</v>
      </c>
      <c r="Y1477" s="1" t="s">
        <v>43</v>
      </c>
      <c r="Z1477" s="1" t="s">
        <v>52</v>
      </c>
      <c r="AA1477">
        <v>4.1666666666666664E-2</v>
      </c>
      <c r="AB1477" s="1" t="s">
        <v>43</v>
      </c>
      <c r="AC1477">
        <v>1</v>
      </c>
      <c r="AD1477" s="2">
        <v>44713</v>
      </c>
      <c r="AE1477" s="1" t="s">
        <v>53</v>
      </c>
      <c r="AF1477" s="1" t="s">
        <v>54</v>
      </c>
      <c r="AG1477" s="1" t="s">
        <v>63</v>
      </c>
      <c r="AH1477" s="1" t="s">
        <v>47</v>
      </c>
      <c r="AI1477">
        <v>24840</v>
      </c>
      <c r="AJ1477">
        <v>-216</v>
      </c>
    </row>
    <row r="1478" spans="1:36" x14ac:dyDescent="0.25">
      <c r="A1478">
        <v>11477</v>
      </c>
      <c r="B1478">
        <v>48</v>
      </c>
      <c r="C1478" s="1" t="s">
        <v>36</v>
      </c>
      <c r="D1478" s="1" t="s">
        <v>61</v>
      </c>
      <c r="E1478" s="2">
        <v>44998</v>
      </c>
      <c r="F1478" s="2">
        <v>45205</v>
      </c>
      <c r="G1478" s="1" t="s">
        <v>38</v>
      </c>
      <c r="H1478">
        <v>508</v>
      </c>
      <c r="I1478">
        <v>26</v>
      </c>
      <c r="J1478">
        <v>0</v>
      </c>
      <c r="K1478">
        <v>89.21</v>
      </c>
      <c r="L1478">
        <v>20</v>
      </c>
      <c r="M1478" s="1" t="s">
        <v>65</v>
      </c>
      <c r="N1478" s="1" t="s">
        <v>56</v>
      </c>
      <c r="O1478">
        <v>13106.4</v>
      </c>
      <c r="P1478" t="b">
        <v>1</v>
      </c>
      <c r="Q1478">
        <v>2.1666666666666665</v>
      </c>
      <c r="R1478">
        <v>504.09230769230766</v>
      </c>
      <c r="S1478">
        <v>89.21</v>
      </c>
      <c r="T1478" s="2">
        <v>44986</v>
      </c>
      <c r="U1478" s="1" t="s">
        <v>51</v>
      </c>
      <c r="V1478">
        <v>0</v>
      </c>
      <c r="W1478" s="1" t="s">
        <v>56</v>
      </c>
      <c r="X1478">
        <v>207</v>
      </c>
      <c r="Y1478" s="1" t="s">
        <v>43</v>
      </c>
      <c r="Z1478" s="1" t="s">
        <v>52</v>
      </c>
      <c r="AA1478">
        <v>0</v>
      </c>
      <c r="AB1478" s="1" t="s">
        <v>52</v>
      </c>
      <c r="AC1478">
        <v>1</v>
      </c>
      <c r="AD1478" s="2">
        <v>44986</v>
      </c>
      <c r="AE1478" s="1" t="s">
        <v>44</v>
      </c>
      <c r="AF1478" s="1" t="s">
        <v>54</v>
      </c>
      <c r="AG1478" s="1" t="s">
        <v>63</v>
      </c>
      <c r="AH1478" s="1" t="s">
        <v>64</v>
      </c>
      <c r="AI1478">
        <v>13208</v>
      </c>
      <c r="AJ1478">
        <v>-101.60000000000036</v>
      </c>
    </row>
    <row r="1479" spans="1:36" x14ac:dyDescent="0.25">
      <c r="A1479">
        <v>11478</v>
      </c>
      <c r="B1479">
        <v>41</v>
      </c>
      <c r="C1479" s="1" t="s">
        <v>36</v>
      </c>
      <c r="D1479" s="1" t="s">
        <v>76</v>
      </c>
      <c r="E1479" s="2">
        <v>44306</v>
      </c>
      <c r="F1479" s="2">
        <v>44592</v>
      </c>
      <c r="G1479" s="1" t="s">
        <v>38</v>
      </c>
      <c r="H1479">
        <v>315</v>
      </c>
      <c r="I1479">
        <v>11</v>
      </c>
      <c r="J1479">
        <v>2</v>
      </c>
      <c r="K1479">
        <v>57.98</v>
      </c>
      <c r="L1479">
        <v>10</v>
      </c>
      <c r="M1479" s="1" t="s">
        <v>67</v>
      </c>
      <c r="N1479" s="1" t="s">
        <v>40</v>
      </c>
      <c r="O1479">
        <v>3465</v>
      </c>
      <c r="P1479" t="b">
        <v>1</v>
      </c>
      <c r="Q1479">
        <v>0.91666666666666663</v>
      </c>
      <c r="R1479">
        <v>315</v>
      </c>
      <c r="S1479">
        <v>19.326666666666664</v>
      </c>
      <c r="T1479" s="2">
        <v>44287</v>
      </c>
      <c r="U1479" s="1" t="s">
        <v>51</v>
      </c>
      <c r="V1479">
        <v>1</v>
      </c>
      <c r="W1479" s="1" t="s">
        <v>56</v>
      </c>
      <c r="X1479">
        <v>286</v>
      </c>
      <c r="Y1479" s="1" t="s">
        <v>52</v>
      </c>
      <c r="Z1479" s="1" t="s">
        <v>42</v>
      </c>
      <c r="AA1479">
        <v>0.16666666666666666</v>
      </c>
      <c r="AB1479" s="1" t="s">
        <v>42</v>
      </c>
      <c r="AC1479">
        <v>1</v>
      </c>
      <c r="AD1479" s="2">
        <v>44287</v>
      </c>
      <c r="AE1479" s="1" t="s">
        <v>74</v>
      </c>
      <c r="AF1479" s="1" t="s">
        <v>72</v>
      </c>
      <c r="AG1479" s="1" t="s">
        <v>63</v>
      </c>
      <c r="AH1479" s="1" t="s">
        <v>68</v>
      </c>
      <c r="AI1479">
        <v>3465</v>
      </c>
      <c r="AJ1479">
        <v>0</v>
      </c>
    </row>
    <row r="1480" spans="1:36" x14ac:dyDescent="0.25">
      <c r="A1480">
        <v>11479</v>
      </c>
      <c r="B1480">
        <v>56</v>
      </c>
      <c r="C1480" s="1" t="s">
        <v>60</v>
      </c>
      <c r="D1480" s="1" t="s">
        <v>73</v>
      </c>
      <c r="E1480" s="2">
        <v>44757</v>
      </c>
      <c r="F1480" s="2">
        <v>45165</v>
      </c>
      <c r="G1480" s="1" t="s">
        <v>49</v>
      </c>
      <c r="H1480">
        <v>1285</v>
      </c>
      <c r="I1480">
        <v>1</v>
      </c>
      <c r="J1480">
        <v>1</v>
      </c>
      <c r="K1480">
        <v>82.84</v>
      </c>
      <c r="L1480">
        <v>10</v>
      </c>
      <c r="M1480" s="1" t="s">
        <v>67</v>
      </c>
      <c r="N1480" s="1" t="s">
        <v>56</v>
      </c>
      <c r="O1480">
        <v>1156.5</v>
      </c>
      <c r="P1480" t="b">
        <v>1</v>
      </c>
      <c r="Q1480">
        <v>8.3333333333333329E-2</v>
      </c>
      <c r="R1480">
        <v>1156.5</v>
      </c>
      <c r="S1480">
        <v>41.42</v>
      </c>
      <c r="T1480" s="2">
        <v>44743</v>
      </c>
      <c r="U1480" s="1" t="s">
        <v>41</v>
      </c>
      <c r="V1480">
        <v>0</v>
      </c>
      <c r="W1480" s="1" t="s">
        <v>56</v>
      </c>
      <c r="X1480">
        <v>408</v>
      </c>
      <c r="Y1480" s="1" t="s">
        <v>43</v>
      </c>
      <c r="Z1480" s="1" t="s">
        <v>42</v>
      </c>
      <c r="AA1480">
        <v>0.5</v>
      </c>
      <c r="AB1480" s="1" t="s">
        <v>42</v>
      </c>
      <c r="AC1480">
        <v>3</v>
      </c>
      <c r="AD1480" s="2">
        <v>44743</v>
      </c>
      <c r="AE1480" s="1" t="s">
        <v>58</v>
      </c>
      <c r="AF1480" s="1" t="s">
        <v>54</v>
      </c>
      <c r="AG1480" s="1" t="s">
        <v>63</v>
      </c>
      <c r="AH1480" s="1" t="s">
        <v>47</v>
      </c>
      <c r="AI1480">
        <v>1285</v>
      </c>
      <c r="AJ1480">
        <v>-128.5</v>
      </c>
    </row>
    <row r="1481" spans="1:36" x14ac:dyDescent="0.25">
      <c r="A1481">
        <v>11480</v>
      </c>
      <c r="B1481">
        <v>52</v>
      </c>
      <c r="C1481" s="1" t="s">
        <v>36</v>
      </c>
      <c r="D1481" s="1" t="s">
        <v>37</v>
      </c>
      <c r="E1481" s="2">
        <v>44837</v>
      </c>
      <c r="F1481" s="2">
        <v>44873</v>
      </c>
      <c r="G1481" s="1" t="s">
        <v>49</v>
      </c>
      <c r="H1481">
        <v>666</v>
      </c>
      <c r="I1481">
        <v>11</v>
      </c>
      <c r="J1481">
        <v>2</v>
      </c>
      <c r="K1481">
        <v>66.900000000000006</v>
      </c>
      <c r="L1481">
        <v>0</v>
      </c>
      <c r="M1481" s="1" t="s">
        <v>50</v>
      </c>
      <c r="N1481" s="1" t="s">
        <v>56</v>
      </c>
      <c r="O1481">
        <v>7326</v>
      </c>
      <c r="P1481" t="b">
        <v>1</v>
      </c>
      <c r="Q1481">
        <v>0.91666666666666663</v>
      </c>
      <c r="R1481">
        <v>666</v>
      </c>
      <c r="S1481">
        <v>22.3</v>
      </c>
      <c r="T1481" s="2">
        <v>44835</v>
      </c>
      <c r="U1481" s="1" t="s">
        <v>41</v>
      </c>
      <c r="V1481">
        <v>0</v>
      </c>
      <c r="W1481" s="1" t="s">
        <v>56</v>
      </c>
      <c r="X1481">
        <v>36</v>
      </c>
      <c r="Y1481" s="1" t="s">
        <v>43</v>
      </c>
      <c r="Z1481" s="1" t="s">
        <v>42</v>
      </c>
      <c r="AA1481">
        <v>0.16666666666666666</v>
      </c>
      <c r="AB1481" s="1" t="s">
        <v>42</v>
      </c>
      <c r="AC1481">
        <v>3</v>
      </c>
      <c r="AD1481" s="2">
        <v>44835</v>
      </c>
      <c r="AE1481" s="1" t="s">
        <v>74</v>
      </c>
      <c r="AF1481" s="1" t="s">
        <v>72</v>
      </c>
      <c r="AG1481" s="1" t="s">
        <v>63</v>
      </c>
      <c r="AH1481" s="1" t="s">
        <v>64</v>
      </c>
      <c r="AI1481">
        <v>7326</v>
      </c>
      <c r="AJ1481">
        <v>0</v>
      </c>
    </row>
    <row r="1482" spans="1:36" x14ac:dyDescent="0.25">
      <c r="A1482">
        <v>11481</v>
      </c>
      <c r="B1482">
        <v>35</v>
      </c>
      <c r="C1482" s="1" t="s">
        <v>60</v>
      </c>
      <c r="D1482" s="1" t="s">
        <v>69</v>
      </c>
      <c r="E1482" s="2">
        <v>44781</v>
      </c>
      <c r="F1482" s="2">
        <v>44875</v>
      </c>
      <c r="G1482" s="1" t="s">
        <v>62</v>
      </c>
      <c r="H1482">
        <v>1079</v>
      </c>
      <c r="I1482">
        <v>24</v>
      </c>
      <c r="J1482">
        <v>4</v>
      </c>
      <c r="K1482">
        <v>77.430000000000007</v>
      </c>
      <c r="L1482">
        <v>20</v>
      </c>
      <c r="M1482" s="1" t="s">
        <v>39</v>
      </c>
      <c r="N1482" s="1" t="s">
        <v>56</v>
      </c>
      <c r="O1482">
        <v>25680.2</v>
      </c>
      <c r="P1482" t="b">
        <v>1</v>
      </c>
      <c r="Q1482">
        <v>2</v>
      </c>
      <c r="R1482">
        <v>1070.0083333333334</v>
      </c>
      <c r="S1482">
        <v>15.486000000000001</v>
      </c>
      <c r="T1482" s="2">
        <v>44774</v>
      </c>
      <c r="U1482" s="1" t="s">
        <v>57</v>
      </c>
      <c r="V1482">
        <v>0</v>
      </c>
      <c r="W1482" s="1" t="s">
        <v>40</v>
      </c>
      <c r="X1482">
        <v>94</v>
      </c>
      <c r="Y1482" s="1" t="s">
        <v>43</v>
      </c>
      <c r="Z1482" s="1" t="s">
        <v>52</v>
      </c>
      <c r="AA1482">
        <v>0.16</v>
      </c>
      <c r="AB1482" s="1" t="s">
        <v>43</v>
      </c>
      <c r="AC1482">
        <v>2</v>
      </c>
      <c r="AD1482" s="2">
        <v>44774</v>
      </c>
      <c r="AE1482" s="1" t="s">
        <v>53</v>
      </c>
      <c r="AF1482" s="1" t="s">
        <v>45</v>
      </c>
      <c r="AG1482" s="1" t="s">
        <v>63</v>
      </c>
      <c r="AH1482" s="1" t="s">
        <v>47</v>
      </c>
      <c r="AI1482">
        <v>25896</v>
      </c>
      <c r="AJ1482">
        <v>-215.79999999999927</v>
      </c>
    </row>
    <row r="1483" spans="1:36" x14ac:dyDescent="0.25">
      <c r="A1483">
        <v>11482</v>
      </c>
      <c r="B1483">
        <v>59</v>
      </c>
      <c r="C1483" s="1" t="s">
        <v>36</v>
      </c>
      <c r="D1483" s="1" t="s">
        <v>71</v>
      </c>
      <c r="E1483" s="2">
        <v>44536</v>
      </c>
      <c r="F1483" s="2">
        <v>44774</v>
      </c>
      <c r="G1483" s="1" t="s">
        <v>62</v>
      </c>
      <c r="H1483">
        <v>739</v>
      </c>
      <c r="I1483">
        <v>10</v>
      </c>
      <c r="J1483">
        <v>1</v>
      </c>
      <c r="K1483">
        <v>73.62</v>
      </c>
      <c r="L1483">
        <v>5</v>
      </c>
      <c r="M1483" s="1" t="s">
        <v>67</v>
      </c>
      <c r="N1483" s="1" t="s">
        <v>56</v>
      </c>
      <c r="O1483">
        <v>7353.05</v>
      </c>
      <c r="P1483" t="b">
        <v>1</v>
      </c>
      <c r="Q1483">
        <v>0.83333333333333337</v>
      </c>
      <c r="R1483">
        <v>735.30500000000006</v>
      </c>
      <c r="S1483">
        <v>36.81</v>
      </c>
      <c r="T1483" s="2">
        <v>44531</v>
      </c>
      <c r="U1483" s="1" t="s">
        <v>41</v>
      </c>
      <c r="V1483">
        <v>0</v>
      </c>
      <c r="W1483" s="1" t="s">
        <v>56</v>
      </c>
      <c r="X1483">
        <v>238</v>
      </c>
      <c r="Y1483" s="1" t="s">
        <v>43</v>
      </c>
      <c r="Z1483" s="1" t="s">
        <v>42</v>
      </c>
      <c r="AA1483">
        <v>9.0909090909090912E-2</v>
      </c>
      <c r="AB1483" s="1" t="s">
        <v>42</v>
      </c>
      <c r="AC1483">
        <v>2</v>
      </c>
      <c r="AD1483" s="2">
        <v>44531</v>
      </c>
      <c r="AE1483" s="1" t="s">
        <v>74</v>
      </c>
      <c r="AF1483" s="1" t="s">
        <v>54</v>
      </c>
      <c r="AG1483" s="1" t="s">
        <v>63</v>
      </c>
      <c r="AH1483" s="1" t="s">
        <v>59</v>
      </c>
      <c r="AI1483">
        <v>7390</v>
      </c>
      <c r="AJ1483">
        <v>-36.949999999999818</v>
      </c>
    </row>
    <row r="1484" spans="1:36" x14ac:dyDescent="0.25">
      <c r="A1484">
        <v>11483</v>
      </c>
      <c r="B1484">
        <v>56</v>
      </c>
      <c r="C1484" s="1" t="s">
        <v>60</v>
      </c>
      <c r="D1484" s="1" t="s">
        <v>71</v>
      </c>
      <c r="E1484" s="2">
        <v>44761</v>
      </c>
      <c r="F1484" s="2">
        <v>44389</v>
      </c>
      <c r="G1484" s="1" t="s">
        <v>62</v>
      </c>
      <c r="H1484">
        <v>989</v>
      </c>
      <c r="I1484">
        <v>14</v>
      </c>
      <c r="J1484">
        <v>4</v>
      </c>
      <c r="K1484">
        <v>81.569999999999993</v>
      </c>
      <c r="L1484">
        <v>5</v>
      </c>
      <c r="M1484" s="1" t="s">
        <v>50</v>
      </c>
      <c r="N1484" s="1" t="s">
        <v>56</v>
      </c>
      <c r="O1484">
        <v>13796.55</v>
      </c>
      <c r="P1484" t="b">
        <v>0</v>
      </c>
      <c r="Q1484">
        <v>1.1666666666666667</v>
      </c>
      <c r="R1484">
        <v>985.46785714285704</v>
      </c>
      <c r="S1484">
        <v>16.314</v>
      </c>
      <c r="T1484" s="2">
        <v>44743</v>
      </c>
      <c r="U1484" s="1" t="s">
        <v>41</v>
      </c>
      <c r="V1484">
        <v>0</v>
      </c>
      <c r="W1484" s="1" t="s">
        <v>40</v>
      </c>
      <c r="Y1484" s="1" t="s">
        <v>43</v>
      </c>
      <c r="Z1484" s="1" t="s">
        <v>42</v>
      </c>
      <c r="AA1484">
        <v>0.26666666666666666</v>
      </c>
      <c r="AB1484" s="1" t="s">
        <v>52</v>
      </c>
      <c r="AC1484">
        <v>2</v>
      </c>
      <c r="AD1484" s="2">
        <v>44743</v>
      </c>
      <c r="AE1484" s="1" t="s">
        <v>53</v>
      </c>
      <c r="AF1484" s="1" t="s">
        <v>45</v>
      </c>
      <c r="AG1484" s="1" t="s">
        <v>63</v>
      </c>
      <c r="AH1484" s="1" t="s">
        <v>59</v>
      </c>
      <c r="AI1484">
        <v>13846</v>
      </c>
      <c r="AJ1484">
        <v>-49.450000000000728</v>
      </c>
    </row>
    <row r="1485" spans="1:36" x14ac:dyDescent="0.25">
      <c r="A1485">
        <v>11484</v>
      </c>
      <c r="B1485">
        <v>34</v>
      </c>
      <c r="C1485" s="1" t="s">
        <v>36</v>
      </c>
      <c r="D1485" s="1" t="s">
        <v>69</v>
      </c>
      <c r="E1485" s="2">
        <v>44552</v>
      </c>
      <c r="F1485" s="2">
        <v>44812</v>
      </c>
      <c r="G1485" s="1" t="s">
        <v>38</v>
      </c>
      <c r="H1485">
        <v>1359</v>
      </c>
      <c r="I1485">
        <v>14</v>
      </c>
      <c r="J1485">
        <v>0</v>
      </c>
      <c r="K1485">
        <v>27.96</v>
      </c>
      <c r="L1485">
        <v>0</v>
      </c>
      <c r="M1485" s="1" t="s">
        <v>39</v>
      </c>
      <c r="N1485" s="1" t="s">
        <v>56</v>
      </c>
      <c r="O1485">
        <v>19026</v>
      </c>
      <c r="P1485" t="b">
        <v>1</v>
      </c>
      <c r="Q1485">
        <v>1.1666666666666667</v>
      </c>
      <c r="R1485">
        <v>1359</v>
      </c>
      <c r="S1485">
        <v>27.96</v>
      </c>
      <c r="T1485" s="2">
        <v>44531</v>
      </c>
      <c r="U1485" s="1" t="s">
        <v>57</v>
      </c>
      <c r="V1485">
        <v>0</v>
      </c>
      <c r="W1485" s="1" t="s">
        <v>40</v>
      </c>
      <c r="X1485">
        <v>260</v>
      </c>
      <c r="Y1485" s="1" t="s">
        <v>52</v>
      </c>
      <c r="Z1485" s="1" t="s">
        <v>42</v>
      </c>
      <c r="AA1485">
        <v>0</v>
      </c>
      <c r="AB1485" s="1" t="s">
        <v>52</v>
      </c>
      <c r="AC1485">
        <v>1</v>
      </c>
      <c r="AD1485" s="2">
        <v>44531</v>
      </c>
      <c r="AE1485" s="1" t="s">
        <v>53</v>
      </c>
      <c r="AF1485" s="1" t="s">
        <v>54</v>
      </c>
      <c r="AG1485" s="1" t="s">
        <v>70</v>
      </c>
      <c r="AH1485" s="1" t="s">
        <v>47</v>
      </c>
      <c r="AI1485">
        <v>19026</v>
      </c>
      <c r="AJ1485">
        <v>0</v>
      </c>
    </row>
    <row r="1486" spans="1:36" x14ac:dyDescent="0.25">
      <c r="A1486">
        <v>11485</v>
      </c>
      <c r="B1486">
        <v>31</v>
      </c>
      <c r="C1486" s="1" t="s">
        <v>60</v>
      </c>
      <c r="D1486" s="1" t="s">
        <v>61</v>
      </c>
      <c r="E1486" s="2">
        <v>45088</v>
      </c>
      <c r="F1486" s="2">
        <v>44969</v>
      </c>
      <c r="G1486" s="1" t="s">
        <v>49</v>
      </c>
      <c r="H1486">
        <v>1146</v>
      </c>
      <c r="I1486">
        <v>7</v>
      </c>
      <c r="J1486">
        <v>1</v>
      </c>
      <c r="K1486">
        <v>35.9</v>
      </c>
      <c r="L1486">
        <v>10</v>
      </c>
      <c r="M1486" s="1" t="s">
        <v>67</v>
      </c>
      <c r="N1486" s="1" t="s">
        <v>40</v>
      </c>
      <c r="O1486">
        <v>7964.7</v>
      </c>
      <c r="P1486" t="b">
        <v>0</v>
      </c>
      <c r="Q1486">
        <v>0.58333333333333337</v>
      </c>
      <c r="R1486">
        <v>1137.8142857142857</v>
      </c>
      <c r="S1486">
        <v>17.95</v>
      </c>
      <c r="T1486" s="2">
        <v>45078</v>
      </c>
      <c r="U1486" s="1" t="s">
        <v>57</v>
      </c>
      <c r="V1486">
        <v>1</v>
      </c>
      <c r="W1486" s="1" t="s">
        <v>56</v>
      </c>
      <c r="Y1486" s="1" t="s">
        <v>52</v>
      </c>
      <c r="Z1486" s="1" t="s">
        <v>42</v>
      </c>
      <c r="AA1486">
        <v>0.125</v>
      </c>
      <c r="AB1486" s="1" t="s">
        <v>42</v>
      </c>
      <c r="AC1486">
        <v>3</v>
      </c>
      <c r="AD1486" s="2">
        <v>45078</v>
      </c>
      <c r="AE1486" s="1" t="s">
        <v>74</v>
      </c>
      <c r="AF1486" s="1" t="s">
        <v>54</v>
      </c>
      <c r="AG1486" s="1" t="s">
        <v>55</v>
      </c>
      <c r="AH1486" s="1" t="s">
        <v>47</v>
      </c>
      <c r="AI1486">
        <v>8022</v>
      </c>
      <c r="AJ1486">
        <v>-57.300000000000182</v>
      </c>
    </row>
    <row r="1487" spans="1:36" x14ac:dyDescent="0.25">
      <c r="A1487">
        <v>11486</v>
      </c>
      <c r="B1487">
        <v>48</v>
      </c>
      <c r="C1487" s="1" t="s">
        <v>36</v>
      </c>
      <c r="D1487" s="1" t="s">
        <v>48</v>
      </c>
      <c r="E1487" s="2">
        <v>44364</v>
      </c>
      <c r="F1487" s="2">
        <v>44625</v>
      </c>
      <c r="G1487" s="1" t="s">
        <v>38</v>
      </c>
      <c r="H1487">
        <v>721</v>
      </c>
      <c r="I1487">
        <v>23</v>
      </c>
      <c r="J1487">
        <v>0</v>
      </c>
      <c r="K1487">
        <v>55.6</v>
      </c>
      <c r="L1487">
        <v>20</v>
      </c>
      <c r="M1487" s="1" t="s">
        <v>50</v>
      </c>
      <c r="N1487" s="1" t="s">
        <v>40</v>
      </c>
      <c r="O1487">
        <v>16438.8</v>
      </c>
      <c r="P1487" t="b">
        <v>1</v>
      </c>
      <c r="Q1487">
        <v>1.9166666666666667</v>
      </c>
      <c r="R1487">
        <v>714.73043478260865</v>
      </c>
      <c r="S1487">
        <v>55.6</v>
      </c>
      <c r="T1487" s="2">
        <v>44348</v>
      </c>
      <c r="U1487" s="1" t="s">
        <v>51</v>
      </c>
      <c r="V1487">
        <v>1</v>
      </c>
      <c r="W1487" s="1" t="s">
        <v>40</v>
      </c>
      <c r="X1487">
        <v>261</v>
      </c>
      <c r="Y1487" s="1" t="s">
        <v>52</v>
      </c>
      <c r="Z1487" s="1" t="s">
        <v>52</v>
      </c>
      <c r="AA1487">
        <v>0</v>
      </c>
      <c r="AB1487" s="1" t="s">
        <v>52</v>
      </c>
      <c r="AC1487">
        <v>1</v>
      </c>
      <c r="AD1487" s="2">
        <v>44348</v>
      </c>
      <c r="AE1487" s="1" t="s">
        <v>53</v>
      </c>
      <c r="AF1487" s="1" t="s">
        <v>54</v>
      </c>
      <c r="AG1487" s="1" t="s">
        <v>63</v>
      </c>
      <c r="AH1487" s="1" t="s">
        <v>59</v>
      </c>
      <c r="AI1487">
        <v>16583</v>
      </c>
      <c r="AJ1487">
        <v>-144.20000000000073</v>
      </c>
    </row>
    <row r="1488" spans="1:36" x14ac:dyDescent="0.25">
      <c r="A1488">
        <v>11487</v>
      </c>
      <c r="B1488">
        <v>41</v>
      </c>
      <c r="C1488" s="1" t="s">
        <v>60</v>
      </c>
      <c r="D1488" s="1" t="s">
        <v>61</v>
      </c>
      <c r="E1488" s="2">
        <v>44753</v>
      </c>
      <c r="F1488" s="2">
        <v>45183</v>
      </c>
      <c r="G1488" s="1" t="s">
        <v>38</v>
      </c>
      <c r="H1488">
        <v>907</v>
      </c>
      <c r="I1488">
        <v>22</v>
      </c>
      <c r="J1488">
        <v>1</v>
      </c>
      <c r="K1488">
        <v>56.3</v>
      </c>
      <c r="L1488">
        <v>15</v>
      </c>
      <c r="M1488" s="1" t="s">
        <v>39</v>
      </c>
      <c r="N1488" s="1" t="s">
        <v>56</v>
      </c>
      <c r="O1488">
        <v>19817.95</v>
      </c>
      <c r="P1488" t="b">
        <v>1</v>
      </c>
      <c r="Q1488">
        <v>1.8333333333333333</v>
      </c>
      <c r="R1488">
        <v>900.81590909090914</v>
      </c>
      <c r="S1488">
        <v>28.15</v>
      </c>
      <c r="T1488" s="2">
        <v>44743</v>
      </c>
      <c r="U1488" s="1" t="s">
        <v>51</v>
      </c>
      <c r="V1488">
        <v>0</v>
      </c>
      <c r="W1488" s="1" t="s">
        <v>40</v>
      </c>
      <c r="X1488">
        <v>430</v>
      </c>
      <c r="Y1488" s="1" t="s">
        <v>52</v>
      </c>
      <c r="Z1488" s="1" t="s">
        <v>42</v>
      </c>
      <c r="AA1488">
        <v>4.3478260869565216E-2</v>
      </c>
      <c r="AB1488" s="1" t="s">
        <v>43</v>
      </c>
      <c r="AC1488">
        <v>1</v>
      </c>
      <c r="AD1488" s="2">
        <v>44743</v>
      </c>
      <c r="AE1488" s="1" t="s">
        <v>53</v>
      </c>
      <c r="AF1488" s="1" t="s">
        <v>54</v>
      </c>
      <c r="AG1488" s="1" t="s">
        <v>63</v>
      </c>
      <c r="AH1488" s="1" t="s">
        <v>59</v>
      </c>
      <c r="AI1488">
        <v>19954</v>
      </c>
      <c r="AJ1488">
        <v>-136.04999999999927</v>
      </c>
    </row>
    <row r="1489" spans="1:36" x14ac:dyDescent="0.25">
      <c r="A1489">
        <v>11488</v>
      </c>
      <c r="B1489">
        <v>52</v>
      </c>
      <c r="C1489" s="1" t="s">
        <v>36</v>
      </c>
      <c r="D1489" s="1" t="s">
        <v>71</v>
      </c>
      <c r="E1489" s="2">
        <v>44648</v>
      </c>
      <c r="F1489" s="2">
        <v>44366</v>
      </c>
      <c r="G1489" s="1" t="s">
        <v>38</v>
      </c>
      <c r="H1489">
        <v>319</v>
      </c>
      <c r="I1489">
        <v>27</v>
      </c>
      <c r="J1489">
        <v>1</v>
      </c>
      <c r="K1489">
        <v>94.06</v>
      </c>
      <c r="L1489">
        <v>20</v>
      </c>
      <c r="M1489" s="1" t="s">
        <v>67</v>
      </c>
      <c r="N1489" s="1" t="s">
        <v>56</v>
      </c>
      <c r="O1489">
        <v>8549.2000000000007</v>
      </c>
      <c r="P1489" t="b">
        <v>0</v>
      </c>
      <c r="Q1489">
        <v>2.25</v>
      </c>
      <c r="R1489">
        <v>316.63703703703709</v>
      </c>
      <c r="S1489">
        <v>47.03</v>
      </c>
      <c r="T1489" s="2">
        <v>44621</v>
      </c>
      <c r="U1489" s="1" t="s">
        <v>41</v>
      </c>
      <c r="V1489">
        <v>0</v>
      </c>
      <c r="W1489" s="1" t="s">
        <v>56</v>
      </c>
      <c r="Y1489" s="1" t="s">
        <v>43</v>
      </c>
      <c r="Z1489" s="1" t="s">
        <v>52</v>
      </c>
      <c r="AA1489">
        <v>3.5714285714285712E-2</v>
      </c>
      <c r="AB1489" s="1" t="s">
        <v>42</v>
      </c>
      <c r="AC1489">
        <v>1</v>
      </c>
      <c r="AD1489" s="2">
        <v>44621</v>
      </c>
      <c r="AE1489" s="1" t="s">
        <v>44</v>
      </c>
      <c r="AF1489" s="1" t="s">
        <v>54</v>
      </c>
      <c r="AG1489" s="1" t="s">
        <v>63</v>
      </c>
      <c r="AH1489" s="1" t="s">
        <v>68</v>
      </c>
      <c r="AI1489">
        <v>8613</v>
      </c>
      <c r="AJ1489">
        <v>-63.799999999999272</v>
      </c>
    </row>
    <row r="1490" spans="1:36" x14ac:dyDescent="0.25">
      <c r="A1490">
        <v>11489</v>
      </c>
      <c r="B1490">
        <v>61</v>
      </c>
      <c r="C1490" s="1" t="s">
        <v>36</v>
      </c>
      <c r="D1490" s="1" t="s">
        <v>73</v>
      </c>
      <c r="E1490" s="2">
        <v>44301</v>
      </c>
      <c r="F1490" s="2">
        <v>44413</v>
      </c>
      <c r="G1490" s="1" t="s">
        <v>62</v>
      </c>
      <c r="H1490">
        <v>975</v>
      </c>
      <c r="I1490">
        <v>2</v>
      </c>
      <c r="J1490">
        <v>5</v>
      </c>
      <c r="K1490">
        <v>47.25</v>
      </c>
      <c r="L1490">
        <v>15</v>
      </c>
      <c r="M1490" s="1" t="s">
        <v>67</v>
      </c>
      <c r="N1490" s="1" t="s">
        <v>40</v>
      </c>
      <c r="O1490">
        <v>1803.75</v>
      </c>
      <c r="P1490" t="b">
        <v>1</v>
      </c>
      <c r="Q1490">
        <v>0.16666666666666666</v>
      </c>
      <c r="R1490">
        <v>901.875</v>
      </c>
      <c r="S1490">
        <v>7.875</v>
      </c>
      <c r="T1490" s="2">
        <v>44287</v>
      </c>
      <c r="U1490" s="1" t="s">
        <v>41</v>
      </c>
      <c r="V1490">
        <v>1</v>
      </c>
      <c r="W1490" s="1" t="s">
        <v>56</v>
      </c>
      <c r="X1490">
        <v>112</v>
      </c>
      <c r="Y1490" s="1" t="s">
        <v>52</v>
      </c>
      <c r="Z1490" s="1" t="s">
        <v>42</v>
      </c>
      <c r="AA1490">
        <v>1.6666666666666667</v>
      </c>
      <c r="AB1490" s="1" t="s">
        <v>42</v>
      </c>
      <c r="AC1490">
        <v>2</v>
      </c>
      <c r="AD1490" s="2">
        <v>44287</v>
      </c>
      <c r="AE1490" s="1" t="s">
        <v>58</v>
      </c>
      <c r="AF1490" s="1" t="s">
        <v>45</v>
      </c>
      <c r="AG1490" s="1" t="s">
        <v>63</v>
      </c>
      <c r="AH1490" s="1" t="s">
        <v>59</v>
      </c>
      <c r="AI1490">
        <v>1950</v>
      </c>
      <c r="AJ1490">
        <v>-146.25</v>
      </c>
    </row>
    <row r="1491" spans="1:36" x14ac:dyDescent="0.25">
      <c r="A1491">
        <v>11490</v>
      </c>
      <c r="B1491">
        <v>62</v>
      </c>
      <c r="C1491" s="1" t="s">
        <v>60</v>
      </c>
      <c r="D1491" s="1" t="s">
        <v>69</v>
      </c>
      <c r="E1491" s="2">
        <v>44346</v>
      </c>
      <c r="F1491" s="2">
        <v>44514</v>
      </c>
      <c r="G1491" s="1" t="s">
        <v>62</v>
      </c>
      <c r="H1491">
        <v>681</v>
      </c>
      <c r="I1491">
        <v>19</v>
      </c>
      <c r="J1491">
        <v>1</v>
      </c>
      <c r="K1491">
        <v>23.69</v>
      </c>
      <c r="L1491">
        <v>5</v>
      </c>
      <c r="M1491" s="1" t="s">
        <v>39</v>
      </c>
      <c r="N1491" s="1" t="s">
        <v>56</v>
      </c>
      <c r="O1491">
        <v>12904.95</v>
      </c>
      <c r="P1491" t="b">
        <v>1</v>
      </c>
      <c r="Q1491">
        <v>1.5833333333333333</v>
      </c>
      <c r="R1491">
        <v>679.20789473684215</v>
      </c>
      <c r="S1491">
        <v>11.845000000000001</v>
      </c>
      <c r="T1491" s="2">
        <v>44317</v>
      </c>
      <c r="U1491" s="1" t="s">
        <v>41</v>
      </c>
      <c r="V1491">
        <v>0</v>
      </c>
      <c r="W1491" s="1" t="s">
        <v>56</v>
      </c>
      <c r="X1491">
        <v>168</v>
      </c>
      <c r="Y1491" s="1" t="s">
        <v>52</v>
      </c>
      <c r="Z1491" s="1" t="s">
        <v>42</v>
      </c>
      <c r="AA1491">
        <v>0.05</v>
      </c>
      <c r="AB1491" s="1" t="s">
        <v>52</v>
      </c>
      <c r="AC1491">
        <v>2</v>
      </c>
      <c r="AD1491" s="2">
        <v>44317</v>
      </c>
      <c r="AE1491" s="1" t="s">
        <v>53</v>
      </c>
      <c r="AF1491" s="1" t="s">
        <v>54</v>
      </c>
      <c r="AG1491" s="1" t="s">
        <v>70</v>
      </c>
      <c r="AH1491" s="1" t="s">
        <v>64</v>
      </c>
      <c r="AI1491">
        <v>12939</v>
      </c>
      <c r="AJ1491">
        <v>-34.049999999999272</v>
      </c>
    </row>
    <row r="1492" spans="1:36" x14ac:dyDescent="0.25">
      <c r="A1492">
        <v>11491</v>
      </c>
      <c r="B1492">
        <v>51</v>
      </c>
      <c r="C1492" s="1" t="s">
        <v>36</v>
      </c>
      <c r="D1492" s="1" t="s">
        <v>69</v>
      </c>
      <c r="E1492" s="2">
        <v>44342</v>
      </c>
      <c r="F1492" s="2">
        <v>44932</v>
      </c>
      <c r="G1492" s="1" t="s">
        <v>62</v>
      </c>
      <c r="H1492">
        <v>908</v>
      </c>
      <c r="I1492">
        <v>7</v>
      </c>
      <c r="J1492">
        <v>1</v>
      </c>
      <c r="K1492">
        <v>33.92</v>
      </c>
      <c r="L1492">
        <v>10</v>
      </c>
      <c r="M1492" s="1" t="s">
        <v>39</v>
      </c>
      <c r="N1492" s="1" t="s">
        <v>56</v>
      </c>
      <c r="O1492">
        <v>6265.2</v>
      </c>
      <c r="P1492" t="b">
        <v>1</v>
      </c>
      <c r="Q1492">
        <v>0.58333333333333337</v>
      </c>
      <c r="R1492">
        <v>895.02857142857135</v>
      </c>
      <c r="S1492">
        <v>16.96</v>
      </c>
      <c r="T1492" s="2">
        <v>44317</v>
      </c>
      <c r="U1492" s="1" t="s">
        <v>41</v>
      </c>
      <c r="V1492">
        <v>0</v>
      </c>
      <c r="W1492" s="1" t="s">
        <v>56</v>
      </c>
      <c r="X1492">
        <v>590</v>
      </c>
      <c r="Y1492" s="1" t="s">
        <v>52</v>
      </c>
      <c r="Z1492" s="1" t="s">
        <v>42</v>
      </c>
      <c r="AA1492">
        <v>0.125</v>
      </c>
      <c r="AB1492" s="1" t="s">
        <v>42</v>
      </c>
      <c r="AC1492">
        <v>2</v>
      </c>
      <c r="AD1492" s="2">
        <v>44317</v>
      </c>
      <c r="AE1492" s="1" t="s">
        <v>74</v>
      </c>
      <c r="AF1492" s="1" t="s">
        <v>54</v>
      </c>
      <c r="AG1492" s="1" t="s">
        <v>55</v>
      </c>
      <c r="AH1492" s="1" t="s">
        <v>59</v>
      </c>
      <c r="AI1492">
        <v>6356</v>
      </c>
      <c r="AJ1492">
        <v>-90.800000000000182</v>
      </c>
    </row>
    <row r="1493" spans="1:36" x14ac:dyDescent="0.25">
      <c r="A1493">
        <v>11492</v>
      </c>
      <c r="B1493">
        <v>20</v>
      </c>
      <c r="C1493" s="1" t="s">
        <v>36</v>
      </c>
      <c r="D1493" s="1" t="s">
        <v>61</v>
      </c>
      <c r="E1493" s="2">
        <v>44912</v>
      </c>
      <c r="F1493" s="2">
        <v>44750</v>
      </c>
      <c r="G1493" s="1" t="s">
        <v>38</v>
      </c>
      <c r="H1493">
        <v>442</v>
      </c>
      <c r="I1493">
        <v>12</v>
      </c>
      <c r="J1493">
        <v>0</v>
      </c>
      <c r="K1493">
        <v>29.69</v>
      </c>
      <c r="L1493">
        <v>10</v>
      </c>
      <c r="M1493" s="1" t="s">
        <v>50</v>
      </c>
      <c r="N1493" s="1" t="s">
        <v>56</v>
      </c>
      <c r="O1493">
        <v>5259.8</v>
      </c>
      <c r="P1493" t="b">
        <v>0</v>
      </c>
      <c r="Q1493">
        <v>1</v>
      </c>
      <c r="R1493">
        <v>438.31666666666666</v>
      </c>
      <c r="S1493">
        <v>29.69</v>
      </c>
      <c r="T1493" s="2">
        <v>44896</v>
      </c>
      <c r="U1493" s="1" t="s">
        <v>66</v>
      </c>
      <c r="V1493">
        <v>0</v>
      </c>
      <c r="W1493" s="1" t="s">
        <v>56</v>
      </c>
      <c r="Y1493" s="1" t="s">
        <v>52</v>
      </c>
      <c r="Z1493" s="1" t="s">
        <v>42</v>
      </c>
      <c r="AA1493">
        <v>0</v>
      </c>
      <c r="AB1493" s="1" t="s">
        <v>42</v>
      </c>
      <c r="AC1493">
        <v>1</v>
      </c>
      <c r="AD1493" s="2">
        <v>44896</v>
      </c>
      <c r="AE1493" s="1" t="s">
        <v>74</v>
      </c>
      <c r="AF1493" s="1" t="s">
        <v>54</v>
      </c>
      <c r="AG1493" s="1" t="s">
        <v>70</v>
      </c>
      <c r="AH1493" s="1" t="s">
        <v>68</v>
      </c>
      <c r="AI1493">
        <v>5304</v>
      </c>
      <c r="AJ1493">
        <v>-44.199999999999818</v>
      </c>
    </row>
    <row r="1494" spans="1:36" x14ac:dyDescent="0.25">
      <c r="A1494">
        <v>11493</v>
      </c>
      <c r="B1494">
        <v>54</v>
      </c>
      <c r="C1494" s="1" t="s">
        <v>36</v>
      </c>
      <c r="D1494" s="1" t="s">
        <v>73</v>
      </c>
      <c r="E1494" s="2">
        <v>45070</v>
      </c>
      <c r="F1494" s="2">
        <v>45169</v>
      </c>
      <c r="G1494" s="1" t="s">
        <v>62</v>
      </c>
      <c r="H1494">
        <v>361</v>
      </c>
      <c r="I1494">
        <v>3</v>
      </c>
      <c r="J1494">
        <v>3</v>
      </c>
      <c r="K1494">
        <v>89.14</v>
      </c>
      <c r="L1494">
        <v>20</v>
      </c>
      <c r="M1494" s="1" t="s">
        <v>67</v>
      </c>
      <c r="N1494" s="1" t="s">
        <v>56</v>
      </c>
      <c r="O1494">
        <v>1010.8</v>
      </c>
      <c r="P1494" t="b">
        <v>1</v>
      </c>
      <c r="Q1494">
        <v>0.25</v>
      </c>
      <c r="R1494">
        <v>336.93333333333334</v>
      </c>
      <c r="S1494">
        <v>22.285</v>
      </c>
      <c r="T1494" s="2">
        <v>45047</v>
      </c>
      <c r="U1494" s="1" t="s">
        <v>41</v>
      </c>
      <c r="V1494">
        <v>0</v>
      </c>
      <c r="W1494" s="1" t="s">
        <v>56</v>
      </c>
      <c r="X1494">
        <v>99</v>
      </c>
      <c r="Y1494" s="1" t="s">
        <v>43</v>
      </c>
      <c r="Z1494" s="1" t="s">
        <v>52</v>
      </c>
      <c r="AA1494">
        <v>0.75</v>
      </c>
      <c r="AB1494" s="1" t="s">
        <v>42</v>
      </c>
      <c r="AC1494">
        <v>2</v>
      </c>
      <c r="AD1494" s="2">
        <v>45047</v>
      </c>
      <c r="AE1494" s="1" t="s">
        <v>58</v>
      </c>
      <c r="AF1494" s="1" t="s">
        <v>72</v>
      </c>
      <c r="AG1494" s="1" t="s">
        <v>63</v>
      </c>
      <c r="AH1494" s="1" t="s">
        <v>68</v>
      </c>
      <c r="AI1494">
        <v>1083</v>
      </c>
      <c r="AJ1494">
        <v>-72.200000000000045</v>
      </c>
    </row>
    <row r="1495" spans="1:36" x14ac:dyDescent="0.25">
      <c r="A1495">
        <v>11494</v>
      </c>
      <c r="B1495">
        <v>60</v>
      </c>
      <c r="C1495" s="1" t="s">
        <v>60</v>
      </c>
      <c r="D1495" s="1" t="s">
        <v>61</v>
      </c>
      <c r="E1495" s="2">
        <v>44495</v>
      </c>
      <c r="F1495" s="2">
        <v>44756</v>
      </c>
      <c r="G1495" s="1" t="s">
        <v>38</v>
      </c>
      <c r="H1495">
        <v>537</v>
      </c>
      <c r="I1495">
        <v>5</v>
      </c>
      <c r="J1495">
        <v>2</v>
      </c>
      <c r="K1495">
        <v>59.09</v>
      </c>
      <c r="L1495">
        <v>20</v>
      </c>
      <c r="M1495" s="1" t="s">
        <v>67</v>
      </c>
      <c r="N1495" s="1" t="s">
        <v>56</v>
      </c>
      <c r="O1495">
        <v>2577.6</v>
      </c>
      <c r="P1495" t="b">
        <v>1</v>
      </c>
      <c r="Q1495">
        <v>0.41666666666666669</v>
      </c>
      <c r="R1495">
        <v>515.52</v>
      </c>
      <c r="S1495">
        <v>19.696666666666669</v>
      </c>
      <c r="T1495" s="2">
        <v>44470</v>
      </c>
      <c r="U1495" s="1" t="s">
        <v>41</v>
      </c>
      <c r="V1495">
        <v>0</v>
      </c>
      <c r="W1495" s="1" t="s">
        <v>56</v>
      </c>
      <c r="X1495">
        <v>261</v>
      </c>
      <c r="Y1495" s="1" t="s">
        <v>52</v>
      </c>
      <c r="Z1495" s="1" t="s">
        <v>52</v>
      </c>
      <c r="AA1495">
        <v>0.33333333333333331</v>
      </c>
      <c r="AB1495" s="1" t="s">
        <v>42</v>
      </c>
      <c r="AC1495">
        <v>1</v>
      </c>
      <c r="AD1495" s="2">
        <v>44470</v>
      </c>
      <c r="AE1495" s="1" t="s">
        <v>58</v>
      </c>
      <c r="AF1495" s="1" t="s">
        <v>72</v>
      </c>
      <c r="AG1495" s="1" t="s">
        <v>63</v>
      </c>
      <c r="AH1495" s="1" t="s">
        <v>64</v>
      </c>
      <c r="AI1495">
        <v>2685</v>
      </c>
      <c r="AJ1495">
        <v>-107.40000000000009</v>
      </c>
    </row>
    <row r="1496" spans="1:36" x14ac:dyDescent="0.25">
      <c r="A1496">
        <v>11495</v>
      </c>
      <c r="B1496">
        <v>57</v>
      </c>
      <c r="C1496" s="1" t="s">
        <v>60</v>
      </c>
      <c r="D1496" s="1" t="s">
        <v>48</v>
      </c>
      <c r="E1496" s="2">
        <v>44363</v>
      </c>
      <c r="F1496" s="2">
        <v>44459</v>
      </c>
      <c r="G1496" s="1" t="s">
        <v>38</v>
      </c>
      <c r="H1496">
        <v>1454</v>
      </c>
      <c r="I1496">
        <v>8</v>
      </c>
      <c r="J1496">
        <v>2</v>
      </c>
      <c r="K1496">
        <v>86.49</v>
      </c>
      <c r="L1496">
        <v>5</v>
      </c>
      <c r="M1496" s="1" t="s">
        <v>50</v>
      </c>
      <c r="N1496" s="1" t="s">
        <v>56</v>
      </c>
      <c r="O1496">
        <v>11559.3</v>
      </c>
      <c r="P1496" t="b">
        <v>1</v>
      </c>
      <c r="Q1496">
        <v>0.66666666666666663</v>
      </c>
      <c r="R1496">
        <v>1444.9124999999999</v>
      </c>
      <c r="S1496">
        <v>28.83</v>
      </c>
      <c r="T1496" s="2">
        <v>44348</v>
      </c>
      <c r="U1496" s="1" t="s">
        <v>41</v>
      </c>
      <c r="V1496">
        <v>0</v>
      </c>
      <c r="W1496" s="1" t="s">
        <v>56</v>
      </c>
      <c r="X1496">
        <v>96</v>
      </c>
      <c r="Y1496" s="1" t="s">
        <v>43</v>
      </c>
      <c r="Z1496" s="1" t="s">
        <v>42</v>
      </c>
      <c r="AA1496">
        <v>0.22222222222222221</v>
      </c>
      <c r="AB1496" s="1" t="s">
        <v>52</v>
      </c>
      <c r="AC1496">
        <v>1</v>
      </c>
      <c r="AD1496" s="2">
        <v>44348</v>
      </c>
      <c r="AE1496" s="1" t="s">
        <v>74</v>
      </c>
      <c r="AF1496" s="1" t="s">
        <v>72</v>
      </c>
      <c r="AG1496" s="1" t="s">
        <v>63</v>
      </c>
      <c r="AH1496" s="1" t="s">
        <v>47</v>
      </c>
      <c r="AI1496">
        <v>11632</v>
      </c>
      <c r="AJ1496">
        <v>-72.700000000000728</v>
      </c>
    </row>
    <row r="1497" spans="1:36" x14ac:dyDescent="0.25">
      <c r="A1497">
        <v>11496</v>
      </c>
      <c r="B1497">
        <v>43</v>
      </c>
      <c r="C1497" s="1" t="s">
        <v>60</v>
      </c>
      <c r="D1497" s="1" t="s">
        <v>37</v>
      </c>
      <c r="E1497" s="2">
        <v>44909</v>
      </c>
      <c r="F1497" s="2">
        <v>44621</v>
      </c>
      <c r="G1497" s="1" t="s">
        <v>38</v>
      </c>
      <c r="H1497">
        <v>1446</v>
      </c>
      <c r="I1497">
        <v>14</v>
      </c>
      <c r="J1497">
        <v>2</v>
      </c>
      <c r="K1497">
        <v>52.87</v>
      </c>
      <c r="L1497">
        <v>10</v>
      </c>
      <c r="M1497" s="1" t="s">
        <v>67</v>
      </c>
      <c r="N1497" s="1" t="s">
        <v>56</v>
      </c>
      <c r="O1497">
        <v>20099.400000000001</v>
      </c>
      <c r="P1497" t="b">
        <v>0</v>
      </c>
      <c r="Q1497">
        <v>1.1666666666666667</v>
      </c>
      <c r="R1497">
        <v>1435.6714285714286</v>
      </c>
      <c r="S1497">
        <v>17.623333333333331</v>
      </c>
      <c r="T1497" s="2">
        <v>44896</v>
      </c>
      <c r="U1497" s="1" t="s">
        <v>51</v>
      </c>
      <c r="V1497">
        <v>0</v>
      </c>
      <c r="W1497" s="1" t="s">
        <v>40</v>
      </c>
      <c r="Y1497" s="1" t="s">
        <v>52</v>
      </c>
      <c r="Z1497" s="1" t="s">
        <v>42</v>
      </c>
      <c r="AA1497">
        <v>0.13333333333333333</v>
      </c>
      <c r="AB1497" s="1" t="s">
        <v>43</v>
      </c>
      <c r="AC1497">
        <v>1</v>
      </c>
      <c r="AD1497" s="2">
        <v>44896</v>
      </c>
      <c r="AE1497" s="1" t="s">
        <v>53</v>
      </c>
      <c r="AF1497" s="1" t="s">
        <v>72</v>
      </c>
      <c r="AG1497" s="1" t="s">
        <v>63</v>
      </c>
      <c r="AH1497" s="1" t="s">
        <v>47</v>
      </c>
      <c r="AI1497">
        <v>20244</v>
      </c>
      <c r="AJ1497">
        <v>-144.59999999999854</v>
      </c>
    </row>
    <row r="1498" spans="1:36" x14ac:dyDescent="0.25">
      <c r="A1498">
        <v>11497</v>
      </c>
      <c r="B1498">
        <v>41</v>
      </c>
      <c r="C1498" s="1" t="s">
        <v>60</v>
      </c>
      <c r="D1498" s="1" t="s">
        <v>73</v>
      </c>
      <c r="E1498" s="2">
        <v>44842</v>
      </c>
      <c r="F1498" s="2">
        <v>44754</v>
      </c>
      <c r="G1498" s="1" t="s">
        <v>62</v>
      </c>
      <c r="H1498">
        <v>1226</v>
      </c>
      <c r="I1498">
        <v>7</v>
      </c>
      <c r="J1498">
        <v>3</v>
      </c>
      <c r="K1498">
        <v>107.32</v>
      </c>
      <c r="L1498">
        <v>10</v>
      </c>
      <c r="M1498" s="1" t="s">
        <v>67</v>
      </c>
      <c r="N1498" s="1" t="s">
        <v>56</v>
      </c>
      <c r="O1498">
        <v>8459.4</v>
      </c>
      <c r="P1498" t="b">
        <v>0</v>
      </c>
      <c r="Q1498">
        <v>0.58333333333333337</v>
      </c>
      <c r="R1498">
        <v>1208.4857142857143</v>
      </c>
      <c r="S1498">
        <v>26.83</v>
      </c>
      <c r="T1498" s="2">
        <v>44835</v>
      </c>
      <c r="U1498" s="1" t="s">
        <v>51</v>
      </c>
      <c r="V1498">
        <v>0</v>
      </c>
      <c r="W1498" s="1" t="s">
        <v>56</v>
      </c>
      <c r="Y1498" s="1" t="s">
        <v>43</v>
      </c>
      <c r="Z1498" s="1" t="s">
        <v>42</v>
      </c>
      <c r="AA1498">
        <v>0.375</v>
      </c>
      <c r="AB1498" s="1" t="s">
        <v>42</v>
      </c>
      <c r="AC1498">
        <v>2</v>
      </c>
      <c r="AD1498" s="2">
        <v>44835</v>
      </c>
      <c r="AE1498" s="1" t="s">
        <v>74</v>
      </c>
      <c r="AF1498" s="1" t="s">
        <v>72</v>
      </c>
      <c r="AG1498" s="1" t="s">
        <v>63</v>
      </c>
      <c r="AH1498" s="1" t="s">
        <v>47</v>
      </c>
      <c r="AI1498">
        <v>8582</v>
      </c>
      <c r="AJ1498">
        <v>-122.60000000000036</v>
      </c>
    </row>
    <row r="1499" spans="1:36" x14ac:dyDescent="0.25">
      <c r="A1499">
        <v>11498</v>
      </c>
      <c r="B1499">
        <v>61</v>
      </c>
      <c r="C1499" s="1" t="s">
        <v>36</v>
      </c>
      <c r="D1499" s="1" t="s">
        <v>37</v>
      </c>
      <c r="E1499" s="2">
        <v>44919</v>
      </c>
      <c r="F1499" s="2">
        <v>44720</v>
      </c>
      <c r="G1499" s="1" t="s">
        <v>38</v>
      </c>
      <c r="H1499">
        <v>641</v>
      </c>
      <c r="I1499">
        <v>7</v>
      </c>
      <c r="J1499">
        <v>1</v>
      </c>
      <c r="K1499">
        <v>118.1</v>
      </c>
      <c r="L1499">
        <v>20</v>
      </c>
      <c r="M1499" s="1" t="s">
        <v>67</v>
      </c>
      <c r="N1499" s="1" t="s">
        <v>56</v>
      </c>
      <c r="O1499">
        <v>4358.8</v>
      </c>
      <c r="P1499" t="b">
        <v>0</v>
      </c>
      <c r="Q1499">
        <v>0.58333333333333337</v>
      </c>
      <c r="R1499">
        <v>622.68571428571431</v>
      </c>
      <c r="S1499">
        <v>59.05</v>
      </c>
      <c r="T1499" s="2">
        <v>44896</v>
      </c>
      <c r="U1499" s="1" t="s">
        <v>41</v>
      </c>
      <c r="V1499">
        <v>0</v>
      </c>
      <c r="W1499" s="1" t="s">
        <v>56</v>
      </c>
      <c r="Y1499" s="1" t="s">
        <v>43</v>
      </c>
      <c r="Z1499" s="1" t="s">
        <v>52</v>
      </c>
      <c r="AA1499">
        <v>0.125</v>
      </c>
      <c r="AB1499" s="1" t="s">
        <v>42</v>
      </c>
      <c r="AC1499">
        <v>1</v>
      </c>
      <c r="AD1499" s="2">
        <v>44896</v>
      </c>
      <c r="AE1499" s="1" t="s">
        <v>74</v>
      </c>
      <c r="AF1499" s="1" t="s">
        <v>54</v>
      </c>
      <c r="AG1499" s="1" t="s">
        <v>63</v>
      </c>
      <c r="AH1499" s="1" t="s">
        <v>64</v>
      </c>
      <c r="AI1499">
        <v>4487</v>
      </c>
      <c r="AJ1499">
        <v>-128.19999999999982</v>
      </c>
    </row>
    <row r="1500" spans="1:36" x14ac:dyDescent="0.25">
      <c r="A1500">
        <v>11499</v>
      </c>
      <c r="B1500">
        <v>56</v>
      </c>
      <c r="C1500" s="1" t="s">
        <v>60</v>
      </c>
      <c r="D1500" s="1" t="s">
        <v>48</v>
      </c>
      <c r="E1500" s="2">
        <v>44244</v>
      </c>
      <c r="F1500" s="2">
        <v>44944</v>
      </c>
      <c r="G1500" s="1" t="s">
        <v>62</v>
      </c>
      <c r="H1500">
        <v>754</v>
      </c>
      <c r="I1500">
        <v>32</v>
      </c>
      <c r="J1500">
        <v>1</v>
      </c>
      <c r="K1500">
        <v>82.03</v>
      </c>
      <c r="L1500">
        <v>10</v>
      </c>
      <c r="M1500" s="1" t="s">
        <v>65</v>
      </c>
      <c r="N1500" s="1" t="s">
        <v>56</v>
      </c>
      <c r="O1500">
        <v>24052.6</v>
      </c>
      <c r="P1500" t="b">
        <v>1</v>
      </c>
      <c r="Q1500">
        <v>2.6666666666666665</v>
      </c>
      <c r="R1500">
        <v>751.64374999999995</v>
      </c>
      <c r="S1500">
        <v>41.015000000000001</v>
      </c>
      <c r="T1500" s="2">
        <v>44228</v>
      </c>
      <c r="U1500" s="1" t="s">
        <v>41</v>
      </c>
      <c r="V1500">
        <v>0</v>
      </c>
      <c r="W1500" s="1" t="s">
        <v>40</v>
      </c>
      <c r="X1500">
        <v>700</v>
      </c>
      <c r="Y1500" s="1" t="s">
        <v>43</v>
      </c>
      <c r="Z1500" s="1" t="s">
        <v>42</v>
      </c>
      <c r="AA1500">
        <v>3.0303030303030304E-2</v>
      </c>
      <c r="AB1500" s="1" t="s">
        <v>43</v>
      </c>
      <c r="AC1500">
        <v>2</v>
      </c>
      <c r="AD1500" s="2">
        <v>44228</v>
      </c>
      <c r="AE1500" s="1" t="s">
        <v>44</v>
      </c>
      <c r="AF1500" s="1" t="s">
        <v>54</v>
      </c>
      <c r="AG1500" s="1" t="s">
        <v>63</v>
      </c>
      <c r="AH1500" s="1" t="s">
        <v>59</v>
      </c>
      <c r="AI1500">
        <v>24128</v>
      </c>
      <c r="AJ1500">
        <v>-75.400000000001455</v>
      </c>
    </row>
    <row r="1501" spans="1:36" x14ac:dyDescent="0.25">
      <c r="A1501">
        <v>11500</v>
      </c>
      <c r="B1501">
        <v>32</v>
      </c>
      <c r="C1501" s="1" t="s">
        <v>36</v>
      </c>
      <c r="D1501" s="1" t="s">
        <v>37</v>
      </c>
      <c r="E1501" s="2">
        <v>44834</v>
      </c>
      <c r="F1501" s="2">
        <v>44998</v>
      </c>
      <c r="G1501" s="1" t="s">
        <v>62</v>
      </c>
      <c r="H1501">
        <v>581</v>
      </c>
      <c r="I1501">
        <v>8</v>
      </c>
      <c r="J1501">
        <v>1</v>
      </c>
      <c r="K1501">
        <v>104.34</v>
      </c>
      <c r="L1501">
        <v>20</v>
      </c>
      <c r="M1501" s="1" t="s">
        <v>39</v>
      </c>
      <c r="N1501" s="1" t="s">
        <v>56</v>
      </c>
      <c r="O1501">
        <v>4531.8</v>
      </c>
      <c r="P1501" t="b">
        <v>1</v>
      </c>
      <c r="Q1501">
        <v>0.66666666666666663</v>
      </c>
      <c r="R1501">
        <v>566.47500000000002</v>
      </c>
      <c r="S1501">
        <v>52.17</v>
      </c>
      <c r="T1501" s="2">
        <v>44805</v>
      </c>
      <c r="U1501" s="1" t="s">
        <v>57</v>
      </c>
      <c r="V1501">
        <v>0</v>
      </c>
      <c r="W1501" s="1" t="s">
        <v>56</v>
      </c>
      <c r="X1501">
        <v>164</v>
      </c>
      <c r="Y1501" s="1" t="s">
        <v>43</v>
      </c>
      <c r="Z1501" s="1" t="s">
        <v>52</v>
      </c>
      <c r="AA1501">
        <v>0.1111111111111111</v>
      </c>
      <c r="AB1501" s="1" t="s">
        <v>42</v>
      </c>
      <c r="AC1501">
        <v>2</v>
      </c>
      <c r="AD1501" s="2">
        <v>44805</v>
      </c>
      <c r="AE1501" s="1" t="s">
        <v>74</v>
      </c>
      <c r="AF1501" s="1" t="s">
        <v>54</v>
      </c>
      <c r="AG1501" s="1" t="s">
        <v>63</v>
      </c>
      <c r="AH1501" s="1" t="s">
        <v>64</v>
      </c>
      <c r="AI1501">
        <v>4648</v>
      </c>
      <c r="AJ1501">
        <v>-116.19999999999982</v>
      </c>
    </row>
    <row r="1502" spans="1:36" x14ac:dyDescent="0.25">
      <c r="A1502">
        <v>11501</v>
      </c>
      <c r="B1502">
        <v>41</v>
      </c>
      <c r="C1502" s="1" t="s">
        <v>60</v>
      </c>
      <c r="D1502" s="1" t="s">
        <v>71</v>
      </c>
      <c r="E1502" s="2">
        <v>44435</v>
      </c>
      <c r="F1502" s="2">
        <v>44386</v>
      </c>
      <c r="G1502" s="1" t="s">
        <v>62</v>
      </c>
      <c r="H1502">
        <v>1185</v>
      </c>
      <c r="I1502">
        <v>12</v>
      </c>
      <c r="J1502">
        <v>3</v>
      </c>
      <c r="K1502">
        <v>63.41</v>
      </c>
      <c r="L1502">
        <v>0</v>
      </c>
      <c r="M1502" s="1" t="s">
        <v>65</v>
      </c>
      <c r="N1502" s="1" t="s">
        <v>56</v>
      </c>
      <c r="O1502">
        <v>14220</v>
      </c>
      <c r="P1502" t="b">
        <v>0</v>
      </c>
      <c r="Q1502">
        <v>1</v>
      </c>
      <c r="R1502">
        <v>1185</v>
      </c>
      <c r="S1502">
        <v>15.852499999999999</v>
      </c>
      <c r="T1502" s="2">
        <v>44409</v>
      </c>
      <c r="U1502" s="1" t="s">
        <v>51</v>
      </c>
      <c r="V1502">
        <v>0</v>
      </c>
      <c r="W1502" s="1" t="s">
        <v>40</v>
      </c>
      <c r="Y1502" s="1" t="s">
        <v>43</v>
      </c>
      <c r="Z1502" s="1" t="s">
        <v>42</v>
      </c>
      <c r="AA1502">
        <v>0.23076923076923078</v>
      </c>
      <c r="AB1502" s="1" t="s">
        <v>52</v>
      </c>
      <c r="AC1502">
        <v>2</v>
      </c>
      <c r="AD1502" s="2">
        <v>44409</v>
      </c>
      <c r="AE1502" s="1" t="s">
        <v>74</v>
      </c>
      <c r="AF1502" s="1" t="s">
        <v>72</v>
      </c>
      <c r="AG1502" s="1" t="s">
        <v>63</v>
      </c>
      <c r="AH1502" s="1" t="s">
        <v>47</v>
      </c>
      <c r="AI1502">
        <v>14220</v>
      </c>
      <c r="AJ1502">
        <v>0</v>
      </c>
    </row>
    <row r="1503" spans="1:36" x14ac:dyDescent="0.25">
      <c r="A1503">
        <v>11502</v>
      </c>
      <c r="B1503">
        <v>46</v>
      </c>
      <c r="C1503" s="1" t="s">
        <v>36</v>
      </c>
      <c r="D1503" s="1" t="s">
        <v>37</v>
      </c>
      <c r="E1503" s="2">
        <v>44203</v>
      </c>
      <c r="F1503" s="2">
        <v>44452</v>
      </c>
      <c r="G1503" s="1" t="s">
        <v>62</v>
      </c>
      <c r="H1503">
        <v>1324</v>
      </c>
      <c r="I1503">
        <v>10</v>
      </c>
      <c r="J1503">
        <v>4</v>
      </c>
      <c r="K1503">
        <v>112.48</v>
      </c>
      <c r="L1503">
        <v>10</v>
      </c>
      <c r="M1503" s="1" t="s">
        <v>65</v>
      </c>
      <c r="N1503" s="1" t="s">
        <v>40</v>
      </c>
      <c r="O1503">
        <v>13107.6</v>
      </c>
      <c r="P1503" t="b">
        <v>1</v>
      </c>
      <c r="Q1503">
        <v>0.83333333333333337</v>
      </c>
      <c r="R1503">
        <v>1310.76</v>
      </c>
      <c r="S1503">
        <v>22.496000000000002</v>
      </c>
      <c r="T1503" s="2">
        <v>44197</v>
      </c>
      <c r="U1503" s="1" t="s">
        <v>51</v>
      </c>
      <c r="V1503">
        <v>1</v>
      </c>
      <c r="W1503" s="1" t="s">
        <v>56</v>
      </c>
      <c r="X1503">
        <v>249</v>
      </c>
      <c r="Y1503" s="1" t="s">
        <v>43</v>
      </c>
      <c r="Z1503" s="1" t="s">
        <v>42</v>
      </c>
      <c r="AA1503">
        <v>0.36363636363636365</v>
      </c>
      <c r="AB1503" s="1" t="s">
        <v>52</v>
      </c>
      <c r="AC1503">
        <v>2</v>
      </c>
      <c r="AD1503" s="2">
        <v>44197</v>
      </c>
      <c r="AE1503" s="1" t="s">
        <v>74</v>
      </c>
      <c r="AF1503" s="1" t="s">
        <v>45</v>
      </c>
      <c r="AG1503" s="1" t="s">
        <v>63</v>
      </c>
      <c r="AH1503" s="1" t="s">
        <v>47</v>
      </c>
      <c r="AI1503">
        <v>13240</v>
      </c>
      <c r="AJ1503">
        <v>-132.39999999999964</v>
      </c>
    </row>
    <row r="1504" spans="1:36" x14ac:dyDescent="0.25">
      <c r="A1504">
        <v>11503</v>
      </c>
      <c r="B1504">
        <v>39</v>
      </c>
      <c r="C1504" s="1" t="s">
        <v>36</v>
      </c>
      <c r="D1504" s="1" t="s">
        <v>48</v>
      </c>
      <c r="E1504" s="2">
        <v>44660</v>
      </c>
      <c r="F1504" s="2">
        <v>44671</v>
      </c>
      <c r="G1504" s="1" t="s">
        <v>38</v>
      </c>
      <c r="H1504">
        <v>1022</v>
      </c>
      <c r="I1504">
        <v>14</v>
      </c>
      <c r="J1504">
        <v>3</v>
      </c>
      <c r="K1504">
        <v>100.63</v>
      </c>
      <c r="L1504">
        <v>15</v>
      </c>
      <c r="M1504" s="1" t="s">
        <v>39</v>
      </c>
      <c r="N1504" s="1" t="s">
        <v>56</v>
      </c>
      <c r="O1504">
        <v>14154.7</v>
      </c>
      <c r="P1504" t="b">
        <v>1</v>
      </c>
      <c r="Q1504">
        <v>1.1666666666666667</v>
      </c>
      <c r="R1504">
        <v>1011.0500000000001</v>
      </c>
      <c r="S1504">
        <v>25.157499999999999</v>
      </c>
      <c r="T1504" s="2">
        <v>44652</v>
      </c>
      <c r="U1504" s="1" t="s">
        <v>51</v>
      </c>
      <c r="V1504">
        <v>0</v>
      </c>
      <c r="W1504" s="1" t="s">
        <v>40</v>
      </c>
      <c r="X1504">
        <v>11</v>
      </c>
      <c r="Y1504" s="1" t="s">
        <v>43</v>
      </c>
      <c r="Z1504" s="1" t="s">
        <v>42</v>
      </c>
      <c r="AA1504">
        <v>0.2</v>
      </c>
      <c r="AB1504" s="1" t="s">
        <v>52</v>
      </c>
      <c r="AC1504">
        <v>1</v>
      </c>
      <c r="AD1504" s="2">
        <v>44652</v>
      </c>
      <c r="AE1504" s="1" t="s">
        <v>53</v>
      </c>
      <c r="AF1504" s="1" t="s">
        <v>72</v>
      </c>
      <c r="AG1504" s="1" t="s">
        <v>63</v>
      </c>
      <c r="AH1504" s="1" t="s">
        <v>47</v>
      </c>
      <c r="AI1504">
        <v>14308</v>
      </c>
      <c r="AJ1504">
        <v>-153.29999999999927</v>
      </c>
    </row>
    <row r="1505" spans="1:36" x14ac:dyDescent="0.25">
      <c r="A1505">
        <v>11504</v>
      </c>
      <c r="B1505">
        <v>42</v>
      </c>
      <c r="C1505" s="1" t="s">
        <v>36</v>
      </c>
      <c r="D1505" s="1" t="s">
        <v>37</v>
      </c>
      <c r="E1505" s="2">
        <v>44649</v>
      </c>
      <c r="F1505" s="2">
        <v>45140</v>
      </c>
      <c r="G1505" s="1" t="s">
        <v>38</v>
      </c>
      <c r="H1505">
        <v>386</v>
      </c>
      <c r="I1505">
        <v>9</v>
      </c>
      <c r="J1505">
        <v>0</v>
      </c>
      <c r="K1505">
        <v>119.05</v>
      </c>
      <c r="L1505">
        <v>5</v>
      </c>
      <c r="M1505" s="1" t="s">
        <v>65</v>
      </c>
      <c r="N1505" s="1" t="s">
        <v>56</v>
      </c>
      <c r="O1505">
        <v>3454.7</v>
      </c>
      <c r="P1505" t="b">
        <v>1</v>
      </c>
      <c r="Q1505">
        <v>0.75</v>
      </c>
      <c r="R1505">
        <v>383.85555555555555</v>
      </c>
      <c r="S1505">
        <v>119.05</v>
      </c>
      <c r="T1505" s="2">
        <v>44621</v>
      </c>
      <c r="U1505" s="1" t="s">
        <v>51</v>
      </c>
      <c r="V1505">
        <v>0</v>
      </c>
      <c r="W1505" s="1" t="s">
        <v>56</v>
      </c>
      <c r="X1505">
        <v>491</v>
      </c>
      <c r="Y1505" s="1" t="s">
        <v>43</v>
      </c>
      <c r="Z1505" s="1" t="s">
        <v>42</v>
      </c>
      <c r="AA1505">
        <v>0</v>
      </c>
      <c r="AB1505" s="1" t="s">
        <v>42</v>
      </c>
      <c r="AC1505">
        <v>1</v>
      </c>
      <c r="AD1505" s="2">
        <v>44621</v>
      </c>
      <c r="AE1505" s="1" t="s">
        <v>74</v>
      </c>
      <c r="AF1505" s="1" t="s">
        <v>54</v>
      </c>
      <c r="AG1505" s="1" t="s">
        <v>63</v>
      </c>
      <c r="AH1505" s="1" t="s">
        <v>68</v>
      </c>
      <c r="AI1505">
        <v>3474</v>
      </c>
      <c r="AJ1505">
        <v>-19.300000000000182</v>
      </c>
    </row>
    <row r="1506" spans="1:36" x14ac:dyDescent="0.25">
      <c r="A1506">
        <v>11505</v>
      </c>
      <c r="B1506">
        <v>30</v>
      </c>
      <c r="C1506" s="1" t="s">
        <v>60</v>
      </c>
      <c r="D1506" s="1" t="s">
        <v>69</v>
      </c>
      <c r="E1506" s="2">
        <v>44980</v>
      </c>
      <c r="F1506" s="2">
        <v>44761</v>
      </c>
      <c r="G1506" s="1" t="s">
        <v>62</v>
      </c>
      <c r="H1506">
        <v>964</v>
      </c>
      <c r="I1506">
        <v>30</v>
      </c>
      <c r="J1506">
        <v>3</v>
      </c>
      <c r="K1506">
        <v>76.66</v>
      </c>
      <c r="L1506">
        <v>20</v>
      </c>
      <c r="M1506" s="1" t="s">
        <v>50</v>
      </c>
      <c r="N1506" s="1" t="s">
        <v>56</v>
      </c>
      <c r="O1506">
        <v>28727.200000000001</v>
      </c>
      <c r="P1506" t="b">
        <v>0</v>
      </c>
      <c r="Q1506">
        <v>2.5</v>
      </c>
      <c r="R1506">
        <v>957.57333333333338</v>
      </c>
      <c r="S1506">
        <v>19.164999999999999</v>
      </c>
      <c r="T1506" s="2">
        <v>44958</v>
      </c>
      <c r="U1506" s="1" t="s">
        <v>57</v>
      </c>
      <c r="V1506">
        <v>0</v>
      </c>
      <c r="W1506" s="1" t="s">
        <v>40</v>
      </c>
      <c r="Y1506" s="1" t="s">
        <v>43</v>
      </c>
      <c r="Z1506" s="1" t="s">
        <v>52</v>
      </c>
      <c r="AA1506">
        <v>9.6774193548387094E-2</v>
      </c>
      <c r="AB1506" s="1" t="s">
        <v>43</v>
      </c>
      <c r="AC1506">
        <v>2</v>
      </c>
      <c r="AD1506" s="2">
        <v>44958</v>
      </c>
      <c r="AE1506" s="1" t="s">
        <v>44</v>
      </c>
      <c r="AF1506" s="1" t="s">
        <v>72</v>
      </c>
      <c r="AG1506" s="1" t="s">
        <v>63</v>
      </c>
      <c r="AH1506" s="1" t="s">
        <v>59</v>
      </c>
      <c r="AI1506">
        <v>28920</v>
      </c>
      <c r="AJ1506">
        <v>-192.79999999999927</v>
      </c>
    </row>
    <row r="1507" spans="1:36" x14ac:dyDescent="0.25">
      <c r="A1507">
        <v>11506</v>
      </c>
      <c r="B1507">
        <v>35</v>
      </c>
      <c r="C1507" s="1" t="s">
        <v>60</v>
      </c>
      <c r="D1507" s="1" t="s">
        <v>61</v>
      </c>
      <c r="E1507" s="2">
        <v>45093</v>
      </c>
      <c r="F1507" s="2">
        <v>44776</v>
      </c>
      <c r="G1507" s="1" t="s">
        <v>62</v>
      </c>
      <c r="H1507">
        <v>1161</v>
      </c>
      <c r="I1507">
        <v>5</v>
      </c>
      <c r="J1507">
        <v>3</v>
      </c>
      <c r="K1507">
        <v>94.61</v>
      </c>
      <c r="L1507">
        <v>10</v>
      </c>
      <c r="M1507" s="1" t="s">
        <v>65</v>
      </c>
      <c r="N1507" s="1" t="s">
        <v>56</v>
      </c>
      <c r="O1507">
        <v>5688.9</v>
      </c>
      <c r="P1507" t="b">
        <v>0</v>
      </c>
      <c r="Q1507">
        <v>0.41666666666666669</v>
      </c>
      <c r="R1507">
        <v>1137.78</v>
      </c>
      <c r="S1507">
        <v>23.6525</v>
      </c>
      <c r="T1507" s="2">
        <v>45078</v>
      </c>
      <c r="U1507" s="1" t="s">
        <v>57</v>
      </c>
      <c r="V1507">
        <v>0</v>
      </c>
      <c r="W1507" s="1" t="s">
        <v>56</v>
      </c>
      <c r="Y1507" s="1" t="s">
        <v>43</v>
      </c>
      <c r="Z1507" s="1" t="s">
        <v>42</v>
      </c>
      <c r="AA1507">
        <v>0.5</v>
      </c>
      <c r="AB1507" s="1" t="s">
        <v>42</v>
      </c>
      <c r="AC1507">
        <v>2</v>
      </c>
      <c r="AD1507" s="2">
        <v>45078</v>
      </c>
      <c r="AE1507" s="1" t="s">
        <v>58</v>
      </c>
      <c r="AF1507" s="1" t="s">
        <v>72</v>
      </c>
      <c r="AG1507" s="1" t="s">
        <v>63</v>
      </c>
      <c r="AH1507" s="1" t="s">
        <v>47</v>
      </c>
      <c r="AI1507">
        <v>5805</v>
      </c>
      <c r="AJ1507">
        <v>-116.10000000000036</v>
      </c>
    </row>
    <row r="1508" spans="1:36" x14ac:dyDescent="0.25">
      <c r="A1508">
        <v>11507</v>
      </c>
      <c r="B1508">
        <v>50</v>
      </c>
      <c r="C1508" s="1" t="s">
        <v>60</v>
      </c>
      <c r="D1508" s="1" t="s">
        <v>71</v>
      </c>
      <c r="E1508" s="2">
        <v>44567</v>
      </c>
      <c r="F1508" s="2">
        <v>44982</v>
      </c>
      <c r="G1508" s="1" t="s">
        <v>49</v>
      </c>
      <c r="H1508">
        <v>360</v>
      </c>
      <c r="I1508">
        <v>1</v>
      </c>
      <c r="J1508">
        <v>0</v>
      </c>
      <c r="K1508">
        <v>67.430000000000007</v>
      </c>
      <c r="L1508">
        <v>10</v>
      </c>
      <c r="M1508" s="1" t="s">
        <v>50</v>
      </c>
      <c r="N1508" s="1" t="s">
        <v>40</v>
      </c>
      <c r="O1508">
        <v>324</v>
      </c>
      <c r="P1508" t="b">
        <v>1</v>
      </c>
      <c r="Q1508">
        <v>8.3333333333333329E-2</v>
      </c>
      <c r="R1508">
        <v>324</v>
      </c>
      <c r="S1508">
        <v>67.430000000000007</v>
      </c>
      <c r="T1508" s="2">
        <v>44562</v>
      </c>
      <c r="U1508" s="1" t="s">
        <v>51</v>
      </c>
      <c r="V1508">
        <v>1</v>
      </c>
      <c r="W1508" s="1" t="s">
        <v>56</v>
      </c>
      <c r="X1508">
        <v>415</v>
      </c>
      <c r="Y1508" s="1" t="s">
        <v>43</v>
      </c>
      <c r="Z1508" s="1" t="s">
        <v>42</v>
      </c>
      <c r="AA1508">
        <v>0</v>
      </c>
      <c r="AB1508" s="1" t="s">
        <v>42</v>
      </c>
      <c r="AC1508">
        <v>3</v>
      </c>
      <c r="AD1508" s="2">
        <v>44562</v>
      </c>
      <c r="AE1508" s="1" t="s">
        <v>58</v>
      </c>
      <c r="AF1508" s="1" t="s">
        <v>54</v>
      </c>
      <c r="AG1508" s="1" t="s">
        <v>63</v>
      </c>
      <c r="AH1508" s="1" t="s">
        <v>68</v>
      </c>
      <c r="AI1508">
        <v>360</v>
      </c>
      <c r="AJ1508">
        <v>-36</v>
      </c>
    </row>
    <row r="1509" spans="1:36" x14ac:dyDescent="0.25">
      <c r="A1509">
        <v>11508</v>
      </c>
      <c r="B1509">
        <v>33</v>
      </c>
      <c r="C1509" s="1" t="s">
        <v>60</v>
      </c>
      <c r="D1509" s="1" t="s">
        <v>69</v>
      </c>
      <c r="E1509" s="2">
        <v>44745</v>
      </c>
      <c r="F1509" s="2">
        <v>45077</v>
      </c>
      <c r="G1509" s="1" t="s">
        <v>49</v>
      </c>
      <c r="H1509">
        <v>1096</v>
      </c>
      <c r="I1509">
        <v>1</v>
      </c>
      <c r="J1509">
        <v>3</v>
      </c>
      <c r="K1509">
        <v>62.59</v>
      </c>
      <c r="L1509">
        <v>20</v>
      </c>
      <c r="M1509" s="1" t="s">
        <v>39</v>
      </c>
      <c r="N1509" s="1" t="s">
        <v>56</v>
      </c>
      <c r="O1509">
        <v>876.8</v>
      </c>
      <c r="P1509" t="b">
        <v>1</v>
      </c>
      <c r="Q1509">
        <v>8.3333333333333329E-2</v>
      </c>
      <c r="R1509">
        <v>876.8</v>
      </c>
      <c r="S1509">
        <v>15.647500000000001</v>
      </c>
      <c r="T1509" s="2">
        <v>44743</v>
      </c>
      <c r="U1509" s="1" t="s">
        <v>57</v>
      </c>
      <c r="V1509">
        <v>0</v>
      </c>
      <c r="W1509" s="1" t="s">
        <v>56</v>
      </c>
      <c r="X1509">
        <v>332</v>
      </c>
      <c r="Y1509" s="1" t="s">
        <v>43</v>
      </c>
      <c r="Z1509" s="1" t="s">
        <v>52</v>
      </c>
      <c r="AA1509">
        <v>1.5</v>
      </c>
      <c r="AB1509" s="1" t="s">
        <v>42</v>
      </c>
      <c r="AC1509">
        <v>3</v>
      </c>
      <c r="AD1509" s="2">
        <v>44743</v>
      </c>
      <c r="AE1509" s="1" t="s">
        <v>58</v>
      </c>
      <c r="AF1509" s="1" t="s">
        <v>72</v>
      </c>
      <c r="AG1509" s="1" t="s">
        <v>63</v>
      </c>
      <c r="AH1509" s="1" t="s">
        <v>47</v>
      </c>
      <c r="AI1509">
        <v>1096</v>
      </c>
      <c r="AJ1509">
        <v>-219.20000000000005</v>
      </c>
    </row>
    <row r="1510" spans="1:36" x14ac:dyDescent="0.25">
      <c r="A1510">
        <v>11509</v>
      </c>
      <c r="B1510">
        <v>62</v>
      </c>
      <c r="C1510" s="1" t="s">
        <v>60</v>
      </c>
      <c r="D1510" s="1" t="s">
        <v>69</v>
      </c>
      <c r="E1510" s="2">
        <v>44683</v>
      </c>
      <c r="F1510" s="2">
        <v>45236</v>
      </c>
      <c r="G1510" s="1" t="s">
        <v>38</v>
      </c>
      <c r="H1510">
        <v>394</v>
      </c>
      <c r="I1510">
        <v>20</v>
      </c>
      <c r="J1510">
        <v>4</v>
      </c>
      <c r="K1510">
        <v>45.8</v>
      </c>
      <c r="L1510">
        <v>15</v>
      </c>
      <c r="M1510" s="1" t="s">
        <v>67</v>
      </c>
      <c r="N1510" s="1" t="s">
        <v>40</v>
      </c>
      <c r="O1510">
        <v>7820.9</v>
      </c>
      <c r="P1510" t="b">
        <v>1</v>
      </c>
      <c r="Q1510">
        <v>1.6666666666666667</v>
      </c>
      <c r="R1510">
        <v>391.04499999999996</v>
      </c>
      <c r="S1510">
        <v>9.16</v>
      </c>
      <c r="T1510" s="2">
        <v>44682</v>
      </c>
      <c r="U1510" s="1" t="s">
        <v>41</v>
      </c>
      <c r="V1510">
        <v>1</v>
      </c>
      <c r="W1510" s="1" t="s">
        <v>56</v>
      </c>
      <c r="X1510">
        <v>553</v>
      </c>
      <c r="Y1510" s="1" t="s">
        <v>52</v>
      </c>
      <c r="Z1510" s="1" t="s">
        <v>42</v>
      </c>
      <c r="AA1510">
        <v>0.19047619047619047</v>
      </c>
      <c r="AB1510" s="1" t="s">
        <v>42</v>
      </c>
      <c r="AC1510">
        <v>1</v>
      </c>
      <c r="AD1510" s="2">
        <v>44682</v>
      </c>
      <c r="AE1510" s="1" t="s">
        <v>53</v>
      </c>
      <c r="AF1510" s="1" t="s">
        <v>45</v>
      </c>
      <c r="AG1510" s="1" t="s">
        <v>63</v>
      </c>
      <c r="AH1510" s="1" t="s">
        <v>68</v>
      </c>
      <c r="AI1510">
        <v>7880</v>
      </c>
      <c r="AJ1510">
        <v>-59.100000000000364</v>
      </c>
    </row>
    <row r="1511" spans="1:36" x14ac:dyDescent="0.25">
      <c r="A1511">
        <v>11510</v>
      </c>
      <c r="B1511">
        <v>59</v>
      </c>
      <c r="C1511" s="1" t="s">
        <v>60</v>
      </c>
      <c r="D1511" s="1" t="s">
        <v>48</v>
      </c>
      <c r="E1511" s="2">
        <v>44407</v>
      </c>
      <c r="F1511" s="2">
        <v>44408</v>
      </c>
      <c r="G1511" s="1" t="s">
        <v>38</v>
      </c>
      <c r="H1511">
        <v>1085</v>
      </c>
      <c r="I1511">
        <v>11</v>
      </c>
      <c r="J1511">
        <v>1</v>
      </c>
      <c r="K1511">
        <v>107.81</v>
      </c>
      <c r="L1511">
        <v>10</v>
      </c>
      <c r="M1511" s="1" t="s">
        <v>39</v>
      </c>
      <c r="N1511" s="1" t="s">
        <v>56</v>
      </c>
      <c r="O1511">
        <v>11826.5</v>
      </c>
      <c r="P1511" t="b">
        <v>1</v>
      </c>
      <c r="Q1511">
        <v>0.91666666666666663</v>
      </c>
      <c r="R1511">
        <v>1075.1363636363637</v>
      </c>
      <c r="S1511">
        <v>53.905000000000001</v>
      </c>
      <c r="T1511" s="2">
        <v>44378</v>
      </c>
      <c r="U1511" s="1" t="s">
        <v>41</v>
      </c>
      <c r="V1511">
        <v>0</v>
      </c>
      <c r="W1511" s="1" t="s">
        <v>56</v>
      </c>
      <c r="X1511">
        <v>1</v>
      </c>
      <c r="Y1511" s="1" t="s">
        <v>43</v>
      </c>
      <c r="Z1511" s="1" t="s">
        <v>42</v>
      </c>
      <c r="AA1511">
        <v>8.3333333333333329E-2</v>
      </c>
      <c r="AB1511" s="1" t="s">
        <v>52</v>
      </c>
      <c r="AC1511">
        <v>1</v>
      </c>
      <c r="AD1511" s="2">
        <v>44378</v>
      </c>
      <c r="AE1511" s="1" t="s">
        <v>74</v>
      </c>
      <c r="AF1511" s="1" t="s">
        <v>54</v>
      </c>
      <c r="AG1511" s="1" t="s">
        <v>63</v>
      </c>
      <c r="AH1511" s="1" t="s">
        <v>47</v>
      </c>
      <c r="AI1511">
        <v>11935</v>
      </c>
      <c r="AJ1511">
        <v>-108.5</v>
      </c>
    </row>
    <row r="1512" spans="1:36" x14ac:dyDescent="0.25">
      <c r="A1512">
        <v>11511</v>
      </c>
      <c r="B1512">
        <v>61</v>
      </c>
      <c r="C1512" s="1" t="s">
        <v>60</v>
      </c>
      <c r="D1512" s="1" t="s">
        <v>61</v>
      </c>
      <c r="E1512" s="2">
        <v>44361</v>
      </c>
      <c r="F1512" s="2">
        <v>44959</v>
      </c>
      <c r="G1512" s="1" t="s">
        <v>62</v>
      </c>
      <c r="H1512">
        <v>1470</v>
      </c>
      <c r="I1512">
        <v>26</v>
      </c>
      <c r="J1512">
        <v>3</v>
      </c>
      <c r="K1512">
        <v>11.43</v>
      </c>
      <c r="L1512">
        <v>0</v>
      </c>
      <c r="M1512" s="1" t="s">
        <v>39</v>
      </c>
      <c r="N1512" s="1" t="s">
        <v>40</v>
      </c>
      <c r="O1512">
        <v>38220</v>
      </c>
      <c r="P1512" t="b">
        <v>1</v>
      </c>
      <c r="Q1512">
        <v>2.1666666666666665</v>
      </c>
      <c r="R1512">
        <v>1470</v>
      </c>
      <c r="S1512">
        <v>2.8574999999999999</v>
      </c>
      <c r="T1512" s="2">
        <v>44348</v>
      </c>
      <c r="U1512" s="1" t="s">
        <v>41</v>
      </c>
      <c r="V1512">
        <v>1</v>
      </c>
      <c r="W1512" s="1" t="s">
        <v>40</v>
      </c>
      <c r="X1512">
        <v>598</v>
      </c>
      <c r="Y1512" s="1" t="s">
        <v>42</v>
      </c>
      <c r="Z1512" s="1" t="s">
        <v>42</v>
      </c>
      <c r="AA1512">
        <v>0.1111111111111111</v>
      </c>
      <c r="AB1512" s="1" t="s">
        <v>43</v>
      </c>
      <c r="AC1512">
        <v>2</v>
      </c>
      <c r="AD1512" s="2">
        <v>44348</v>
      </c>
      <c r="AE1512" s="1" t="s">
        <v>44</v>
      </c>
      <c r="AF1512" s="1" t="s">
        <v>72</v>
      </c>
      <c r="AG1512" s="1" t="s">
        <v>46</v>
      </c>
      <c r="AH1512" s="1" t="s">
        <v>47</v>
      </c>
      <c r="AI1512">
        <v>38220</v>
      </c>
      <c r="AJ1512">
        <v>0</v>
      </c>
    </row>
    <row r="1513" spans="1:36" x14ac:dyDescent="0.25">
      <c r="A1513">
        <v>11512</v>
      </c>
      <c r="B1513">
        <v>19</v>
      </c>
      <c r="C1513" s="1" t="s">
        <v>36</v>
      </c>
      <c r="D1513" s="1" t="s">
        <v>61</v>
      </c>
      <c r="E1513" s="2">
        <v>44321</v>
      </c>
      <c r="F1513" s="2">
        <v>44654</v>
      </c>
      <c r="G1513" s="1" t="s">
        <v>38</v>
      </c>
      <c r="H1513">
        <v>1260</v>
      </c>
      <c r="I1513">
        <v>3</v>
      </c>
      <c r="J1513">
        <v>2</v>
      </c>
      <c r="K1513">
        <v>73.02</v>
      </c>
      <c r="L1513">
        <v>5</v>
      </c>
      <c r="M1513" s="1" t="s">
        <v>65</v>
      </c>
      <c r="N1513" s="1" t="s">
        <v>40</v>
      </c>
      <c r="O1513">
        <v>3717</v>
      </c>
      <c r="P1513" t="b">
        <v>1</v>
      </c>
      <c r="Q1513">
        <v>0.25</v>
      </c>
      <c r="R1513">
        <v>1239</v>
      </c>
      <c r="S1513">
        <v>24.34</v>
      </c>
      <c r="T1513" s="2">
        <v>44317</v>
      </c>
      <c r="U1513" s="1" t="s">
        <v>66</v>
      </c>
      <c r="V1513">
        <v>1</v>
      </c>
      <c r="W1513" s="1" t="s">
        <v>56</v>
      </c>
      <c r="X1513">
        <v>333</v>
      </c>
      <c r="Y1513" s="1" t="s">
        <v>43</v>
      </c>
      <c r="Z1513" s="1" t="s">
        <v>42</v>
      </c>
      <c r="AA1513">
        <v>0.5</v>
      </c>
      <c r="AB1513" s="1" t="s">
        <v>42</v>
      </c>
      <c r="AC1513">
        <v>1</v>
      </c>
      <c r="AD1513" s="2">
        <v>44317</v>
      </c>
      <c r="AE1513" s="1" t="s">
        <v>58</v>
      </c>
      <c r="AF1513" s="1" t="s">
        <v>72</v>
      </c>
      <c r="AG1513" s="1" t="s">
        <v>63</v>
      </c>
      <c r="AH1513" s="1" t="s">
        <v>47</v>
      </c>
      <c r="AI1513">
        <v>3780</v>
      </c>
      <c r="AJ1513">
        <v>-63</v>
      </c>
    </row>
    <row r="1514" spans="1:36" x14ac:dyDescent="0.25">
      <c r="A1514">
        <v>11513</v>
      </c>
      <c r="B1514">
        <v>52</v>
      </c>
      <c r="C1514" s="1" t="s">
        <v>60</v>
      </c>
      <c r="D1514" s="1" t="s">
        <v>73</v>
      </c>
      <c r="E1514" s="2">
        <v>44533</v>
      </c>
      <c r="F1514" s="2">
        <v>44701</v>
      </c>
      <c r="G1514" s="1" t="s">
        <v>38</v>
      </c>
      <c r="H1514">
        <v>596</v>
      </c>
      <c r="I1514">
        <v>6</v>
      </c>
      <c r="J1514">
        <v>1</v>
      </c>
      <c r="K1514">
        <v>47.84</v>
      </c>
      <c r="L1514">
        <v>20</v>
      </c>
      <c r="M1514" s="1" t="s">
        <v>39</v>
      </c>
      <c r="N1514" s="1" t="s">
        <v>56</v>
      </c>
      <c r="O1514">
        <v>3456.8</v>
      </c>
      <c r="P1514" t="b">
        <v>1</v>
      </c>
      <c r="Q1514">
        <v>0.5</v>
      </c>
      <c r="R1514">
        <v>576.13333333333333</v>
      </c>
      <c r="S1514">
        <v>23.92</v>
      </c>
      <c r="T1514" s="2">
        <v>44531</v>
      </c>
      <c r="U1514" s="1" t="s">
        <v>41</v>
      </c>
      <c r="V1514">
        <v>0</v>
      </c>
      <c r="W1514" s="1" t="s">
        <v>56</v>
      </c>
      <c r="X1514">
        <v>168</v>
      </c>
      <c r="Y1514" s="1" t="s">
        <v>52</v>
      </c>
      <c r="Z1514" s="1" t="s">
        <v>52</v>
      </c>
      <c r="AA1514">
        <v>0.14285714285714285</v>
      </c>
      <c r="AB1514" s="1" t="s">
        <v>42</v>
      </c>
      <c r="AC1514">
        <v>1</v>
      </c>
      <c r="AD1514" s="2">
        <v>44531</v>
      </c>
      <c r="AE1514" s="1" t="s">
        <v>58</v>
      </c>
      <c r="AF1514" s="1" t="s">
        <v>54</v>
      </c>
      <c r="AG1514" s="1" t="s">
        <v>63</v>
      </c>
      <c r="AH1514" s="1" t="s">
        <v>64</v>
      </c>
      <c r="AI1514">
        <v>3576</v>
      </c>
      <c r="AJ1514">
        <v>-119.19999999999982</v>
      </c>
    </row>
    <row r="1515" spans="1:36" x14ac:dyDescent="0.25">
      <c r="A1515">
        <v>11514</v>
      </c>
      <c r="B1515">
        <v>41</v>
      </c>
      <c r="C1515" s="1" t="s">
        <v>36</v>
      </c>
      <c r="D1515" s="1" t="s">
        <v>71</v>
      </c>
      <c r="E1515" s="2">
        <v>44388</v>
      </c>
      <c r="F1515" s="2">
        <v>44740</v>
      </c>
      <c r="G1515" s="1" t="s">
        <v>49</v>
      </c>
      <c r="H1515">
        <v>1446</v>
      </c>
      <c r="I1515">
        <v>11</v>
      </c>
      <c r="J1515">
        <v>5</v>
      </c>
      <c r="K1515">
        <v>49.47</v>
      </c>
      <c r="L1515">
        <v>10</v>
      </c>
      <c r="M1515" s="1" t="s">
        <v>39</v>
      </c>
      <c r="N1515" s="1" t="s">
        <v>56</v>
      </c>
      <c r="O1515">
        <v>15761.4</v>
      </c>
      <c r="P1515" t="b">
        <v>1</v>
      </c>
      <c r="Q1515">
        <v>0.91666666666666663</v>
      </c>
      <c r="R1515">
        <v>1432.8545454545454</v>
      </c>
      <c r="S1515">
        <v>8.2449999999999992</v>
      </c>
      <c r="T1515" s="2">
        <v>44378</v>
      </c>
      <c r="U1515" s="1" t="s">
        <v>51</v>
      </c>
      <c r="V1515">
        <v>0</v>
      </c>
      <c r="W1515" s="1" t="s">
        <v>40</v>
      </c>
      <c r="X1515">
        <v>352</v>
      </c>
      <c r="Y1515" s="1" t="s">
        <v>52</v>
      </c>
      <c r="Z1515" s="1" t="s">
        <v>42</v>
      </c>
      <c r="AA1515">
        <v>0.41666666666666669</v>
      </c>
      <c r="AB1515" s="1" t="s">
        <v>52</v>
      </c>
      <c r="AC1515">
        <v>3</v>
      </c>
      <c r="AD1515" s="2">
        <v>44378</v>
      </c>
      <c r="AE1515" s="1" t="s">
        <v>74</v>
      </c>
      <c r="AF1515" s="1" t="s">
        <v>45</v>
      </c>
      <c r="AG1515" s="1" t="s">
        <v>63</v>
      </c>
      <c r="AH1515" s="1" t="s">
        <v>47</v>
      </c>
      <c r="AI1515">
        <v>15906</v>
      </c>
      <c r="AJ1515">
        <v>-144.60000000000036</v>
      </c>
    </row>
    <row r="1516" spans="1:36" x14ac:dyDescent="0.25">
      <c r="A1516">
        <v>11515</v>
      </c>
      <c r="B1516">
        <v>51</v>
      </c>
      <c r="C1516" s="1" t="s">
        <v>60</v>
      </c>
      <c r="D1516" s="1" t="s">
        <v>48</v>
      </c>
      <c r="E1516" s="2">
        <v>44926</v>
      </c>
      <c r="F1516" s="2">
        <v>44551</v>
      </c>
      <c r="G1516" s="1" t="s">
        <v>38</v>
      </c>
      <c r="H1516">
        <v>993</v>
      </c>
      <c r="I1516">
        <v>8</v>
      </c>
      <c r="J1516">
        <v>1</v>
      </c>
      <c r="K1516">
        <v>106.73</v>
      </c>
      <c r="L1516">
        <v>5</v>
      </c>
      <c r="M1516" s="1" t="s">
        <v>50</v>
      </c>
      <c r="N1516" s="1" t="s">
        <v>40</v>
      </c>
      <c r="O1516">
        <v>7894.35</v>
      </c>
      <c r="P1516" t="b">
        <v>0</v>
      </c>
      <c r="Q1516">
        <v>0.66666666666666663</v>
      </c>
      <c r="R1516">
        <v>986.79375000000005</v>
      </c>
      <c r="S1516">
        <v>53.365000000000002</v>
      </c>
      <c r="T1516" s="2">
        <v>44896</v>
      </c>
      <c r="U1516" s="1" t="s">
        <v>41</v>
      </c>
      <c r="V1516">
        <v>1</v>
      </c>
      <c r="W1516" s="1" t="s">
        <v>56</v>
      </c>
      <c r="Y1516" s="1" t="s">
        <v>43</v>
      </c>
      <c r="Z1516" s="1" t="s">
        <v>42</v>
      </c>
      <c r="AA1516">
        <v>0.1111111111111111</v>
      </c>
      <c r="AB1516" s="1" t="s">
        <v>42</v>
      </c>
      <c r="AC1516">
        <v>1</v>
      </c>
      <c r="AD1516" s="2">
        <v>44896</v>
      </c>
      <c r="AE1516" s="1" t="s">
        <v>74</v>
      </c>
      <c r="AF1516" s="1" t="s">
        <v>54</v>
      </c>
      <c r="AG1516" s="1" t="s">
        <v>63</v>
      </c>
      <c r="AH1516" s="1" t="s">
        <v>59</v>
      </c>
      <c r="AI1516">
        <v>7944</v>
      </c>
      <c r="AJ1516">
        <v>-49.649999999999636</v>
      </c>
    </row>
    <row r="1517" spans="1:36" x14ac:dyDescent="0.25">
      <c r="A1517">
        <v>11516</v>
      </c>
      <c r="B1517">
        <v>47</v>
      </c>
      <c r="C1517" s="1" t="s">
        <v>36</v>
      </c>
      <c r="D1517" s="1" t="s">
        <v>71</v>
      </c>
      <c r="E1517" s="2">
        <v>44410</v>
      </c>
      <c r="F1517" s="2">
        <v>44605</v>
      </c>
      <c r="G1517" s="1" t="s">
        <v>49</v>
      </c>
      <c r="H1517">
        <v>698</v>
      </c>
      <c r="I1517">
        <v>29</v>
      </c>
      <c r="J1517">
        <v>0</v>
      </c>
      <c r="K1517">
        <v>103.19</v>
      </c>
      <c r="L1517">
        <v>20</v>
      </c>
      <c r="M1517" s="1" t="s">
        <v>67</v>
      </c>
      <c r="N1517" s="1" t="s">
        <v>56</v>
      </c>
      <c r="O1517">
        <v>20102.400000000001</v>
      </c>
      <c r="P1517" t="b">
        <v>1</v>
      </c>
      <c r="Q1517">
        <v>2.4166666666666665</v>
      </c>
      <c r="R1517">
        <v>693.18620689655177</v>
      </c>
      <c r="S1517">
        <v>103.19</v>
      </c>
      <c r="T1517" s="2">
        <v>44409</v>
      </c>
      <c r="U1517" s="1" t="s">
        <v>51</v>
      </c>
      <c r="V1517">
        <v>0</v>
      </c>
      <c r="W1517" s="1" t="s">
        <v>40</v>
      </c>
      <c r="X1517">
        <v>195</v>
      </c>
      <c r="Y1517" s="1" t="s">
        <v>43</v>
      </c>
      <c r="Z1517" s="1" t="s">
        <v>52</v>
      </c>
      <c r="AA1517">
        <v>0</v>
      </c>
      <c r="AB1517" s="1" t="s">
        <v>43</v>
      </c>
      <c r="AC1517">
        <v>3</v>
      </c>
      <c r="AD1517" s="2">
        <v>44409</v>
      </c>
      <c r="AE1517" s="1" t="s">
        <v>44</v>
      </c>
      <c r="AF1517" s="1" t="s">
        <v>54</v>
      </c>
      <c r="AG1517" s="1" t="s">
        <v>63</v>
      </c>
      <c r="AH1517" s="1" t="s">
        <v>64</v>
      </c>
      <c r="AI1517">
        <v>20242</v>
      </c>
      <c r="AJ1517">
        <v>-139.59999999999854</v>
      </c>
    </row>
    <row r="1518" spans="1:36" x14ac:dyDescent="0.25">
      <c r="A1518">
        <v>11517</v>
      </c>
      <c r="B1518">
        <v>30</v>
      </c>
      <c r="C1518" s="1" t="s">
        <v>36</v>
      </c>
      <c r="D1518" s="1" t="s">
        <v>73</v>
      </c>
      <c r="E1518" s="2">
        <v>44770</v>
      </c>
      <c r="F1518" s="2">
        <v>44833</v>
      </c>
      <c r="G1518" s="1" t="s">
        <v>62</v>
      </c>
      <c r="H1518">
        <v>1245</v>
      </c>
      <c r="I1518">
        <v>10</v>
      </c>
      <c r="J1518">
        <v>2</v>
      </c>
      <c r="K1518">
        <v>73.87</v>
      </c>
      <c r="L1518">
        <v>20</v>
      </c>
      <c r="M1518" s="1" t="s">
        <v>65</v>
      </c>
      <c r="N1518" s="1" t="s">
        <v>56</v>
      </c>
      <c r="O1518">
        <v>12201</v>
      </c>
      <c r="P1518" t="b">
        <v>1</v>
      </c>
      <c r="Q1518">
        <v>0.83333333333333337</v>
      </c>
      <c r="R1518">
        <v>1220.0999999999999</v>
      </c>
      <c r="S1518">
        <v>24.623333333333335</v>
      </c>
      <c r="T1518" s="2">
        <v>44743</v>
      </c>
      <c r="U1518" s="1" t="s">
        <v>57</v>
      </c>
      <c r="V1518">
        <v>0</v>
      </c>
      <c r="W1518" s="1" t="s">
        <v>56</v>
      </c>
      <c r="X1518">
        <v>63</v>
      </c>
      <c r="Y1518" s="1" t="s">
        <v>43</v>
      </c>
      <c r="Z1518" s="1" t="s">
        <v>52</v>
      </c>
      <c r="AA1518">
        <v>0.18181818181818182</v>
      </c>
      <c r="AB1518" s="1" t="s">
        <v>52</v>
      </c>
      <c r="AC1518">
        <v>2</v>
      </c>
      <c r="AD1518" s="2">
        <v>44743</v>
      </c>
      <c r="AE1518" s="1" t="s">
        <v>74</v>
      </c>
      <c r="AF1518" s="1" t="s">
        <v>72</v>
      </c>
      <c r="AG1518" s="1" t="s">
        <v>63</v>
      </c>
      <c r="AH1518" s="1" t="s">
        <v>47</v>
      </c>
      <c r="AI1518">
        <v>12450</v>
      </c>
      <c r="AJ1518">
        <v>-249</v>
      </c>
    </row>
    <row r="1519" spans="1:36" x14ac:dyDescent="0.25">
      <c r="A1519">
        <v>11518</v>
      </c>
      <c r="B1519">
        <v>30</v>
      </c>
      <c r="C1519" s="1" t="s">
        <v>36</v>
      </c>
      <c r="D1519" s="1" t="s">
        <v>37</v>
      </c>
      <c r="E1519" s="2">
        <v>44524</v>
      </c>
      <c r="F1519" s="2">
        <v>44864</v>
      </c>
      <c r="G1519" s="1" t="s">
        <v>62</v>
      </c>
      <c r="H1519">
        <v>833</v>
      </c>
      <c r="I1519">
        <v>34</v>
      </c>
      <c r="J1519">
        <v>1</v>
      </c>
      <c r="K1519">
        <v>36.39</v>
      </c>
      <c r="L1519">
        <v>20</v>
      </c>
      <c r="M1519" s="1" t="s">
        <v>67</v>
      </c>
      <c r="N1519" s="1" t="s">
        <v>56</v>
      </c>
      <c r="O1519">
        <v>28155.4</v>
      </c>
      <c r="P1519" t="b">
        <v>1</v>
      </c>
      <c r="Q1519">
        <v>2.8333333333333335</v>
      </c>
      <c r="R1519">
        <v>828.1</v>
      </c>
      <c r="S1519">
        <v>18.195</v>
      </c>
      <c r="T1519" s="2">
        <v>44501</v>
      </c>
      <c r="U1519" s="1" t="s">
        <v>57</v>
      </c>
      <c r="V1519">
        <v>0</v>
      </c>
      <c r="W1519" s="1" t="s">
        <v>40</v>
      </c>
      <c r="X1519">
        <v>340</v>
      </c>
      <c r="Y1519" s="1" t="s">
        <v>52</v>
      </c>
      <c r="Z1519" s="1" t="s">
        <v>52</v>
      </c>
      <c r="AA1519">
        <v>2.8571428571428571E-2</v>
      </c>
      <c r="AB1519" s="1" t="s">
        <v>43</v>
      </c>
      <c r="AC1519">
        <v>2</v>
      </c>
      <c r="AD1519" s="2">
        <v>44501</v>
      </c>
      <c r="AE1519" s="1" t="s">
        <v>44</v>
      </c>
      <c r="AF1519" s="1" t="s">
        <v>54</v>
      </c>
      <c r="AG1519" s="1" t="s">
        <v>55</v>
      </c>
      <c r="AH1519" s="1" t="s">
        <v>59</v>
      </c>
      <c r="AI1519">
        <v>28322</v>
      </c>
      <c r="AJ1519">
        <v>-166.59999999999854</v>
      </c>
    </row>
    <row r="1520" spans="1:36" x14ac:dyDescent="0.25">
      <c r="A1520">
        <v>11519</v>
      </c>
      <c r="B1520">
        <v>35</v>
      </c>
      <c r="C1520" s="1" t="s">
        <v>36</v>
      </c>
      <c r="D1520" s="1" t="s">
        <v>69</v>
      </c>
      <c r="E1520" s="2">
        <v>44577</v>
      </c>
      <c r="F1520" s="2">
        <v>44793</v>
      </c>
      <c r="G1520" s="1" t="s">
        <v>38</v>
      </c>
      <c r="H1520">
        <v>701</v>
      </c>
      <c r="I1520">
        <v>24</v>
      </c>
      <c r="J1520">
        <v>4</v>
      </c>
      <c r="K1520">
        <v>59.68</v>
      </c>
      <c r="L1520">
        <v>15</v>
      </c>
      <c r="M1520" s="1" t="s">
        <v>67</v>
      </c>
      <c r="N1520" s="1" t="s">
        <v>56</v>
      </c>
      <c r="O1520">
        <v>16718.849999999999</v>
      </c>
      <c r="P1520" t="b">
        <v>1</v>
      </c>
      <c r="Q1520">
        <v>2</v>
      </c>
      <c r="R1520">
        <v>696.61874999999998</v>
      </c>
      <c r="S1520">
        <v>11.936</v>
      </c>
      <c r="T1520" s="2">
        <v>44562</v>
      </c>
      <c r="U1520" s="1" t="s">
        <v>57</v>
      </c>
      <c r="V1520">
        <v>0</v>
      </c>
      <c r="W1520" s="1" t="s">
        <v>40</v>
      </c>
      <c r="X1520">
        <v>216</v>
      </c>
      <c r="Y1520" s="1" t="s">
        <v>52</v>
      </c>
      <c r="Z1520" s="1" t="s">
        <v>42</v>
      </c>
      <c r="AA1520">
        <v>0.16</v>
      </c>
      <c r="AB1520" s="1" t="s">
        <v>52</v>
      </c>
      <c r="AC1520">
        <v>1</v>
      </c>
      <c r="AD1520" s="2">
        <v>44562</v>
      </c>
      <c r="AE1520" s="1" t="s">
        <v>53</v>
      </c>
      <c r="AF1520" s="1" t="s">
        <v>45</v>
      </c>
      <c r="AG1520" s="1" t="s">
        <v>63</v>
      </c>
      <c r="AH1520" s="1" t="s">
        <v>59</v>
      </c>
      <c r="AI1520">
        <v>16824</v>
      </c>
      <c r="AJ1520">
        <v>-105.15000000000146</v>
      </c>
    </row>
    <row r="1521" spans="1:36" x14ac:dyDescent="0.25">
      <c r="A1521">
        <v>11520</v>
      </c>
      <c r="B1521">
        <v>41</v>
      </c>
      <c r="C1521" s="1" t="s">
        <v>60</v>
      </c>
      <c r="D1521" s="1" t="s">
        <v>71</v>
      </c>
      <c r="E1521" s="2">
        <v>44869</v>
      </c>
      <c r="F1521" s="2">
        <v>45056</v>
      </c>
      <c r="G1521" s="1" t="s">
        <v>38</v>
      </c>
      <c r="H1521">
        <v>429</v>
      </c>
      <c r="I1521">
        <v>17</v>
      </c>
      <c r="J1521">
        <v>1</v>
      </c>
      <c r="K1521">
        <v>51.95</v>
      </c>
      <c r="L1521">
        <v>0</v>
      </c>
      <c r="M1521" s="1" t="s">
        <v>67</v>
      </c>
      <c r="N1521" s="1" t="s">
        <v>56</v>
      </c>
      <c r="O1521">
        <v>7293</v>
      </c>
      <c r="P1521" t="b">
        <v>1</v>
      </c>
      <c r="Q1521">
        <v>1.4166666666666667</v>
      </c>
      <c r="R1521">
        <v>429</v>
      </c>
      <c r="S1521">
        <v>25.975000000000001</v>
      </c>
      <c r="T1521" s="2">
        <v>44866</v>
      </c>
      <c r="U1521" s="1" t="s">
        <v>51</v>
      </c>
      <c r="V1521">
        <v>0</v>
      </c>
      <c r="W1521" s="1" t="s">
        <v>56</v>
      </c>
      <c r="X1521">
        <v>187</v>
      </c>
      <c r="Y1521" s="1" t="s">
        <v>52</v>
      </c>
      <c r="Z1521" s="1" t="s">
        <v>42</v>
      </c>
      <c r="AA1521">
        <v>5.5555555555555552E-2</v>
      </c>
      <c r="AB1521" s="1" t="s">
        <v>42</v>
      </c>
      <c r="AC1521">
        <v>1</v>
      </c>
      <c r="AD1521" s="2">
        <v>44866</v>
      </c>
      <c r="AE1521" s="1" t="s">
        <v>53</v>
      </c>
      <c r="AF1521" s="1" t="s">
        <v>54</v>
      </c>
      <c r="AG1521" s="1" t="s">
        <v>63</v>
      </c>
      <c r="AH1521" s="1" t="s">
        <v>68</v>
      </c>
      <c r="AI1521">
        <v>7293</v>
      </c>
      <c r="AJ1521">
        <v>0</v>
      </c>
    </row>
    <row r="1522" spans="1:36" x14ac:dyDescent="0.25">
      <c r="A1522">
        <v>11521</v>
      </c>
      <c r="B1522">
        <v>49</v>
      </c>
      <c r="C1522" s="1" t="s">
        <v>36</v>
      </c>
      <c r="D1522" s="1" t="s">
        <v>69</v>
      </c>
      <c r="E1522" s="2">
        <v>44774</v>
      </c>
      <c r="F1522" s="2">
        <v>44527</v>
      </c>
      <c r="G1522" s="1" t="s">
        <v>62</v>
      </c>
      <c r="H1522">
        <v>591</v>
      </c>
      <c r="I1522">
        <v>32</v>
      </c>
      <c r="J1522">
        <v>1</v>
      </c>
      <c r="K1522">
        <v>45.67</v>
      </c>
      <c r="L1522">
        <v>20</v>
      </c>
      <c r="M1522" s="1" t="s">
        <v>65</v>
      </c>
      <c r="N1522" s="1" t="s">
        <v>40</v>
      </c>
      <c r="O1522">
        <v>18793.8</v>
      </c>
      <c r="P1522" t="b">
        <v>0</v>
      </c>
      <c r="Q1522">
        <v>2.6666666666666665</v>
      </c>
      <c r="R1522">
        <v>587.30624999999998</v>
      </c>
      <c r="S1522">
        <v>22.835000000000001</v>
      </c>
      <c r="T1522" s="2">
        <v>44774</v>
      </c>
      <c r="U1522" s="1" t="s">
        <v>51</v>
      </c>
      <c r="V1522">
        <v>1</v>
      </c>
      <c r="W1522" s="1" t="s">
        <v>40</v>
      </c>
      <c r="Y1522" s="1" t="s">
        <v>52</v>
      </c>
      <c r="Z1522" s="1" t="s">
        <v>52</v>
      </c>
      <c r="AA1522">
        <v>3.0303030303030304E-2</v>
      </c>
      <c r="AB1522" s="1" t="s">
        <v>52</v>
      </c>
      <c r="AC1522">
        <v>2</v>
      </c>
      <c r="AD1522" s="2">
        <v>44774</v>
      </c>
      <c r="AE1522" s="1" t="s">
        <v>44</v>
      </c>
      <c r="AF1522" s="1" t="s">
        <v>54</v>
      </c>
      <c r="AG1522" s="1" t="s">
        <v>63</v>
      </c>
      <c r="AH1522" s="1" t="s">
        <v>64</v>
      </c>
      <c r="AI1522">
        <v>18912</v>
      </c>
      <c r="AJ1522">
        <v>-118.20000000000073</v>
      </c>
    </row>
    <row r="1523" spans="1:36" x14ac:dyDescent="0.25">
      <c r="A1523">
        <v>11522</v>
      </c>
      <c r="B1523">
        <v>52</v>
      </c>
      <c r="C1523" s="1" t="s">
        <v>60</v>
      </c>
      <c r="D1523" s="1" t="s">
        <v>48</v>
      </c>
      <c r="E1523" s="2">
        <v>44994</v>
      </c>
      <c r="F1523" s="2">
        <v>44689</v>
      </c>
      <c r="G1523" s="1" t="s">
        <v>38</v>
      </c>
      <c r="H1523">
        <v>575</v>
      </c>
      <c r="I1523">
        <v>11</v>
      </c>
      <c r="J1523">
        <v>2</v>
      </c>
      <c r="K1523">
        <v>16.82</v>
      </c>
      <c r="L1523">
        <v>15</v>
      </c>
      <c r="M1523" s="1" t="s">
        <v>39</v>
      </c>
      <c r="N1523" s="1" t="s">
        <v>56</v>
      </c>
      <c r="O1523">
        <v>6238.75</v>
      </c>
      <c r="P1523" t="b">
        <v>0</v>
      </c>
      <c r="Q1523">
        <v>0.91666666666666663</v>
      </c>
      <c r="R1523">
        <v>567.15909090909088</v>
      </c>
      <c r="S1523">
        <v>5.6066666666666665</v>
      </c>
      <c r="T1523" s="2">
        <v>44986</v>
      </c>
      <c r="U1523" s="1" t="s">
        <v>41</v>
      </c>
      <c r="V1523">
        <v>0</v>
      </c>
      <c r="W1523" s="1" t="s">
        <v>56</v>
      </c>
      <c r="Y1523" s="1" t="s">
        <v>42</v>
      </c>
      <c r="Z1523" s="1" t="s">
        <v>42</v>
      </c>
      <c r="AA1523">
        <v>0.16666666666666666</v>
      </c>
      <c r="AB1523" s="1" t="s">
        <v>42</v>
      </c>
      <c r="AC1523">
        <v>1</v>
      </c>
      <c r="AD1523" s="2">
        <v>44986</v>
      </c>
      <c r="AE1523" s="1" t="s">
        <v>74</v>
      </c>
      <c r="AF1523" s="1" t="s">
        <v>72</v>
      </c>
      <c r="AG1523" s="1" t="s">
        <v>46</v>
      </c>
      <c r="AH1523" s="1" t="s">
        <v>64</v>
      </c>
      <c r="AI1523">
        <v>6325</v>
      </c>
      <c r="AJ1523">
        <v>-86.25</v>
      </c>
    </row>
    <row r="1524" spans="1:36" x14ac:dyDescent="0.25">
      <c r="A1524">
        <v>11523</v>
      </c>
      <c r="B1524">
        <v>56</v>
      </c>
      <c r="C1524" s="1" t="s">
        <v>60</v>
      </c>
      <c r="D1524" s="1" t="s">
        <v>37</v>
      </c>
      <c r="E1524" s="2">
        <v>44435</v>
      </c>
      <c r="F1524" s="2">
        <v>44480</v>
      </c>
      <c r="G1524" s="1" t="s">
        <v>38</v>
      </c>
      <c r="H1524">
        <v>1211</v>
      </c>
      <c r="I1524">
        <v>34</v>
      </c>
      <c r="J1524">
        <v>1</v>
      </c>
      <c r="K1524">
        <v>67.459999999999994</v>
      </c>
      <c r="L1524">
        <v>20</v>
      </c>
      <c r="M1524" s="1" t="s">
        <v>67</v>
      </c>
      <c r="N1524" s="1" t="s">
        <v>40</v>
      </c>
      <c r="O1524">
        <v>40931.800000000003</v>
      </c>
      <c r="P1524" t="b">
        <v>1</v>
      </c>
      <c r="Q1524">
        <v>2.8333333333333335</v>
      </c>
      <c r="R1524">
        <v>1203.8764705882354</v>
      </c>
      <c r="S1524">
        <v>33.729999999999997</v>
      </c>
      <c r="T1524" s="2">
        <v>44409</v>
      </c>
      <c r="U1524" s="1" t="s">
        <v>41</v>
      </c>
      <c r="V1524">
        <v>1</v>
      </c>
      <c r="W1524" s="1" t="s">
        <v>40</v>
      </c>
      <c r="X1524">
        <v>45</v>
      </c>
      <c r="Y1524" s="1" t="s">
        <v>43</v>
      </c>
      <c r="Z1524" s="1" t="s">
        <v>52</v>
      </c>
      <c r="AA1524">
        <v>2.8571428571428571E-2</v>
      </c>
      <c r="AB1524" s="1" t="s">
        <v>43</v>
      </c>
      <c r="AC1524">
        <v>1</v>
      </c>
      <c r="AD1524" s="2">
        <v>44409</v>
      </c>
      <c r="AE1524" s="1" t="s">
        <v>44</v>
      </c>
      <c r="AF1524" s="1" t="s">
        <v>54</v>
      </c>
      <c r="AG1524" s="1" t="s">
        <v>63</v>
      </c>
      <c r="AH1524" s="1" t="s">
        <v>47</v>
      </c>
      <c r="AI1524">
        <v>41174</v>
      </c>
      <c r="AJ1524">
        <v>-242.19999999999709</v>
      </c>
    </row>
    <row r="1525" spans="1:36" x14ac:dyDescent="0.25">
      <c r="A1525">
        <v>11524</v>
      </c>
      <c r="B1525">
        <v>63</v>
      </c>
      <c r="C1525" s="1" t="s">
        <v>36</v>
      </c>
      <c r="D1525" s="1" t="s">
        <v>48</v>
      </c>
      <c r="E1525" s="2">
        <v>44728</v>
      </c>
      <c r="F1525" s="2">
        <v>44790</v>
      </c>
      <c r="G1525" s="1" t="s">
        <v>38</v>
      </c>
      <c r="H1525">
        <v>1225</v>
      </c>
      <c r="I1525">
        <v>24</v>
      </c>
      <c r="J1525">
        <v>3</v>
      </c>
      <c r="K1525">
        <v>39.71</v>
      </c>
      <c r="L1525">
        <v>20</v>
      </c>
      <c r="M1525" s="1" t="s">
        <v>65</v>
      </c>
      <c r="N1525" s="1" t="s">
        <v>40</v>
      </c>
      <c r="O1525">
        <v>29155</v>
      </c>
      <c r="P1525" t="b">
        <v>1</v>
      </c>
      <c r="Q1525">
        <v>2</v>
      </c>
      <c r="R1525">
        <v>1214.7916666666667</v>
      </c>
      <c r="S1525">
        <v>9.9275000000000002</v>
      </c>
      <c r="T1525" s="2">
        <v>44713</v>
      </c>
      <c r="U1525" s="1" t="s">
        <v>41</v>
      </c>
      <c r="V1525">
        <v>1</v>
      </c>
      <c r="W1525" s="1" t="s">
        <v>40</v>
      </c>
      <c r="X1525">
        <v>62</v>
      </c>
      <c r="Y1525" s="1" t="s">
        <v>52</v>
      </c>
      <c r="Z1525" s="1" t="s">
        <v>52</v>
      </c>
      <c r="AA1525">
        <v>0.12</v>
      </c>
      <c r="AB1525" s="1" t="s">
        <v>43</v>
      </c>
      <c r="AC1525">
        <v>1</v>
      </c>
      <c r="AD1525" s="2">
        <v>44713</v>
      </c>
      <c r="AE1525" s="1" t="s">
        <v>53</v>
      </c>
      <c r="AF1525" s="1" t="s">
        <v>72</v>
      </c>
      <c r="AG1525" s="1" t="s">
        <v>55</v>
      </c>
      <c r="AH1525" s="1" t="s">
        <v>47</v>
      </c>
      <c r="AI1525">
        <v>29400</v>
      </c>
      <c r="AJ1525">
        <v>-245</v>
      </c>
    </row>
    <row r="1526" spans="1:36" x14ac:dyDescent="0.25">
      <c r="A1526">
        <v>11525</v>
      </c>
      <c r="B1526">
        <v>46</v>
      </c>
      <c r="C1526" s="1" t="s">
        <v>36</v>
      </c>
      <c r="D1526" s="1" t="s">
        <v>37</v>
      </c>
      <c r="E1526" s="2">
        <v>44896</v>
      </c>
      <c r="F1526" s="2">
        <v>45183</v>
      </c>
      <c r="G1526" s="1" t="s">
        <v>38</v>
      </c>
      <c r="H1526">
        <v>354</v>
      </c>
      <c r="I1526">
        <v>5</v>
      </c>
      <c r="J1526">
        <v>5</v>
      </c>
      <c r="K1526">
        <v>80.989999999999995</v>
      </c>
      <c r="L1526">
        <v>15</v>
      </c>
      <c r="M1526" s="1" t="s">
        <v>39</v>
      </c>
      <c r="N1526" s="1" t="s">
        <v>56</v>
      </c>
      <c r="O1526">
        <v>1716.9</v>
      </c>
      <c r="P1526" t="b">
        <v>1</v>
      </c>
      <c r="Q1526">
        <v>0.41666666666666669</v>
      </c>
      <c r="R1526">
        <v>343.38</v>
      </c>
      <c r="S1526">
        <v>13.498333333333333</v>
      </c>
      <c r="T1526" s="2">
        <v>44896</v>
      </c>
      <c r="U1526" s="1" t="s">
        <v>51</v>
      </c>
      <c r="V1526">
        <v>0</v>
      </c>
      <c r="W1526" s="1" t="s">
        <v>56</v>
      </c>
      <c r="X1526">
        <v>287</v>
      </c>
      <c r="Y1526" s="1" t="s">
        <v>43</v>
      </c>
      <c r="Z1526" s="1" t="s">
        <v>42</v>
      </c>
      <c r="AA1526">
        <v>0.83333333333333337</v>
      </c>
      <c r="AB1526" s="1" t="s">
        <v>42</v>
      </c>
      <c r="AC1526">
        <v>1</v>
      </c>
      <c r="AD1526" s="2">
        <v>44896</v>
      </c>
      <c r="AE1526" s="1" t="s">
        <v>58</v>
      </c>
      <c r="AF1526" s="1" t="s">
        <v>45</v>
      </c>
      <c r="AG1526" s="1" t="s">
        <v>63</v>
      </c>
      <c r="AH1526" s="1" t="s">
        <v>68</v>
      </c>
      <c r="AI1526">
        <v>1770</v>
      </c>
      <c r="AJ1526">
        <v>-53.099999999999909</v>
      </c>
    </row>
    <row r="1527" spans="1:36" x14ac:dyDescent="0.25">
      <c r="A1527">
        <v>11526</v>
      </c>
      <c r="B1527">
        <v>46</v>
      </c>
      <c r="C1527" s="1" t="s">
        <v>60</v>
      </c>
      <c r="D1527" s="1" t="s">
        <v>37</v>
      </c>
      <c r="E1527" s="2">
        <v>44278</v>
      </c>
      <c r="F1527" s="2">
        <v>44600</v>
      </c>
      <c r="G1527" s="1" t="s">
        <v>38</v>
      </c>
      <c r="H1527">
        <v>1038</v>
      </c>
      <c r="I1527">
        <v>29</v>
      </c>
      <c r="J1527">
        <v>1</v>
      </c>
      <c r="K1527">
        <v>41.71</v>
      </c>
      <c r="L1527">
        <v>0</v>
      </c>
      <c r="M1527" s="1" t="s">
        <v>67</v>
      </c>
      <c r="N1527" s="1" t="s">
        <v>56</v>
      </c>
      <c r="O1527">
        <v>30102</v>
      </c>
      <c r="P1527" t="b">
        <v>1</v>
      </c>
      <c r="Q1527">
        <v>2.4166666666666665</v>
      </c>
      <c r="R1527">
        <v>1038</v>
      </c>
      <c r="S1527">
        <v>20.855</v>
      </c>
      <c r="T1527" s="2">
        <v>44256</v>
      </c>
      <c r="U1527" s="1" t="s">
        <v>51</v>
      </c>
      <c r="V1527">
        <v>0</v>
      </c>
      <c r="W1527" s="1" t="s">
        <v>40</v>
      </c>
      <c r="X1527">
        <v>322</v>
      </c>
      <c r="Y1527" s="1" t="s">
        <v>52</v>
      </c>
      <c r="Z1527" s="1" t="s">
        <v>42</v>
      </c>
      <c r="AA1527">
        <v>3.3333333333333333E-2</v>
      </c>
      <c r="AB1527" s="1" t="s">
        <v>43</v>
      </c>
      <c r="AC1527">
        <v>1</v>
      </c>
      <c r="AD1527" s="2">
        <v>44256</v>
      </c>
      <c r="AE1527" s="1" t="s">
        <v>44</v>
      </c>
      <c r="AF1527" s="1" t="s">
        <v>54</v>
      </c>
      <c r="AG1527" s="1" t="s">
        <v>55</v>
      </c>
      <c r="AH1527" s="1" t="s">
        <v>47</v>
      </c>
      <c r="AI1527">
        <v>30102</v>
      </c>
      <c r="AJ1527">
        <v>0</v>
      </c>
    </row>
    <row r="1528" spans="1:36" x14ac:dyDescent="0.25">
      <c r="A1528">
        <v>11527</v>
      </c>
      <c r="B1528">
        <v>61</v>
      </c>
      <c r="C1528" s="1" t="s">
        <v>36</v>
      </c>
      <c r="D1528" s="1" t="s">
        <v>69</v>
      </c>
      <c r="E1528" s="2">
        <v>44559</v>
      </c>
      <c r="F1528" s="2">
        <v>44612</v>
      </c>
      <c r="G1528" s="1" t="s">
        <v>62</v>
      </c>
      <c r="H1528">
        <v>1349</v>
      </c>
      <c r="I1528">
        <v>34</v>
      </c>
      <c r="J1528">
        <v>2</v>
      </c>
      <c r="K1528">
        <v>54.58</v>
      </c>
      <c r="L1528">
        <v>5</v>
      </c>
      <c r="M1528" s="1" t="s">
        <v>50</v>
      </c>
      <c r="N1528" s="1" t="s">
        <v>56</v>
      </c>
      <c r="O1528">
        <v>45798.55</v>
      </c>
      <c r="P1528" t="b">
        <v>1</v>
      </c>
      <c r="Q1528">
        <v>2.8333333333333335</v>
      </c>
      <c r="R1528">
        <v>1347.0161764705883</v>
      </c>
      <c r="S1528">
        <v>18.193333333333332</v>
      </c>
      <c r="T1528" s="2">
        <v>44531</v>
      </c>
      <c r="U1528" s="1" t="s">
        <v>41</v>
      </c>
      <c r="V1528">
        <v>0</v>
      </c>
      <c r="W1528" s="1" t="s">
        <v>40</v>
      </c>
      <c r="X1528">
        <v>53</v>
      </c>
      <c r="Y1528" s="1" t="s">
        <v>52</v>
      </c>
      <c r="Z1528" s="1" t="s">
        <v>42</v>
      </c>
      <c r="AA1528">
        <v>5.7142857142857141E-2</v>
      </c>
      <c r="AB1528" s="1" t="s">
        <v>43</v>
      </c>
      <c r="AC1528">
        <v>2</v>
      </c>
      <c r="AD1528" s="2">
        <v>44531</v>
      </c>
      <c r="AE1528" s="1" t="s">
        <v>44</v>
      </c>
      <c r="AF1528" s="1" t="s">
        <v>72</v>
      </c>
      <c r="AG1528" s="1" t="s">
        <v>63</v>
      </c>
      <c r="AH1528" s="1" t="s">
        <v>47</v>
      </c>
      <c r="AI1528">
        <v>45866</v>
      </c>
      <c r="AJ1528">
        <v>-67.44999999999709</v>
      </c>
    </row>
    <row r="1529" spans="1:36" x14ac:dyDescent="0.25">
      <c r="A1529">
        <v>11528</v>
      </c>
      <c r="B1529">
        <v>33</v>
      </c>
      <c r="C1529" s="1" t="s">
        <v>36</v>
      </c>
      <c r="D1529" s="1" t="s">
        <v>48</v>
      </c>
      <c r="E1529" s="2">
        <v>44701</v>
      </c>
      <c r="F1529" s="2">
        <v>44440</v>
      </c>
      <c r="G1529" s="1" t="s">
        <v>38</v>
      </c>
      <c r="H1529">
        <v>1064</v>
      </c>
      <c r="I1529">
        <v>16</v>
      </c>
      <c r="J1529">
        <v>3</v>
      </c>
      <c r="K1529">
        <v>11.02</v>
      </c>
      <c r="L1529">
        <v>10</v>
      </c>
      <c r="M1529" s="1" t="s">
        <v>65</v>
      </c>
      <c r="N1529" s="1" t="s">
        <v>40</v>
      </c>
      <c r="O1529">
        <v>16917.599999999999</v>
      </c>
      <c r="P1529" t="b">
        <v>0</v>
      </c>
      <c r="Q1529">
        <v>1.3333333333333333</v>
      </c>
      <c r="R1529">
        <v>1057.3499999999999</v>
      </c>
      <c r="S1529">
        <v>2.7549999999999999</v>
      </c>
      <c r="T1529" s="2">
        <v>44682</v>
      </c>
      <c r="U1529" s="1" t="s">
        <v>57</v>
      </c>
      <c r="V1529">
        <v>1</v>
      </c>
      <c r="W1529" s="1" t="s">
        <v>40</v>
      </c>
      <c r="Y1529" s="1" t="s">
        <v>42</v>
      </c>
      <c r="Z1529" s="1" t="s">
        <v>42</v>
      </c>
      <c r="AA1529">
        <v>0.17647058823529413</v>
      </c>
      <c r="AB1529" s="1" t="s">
        <v>52</v>
      </c>
      <c r="AC1529">
        <v>1</v>
      </c>
      <c r="AD1529" s="2">
        <v>44682</v>
      </c>
      <c r="AE1529" s="1" t="s">
        <v>53</v>
      </c>
      <c r="AF1529" s="1" t="s">
        <v>72</v>
      </c>
      <c r="AG1529" s="1" t="s">
        <v>46</v>
      </c>
      <c r="AH1529" s="1" t="s">
        <v>47</v>
      </c>
      <c r="AI1529">
        <v>17024</v>
      </c>
      <c r="AJ1529">
        <v>-106.40000000000146</v>
      </c>
    </row>
    <row r="1530" spans="1:36" x14ac:dyDescent="0.25">
      <c r="A1530">
        <v>11529</v>
      </c>
      <c r="B1530">
        <v>61</v>
      </c>
      <c r="C1530" s="1" t="s">
        <v>60</v>
      </c>
      <c r="D1530" s="1" t="s">
        <v>48</v>
      </c>
      <c r="E1530" s="2">
        <v>44398</v>
      </c>
      <c r="F1530" s="2">
        <v>45009</v>
      </c>
      <c r="G1530" s="1" t="s">
        <v>38</v>
      </c>
      <c r="H1530">
        <v>941</v>
      </c>
      <c r="I1530">
        <v>25</v>
      </c>
      <c r="J1530">
        <v>3</v>
      </c>
      <c r="K1530">
        <v>119.14</v>
      </c>
      <c r="L1530">
        <v>10</v>
      </c>
      <c r="M1530" s="1" t="s">
        <v>67</v>
      </c>
      <c r="N1530" s="1" t="s">
        <v>40</v>
      </c>
      <c r="O1530">
        <v>23336.799999999999</v>
      </c>
      <c r="P1530" t="b">
        <v>1</v>
      </c>
      <c r="Q1530">
        <v>2.0833333333333335</v>
      </c>
      <c r="R1530">
        <v>933.47199999999998</v>
      </c>
      <c r="S1530">
        <v>29.785</v>
      </c>
      <c r="T1530" s="2">
        <v>44378</v>
      </c>
      <c r="U1530" s="1" t="s">
        <v>41</v>
      </c>
      <c r="V1530">
        <v>1</v>
      </c>
      <c r="W1530" s="1" t="s">
        <v>40</v>
      </c>
      <c r="X1530">
        <v>611</v>
      </c>
      <c r="Y1530" s="1" t="s">
        <v>43</v>
      </c>
      <c r="Z1530" s="1" t="s">
        <v>42</v>
      </c>
      <c r="AA1530">
        <v>0.11538461538461539</v>
      </c>
      <c r="AB1530" s="1" t="s">
        <v>43</v>
      </c>
      <c r="AC1530">
        <v>1</v>
      </c>
      <c r="AD1530" s="2">
        <v>44378</v>
      </c>
      <c r="AE1530" s="1" t="s">
        <v>44</v>
      </c>
      <c r="AF1530" s="1" t="s">
        <v>72</v>
      </c>
      <c r="AG1530" s="1" t="s">
        <v>63</v>
      </c>
      <c r="AH1530" s="1" t="s">
        <v>59</v>
      </c>
      <c r="AI1530">
        <v>23525</v>
      </c>
      <c r="AJ1530">
        <v>-188.20000000000073</v>
      </c>
    </row>
    <row r="1531" spans="1:36" x14ac:dyDescent="0.25">
      <c r="A1531">
        <v>11530</v>
      </c>
      <c r="B1531">
        <v>64</v>
      </c>
      <c r="C1531" s="1" t="s">
        <v>60</v>
      </c>
      <c r="D1531" s="1" t="s">
        <v>71</v>
      </c>
      <c r="E1531" s="2">
        <v>44700</v>
      </c>
      <c r="F1531" s="2">
        <v>44758</v>
      </c>
      <c r="G1531" s="1" t="s">
        <v>62</v>
      </c>
      <c r="H1531">
        <v>1023</v>
      </c>
      <c r="I1531">
        <v>8</v>
      </c>
      <c r="J1531">
        <v>3</v>
      </c>
      <c r="K1531">
        <v>63.38</v>
      </c>
      <c r="L1531">
        <v>0</v>
      </c>
      <c r="M1531" s="1" t="s">
        <v>65</v>
      </c>
      <c r="N1531" s="1" t="s">
        <v>56</v>
      </c>
      <c r="O1531">
        <v>8184</v>
      </c>
      <c r="P1531" t="b">
        <v>1</v>
      </c>
      <c r="Q1531">
        <v>0.66666666666666663</v>
      </c>
      <c r="R1531">
        <v>1023</v>
      </c>
      <c r="S1531">
        <v>15.845000000000001</v>
      </c>
      <c r="T1531" s="2">
        <v>44682</v>
      </c>
      <c r="U1531" s="1" t="s">
        <v>41</v>
      </c>
      <c r="V1531">
        <v>0</v>
      </c>
      <c r="W1531" s="1" t="s">
        <v>56</v>
      </c>
      <c r="X1531">
        <v>58</v>
      </c>
      <c r="Y1531" s="1" t="s">
        <v>43</v>
      </c>
      <c r="Z1531" s="1" t="s">
        <v>42</v>
      </c>
      <c r="AA1531">
        <v>0.33333333333333331</v>
      </c>
      <c r="AB1531" s="1" t="s">
        <v>42</v>
      </c>
      <c r="AC1531">
        <v>2</v>
      </c>
      <c r="AD1531" s="2">
        <v>44682</v>
      </c>
      <c r="AE1531" s="1" t="s">
        <v>74</v>
      </c>
      <c r="AF1531" s="1" t="s">
        <v>72</v>
      </c>
      <c r="AG1531" s="1" t="s">
        <v>63</v>
      </c>
      <c r="AH1531" s="1" t="s">
        <v>47</v>
      </c>
      <c r="AI1531">
        <v>8184</v>
      </c>
      <c r="AJ1531">
        <v>0</v>
      </c>
    </row>
    <row r="1532" spans="1:36" x14ac:dyDescent="0.25">
      <c r="A1532">
        <v>11531</v>
      </c>
      <c r="B1532">
        <v>27</v>
      </c>
      <c r="C1532" s="1" t="s">
        <v>60</v>
      </c>
      <c r="D1532" s="1" t="s">
        <v>48</v>
      </c>
      <c r="E1532" s="2">
        <v>44840</v>
      </c>
      <c r="F1532" s="2">
        <v>44485</v>
      </c>
      <c r="G1532" s="1" t="s">
        <v>49</v>
      </c>
      <c r="H1532">
        <v>1101</v>
      </c>
      <c r="I1532">
        <v>29</v>
      </c>
      <c r="J1532">
        <v>2</v>
      </c>
      <c r="K1532">
        <v>7.79</v>
      </c>
      <c r="L1532">
        <v>10</v>
      </c>
      <c r="M1532" s="1" t="s">
        <v>50</v>
      </c>
      <c r="N1532" s="1" t="s">
        <v>56</v>
      </c>
      <c r="O1532">
        <v>31818.9</v>
      </c>
      <c r="P1532" t="b">
        <v>0</v>
      </c>
      <c r="Q1532">
        <v>2.4166666666666665</v>
      </c>
      <c r="R1532">
        <v>1097.2034482758622</v>
      </c>
      <c r="S1532">
        <v>2.5966666666666667</v>
      </c>
      <c r="T1532" s="2">
        <v>44835</v>
      </c>
      <c r="U1532" s="1" t="s">
        <v>57</v>
      </c>
      <c r="V1532">
        <v>0</v>
      </c>
      <c r="W1532" s="1" t="s">
        <v>40</v>
      </c>
      <c r="Y1532" s="1" t="s">
        <v>42</v>
      </c>
      <c r="Z1532" s="1" t="s">
        <v>42</v>
      </c>
      <c r="AA1532">
        <v>6.6666666666666666E-2</v>
      </c>
      <c r="AB1532" s="1" t="s">
        <v>43</v>
      </c>
      <c r="AC1532">
        <v>3</v>
      </c>
      <c r="AD1532" s="2">
        <v>44835</v>
      </c>
      <c r="AE1532" s="1" t="s">
        <v>44</v>
      </c>
      <c r="AF1532" s="1" t="s">
        <v>72</v>
      </c>
      <c r="AG1532" s="1" t="s">
        <v>77</v>
      </c>
      <c r="AH1532" s="1" t="s">
        <v>47</v>
      </c>
      <c r="AI1532">
        <v>31929</v>
      </c>
      <c r="AJ1532">
        <v>-110.09999999999854</v>
      </c>
    </row>
    <row r="1533" spans="1:36" x14ac:dyDescent="0.25">
      <c r="A1533">
        <v>11532</v>
      </c>
      <c r="B1533">
        <v>47</v>
      </c>
      <c r="C1533" s="1" t="s">
        <v>60</v>
      </c>
      <c r="D1533" s="1" t="s">
        <v>71</v>
      </c>
      <c r="E1533" s="2">
        <v>44233</v>
      </c>
      <c r="F1533" s="2">
        <v>44555</v>
      </c>
      <c r="G1533" s="1" t="s">
        <v>38</v>
      </c>
      <c r="H1533">
        <v>1037</v>
      </c>
      <c r="I1533">
        <v>25</v>
      </c>
      <c r="J1533">
        <v>0</v>
      </c>
      <c r="K1533">
        <v>67.239999999999995</v>
      </c>
      <c r="L1533">
        <v>20</v>
      </c>
      <c r="M1533" s="1" t="s">
        <v>65</v>
      </c>
      <c r="N1533" s="1" t="s">
        <v>56</v>
      </c>
      <c r="O1533">
        <v>25717.599999999999</v>
      </c>
      <c r="P1533" t="b">
        <v>1</v>
      </c>
      <c r="Q1533">
        <v>2.0833333333333335</v>
      </c>
      <c r="R1533">
        <v>1028.704</v>
      </c>
      <c r="S1533">
        <v>67.239999999999995</v>
      </c>
      <c r="T1533" s="2">
        <v>44228</v>
      </c>
      <c r="U1533" s="1" t="s">
        <v>51</v>
      </c>
      <c r="V1533">
        <v>0</v>
      </c>
      <c r="W1533" s="1" t="s">
        <v>40</v>
      </c>
      <c r="X1533">
        <v>322</v>
      </c>
      <c r="Y1533" s="1" t="s">
        <v>43</v>
      </c>
      <c r="Z1533" s="1" t="s">
        <v>52</v>
      </c>
      <c r="AA1533">
        <v>0</v>
      </c>
      <c r="AB1533" s="1" t="s">
        <v>43</v>
      </c>
      <c r="AC1533">
        <v>1</v>
      </c>
      <c r="AD1533" s="2">
        <v>44228</v>
      </c>
      <c r="AE1533" s="1" t="s">
        <v>44</v>
      </c>
      <c r="AF1533" s="1" t="s">
        <v>54</v>
      </c>
      <c r="AG1533" s="1" t="s">
        <v>63</v>
      </c>
      <c r="AH1533" s="1" t="s">
        <v>47</v>
      </c>
      <c r="AI1533">
        <v>25925</v>
      </c>
      <c r="AJ1533">
        <v>-207.40000000000146</v>
      </c>
    </row>
    <row r="1534" spans="1:36" x14ac:dyDescent="0.25">
      <c r="A1534">
        <v>11533</v>
      </c>
      <c r="B1534">
        <v>42</v>
      </c>
      <c r="C1534" s="1" t="s">
        <v>60</v>
      </c>
      <c r="D1534" s="1" t="s">
        <v>61</v>
      </c>
      <c r="E1534" s="2">
        <v>44840</v>
      </c>
      <c r="F1534" s="2">
        <v>44984</v>
      </c>
      <c r="G1534" s="1" t="s">
        <v>38</v>
      </c>
      <c r="H1534">
        <v>1057</v>
      </c>
      <c r="I1534">
        <v>23</v>
      </c>
      <c r="J1534">
        <v>2</v>
      </c>
      <c r="K1534">
        <v>105.09</v>
      </c>
      <c r="L1534">
        <v>10</v>
      </c>
      <c r="M1534" s="1" t="s">
        <v>39</v>
      </c>
      <c r="N1534" s="1" t="s">
        <v>56</v>
      </c>
      <c r="O1534">
        <v>24205.3</v>
      </c>
      <c r="P1534" t="b">
        <v>1</v>
      </c>
      <c r="Q1534">
        <v>1.9166666666666667</v>
      </c>
      <c r="R1534">
        <v>1052.4043478260869</v>
      </c>
      <c r="S1534">
        <v>35.03</v>
      </c>
      <c r="T1534" s="2">
        <v>44835</v>
      </c>
      <c r="U1534" s="1" t="s">
        <v>51</v>
      </c>
      <c r="V1534">
        <v>0</v>
      </c>
      <c r="W1534" s="1" t="s">
        <v>40</v>
      </c>
      <c r="X1534">
        <v>144</v>
      </c>
      <c r="Y1534" s="1" t="s">
        <v>43</v>
      </c>
      <c r="Z1534" s="1" t="s">
        <v>42</v>
      </c>
      <c r="AA1534">
        <v>8.3333333333333329E-2</v>
      </c>
      <c r="AB1534" s="1" t="s">
        <v>43</v>
      </c>
      <c r="AC1534">
        <v>1</v>
      </c>
      <c r="AD1534" s="2">
        <v>44835</v>
      </c>
      <c r="AE1534" s="1" t="s">
        <v>53</v>
      </c>
      <c r="AF1534" s="1" t="s">
        <v>72</v>
      </c>
      <c r="AG1534" s="1" t="s">
        <v>63</v>
      </c>
      <c r="AH1534" s="1" t="s">
        <v>47</v>
      </c>
      <c r="AI1534">
        <v>24311</v>
      </c>
      <c r="AJ1534">
        <v>-105.70000000000073</v>
      </c>
    </row>
    <row r="1535" spans="1:36" x14ac:dyDescent="0.25">
      <c r="A1535">
        <v>11534</v>
      </c>
      <c r="B1535">
        <v>56</v>
      </c>
      <c r="C1535" s="1" t="s">
        <v>60</v>
      </c>
      <c r="D1535" s="1" t="s">
        <v>61</v>
      </c>
      <c r="E1535" s="2">
        <v>44785</v>
      </c>
      <c r="F1535" s="2">
        <v>45093</v>
      </c>
      <c r="G1535" s="1" t="s">
        <v>62</v>
      </c>
      <c r="H1535">
        <v>866</v>
      </c>
      <c r="I1535">
        <v>34</v>
      </c>
      <c r="J1535">
        <v>3</v>
      </c>
      <c r="K1535">
        <v>93.84</v>
      </c>
      <c r="L1535">
        <v>15</v>
      </c>
      <c r="M1535" s="1" t="s">
        <v>67</v>
      </c>
      <c r="N1535" s="1" t="s">
        <v>56</v>
      </c>
      <c r="O1535">
        <v>29314.1</v>
      </c>
      <c r="P1535" t="b">
        <v>1</v>
      </c>
      <c r="Q1535">
        <v>2.8333333333333335</v>
      </c>
      <c r="R1535">
        <v>862.17941176470583</v>
      </c>
      <c r="S1535">
        <v>23.46</v>
      </c>
      <c r="T1535" s="2">
        <v>44774</v>
      </c>
      <c r="U1535" s="1" t="s">
        <v>41</v>
      </c>
      <c r="V1535">
        <v>0</v>
      </c>
      <c r="W1535" s="1" t="s">
        <v>40</v>
      </c>
      <c r="X1535">
        <v>308</v>
      </c>
      <c r="Y1535" s="1" t="s">
        <v>43</v>
      </c>
      <c r="Z1535" s="1" t="s">
        <v>42</v>
      </c>
      <c r="AA1535">
        <v>8.5714285714285715E-2</v>
      </c>
      <c r="AB1535" s="1" t="s">
        <v>43</v>
      </c>
      <c r="AC1535">
        <v>2</v>
      </c>
      <c r="AD1535" s="2">
        <v>44774</v>
      </c>
      <c r="AE1535" s="1" t="s">
        <v>44</v>
      </c>
      <c r="AF1535" s="1" t="s">
        <v>72</v>
      </c>
      <c r="AG1535" s="1" t="s">
        <v>63</v>
      </c>
      <c r="AH1535" s="1" t="s">
        <v>59</v>
      </c>
      <c r="AI1535">
        <v>29444</v>
      </c>
      <c r="AJ1535">
        <v>-129.90000000000146</v>
      </c>
    </row>
    <row r="1536" spans="1:36" x14ac:dyDescent="0.25">
      <c r="A1536">
        <v>11535</v>
      </c>
      <c r="B1536">
        <v>37</v>
      </c>
      <c r="C1536" s="1" t="s">
        <v>60</v>
      </c>
      <c r="D1536" s="1" t="s">
        <v>61</v>
      </c>
      <c r="E1536" s="2">
        <v>44797</v>
      </c>
      <c r="F1536" s="2">
        <v>44920</v>
      </c>
      <c r="G1536" s="1" t="s">
        <v>49</v>
      </c>
      <c r="H1536">
        <v>639</v>
      </c>
      <c r="I1536">
        <v>3</v>
      </c>
      <c r="J1536">
        <v>2</v>
      </c>
      <c r="K1536">
        <v>85.6</v>
      </c>
      <c r="L1536">
        <v>0</v>
      </c>
      <c r="M1536" s="1" t="s">
        <v>65</v>
      </c>
      <c r="N1536" s="1" t="s">
        <v>56</v>
      </c>
      <c r="O1536">
        <v>1917</v>
      </c>
      <c r="P1536" t="b">
        <v>1</v>
      </c>
      <c r="Q1536">
        <v>0.25</v>
      </c>
      <c r="R1536">
        <v>639</v>
      </c>
      <c r="S1536">
        <v>28.533333333333331</v>
      </c>
      <c r="T1536" s="2">
        <v>44774</v>
      </c>
      <c r="U1536" s="1" t="s">
        <v>51</v>
      </c>
      <c r="V1536">
        <v>0</v>
      </c>
      <c r="W1536" s="1" t="s">
        <v>56</v>
      </c>
      <c r="X1536">
        <v>123</v>
      </c>
      <c r="Y1536" s="1" t="s">
        <v>43</v>
      </c>
      <c r="Z1536" s="1" t="s">
        <v>42</v>
      </c>
      <c r="AA1536">
        <v>0.5</v>
      </c>
      <c r="AB1536" s="1" t="s">
        <v>42</v>
      </c>
      <c r="AC1536">
        <v>3</v>
      </c>
      <c r="AD1536" s="2">
        <v>44774</v>
      </c>
      <c r="AE1536" s="1" t="s">
        <v>58</v>
      </c>
      <c r="AF1536" s="1" t="s">
        <v>72</v>
      </c>
      <c r="AG1536" s="1" t="s">
        <v>63</v>
      </c>
      <c r="AH1536" s="1" t="s">
        <v>64</v>
      </c>
      <c r="AI1536">
        <v>1917</v>
      </c>
      <c r="AJ1536">
        <v>0</v>
      </c>
    </row>
    <row r="1537" spans="1:36" x14ac:dyDescent="0.25">
      <c r="A1537">
        <v>11536</v>
      </c>
      <c r="B1537">
        <v>22</v>
      </c>
      <c r="C1537" s="1" t="s">
        <v>36</v>
      </c>
      <c r="D1537" s="1" t="s">
        <v>76</v>
      </c>
      <c r="E1537" s="2">
        <v>44598</v>
      </c>
      <c r="F1537" s="2">
        <v>44654</v>
      </c>
      <c r="G1537" s="1" t="s">
        <v>62</v>
      </c>
      <c r="H1537">
        <v>452</v>
      </c>
      <c r="I1537">
        <v>30</v>
      </c>
      <c r="J1537">
        <v>0</v>
      </c>
      <c r="K1537">
        <v>21.04</v>
      </c>
      <c r="L1537">
        <v>0</v>
      </c>
      <c r="M1537" s="1" t="s">
        <v>65</v>
      </c>
      <c r="N1537" s="1" t="s">
        <v>56</v>
      </c>
      <c r="O1537">
        <v>13560</v>
      </c>
      <c r="P1537" t="b">
        <v>1</v>
      </c>
      <c r="Q1537">
        <v>2.5</v>
      </c>
      <c r="R1537">
        <v>452</v>
      </c>
      <c r="S1537">
        <v>21.04</v>
      </c>
      <c r="T1537" s="2">
        <v>44593</v>
      </c>
      <c r="U1537" s="1" t="s">
        <v>66</v>
      </c>
      <c r="V1537">
        <v>0</v>
      </c>
      <c r="W1537" s="1" t="s">
        <v>40</v>
      </c>
      <c r="X1537">
        <v>56</v>
      </c>
      <c r="Y1537" s="1" t="s">
        <v>52</v>
      </c>
      <c r="Z1537" s="1" t="s">
        <v>42</v>
      </c>
      <c r="AA1537">
        <v>0</v>
      </c>
      <c r="AB1537" s="1" t="s">
        <v>52</v>
      </c>
      <c r="AC1537">
        <v>2</v>
      </c>
      <c r="AD1537" s="2">
        <v>44593</v>
      </c>
      <c r="AE1537" s="1" t="s">
        <v>44</v>
      </c>
      <c r="AF1537" s="1" t="s">
        <v>54</v>
      </c>
      <c r="AG1537" s="1" t="s">
        <v>70</v>
      </c>
      <c r="AH1537" s="1" t="s">
        <v>68</v>
      </c>
      <c r="AI1537">
        <v>13560</v>
      </c>
      <c r="AJ1537">
        <v>0</v>
      </c>
    </row>
    <row r="1538" spans="1:36" x14ac:dyDescent="0.25">
      <c r="A1538">
        <v>11537</v>
      </c>
      <c r="B1538">
        <v>18</v>
      </c>
      <c r="C1538" s="1" t="s">
        <v>36</v>
      </c>
      <c r="D1538" s="1" t="s">
        <v>48</v>
      </c>
      <c r="E1538" s="2">
        <v>44961</v>
      </c>
      <c r="F1538" s="2">
        <v>44613</v>
      </c>
      <c r="G1538" s="1" t="s">
        <v>62</v>
      </c>
      <c r="H1538">
        <v>1303</v>
      </c>
      <c r="I1538">
        <v>34</v>
      </c>
      <c r="J1538">
        <v>3</v>
      </c>
      <c r="K1538">
        <v>80.64</v>
      </c>
      <c r="L1538">
        <v>5</v>
      </c>
      <c r="M1538" s="1" t="s">
        <v>67</v>
      </c>
      <c r="N1538" s="1" t="s">
        <v>56</v>
      </c>
      <c r="O1538">
        <v>44236.85</v>
      </c>
      <c r="P1538" t="b">
        <v>0</v>
      </c>
      <c r="Q1538">
        <v>2.8333333333333335</v>
      </c>
      <c r="R1538">
        <v>1301.0838235294118</v>
      </c>
      <c r="S1538">
        <v>20.16</v>
      </c>
      <c r="T1538" s="2">
        <v>44958</v>
      </c>
      <c r="U1538" s="1" t="s">
        <v>66</v>
      </c>
      <c r="V1538">
        <v>0</v>
      </c>
      <c r="W1538" s="1" t="s">
        <v>40</v>
      </c>
      <c r="Y1538" s="1" t="s">
        <v>43</v>
      </c>
      <c r="Z1538" s="1" t="s">
        <v>42</v>
      </c>
      <c r="AA1538">
        <v>8.5714285714285715E-2</v>
      </c>
      <c r="AB1538" s="1" t="s">
        <v>43</v>
      </c>
      <c r="AC1538">
        <v>2</v>
      </c>
      <c r="AD1538" s="2">
        <v>44958</v>
      </c>
      <c r="AE1538" s="1" t="s">
        <v>44</v>
      </c>
      <c r="AF1538" s="1" t="s">
        <v>72</v>
      </c>
      <c r="AG1538" s="1" t="s">
        <v>63</v>
      </c>
      <c r="AH1538" s="1" t="s">
        <v>47</v>
      </c>
      <c r="AI1538">
        <v>44302</v>
      </c>
      <c r="AJ1538">
        <v>-65.150000000001455</v>
      </c>
    </row>
    <row r="1539" spans="1:36" x14ac:dyDescent="0.25">
      <c r="A1539">
        <v>11538</v>
      </c>
      <c r="B1539">
        <v>47</v>
      </c>
      <c r="C1539" s="1" t="s">
        <v>75</v>
      </c>
      <c r="D1539" s="1" t="s">
        <v>73</v>
      </c>
      <c r="E1539" s="2">
        <v>45052</v>
      </c>
      <c r="F1539" s="2">
        <v>44993</v>
      </c>
      <c r="G1539" s="1" t="s">
        <v>38</v>
      </c>
      <c r="H1539">
        <v>726</v>
      </c>
      <c r="I1539">
        <v>32</v>
      </c>
      <c r="J1539">
        <v>4</v>
      </c>
      <c r="K1539">
        <v>93.12</v>
      </c>
      <c r="L1539">
        <v>5</v>
      </c>
      <c r="M1539" s="1" t="s">
        <v>50</v>
      </c>
      <c r="N1539" s="1" t="s">
        <v>56</v>
      </c>
      <c r="O1539">
        <v>23195.7</v>
      </c>
      <c r="P1539" t="b">
        <v>0</v>
      </c>
      <c r="Q1539">
        <v>2.6666666666666665</v>
      </c>
      <c r="R1539">
        <v>724.86562500000002</v>
      </c>
      <c r="S1539">
        <v>18.624000000000002</v>
      </c>
      <c r="T1539" s="2">
        <v>45047</v>
      </c>
      <c r="U1539" s="1" t="s">
        <v>51</v>
      </c>
      <c r="V1539">
        <v>0</v>
      </c>
      <c r="W1539" s="1" t="s">
        <v>40</v>
      </c>
      <c r="Y1539" s="1" t="s">
        <v>43</v>
      </c>
      <c r="Z1539" s="1" t="s">
        <v>42</v>
      </c>
      <c r="AA1539">
        <v>0.12121212121212122</v>
      </c>
      <c r="AB1539" s="1" t="s">
        <v>43</v>
      </c>
      <c r="AC1539">
        <v>1</v>
      </c>
      <c r="AD1539" s="2">
        <v>45047</v>
      </c>
      <c r="AE1539" s="1" t="s">
        <v>44</v>
      </c>
      <c r="AF1539" s="1" t="s">
        <v>45</v>
      </c>
      <c r="AG1539" s="1" t="s">
        <v>63</v>
      </c>
      <c r="AH1539" s="1" t="s">
        <v>59</v>
      </c>
      <c r="AI1539">
        <v>23232</v>
      </c>
      <c r="AJ1539">
        <v>-36.299999999999272</v>
      </c>
    </row>
    <row r="1540" spans="1:36" x14ac:dyDescent="0.25">
      <c r="A1540">
        <v>11539</v>
      </c>
      <c r="B1540">
        <v>41</v>
      </c>
      <c r="C1540" s="1" t="s">
        <v>60</v>
      </c>
      <c r="D1540" s="1" t="s">
        <v>48</v>
      </c>
      <c r="E1540" s="2">
        <v>44902</v>
      </c>
      <c r="F1540" s="2">
        <v>44665</v>
      </c>
      <c r="G1540" s="1" t="s">
        <v>62</v>
      </c>
      <c r="H1540">
        <v>1302</v>
      </c>
      <c r="I1540">
        <v>29</v>
      </c>
      <c r="J1540">
        <v>1</v>
      </c>
      <c r="K1540">
        <v>70.83</v>
      </c>
      <c r="L1540">
        <v>10</v>
      </c>
      <c r="M1540" s="1" t="s">
        <v>50</v>
      </c>
      <c r="N1540" s="1" t="s">
        <v>56</v>
      </c>
      <c r="O1540">
        <v>37627.800000000003</v>
      </c>
      <c r="P1540" t="b">
        <v>0</v>
      </c>
      <c r="Q1540">
        <v>2.4166666666666665</v>
      </c>
      <c r="R1540">
        <v>1297.5103448275863</v>
      </c>
      <c r="S1540">
        <v>35.414999999999999</v>
      </c>
      <c r="T1540" s="2">
        <v>44896</v>
      </c>
      <c r="U1540" s="1" t="s">
        <v>51</v>
      </c>
      <c r="V1540">
        <v>0</v>
      </c>
      <c r="W1540" s="1" t="s">
        <v>40</v>
      </c>
      <c r="Y1540" s="1" t="s">
        <v>43</v>
      </c>
      <c r="Z1540" s="1" t="s">
        <v>42</v>
      </c>
      <c r="AA1540">
        <v>3.3333333333333333E-2</v>
      </c>
      <c r="AB1540" s="1" t="s">
        <v>43</v>
      </c>
      <c r="AC1540">
        <v>2</v>
      </c>
      <c r="AD1540" s="2">
        <v>44896</v>
      </c>
      <c r="AE1540" s="1" t="s">
        <v>44</v>
      </c>
      <c r="AF1540" s="1" t="s">
        <v>54</v>
      </c>
      <c r="AG1540" s="1" t="s">
        <v>63</v>
      </c>
      <c r="AH1540" s="1" t="s">
        <v>47</v>
      </c>
      <c r="AI1540">
        <v>37758</v>
      </c>
      <c r="AJ1540">
        <v>-130.19999999999709</v>
      </c>
    </row>
    <row r="1541" spans="1:36" x14ac:dyDescent="0.25">
      <c r="A1541">
        <v>11540</v>
      </c>
      <c r="B1541">
        <v>62</v>
      </c>
      <c r="C1541" s="1" t="s">
        <v>36</v>
      </c>
      <c r="D1541" s="1" t="s">
        <v>71</v>
      </c>
      <c r="E1541" s="2">
        <v>44372</v>
      </c>
      <c r="F1541" s="2">
        <v>44460</v>
      </c>
      <c r="G1541" s="1" t="s">
        <v>38</v>
      </c>
      <c r="H1541">
        <v>503</v>
      </c>
      <c r="I1541">
        <v>9</v>
      </c>
      <c r="J1541">
        <v>4</v>
      </c>
      <c r="K1541">
        <v>107.67</v>
      </c>
      <c r="L1541">
        <v>15</v>
      </c>
      <c r="M1541" s="1" t="s">
        <v>67</v>
      </c>
      <c r="N1541" s="1" t="s">
        <v>56</v>
      </c>
      <c r="O1541">
        <v>4451.55</v>
      </c>
      <c r="P1541" t="b">
        <v>1</v>
      </c>
      <c r="Q1541">
        <v>0.75</v>
      </c>
      <c r="R1541">
        <v>494.61666666666667</v>
      </c>
      <c r="S1541">
        <v>21.533999999999999</v>
      </c>
      <c r="T1541" s="2">
        <v>44348</v>
      </c>
      <c r="U1541" s="1" t="s">
        <v>41</v>
      </c>
      <c r="V1541">
        <v>0</v>
      </c>
      <c r="W1541" s="1" t="s">
        <v>56</v>
      </c>
      <c r="X1541">
        <v>88</v>
      </c>
      <c r="Y1541" s="1" t="s">
        <v>43</v>
      </c>
      <c r="Z1541" s="1" t="s">
        <v>42</v>
      </c>
      <c r="AA1541">
        <v>0.4</v>
      </c>
      <c r="AB1541" s="1" t="s">
        <v>42</v>
      </c>
      <c r="AC1541">
        <v>1</v>
      </c>
      <c r="AD1541" s="2">
        <v>44348</v>
      </c>
      <c r="AE1541" s="1" t="s">
        <v>74</v>
      </c>
      <c r="AF1541" s="1" t="s">
        <v>45</v>
      </c>
      <c r="AG1541" s="1" t="s">
        <v>63</v>
      </c>
      <c r="AH1541" s="1" t="s">
        <v>64</v>
      </c>
      <c r="AI1541">
        <v>4527</v>
      </c>
      <c r="AJ1541">
        <v>-75.449999999999818</v>
      </c>
    </row>
    <row r="1542" spans="1:36" x14ac:dyDescent="0.25">
      <c r="A1542">
        <v>11541</v>
      </c>
      <c r="B1542">
        <v>41</v>
      </c>
      <c r="C1542" s="1" t="s">
        <v>36</v>
      </c>
      <c r="D1542" s="1" t="s">
        <v>73</v>
      </c>
      <c r="E1542" s="2">
        <v>44741</v>
      </c>
      <c r="F1542" s="2">
        <v>44725</v>
      </c>
      <c r="G1542" s="1" t="s">
        <v>62</v>
      </c>
      <c r="H1542">
        <v>1435</v>
      </c>
      <c r="I1542">
        <v>2</v>
      </c>
      <c r="J1542">
        <v>0</v>
      </c>
      <c r="K1542">
        <v>36.85</v>
      </c>
      <c r="L1542">
        <v>10</v>
      </c>
      <c r="M1542" s="1" t="s">
        <v>67</v>
      </c>
      <c r="N1542" s="1" t="s">
        <v>56</v>
      </c>
      <c r="O1542">
        <v>2726.5</v>
      </c>
      <c r="P1542" t="b">
        <v>0</v>
      </c>
      <c r="Q1542">
        <v>0.16666666666666666</v>
      </c>
      <c r="R1542">
        <v>1363.25</v>
      </c>
      <c r="S1542">
        <v>36.85</v>
      </c>
      <c r="T1542" s="2">
        <v>44713</v>
      </c>
      <c r="U1542" s="1" t="s">
        <v>51</v>
      </c>
      <c r="V1542">
        <v>0</v>
      </c>
      <c r="W1542" s="1" t="s">
        <v>56</v>
      </c>
      <c r="Y1542" s="1" t="s">
        <v>52</v>
      </c>
      <c r="Z1542" s="1" t="s">
        <v>42</v>
      </c>
      <c r="AA1542">
        <v>0</v>
      </c>
      <c r="AB1542" s="1" t="s">
        <v>42</v>
      </c>
      <c r="AC1542">
        <v>2</v>
      </c>
      <c r="AD1542" s="2">
        <v>44713</v>
      </c>
      <c r="AE1542" s="1" t="s">
        <v>58</v>
      </c>
      <c r="AF1542" s="1" t="s">
        <v>54</v>
      </c>
      <c r="AG1542" s="1" t="s">
        <v>55</v>
      </c>
      <c r="AH1542" s="1" t="s">
        <v>47</v>
      </c>
      <c r="AI1542">
        <v>2870</v>
      </c>
      <c r="AJ1542">
        <v>-143.5</v>
      </c>
    </row>
    <row r="1543" spans="1:36" x14ac:dyDescent="0.25">
      <c r="A1543">
        <v>11542</v>
      </c>
      <c r="B1543">
        <v>47</v>
      </c>
      <c r="C1543" s="1" t="s">
        <v>36</v>
      </c>
      <c r="D1543" s="1" t="s">
        <v>73</v>
      </c>
      <c r="E1543" s="2">
        <v>44766</v>
      </c>
      <c r="F1543" s="2">
        <v>44801</v>
      </c>
      <c r="G1543" s="1" t="s">
        <v>62</v>
      </c>
      <c r="H1543">
        <v>624</v>
      </c>
      <c r="I1543">
        <v>7</v>
      </c>
      <c r="J1543">
        <v>3</v>
      </c>
      <c r="K1543">
        <v>32.85</v>
      </c>
      <c r="L1543">
        <v>20</v>
      </c>
      <c r="M1543" s="1" t="s">
        <v>39</v>
      </c>
      <c r="N1543" s="1" t="s">
        <v>56</v>
      </c>
      <c r="O1543">
        <v>4243.2</v>
      </c>
      <c r="P1543" t="b">
        <v>1</v>
      </c>
      <c r="Q1543">
        <v>0.58333333333333337</v>
      </c>
      <c r="R1543">
        <v>606.17142857142858</v>
      </c>
      <c r="S1543">
        <v>8.2125000000000004</v>
      </c>
      <c r="T1543" s="2">
        <v>44743</v>
      </c>
      <c r="U1543" s="1" t="s">
        <v>51</v>
      </c>
      <c r="V1543">
        <v>0</v>
      </c>
      <c r="W1543" s="1" t="s">
        <v>56</v>
      </c>
      <c r="X1543">
        <v>35</v>
      </c>
      <c r="Y1543" s="1" t="s">
        <v>52</v>
      </c>
      <c r="Z1543" s="1" t="s">
        <v>52</v>
      </c>
      <c r="AA1543">
        <v>0.375</v>
      </c>
      <c r="AB1543" s="1" t="s">
        <v>42</v>
      </c>
      <c r="AC1543">
        <v>2</v>
      </c>
      <c r="AD1543" s="2">
        <v>44743</v>
      </c>
      <c r="AE1543" s="1" t="s">
        <v>74</v>
      </c>
      <c r="AF1543" s="1" t="s">
        <v>72</v>
      </c>
      <c r="AG1543" s="1" t="s">
        <v>55</v>
      </c>
      <c r="AH1543" s="1" t="s">
        <v>64</v>
      </c>
      <c r="AI1543">
        <v>4368</v>
      </c>
      <c r="AJ1543">
        <v>-124.80000000000018</v>
      </c>
    </row>
    <row r="1544" spans="1:36" x14ac:dyDescent="0.25">
      <c r="A1544">
        <v>11543</v>
      </c>
      <c r="B1544">
        <v>21</v>
      </c>
      <c r="C1544" s="1" t="s">
        <v>60</v>
      </c>
      <c r="D1544" s="1" t="s">
        <v>73</v>
      </c>
      <c r="E1544" s="2">
        <v>44663</v>
      </c>
      <c r="F1544" s="2">
        <v>44538</v>
      </c>
      <c r="G1544" s="1" t="s">
        <v>49</v>
      </c>
      <c r="H1544">
        <v>1249</v>
      </c>
      <c r="I1544">
        <v>5</v>
      </c>
      <c r="J1544">
        <v>3</v>
      </c>
      <c r="K1544">
        <v>105</v>
      </c>
      <c r="L1544">
        <v>0</v>
      </c>
      <c r="M1544" s="1" t="s">
        <v>65</v>
      </c>
      <c r="N1544" s="1" t="s">
        <v>40</v>
      </c>
      <c r="O1544">
        <v>6245</v>
      </c>
      <c r="P1544" t="b">
        <v>0</v>
      </c>
      <c r="Q1544">
        <v>0.41666666666666669</v>
      </c>
      <c r="R1544">
        <v>1249</v>
      </c>
      <c r="S1544">
        <v>26.25</v>
      </c>
      <c r="T1544" s="2">
        <v>44652</v>
      </c>
      <c r="U1544" s="1" t="s">
        <v>66</v>
      </c>
      <c r="V1544">
        <v>1</v>
      </c>
      <c r="W1544" s="1" t="s">
        <v>56</v>
      </c>
      <c r="Y1544" s="1" t="s">
        <v>43</v>
      </c>
      <c r="Z1544" s="1" t="s">
        <v>42</v>
      </c>
      <c r="AA1544">
        <v>0.5</v>
      </c>
      <c r="AB1544" s="1" t="s">
        <v>42</v>
      </c>
      <c r="AC1544">
        <v>3</v>
      </c>
      <c r="AD1544" s="2">
        <v>44652</v>
      </c>
      <c r="AE1544" s="1" t="s">
        <v>58</v>
      </c>
      <c r="AF1544" s="1" t="s">
        <v>72</v>
      </c>
      <c r="AG1544" s="1" t="s">
        <v>63</v>
      </c>
      <c r="AH1544" s="1" t="s">
        <v>47</v>
      </c>
      <c r="AI1544">
        <v>6245</v>
      </c>
      <c r="AJ1544">
        <v>0</v>
      </c>
    </row>
    <row r="1545" spans="1:36" x14ac:dyDescent="0.25">
      <c r="A1545">
        <v>11544</v>
      </c>
      <c r="B1545">
        <v>35</v>
      </c>
      <c r="C1545" s="1" t="s">
        <v>36</v>
      </c>
      <c r="D1545" s="1" t="s">
        <v>37</v>
      </c>
      <c r="E1545" s="2">
        <v>44397</v>
      </c>
      <c r="F1545" s="2">
        <v>45238</v>
      </c>
      <c r="G1545" s="1" t="s">
        <v>38</v>
      </c>
      <c r="H1545">
        <v>1250</v>
      </c>
      <c r="I1545">
        <v>8</v>
      </c>
      <c r="J1545">
        <v>3</v>
      </c>
      <c r="K1545">
        <v>76.92</v>
      </c>
      <c r="L1545">
        <v>10</v>
      </c>
      <c r="M1545" s="1" t="s">
        <v>65</v>
      </c>
      <c r="N1545" s="1" t="s">
        <v>56</v>
      </c>
      <c r="O1545">
        <v>9875</v>
      </c>
      <c r="P1545" t="b">
        <v>1</v>
      </c>
      <c r="Q1545">
        <v>0.66666666666666663</v>
      </c>
      <c r="R1545">
        <v>1234.375</v>
      </c>
      <c r="S1545">
        <v>19.23</v>
      </c>
      <c r="T1545" s="2">
        <v>44378</v>
      </c>
      <c r="U1545" s="1" t="s">
        <v>57</v>
      </c>
      <c r="V1545">
        <v>0</v>
      </c>
      <c r="W1545" s="1" t="s">
        <v>56</v>
      </c>
      <c r="X1545">
        <v>841</v>
      </c>
      <c r="Y1545" s="1" t="s">
        <v>43</v>
      </c>
      <c r="Z1545" s="1" t="s">
        <v>42</v>
      </c>
      <c r="AA1545">
        <v>0.33333333333333331</v>
      </c>
      <c r="AB1545" s="1" t="s">
        <v>52</v>
      </c>
      <c r="AC1545">
        <v>1</v>
      </c>
      <c r="AD1545" s="2">
        <v>44378</v>
      </c>
      <c r="AE1545" s="1" t="s">
        <v>74</v>
      </c>
      <c r="AF1545" s="1" t="s">
        <v>72</v>
      </c>
      <c r="AG1545" s="1" t="s">
        <v>63</v>
      </c>
      <c r="AH1545" s="1" t="s">
        <v>47</v>
      </c>
      <c r="AI1545">
        <v>10000</v>
      </c>
      <c r="AJ1545">
        <v>-125</v>
      </c>
    </row>
    <row r="1546" spans="1:36" x14ac:dyDescent="0.25">
      <c r="A1546">
        <v>11545</v>
      </c>
      <c r="B1546">
        <v>54</v>
      </c>
      <c r="C1546" s="1" t="s">
        <v>60</v>
      </c>
      <c r="D1546" s="1" t="s">
        <v>71</v>
      </c>
      <c r="E1546" s="2">
        <v>44736</v>
      </c>
      <c r="F1546" s="2">
        <v>44787</v>
      </c>
      <c r="G1546" s="1" t="s">
        <v>38</v>
      </c>
      <c r="H1546">
        <v>1238</v>
      </c>
      <c r="I1546">
        <v>32</v>
      </c>
      <c r="J1546">
        <v>3</v>
      </c>
      <c r="K1546">
        <v>5.17</v>
      </c>
      <c r="L1546">
        <v>10</v>
      </c>
      <c r="M1546" s="1" t="s">
        <v>50</v>
      </c>
      <c r="N1546" s="1" t="s">
        <v>56</v>
      </c>
      <c r="O1546">
        <v>39492.199999999997</v>
      </c>
      <c r="P1546" t="b">
        <v>1</v>
      </c>
      <c r="Q1546">
        <v>2.6666666666666665</v>
      </c>
      <c r="R1546">
        <v>1234.1312499999999</v>
      </c>
      <c r="S1546">
        <v>1.2925</v>
      </c>
      <c r="T1546" s="2">
        <v>44713</v>
      </c>
      <c r="U1546" s="1" t="s">
        <v>41</v>
      </c>
      <c r="V1546">
        <v>0</v>
      </c>
      <c r="W1546" s="1" t="s">
        <v>40</v>
      </c>
      <c r="X1546">
        <v>51</v>
      </c>
      <c r="Y1546" s="1" t="s">
        <v>42</v>
      </c>
      <c r="Z1546" s="1" t="s">
        <v>42</v>
      </c>
      <c r="AA1546">
        <v>9.0909090909090912E-2</v>
      </c>
      <c r="AB1546" s="1" t="s">
        <v>43</v>
      </c>
      <c r="AC1546">
        <v>1</v>
      </c>
      <c r="AD1546" s="2">
        <v>44713</v>
      </c>
      <c r="AE1546" s="1" t="s">
        <v>44</v>
      </c>
      <c r="AF1546" s="1" t="s">
        <v>72</v>
      </c>
      <c r="AG1546" s="1" t="s">
        <v>77</v>
      </c>
      <c r="AH1546" s="1" t="s">
        <v>47</v>
      </c>
      <c r="AI1546">
        <v>39616</v>
      </c>
      <c r="AJ1546">
        <v>-123.80000000000291</v>
      </c>
    </row>
    <row r="1547" spans="1:36" x14ac:dyDescent="0.25">
      <c r="A1547">
        <v>11546</v>
      </c>
      <c r="B1547">
        <v>42</v>
      </c>
      <c r="C1547" s="1" t="s">
        <v>60</v>
      </c>
      <c r="D1547" s="1" t="s">
        <v>61</v>
      </c>
      <c r="E1547" s="2">
        <v>44743</v>
      </c>
      <c r="F1547" s="2">
        <v>44534</v>
      </c>
      <c r="G1547" s="1" t="s">
        <v>62</v>
      </c>
      <c r="H1547">
        <v>1256</v>
      </c>
      <c r="I1547">
        <v>18</v>
      </c>
      <c r="J1547">
        <v>2</v>
      </c>
      <c r="K1547">
        <v>45.61</v>
      </c>
      <c r="L1547">
        <v>10</v>
      </c>
      <c r="M1547" s="1" t="s">
        <v>39</v>
      </c>
      <c r="N1547" s="1" t="s">
        <v>56</v>
      </c>
      <c r="O1547">
        <v>22608</v>
      </c>
      <c r="P1547" t="b">
        <v>0</v>
      </c>
      <c r="Q1547">
        <v>1.5</v>
      </c>
      <c r="R1547">
        <v>1256</v>
      </c>
      <c r="S1547">
        <v>15.203333333333333</v>
      </c>
      <c r="T1547" s="2">
        <v>44743</v>
      </c>
      <c r="U1547" s="1" t="s">
        <v>51</v>
      </c>
      <c r="V1547">
        <v>0</v>
      </c>
      <c r="W1547" s="1" t="s">
        <v>40</v>
      </c>
      <c r="Y1547" s="1" t="s">
        <v>52</v>
      </c>
      <c r="Z1547" s="1" t="s">
        <v>42</v>
      </c>
      <c r="AA1547">
        <v>0.10526315789473684</v>
      </c>
      <c r="AB1547" s="1" t="s">
        <v>43</v>
      </c>
      <c r="AC1547">
        <v>2</v>
      </c>
      <c r="AD1547" s="2">
        <v>44743</v>
      </c>
      <c r="AE1547" s="1" t="s">
        <v>53</v>
      </c>
      <c r="AF1547" s="1" t="s">
        <v>72</v>
      </c>
      <c r="AG1547" s="1" t="s">
        <v>63</v>
      </c>
      <c r="AH1547" s="1" t="s">
        <v>47</v>
      </c>
      <c r="AI1547">
        <v>22608</v>
      </c>
      <c r="AJ1547">
        <v>0</v>
      </c>
    </row>
    <row r="1548" spans="1:36" x14ac:dyDescent="0.25">
      <c r="A1548">
        <v>11547</v>
      </c>
      <c r="B1548">
        <v>18</v>
      </c>
      <c r="C1548" s="1" t="s">
        <v>36</v>
      </c>
      <c r="D1548" s="1" t="s">
        <v>71</v>
      </c>
      <c r="E1548" s="2">
        <v>44833</v>
      </c>
      <c r="F1548" s="2">
        <v>45178</v>
      </c>
      <c r="G1548" s="1" t="s">
        <v>62</v>
      </c>
      <c r="H1548">
        <v>1193</v>
      </c>
      <c r="I1548">
        <v>18</v>
      </c>
      <c r="J1548">
        <v>1</v>
      </c>
      <c r="K1548">
        <v>103.65</v>
      </c>
      <c r="L1548">
        <v>0</v>
      </c>
      <c r="M1548" s="1" t="s">
        <v>65</v>
      </c>
      <c r="N1548" s="1" t="s">
        <v>56</v>
      </c>
      <c r="O1548">
        <v>21474</v>
      </c>
      <c r="P1548" t="b">
        <v>1</v>
      </c>
      <c r="Q1548">
        <v>1.5</v>
      </c>
      <c r="R1548">
        <v>1193</v>
      </c>
      <c r="S1548">
        <v>51.825000000000003</v>
      </c>
      <c r="T1548" s="2">
        <v>44805</v>
      </c>
      <c r="U1548" s="1" t="s">
        <v>66</v>
      </c>
      <c r="V1548">
        <v>0</v>
      </c>
      <c r="W1548" s="1" t="s">
        <v>40</v>
      </c>
      <c r="X1548">
        <v>345</v>
      </c>
      <c r="Y1548" s="1" t="s">
        <v>43</v>
      </c>
      <c r="Z1548" s="1" t="s">
        <v>42</v>
      </c>
      <c r="AA1548">
        <v>5.2631578947368418E-2</v>
      </c>
      <c r="AB1548" s="1" t="s">
        <v>43</v>
      </c>
      <c r="AC1548">
        <v>2</v>
      </c>
      <c r="AD1548" s="2">
        <v>44805</v>
      </c>
      <c r="AE1548" s="1" t="s">
        <v>53</v>
      </c>
      <c r="AF1548" s="1" t="s">
        <v>54</v>
      </c>
      <c r="AG1548" s="1" t="s">
        <v>63</v>
      </c>
      <c r="AH1548" s="1" t="s">
        <v>47</v>
      </c>
      <c r="AI1548">
        <v>21474</v>
      </c>
      <c r="AJ1548">
        <v>0</v>
      </c>
    </row>
    <row r="1549" spans="1:36" x14ac:dyDescent="0.25">
      <c r="A1549">
        <v>11548</v>
      </c>
      <c r="B1549">
        <v>63</v>
      </c>
      <c r="C1549" s="1" t="s">
        <v>36</v>
      </c>
      <c r="D1549" s="1" t="s">
        <v>37</v>
      </c>
      <c r="E1549" s="2">
        <v>44590</v>
      </c>
      <c r="F1549" s="2">
        <v>44714</v>
      </c>
      <c r="G1549" s="1" t="s">
        <v>62</v>
      </c>
      <c r="H1549">
        <v>734</v>
      </c>
      <c r="I1549">
        <v>16</v>
      </c>
      <c r="J1549">
        <v>3</v>
      </c>
      <c r="K1549">
        <v>8.14</v>
      </c>
      <c r="L1549">
        <v>5</v>
      </c>
      <c r="M1549" s="1" t="s">
        <v>39</v>
      </c>
      <c r="N1549" s="1" t="s">
        <v>40</v>
      </c>
      <c r="O1549">
        <v>11707.3</v>
      </c>
      <c r="P1549" t="b">
        <v>1</v>
      </c>
      <c r="Q1549">
        <v>1.3333333333333333</v>
      </c>
      <c r="R1549">
        <v>731.70624999999995</v>
      </c>
      <c r="S1549">
        <v>2.0350000000000001</v>
      </c>
      <c r="T1549" s="2">
        <v>44562</v>
      </c>
      <c r="U1549" s="1" t="s">
        <v>41</v>
      </c>
      <c r="V1549">
        <v>1</v>
      </c>
      <c r="W1549" s="1" t="s">
        <v>56</v>
      </c>
      <c r="X1549">
        <v>124</v>
      </c>
      <c r="Y1549" s="1" t="s">
        <v>42</v>
      </c>
      <c r="Z1549" s="1" t="s">
        <v>42</v>
      </c>
      <c r="AA1549">
        <v>0.17647058823529413</v>
      </c>
      <c r="AB1549" s="1" t="s">
        <v>52</v>
      </c>
      <c r="AC1549">
        <v>2</v>
      </c>
      <c r="AD1549" s="2">
        <v>44562</v>
      </c>
      <c r="AE1549" s="1" t="s">
        <v>53</v>
      </c>
      <c r="AF1549" s="1" t="s">
        <v>72</v>
      </c>
      <c r="AG1549" s="1" t="s">
        <v>77</v>
      </c>
      <c r="AH1549" s="1" t="s">
        <v>59</v>
      </c>
      <c r="AI1549">
        <v>11744</v>
      </c>
      <c r="AJ1549">
        <v>-36.700000000000728</v>
      </c>
    </row>
    <row r="1550" spans="1:36" x14ac:dyDescent="0.25">
      <c r="A1550">
        <v>11549</v>
      </c>
      <c r="B1550">
        <v>32</v>
      </c>
      <c r="C1550" s="1" t="s">
        <v>60</v>
      </c>
      <c r="D1550" s="1" t="s">
        <v>48</v>
      </c>
      <c r="E1550" s="2">
        <v>45029</v>
      </c>
      <c r="F1550" s="2">
        <v>44436</v>
      </c>
      <c r="G1550" s="1" t="s">
        <v>38</v>
      </c>
      <c r="H1550">
        <v>670</v>
      </c>
      <c r="I1550">
        <v>21</v>
      </c>
      <c r="J1550">
        <v>1</v>
      </c>
      <c r="K1550">
        <v>5.37</v>
      </c>
      <c r="L1550">
        <v>5</v>
      </c>
      <c r="M1550" s="1" t="s">
        <v>67</v>
      </c>
      <c r="N1550" s="1" t="s">
        <v>56</v>
      </c>
      <c r="O1550">
        <v>14036.5</v>
      </c>
      <c r="P1550" t="b">
        <v>0</v>
      </c>
      <c r="Q1550">
        <v>1.75</v>
      </c>
      <c r="R1550">
        <v>668.40476190476193</v>
      </c>
      <c r="S1550">
        <v>2.6850000000000001</v>
      </c>
      <c r="T1550" s="2">
        <v>45017</v>
      </c>
      <c r="U1550" s="1" t="s">
        <v>57</v>
      </c>
      <c r="V1550">
        <v>0</v>
      </c>
      <c r="W1550" s="1" t="s">
        <v>40</v>
      </c>
      <c r="Y1550" s="1" t="s">
        <v>42</v>
      </c>
      <c r="Z1550" s="1" t="s">
        <v>42</v>
      </c>
      <c r="AA1550">
        <v>4.5454545454545456E-2</v>
      </c>
      <c r="AB1550" s="1" t="s">
        <v>52</v>
      </c>
      <c r="AC1550">
        <v>1</v>
      </c>
      <c r="AD1550" s="2">
        <v>45017</v>
      </c>
      <c r="AE1550" s="1" t="s">
        <v>53</v>
      </c>
      <c r="AF1550" s="1" t="s">
        <v>54</v>
      </c>
      <c r="AG1550" s="1" t="s">
        <v>77</v>
      </c>
      <c r="AH1550" s="1" t="s">
        <v>64</v>
      </c>
      <c r="AI1550">
        <v>14070</v>
      </c>
      <c r="AJ1550">
        <v>-33.5</v>
      </c>
    </row>
    <row r="1551" spans="1:36" x14ac:dyDescent="0.25">
      <c r="A1551">
        <v>11550</v>
      </c>
      <c r="B1551">
        <v>26</v>
      </c>
      <c r="C1551" s="1" t="s">
        <v>36</v>
      </c>
      <c r="D1551" s="1" t="s">
        <v>71</v>
      </c>
      <c r="E1551" s="2">
        <v>44238</v>
      </c>
      <c r="F1551" s="2">
        <v>44534</v>
      </c>
      <c r="G1551" s="1" t="s">
        <v>38</v>
      </c>
      <c r="H1551">
        <v>1232</v>
      </c>
      <c r="I1551">
        <v>10</v>
      </c>
      <c r="J1551">
        <v>3</v>
      </c>
      <c r="K1551">
        <v>37.340000000000003</v>
      </c>
      <c r="L1551">
        <v>0</v>
      </c>
      <c r="M1551" s="1" t="s">
        <v>65</v>
      </c>
      <c r="N1551" s="1" t="s">
        <v>56</v>
      </c>
      <c r="O1551">
        <v>12320</v>
      </c>
      <c r="P1551" t="b">
        <v>1</v>
      </c>
      <c r="Q1551">
        <v>0.83333333333333337</v>
      </c>
      <c r="R1551">
        <v>1232</v>
      </c>
      <c r="S1551">
        <v>9.3350000000000009</v>
      </c>
      <c r="T1551" s="2">
        <v>44228</v>
      </c>
      <c r="U1551" s="1" t="s">
        <v>57</v>
      </c>
      <c r="V1551">
        <v>0</v>
      </c>
      <c r="W1551" s="1" t="s">
        <v>56</v>
      </c>
      <c r="X1551">
        <v>296</v>
      </c>
      <c r="Y1551" s="1" t="s">
        <v>52</v>
      </c>
      <c r="Z1551" s="1" t="s">
        <v>42</v>
      </c>
      <c r="AA1551">
        <v>0.27272727272727271</v>
      </c>
      <c r="AB1551" s="1" t="s">
        <v>52</v>
      </c>
      <c r="AC1551">
        <v>1</v>
      </c>
      <c r="AD1551" s="2">
        <v>44228</v>
      </c>
      <c r="AE1551" s="1" t="s">
        <v>74</v>
      </c>
      <c r="AF1551" s="1" t="s">
        <v>72</v>
      </c>
      <c r="AG1551" s="1" t="s">
        <v>55</v>
      </c>
      <c r="AH1551" s="1" t="s">
        <v>47</v>
      </c>
      <c r="AI1551">
        <v>12320</v>
      </c>
      <c r="AJ1551">
        <v>0</v>
      </c>
    </row>
    <row r="1552" spans="1:36" x14ac:dyDescent="0.25">
      <c r="A1552">
        <v>11551</v>
      </c>
      <c r="B1552">
        <v>32</v>
      </c>
      <c r="C1552" s="1" t="s">
        <v>36</v>
      </c>
      <c r="D1552" s="1" t="s">
        <v>73</v>
      </c>
      <c r="E1552" s="2">
        <v>44793</v>
      </c>
      <c r="F1552" s="2">
        <v>45166</v>
      </c>
      <c r="G1552" s="1" t="s">
        <v>62</v>
      </c>
      <c r="H1552">
        <v>548</v>
      </c>
      <c r="I1552">
        <v>4</v>
      </c>
      <c r="J1552">
        <v>3</v>
      </c>
      <c r="K1552">
        <v>110.11</v>
      </c>
      <c r="L1552">
        <v>10</v>
      </c>
      <c r="M1552" s="1" t="s">
        <v>67</v>
      </c>
      <c r="N1552" s="1" t="s">
        <v>56</v>
      </c>
      <c r="O1552">
        <v>2137.1999999999998</v>
      </c>
      <c r="P1552" t="b">
        <v>1</v>
      </c>
      <c r="Q1552">
        <v>0.33333333333333331</v>
      </c>
      <c r="R1552">
        <v>534.29999999999995</v>
      </c>
      <c r="S1552">
        <v>27.5275</v>
      </c>
      <c r="T1552" s="2">
        <v>44774</v>
      </c>
      <c r="U1552" s="1" t="s">
        <v>57</v>
      </c>
      <c r="V1552">
        <v>0</v>
      </c>
      <c r="W1552" s="1" t="s">
        <v>56</v>
      </c>
      <c r="X1552">
        <v>373</v>
      </c>
      <c r="Y1552" s="1" t="s">
        <v>43</v>
      </c>
      <c r="Z1552" s="1" t="s">
        <v>42</v>
      </c>
      <c r="AA1552">
        <v>0.6</v>
      </c>
      <c r="AB1552" s="1" t="s">
        <v>42</v>
      </c>
      <c r="AC1552">
        <v>2</v>
      </c>
      <c r="AD1552" s="2">
        <v>44774</v>
      </c>
      <c r="AE1552" s="1" t="s">
        <v>58</v>
      </c>
      <c r="AF1552" s="1" t="s">
        <v>72</v>
      </c>
      <c r="AG1552" s="1" t="s">
        <v>63</v>
      </c>
      <c r="AH1552" s="1" t="s">
        <v>64</v>
      </c>
      <c r="AI1552">
        <v>2192</v>
      </c>
      <c r="AJ1552">
        <v>-54.800000000000182</v>
      </c>
    </row>
    <row r="1553" spans="1:36" x14ac:dyDescent="0.25">
      <c r="A1553">
        <v>11552</v>
      </c>
      <c r="B1553">
        <v>41</v>
      </c>
      <c r="C1553" s="1" t="s">
        <v>36</v>
      </c>
      <c r="D1553" s="1" t="s">
        <v>61</v>
      </c>
      <c r="E1553" s="2">
        <v>44589</v>
      </c>
      <c r="F1553" s="2">
        <v>44479</v>
      </c>
      <c r="G1553" s="1" t="s">
        <v>38</v>
      </c>
      <c r="H1553">
        <v>1190</v>
      </c>
      <c r="I1553">
        <v>8</v>
      </c>
      <c r="J1553">
        <v>3</v>
      </c>
      <c r="K1553">
        <v>108.67</v>
      </c>
      <c r="L1553">
        <v>20</v>
      </c>
      <c r="M1553" s="1" t="s">
        <v>50</v>
      </c>
      <c r="N1553" s="1" t="s">
        <v>56</v>
      </c>
      <c r="O1553">
        <v>9282</v>
      </c>
      <c r="P1553" t="b">
        <v>0</v>
      </c>
      <c r="Q1553">
        <v>0.66666666666666663</v>
      </c>
      <c r="R1553">
        <v>1160.25</v>
      </c>
      <c r="S1553">
        <v>27.1675</v>
      </c>
      <c r="T1553" s="2">
        <v>44562</v>
      </c>
      <c r="U1553" s="1" t="s">
        <v>51</v>
      </c>
      <c r="V1553">
        <v>0</v>
      </c>
      <c r="W1553" s="1" t="s">
        <v>56</v>
      </c>
      <c r="Y1553" s="1" t="s">
        <v>43</v>
      </c>
      <c r="Z1553" s="1" t="s">
        <v>52</v>
      </c>
      <c r="AA1553">
        <v>0.33333333333333331</v>
      </c>
      <c r="AB1553" s="1" t="s">
        <v>52</v>
      </c>
      <c r="AC1553">
        <v>1</v>
      </c>
      <c r="AD1553" s="2">
        <v>44562</v>
      </c>
      <c r="AE1553" s="1" t="s">
        <v>74</v>
      </c>
      <c r="AF1553" s="1" t="s">
        <v>72</v>
      </c>
      <c r="AG1553" s="1" t="s">
        <v>63</v>
      </c>
      <c r="AH1553" s="1" t="s">
        <v>47</v>
      </c>
      <c r="AI1553">
        <v>9520</v>
      </c>
      <c r="AJ1553">
        <v>-238</v>
      </c>
    </row>
    <row r="1554" spans="1:36" x14ac:dyDescent="0.25">
      <c r="A1554">
        <v>11553</v>
      </c>
      <c r="B1554">
        <v>21</v>
      </c>
      <c r="C1554" s="1" t="s">
        <v>36</v>
      </c>
      <c r="D1554" s="1" t="s">
        <v>61</v>
      </c>
      <c r="E1554" s="2">
        <v>44896</v>
      </c>
      <c r="F1554" s="2">
        <v>45219</v>
      </c>
      <c r="G1554" s="1" t="s">
        <v>49</v>
      </c>
      <c r="H1554">
        <v>480</v>
      </c>
      <c r="I1554">
        <v>19</v>
      </c>
      <c r="J1554">
        <v>2</v>
      </c>
      <c r="K1554">
        <v>64.66</v>
      </c>
      <c r="L1554">
        <v>10</v>
      </c>
      <c r="M1554" s="1" t="s">
        <v>50</v>
      </c>
      <c r="N1554" s="1" t="s">
        <v>40</v>
      </c>
      <c r="O1554">
        <v>9072</v>
      </c>
      <c r="P1554" t="b">
        <v>1</v>
      </c>
      <c r="Q1554">
        <v>1.5833333333333333</v>
      </c>
      <c r="R1554">
        <v>477.4736842105263</v>
      </c>
      <c r="S1554">
        <v>21.553333333333331</v>
      </c>
      <c r="T1554" s="2">
        <v>44896</v>
      </c>
      <c r="U1554" s="1" t="s">
        <v>66</v>
      </c>
      <c r="V1554">
        <v>1</v>
      </c>
      <c r="W1554" s="1" t="s">
        <v>56</v>
      </c>
      <c r="X1554">
        <v>323</v>
      </c>
      <c r="Y1554" s="1" t="s">
        <v>43</v>
      </c>
      <c r="Z1554" s="1" t="s">
        <v>42</v>
      </c>
      <c r="AA1554">
        <v>0.1</v>
      </c>
      <c r="AB1554" s="1" t="s">
        <v>52</v>
      </c>
      <c r="AC1554">
        <v>3</v>
      </c>
      <c r="AD1554" s="2">
        <v>44896</v>
      </c>
      <c r="AE1554" s="1" t="s">
        <v>53</v>
      </c>
      <c r="AF1554" s="1" t="s">
        <v>72</v>
      </c>
      <c r="AG1554" s="1" t="s">
        <v>63</v>
      </c>
      <c r="AH1554" s="1" t="s">
        <v>68</v>
      </c>
      <c r="AI1554">
        <v>9120</v>
      </c>
      <c r="AJ1554">
        <v>-48</v>
      </c>
    </row>
    <row r="1555" spans="1:36" x14ac:dyDescent="0.25">
      <c r="A1555">
        <v>11554</v>
      </c>
      <c r="B1555">
        <v>29</v>
      </c>
      <c r="C1555" s="1" t="s">
        <v>60</v>
      </c>
      <c r="D1555" s="1" t="s">
        <v>48</v>
      </c>
      <c r="E1555" s="2">
        <v>44819</v>
      </c>
      <c r="F1555" s="2">
        <v>44982</v>
      </c>
      <c r="G1555" s="1" t="s">
        <v>62</v>
      </c>
      <c r="H1555">
        <v>1002</v>
      </c>
      <c r="I1555">
        <v>9</v>
      </c>
      <c r="J1555">
        <v>3</v>
      </c>
      <c r="K1555">
        <v>68.62</v>
      </c>
      <c r="L1555">
        <v>20</v>
      </c>
      <c r="M1555" s="1" t="s">
        <v>67</v>
      </c>
      <c r="N1555" s="1" t="s">
        <v>40</v>
      </c>
      <c r="O1555">
        <v>8817.6</v>
      </c>
      <c r="P1555" t="b">
        <v>1</v>
      </c>
      <c r="Q1555">
        <v>0.75</v>
      </c>
      <c r="R1555">
        <v>979.73333333333335</v>
      </c>
      <c r="S1555">
        <v>17.155000000000001</v>
      </c>
      <c r="T1555" s="2">
        <v>44805</v>
      </c>
      <c r="U1555" s="1" t="s">
        <v>57</v>
      </c>
      <c r="V1555">
        <v>1</v>
      </c>
      <c r="W1555" s="1" t="s">
        <v>56</v>
      </c>
      <c r="X1555">
        <v>163</v>
      </c>
      <c r="Y1555" s="1" t="s">
        <v>43</v>
      </c>
      <c r="Z1555" s="1" t="s">
        <v>52</v>
      </c>
      <c r="AA1555">
        <v>0.3</v>
      </c>
      <c r="AB1555" s="1" t="s">
        <v>42</v>
      </c>
      <c r="AC1555">
        <v>2</v>
      </c>
      <c r="AD1555" s="2">
        <v>44805</v>
      </c>
      <c r="AE1555" s="1" t="s">
        <v>74</v>
      </c>
      <c r="AF1555" s="1" t="s">
        <v>72</v>
      </c>
      <c r="AG1555" s="1" t="s">
        <v>63</v>
      </c>
      <c r="AH1555" s="1" t="s">
        <v>47</v>
      </c>
      <c r="AI1555">
        <v>9018</v>
      </c>
      <c r="AJ1555">
        <v>-200.39999999999964</v>
      </c>
    </row>
    <row r="1556" spans="1:36" x14ac:dyDescent="0.25">
      <c r="A1556">
        <v>11555</v>
      </c>
      <c r="B1556">
        <v>54</v>
      </c>
      <c r="C1556" s="1" t="s">
        <v>75</v>
      </c>
      <c r="D1556" s="1" t="s">
        <v>76</v>
      </c>
      <c r="E1556" s="2">
        <v>44979</v>
      </c>
      <c r="F1556" s="2">
        <v>44907</v>
      </c>
      <c r="G1556" s="1" t="s">
        <v>62</v>
      </c>
      <c r="H1556">
        <v>1298</v>
      </c>
      <c r="I1556">
        <v>30</v>
      </c>
      <c r="J1556">
        <v>1</v>
      </c>
      <c r="K1556">
        <v>43.18</v>
      </c>
      <c r="L1556">
        <v>0</v>
      </c>
      <c r="M1556" s="1" t="s">
        <v>50</v>
      </c>
      <c r="N1556" s="1" t="s">
        <v>56</v>
      </c>
      <c r="O1556">
        <v>38940</v>
      </c>
      <c r="P1556" t="b">
        <v>0</v>
      </c>
      <c r="Q1556">
        <v>2.5</v>
      </c>
      <c r="R1556">
        <v>1298</v>
      </c>
      <c r="S1556">
        <v>21.59</v>
      </c>
      <c r="T1556" s="2">
        <v>44958</v>
      </c>
      <c r="U1556" s="1" t="s">
        <v>41</v>
      </c>
      <c r="V1556">
        <v>0</v>
      </c>
      <c r="W1556" s="1" t="s">
        <v>40</v>
      </c>
      <c r="Y1556" s="1" t="s">
        <v>52</v>
      </c>
      <c r="Z1556" s="1" t="s">
        <v>42</v>
      </c>
      <c r="AA1556">
        <v>3.2258064516129031E-2</v>
      </c>
      <c r="AB1556" s="1" t="s">
        <v>43</v>
      </c>
      <c r="AC1556">
        <v>2</v>
      </c>
      <c r="AD1556" s="2">
        <v>44958</v>
      </c>
      <c r="AE1556" s="1" t="s">
        <v>44</v>
      </c>
      <c r="AF1556" s="1" t="s">
        <v>54</v>
      </c>
      <c r="AG1556" s="1" t="s">
        <v>55</v>
      </c>
      <c r="AH1556" s="1" t="s">
        <v>47</v>
      </c>
      <c r="AI1556">
        <v>38940</v>
      </c>
      <c r="AJ1556">
        <v>0</v>
      </c>
    </row>
    <row r="1557" spans="1:36" x14ac:dyDescent="0.25">
      <c r="A1557">
        <v>11556</v>
      </c>
      <c r="B1557">
        <v>54</v>
      </c>
      <c r="C1557" s="1" t="s">
        <v>36</v>
      </c>
      <c r="D1557" s="1" t="s">
        <v>37</v>
      </c>
      <c r="E1557" s="2">
        <v>44637</v>
      </c>
      <c r="F1557" s="2">
        <v>45147</v>
      </c>
      <c r="G1557" s="1" t="s">
        <v>62</v>
      </c>
      <c r="H1557">
        <v>377</v>
      </c>
      <c r="I1557">
        <v>17</v>
      </c>
      <c r="J1557">
        <v>2</v>
      </c>
      <c r="K1557">
        <v>33.03</v>
      </c>
      <c r="L1557">
        <v>20</v>
      </c>
      <c r="M1557" s="1" t="s">
        <v>67</v>
      </c>
      <c r="N1557" s="1" t="s">
        <v>56</v>
      </c>
      <c r="O1557">
        <v>6333.6</v>
      </c>
      <c r="P1557" t="b">
        <v>1</v>
      </c>
      <c r="Q1557">
        <v>1.4166666666666667</v>
      </c>
      <c r="R1557">
        <v>372.56470588235294</v>
      </c>
      <c r="S1557">
        <v>11.01</v>
      </c>
      <c r="T1557" s="2">
        <v>44621</v>
      </c>
      <c r="U1557" s="1" t="s">
        <v>41</v>
      </c>
      <c r="V1557">
        <v>0</v>
      </c>
      <c r="W1557" s="1" t="s">
        <v>56</v>
      </c>
      <c r="X1557">
        <v>510</v>
      </c>
      <c r="Y1557" s="1" t="s">
        <v>52</v>
      </c>
      <c r="Z1557" s="1" t="s">
        <v>52</v>
      </c>
      <c r="AA1557">
        <v>0.1111111111111111</v>
      </c>
      <c r="AB1557" s="1" t="s">
        <v>42</v>
      </c>
      <c r="AC1557">
        <v>2</v>
      </c>
      <c r="AD1557" s="2">
        <v>44621</v>
      </c>
      <c r="AE1557" s="1" t="s">
        <v>53</v>
      </c>
      <c r="AF1557" s="1" t="s">
        <v>72</v>
      </c>
      <c r="AG1557" s="1" t="s">
        <v>55</v>
      </c>
      <c r="AH1557" s="1" t="s">
        <v>68</v>
      </c>
      <c r="AI1557">
        <v>6409</v>
      </c>
      <c r="AJ1557">
        <v>-75.399999999999636</v>
      </c>
    </row>
    <row r="1558" spans="1:36" x14ac:dyDescent="0.25">
      <c r="A1558">
        <v>11557</v>
      </c>
      <c r="B1558">
        <v>60</v>
      </c>
      <c r="C1558" s="1" t="s">
        <v>60</v>
      </c>
      <c r="D1558" s="1" t="s">
        <v>48</v>
      </c>
      <c r="E1558" s="2">
        <v>45033</v>
      </c>
      <c r="F1558" s="2">
        <v>44723</v>
      </c>
      <c r="G1558" s="1" t="s">
        <v>62</v>
      </c>
      <c r="H1558">
        <v>1218</v>
      </c>
      <c r="I1558">
        <v>15</v>
      </c>
      <c r="J1558">
        <v>1</v>
      </c>
      <c r="K1558">
        <v>98.75</v>
      </c>
      <c r="L1558">
        <v>5</v>
      </c>
      <c r="M1558" s="1" t="s">
        <v>67</v>
      </c>
      <c r="N1558" s="1" t="s">
        <v>56</v>
      </c>
      <c r="O1558">
        <v>18209.099999999999</v>
      </c>
      <c r="P1558" t="b">
        <v>0</v>
      </c>
      <c r="Q1558">
        <v>1.25</v>
      </c>
      <c r="R1558">
        <v>1213.9399999999998</v>
      </c>
      <c r="S1558">
        <v>49.375</v>
      </c>
      <c r="T1558" s="2">
        <v>45017</v>
      </c>
      <c r="U1558" s="1" t="s">
        <v>41</v>
      </c>
      <c r="V1558">
        <v>0</v>
      </c>
      <c r="W1558" s="1" t="s">
        <v>40</v>
      </c>
      <c r="Y1558" s="1" t="s">
        <v>43</v>
      </c>
      <c r="Z1558" s="1" t="s">
        <v>42</v>
      </c>
      <c r="AA1558">
        <v>6.25E-2</v>
      </c>
      <c r="AB1558" s="1" t="s">
        <v>52</v>
      </c>
      <c r="AC1558">
        <v>2</v>
      </c>
      <c r="AD1558" s="2">
        <v>45017</v>
      </c>
      <c r="AE1558" s="1" t="s">
        <v>53</v>
      </c>
      <c r="AF1558" s="1" t="s">
        <v>54</v>
      </c>
      <c r="AG1558" s="1" t="s">
        <v>63</v>
      </c>
      <c r="AH1558" s="1" t="s">
        <v>47</v>
      </c>
      <c r="AI1558">
        <v>18270</v>
      </c>
      <c r="AJ1558">
        <v>-60.900000000001455</v>
      </c>
    </row>
    <row r="1559" spans="1:36" x14ac:dyDescent="0.25">
      <c r="A1559">
        <v>11558</v>
      </c>
      <c r="B1559">
        <v>23</v>
      </c>
      <c r="C1559" s="1" t="s">
        <v>36</v>
      </c>
      <c r="D1559" s="1" t="s">
        <v>71</v>
      </c>
      <c r="E1559" s="2">
        <v>44813</v>
      </c>
      <c r="F1559" s="2">
        <v>45038</v>
      </c>
      <c r="G1559" s="1" t="s">
        <v>38</v>
      </c>
      <c r="H1559">
        <v>1184</v>
      </c>
      <c r="I1559">
        <v>4</v>
      </c>
      <c r="J1559">
        <v>4</v>
      </c>
      <c r="K1559">
        <v>17.22</v>
      </c>
      <c r="L1559">
        <v>0</v>
      </c>
      <c r="M1559" s="1" t="s">
        <v>67</v>
      </c>
      <c r="N1559" s="1" t="s">
        <v>56</v>
      </c>
      <c r="O1559">
        <v>4736</v>
      </c>
      <c r="P1559" t="b">
        <v>1</v>
      </c>
      <c r="Q1559">
        <v>0.33333333333333331</v>
      </c>
      <c r="R1559">
        <v>1184</v>
      </c>
      <c r="S1559">
        <v>3.444</v>
      </c>
      <c r="T1559" s="2">
        <v>44805</v>
      </c>
      <c r="U1559" s="1" t="s">
        <v>66</v>
      </c>
      <c r="V1559">
        <v>0</v>
      </c>
      <c r="W1559" s="1" t="s">
        <v>56</v>
      </c>
      <c r="X1559">
        <v>225</v>
      </c>
      <c r="Y1559" s="1" t="s">
        <v>42</v>
      </c>
      <c r="Z1559" s="1" t="s">
        <v>42</v>
      </c>
      <c r="AA1559">
        <v>0.8</v>
      </c>
      <c r="AB1559" s="1" t="s">
        <v>42</v>
      </c>
      <c r="AC1559">
        <v>1</v>
      </c>
      <c r="AD1559" s="2">
        <v>44805</v>
      </c>
      <c r="AE1559" s="1" t="s">
        <v>58</v>
      </c>
      <c r="AF1559" s="1" t="s">
        <v>45</v>
      </c>
      <c r="AG1559" s="1" t="s">
        <v>46</v>
      </c>
      <c r="AH1559" s="1" t="s">
        <v>47</v>
      </c>
      <c r="AI1559">
        <v>4736</v>
      </c>
      <c r="AJ1559">
        <v>0</v>
      </c>
    </row>
    <row r="1560" spans="1:36" x14ac:dyDescent="0.25">
      <c r="A1560">
        <v>11559</v>
      </c>
      <c r="B1560">
        <v>56</v>
      </c>
      <c r="C1560" s="1" t="s">
        <v>36</v>
      </c>
      <c r="D1560" s="1" t="s">
        <v>69</v>
      </c>
      <c r="E1560" s="2">
        <v>44702</v>
      </c>
      <c r="F1560" s="2">
        <v>45039</v>
      </c>
      <c r="G1560" s="1" t="s">
        <v>49</v>
      </c>
      <c r="H1560">
        <v>635</v>
      </c>
      <c r="I1560">
        <v>6</v>
      </c>
      <c r="J1560">
        <v>3</v>
      </c>
      <c r="K1560">
        <v>61.05</v>
      </c>
      <c r="L1560">
        <v>15</v>
      </c>
      <c r="M1560" s="1" t="s">
        <v>50</v>
      </c>
      <c r="N1560" s="1" t="s">
        <v>56</v>
      </c>
      <c r="O1560">
        <v>3714.75</v>
      </c>
      <c r="P1560" t="b">
        <v>1</v>
      </c>
      <c r="Q1560">
        <v>0.5</v>
      </c>
      <c r="R1560">
        <v>619.125</v>
      </c>
      <c r="S1560">
        <v>15.262499999999999</v>
      </c>
      <c r="T1560" s="2">
        <v>44682</v>
      </c>
      <c r="U1560" s="1" t="s">
        <v>41</v>
      </c>
      <c r="V1560">
        <v>0</v>
      </c>
      <c r="W1560" s="1" t="s">
        <v>56</v>
      </c>
      <c r="X1560">
        <v>337</v>
      </c>
      <c r="Y1560" s="1" t="s">
        <v>43</v>
      </c>
      <c r="Z1560" s="1" t="s">
        <v>42</v>
      </c>
      <c r="AA1560">
        <v>0.42857142857142855</v>
      </c>
      <c r="AB1560" s="1" t="s">
        <v>42</v>
      </c>
      <c r="AC1560">
        <v>3</v>
      </c>
      <c r="AD1560" s="2">
        <v>44682</v>
      </c>
      <c r="AE1560" s="1" t="s">
        <v>58</v>
      </c>
      <c r="AF1560" s="1" t="s">
        <v>72</v>
      </c>
      <c r="AG1560" s="1" t="s">
        <v>63</v>
      </c>
      <c r="AH1560" s="1" t="s">
        <v>64</v>
      </c>
      <c r="AI1560">
        <v>3810</v>
      </c>
      <c r="AJ1560">
        <v>-95.25</v>
      </c>
    </row>
    <row r="1561" spans="1:36" x14ac:dyDescent="0.25">
      <c r="A1561">
        <v>11560</v>
      </c>
      <c r="B1561">
        <v>63</v>
      </c>
      <c r="C1561" s="1" t="s">
        <v>36</v>
      </c>
      <c r="D1561" s="1" t="s">
        <v>61</v>
      </c>
      <c r="E1561" s="2">
        <v>44516</v>
      </c>
      <c r="F1561" s="2">
        <v>44446</v>
      </c>
      <c r="G1561" s="1" t="s">
        <v>38</v>
      </c>
      <c r="H1561">
        <v>349</v>
      </c>
      <c r="I1561">
        <v>16</v>
      </c>
      <c r="J1561">
        <v>4</v>
      </c>
      <c r="K1561">
        <v>77.959999999999994</v>
      </c>
      <c r="L1561">
        <v>20</v>
      </c>
      <c r="M1561" s="1" t="s">
        <v>50</v>
      </c>
      <c r="N1561" s="1" t="s">
        <v>56</v>
      </c>
      <c r="O1561">
        <v>5514.2</v>
      </c>
      <c r="P1561" t="b">
        <v>0</v>
      </c>
      <c r="Q1561">
        <v>1.3333333333333333</v>
      </c>
      <c r="R1561">
        <v>344.63749999999999</v>
      </c>
      <c r="S1561">
        <v>15.591999999999999</v>
      </c>
      <c r="T1561" s="2">
        <v>44501</v>
      </c>
      <c r="U1561" s="1" t="s">
        <v>41</v>
      </c>
      <c r="V1561">
        <v>0</v>
      </c>
      <c r="W1561" s="1" t="s">
        <v>56</v>
      </c>
      <c r="Y1561" s="1" t="s">
        <v>43</v>
      </c>
      <c r="Z1561" s="1" t="s">
        <v>52</v>
      </c>
      <c r="AA1561">
        <v>0.23529411764705882</v>
      </c>
      <c r="AB1561" s="1" t="s">
        <v>42</v>
      </c>
      <c r="AC1561">
        <v>1</v>
      </c>
      <c r="AD1561" s="2">
        <v>44501</v>
      </c>
      <c r="AE1561" s="1" t="s">
        <v>53</v>
      </c>
      <c r="AF1561" s="1" t="s">
        <v>45</v>
      </c>
      <c r="AG1561" s="1" t="s">
        <v>63</v>
      </c>
      <c r="AH1561" s="1" t="s">
        <v>68</v>
      </c>
      <c r="AI1561">
        <v>5584</v>
      </c>
      <c r="AJ1561">
        <v>-69.800000000000182</v>
      </c>
    </row>
    <row r="1562" spans="1:36" x14ac:dyDescent="0.25">
      <c r="A1562">
        <v>11561</v>
      </c>
      <c r="B1562">
        <v>41</v>
      </c>
      <c r="C1562" s="1" t="s">
        <v>36</v>
      </c>
      <c r="D1562" s="1" t="s">
        <v>37</v>
      </c>
      <c r="E1562" s="2">
        <v>44749</v>
      </c>
      <c r="F1562" s="2">
        <v>45189</v>
      </c>
      <c r="G1562" s="1" t="s">
        <v>62</v>
      </c>
      <c r="H1562">
        <v>384</v>
      </c>
      <c r="I1562">
        <v>26</v>
      </c>
      <c r="J1562">
        <v>4</v>
      </c>
      <c r="K1562">
        <v>16.920000000000002</v>
      </c>
      <c r="L1562">
        <v>20</v>
      </c>
      <c r="M1562" s="1" t="s">
        <v>50</v>
      </c>
      <c r="N1562" s="1" t="s">
        <v>56</v>
      </c>
      <c r="O1562">
        <v>9907.2000000000007</v>
      </c>
      <c r="P1562" t="b">
        <v>1</v>
      </c>
      <c r="Q1562">
        <v>2.1666666666666665</v>
      </c>
      <c r="R1562">
        <v>381.04615384615386</v>
      </c>
      <c r="S1562">
        <v>3.3840000000000003</v>
      </c>
      <c r="T1562" s="2">
        <v>44743</v>
      </c>
      <c r="U1562" s="1" t="s">
        <v>51</v>
      </c>
      <c r="V1562">
        <v>0</v>
      </c>
      <c r="W1562" s="1" t="s">
        <v>56</v>
      </c>
      <c r="X1562">
        <v>440</v>
      </c>
      <c r="Y1562" s="1" t="s">
        <v>42</v>
      </c>
      <c r="Z1562" s="1" t="s">
        <v>52</v>
      </c>
      <c r="AA1562">
        <v>0.14814814814814814</v>
      </c>
      <c r="AB1562" s="1" t="s">
        <v>52</v>
      </c>
      <c r="AC1562">
        <v>2</v>
      </c>
      <c r="AD1562" s="2">
        <v>44743</v>
      </c>
      <c r="AE1562" s="1" t="s">
        <v>44</v>
      </c>
      <c r="AF1562" s="1" t="s">
        <v>45</v>
      </c>
      <c r="AG1562" s="1" t="s">
        <v>46</v>
      </c>
      <c r="AH1562" s="1" t="s">
        <v>68</v>
      </c>
      <c r="AI1562">
        <v>9984</v>
      </c>
      <c r="AJ1562">
        <v>-76.799999999999272</v>
      </c>
    </row>
    <row r="1563" spans="1:36" x14ac:dyDescent="0.25">
      <c r="A1563">
        <v>11562</v>
      </c>
      <c r="B1563">
        <v>41</v>
      </c>
      <c r="C1563" s="1" t="s">
        <v>36</v>
      </c>
      <c r="D1563" s="1" t="s">
        <v>73</v>
      </c>
      <c r="E1563" s="2">
        <v>44411</v>
      </c>
      <c r="F1563" s="2">
        <v>44381</v>
      </c>
      <c r="G1563" s="1" t="s">
        <v>38</v>
      </c>
      <c r="H1563">
        <v>994</v>
      </c>
      <c r="I1563">
        <v>23</v>
      </c>
      <c r="J1563">
        <v>4</v>
      </c>
      <c r="K1563">
        <v>64.75</v>
      </c>
      <c r="L1563">
        <v>15</v>
      </c>
      <c r="M1563" s="1" t="s">
        <v>67</v>
      </c>
      <c r="N1563" s="1" t="s">
        <v>56</v>
      </c>
      <c r="O1563">
        <v>22712.9</v>
      </c>
      <c r="P1563" t="b">
        <v>0</v>
      </c>
      <c r="Q1563">
        <v>1.9166666666666667</v>
      </c>
      <c r="R1563">
        <v>987.51739130434794</v>
      </c>
      <c r="S1563">
        <v>12.95</v>
      </c>
      <c r="T1563" s="2">
        <v>44409</v>
      </c>
      <c r="U1563" s="1" t="s">
        <v>51</v>
      </c>
      <c r="V1563">
        <v>0</v>
      </c>
      <c r="W1563" s="1" t="s">
        <v>40</v>
      </c>
      <c r="Y1563" s="1" t="s">
        <v>43</v>
      </c>
      <c r="Z1563" s="1" t="s">
        <v>42</v>
      </c>
      <c r="AA1563">
        <v>0.16666666666666666</v>
      </c>
      <c r="AB1563" s="1" t="s">
        <v>43</v>
      </c>
      <c r="AC1563">
        <v>1</v>
      </c>
      <c r="AD1563" s="2">
        <v>44409</v>
      </c>
      <c r="AE1563" s="1" t="s">
        <v>53</v>
      </c>
      <c r="AF1563" s="1" t="s">
        <v>45</v>
      </c>
      <c r="AG1563" s="1" t="s">
        <v>63</v>
      </c>
      <c r="AH1563" s="1" t="s">
        <v>59</v>
      </c>
      <c r="AI1563">
        <v>22862</v>
      </c>
      <c r="AJ1563">
        <v>-149.09999999999854</v>
      </c>
    </row>
    <row r="1564" spans="1:36" x14ac:dyDescent="0.25">
      <c r="A1564">
        <v>11563</v>
      </c>
      <c r="B1564">
        <v>30</v>
      </c>
      <c r="C1564" s="1" t="s">
        <v>36</v>
      </c>
      <c r="D1564" s="1" t="s">
        <v>37</v>
      </c>
      <c r="E1564" s="2">
        <v>44267</v>
      </c>
      <c r="F1564" s="2">
        <v>44929</v>
      </c>
      <c r="G1564" s="1" t="s">
        <v>62</v>
      </c>
      <c r="H1564">
        <v>303</v>
      </c>
      <c r="I1564">
        <v>13</v>
      </c>
      <c r="J1564">
        <v>4</v>
      </c>
      <c r="K1564">
        <v>71.41</v>
      </c>
      <c r="L1564">
        <v>10</v>
      </c>
      <c r="M1564" s="1" t="s">
        <v>39</v>
      </c>
      <c r="N1564" s="1" t="s">
        <v>56</v>
      </c>
      <c r="O1564">
        <v>3893.55</v>
      </c>
      <c r="P1564" t="b">
        <v>1</v>
      </c>
      <c r="Q1564">
        <v>1.0833333333333333</v>
      </c>
      <c r="R1564">
        <v>299.50384615384615</v>
      </c>
      <c r="S1564">
        <v>14.282</v>
      </c>
      <c r="T1564" s="2">
        <v>44256</v>
      </c>
      <c r="U1564" s="1" t="s">
        <v>57</v>
      </c>
      <c r="V1564">
        <v>0</v>
      </c>
      <c r="W1564" s="1" t="s">
        <v>56</v>
      </c>
      <c r="X1564">
        <v>662</v>
      </c>
      <c r="Y1564" s="1" t="s">
        <v>43</v>
      </c>
      <c r="Z1564" s="1" t="s">
        <v>42</v>
      </c>
      <c r="AA1564">
        <v>0.2857142857142857</v>
      </c>
      <c r="AB1564" s="1" t="s">
        <v>42</v>
      </c>
      <c r="AC1564">
        <v>2</v>
      </c>
      <c r="AD1564" s="2">
        <v>44256</v>
      </c>
      <c r="AE1564" s="1" t="s">
        <v>53</v>
      </c>
      <c r="AF1564" s="1" t="s">
        <v>45</v>
      </c>
      <c r="AG1564" s="1" t="s">
        <v>63</v>
      </c>
      <c r="AH1564" s="1" t="s">
        <v>68</v>
      </c>
      <c r="AI1564">
        <v>3939</v>
      </c>
      <c r="AJ1564">
        <v>-45.449999999999818</v>
      </c>
    </row>
    <row r="1565" spans="1:36" x14ac:dyDescent="0.25">
      <c r="A1565">
        <v>11564</v>
      </c>
      <c r="B1565">
        <v>51</v>
      </c>
      <c r="C1565" s="1" t="s">
        <v>36</v>
      </c>
      <c r="D1565" s="1" t="s">
        <v>73</v>
      </c>
      <c r="E1565" s="2">
        <v>44764</v>
      </c>
      <c r="F1565" s="2">
        <v>44518</v>
      </c>
      <c r="G1565" s="1" t="s">
        <v>38</v>
      </c>
      <c r="H1565">
        <v>1292</v>
      </c>
      <c r="I1565">
        <v>17</v>
      </c>
      <c r="J1565">
        <v>1</v>
      </c>
      <c r="K1565">
        <v>90.39</v>
      </c>
      <c r="L1565">
        <v>0</v>
      </c>
      <c r="M1565" s="1" t="s">
        <v>50</v>
      </c>
      <c r="N1565" s="1" t="s">
        <v>56</v>
      </c>
      <c r="O1565">
        <v>21964</v>
      </c>
      <c r="P1565" t="b">
        <v>0</v>
      </c>
      <c r="Q1565">
        <v>1.4166666666666667</v>
      </c>
      <c r="R1565">
        <v>1292</v>
      </c>
      <c r="S1565">
        <v>45.195</v>
      </c>
      <c r="T1565" s="2">
        <v>44743</v>
      </c>
      <c r="U1565" s="1" t="s">
        <v>41</v>
      </c>
      <c r="V1565">
        <v>0</v>
      </c>
      <c r="W1565" s="1" t="s">
        <v>40</v>
      </c>
      <c r="Y1565" s="1" t="s">
        <v>43</v>
      </c>
      <c r="Z1565" s="1" t="s">
        <v>42</v>
      </c>
      <c r="AA1565">
        <v>5.5555555555555552E-2</v>
      </c>
      <c r="AB1565" s="1" t="s">
        <v>43</v>
      </c>
      <c r="AC1565">
        <v>1</v>
      </c>
      <c r="AD1565" s="2">
        <v>44743</v>
      </c>
      <c r="AE1565" s="1" t="s">
        <v>53</v>
      </c>
      <c r="AF1565" s="1" t="s">
        <v>54</v>
      </c>
      <c r="AG1565" s="1" t="s">
        <v>63</v>
      </c>
      <c r="AH1565" s="1" t="s">
        <v>47</v>
      </c>
      <c r="AI1565">
        <v>21964</v>
      </c>
      <c r="AJ1565">
        <v>0</v>
      </c>
    </row>
    <row r="1566" spans="1:36" x14ac:dyDescent="0.25">
      <c r="A1566">
        <v>11565</v>
      </c>
      <c r="B1566">
        <v>41</v>
      </c>
      <c r="C1566" s="1" t="s">
        <v>36</v>
      </c>
      <c r="D1566" s="1" t="s">
        <v>37</v>
      </c>
      <c r="E1566" s="2">
        <v>44432</v>
      </c>
      <c r="F1566" s="2">
        <v>44713</v>
      </c>
      <c r="G1566" s="1" t="s">
        <v>38</v>
      </c>
      <c r="H1566">
        <v>616</v>
      </c>
      <c r="I1566">
        <v>27</v>
      </c>
      <c r="J1566">
        <v>0</v>
      </c>
      <c r="K1566">
        <v>32.01</v>
      </c>
      <c r="L1566">
        <v>10</v>
      </c>
      <c r="M1566" s="1" t="s">
        <v>39</v>
      </c>
      <c r="N1566" s="1" t="s">
        <v>40</v>
      </c>
      <c r="O1566">
        <v>16570.400000000001</v>
      </c>
      <c r="P1566" t="b">
        <v>1</v>
      </c>
      <c r="Q1566">
        <v>2.25</v>
      </c>
      <c r="R1566">
        <v>613.71851851851852</v>
      </c>
      <c r="S1566">
        <v>32.01</v>
      </c>
      <c r="T1566" s="2">
        <v>44409</v>
      </c>
      <c r="U1566" s="1" t="s">
        <v>51</v>
      </c>
      <c r="V1566">
        <v>1</v>
      </c>
      <c r="W1566" s="1" t="s">
        <v>40</v>
      </c>
      <c r="X1566">
        <v>281</v>
      </c>
      <c r="Y1566" s="1" t="s">
        <v>52</v>
      </c>
      <c r="Z1566" s="1" t="s">
        <v>42</v>
      </c>
      <c r="AA1566">
        <v>0</v>
      </c>
      <c r="AB1566" s="1" t="s">
        <v>52</v>
      </c>
      <c r="AC1566">
        <v>1</v>
      </c>
      <c r="AD1566" s="2">
        <v>44409</v>
      </c>
      <c r="AE1566" s="1" t="s">
        <v>44</v>
      </c>
      <c r="AF1566" s="1" t="s">
        <v>54</v>
      </c>
      <c r="AG1566" s="1" t="s">
        <v>55</v>
      </c>
      <c r="AH1566" s="1" t="s">
        <v>64</v>
      </c>
      <c r="AI1566">
        <v>16632</v>
      </c>
      <c r="AJ1566">
        <v>-61.599999999998545</v>
      </c>
    </row>
    <row r="1567" spans="1:36" x14ac:dyDescent="0.25">
      <c r="A1567">
        <v>11566</v>
      </c>
      <c r="B1567">
        <v>24</v>
      </c>
      <c r="C1567" s="1" t="s">
        <v>60</v>
      </c>
      <c r="D1567" s="1" t="s">
        <v>61</v>
      </c>
      <c r="E1567" s="2">
        <v>44477</v>
      </c>
      <c r="F1567" s="2">
        <v>45131</v>
      </c>
      <c r="G1567" s="1" t="s">
        <v>49</v>
      </c>
      <c r="H1567">
        <v>1434</v>
      </c>
      <c r="I1567">
        <v>22</v>
      </c>
      <c r="J1567">
        <v>0</v>
      </c>
      <c r="K1567">
        <v>38.729999999999997</v>
      </c>
      <c r="L1567">
        <v>15</v>
      </c>
      <c r="M1567" s="1" t="s">
        <v>50</v>
      </c>
      <c r="N1567" s="1" t="s">
        <v>56</v>
      </c>
      <c r="O1567">
        <v>31332.9</v>
      </c>
      <c r="P1567" t="b">
        <v>1</v>
      </c>
      <c r="Q1567">
        <v>1.8333333333333333</v>
      </c>
      <c r="R1567">
        <v>1424.2227272727273</v>
      </c>
      <c r="S1567">
        <v>38.729999999999997</v>
      </c>
      <c r="T1567" s="2">
        <v>44470</v>
      </c>
      <c r="U1567" s="1" t="s">
        <v>66</v>
      </c>
      <c r="V1567">
        <v>0</v>
      </c>
      <c r="W1567" s="1" t="s">
        <v>40</v>
      </c>
      <c r="X1567">
        <v>654</v>
      </c>
      <c r="Y1567" s="1" t="s">
        <v>52</v>
      </c>
      <c r="Z1567" s="1" t="s">
        <v>42</v>
      </c>
      <c r="AA1567">
        <v>0</v>
      </c>
      <c r="AB1567" s="1" t="s">
        <v>43</v>
      </c>
      <c r="AC1567">
        <v>3</v>
      </c>
      <c r="AD1567" s="2">
        <v>44470</v>
      </c>
      <c r="AE1567" s="1" t="s">
        <v>53</v>
      </c>
      <c r="AF1567" s="1" t="s">
        <v>54</v>
      </c>
      <c r="AG1567" s="1" t="s">
        <v>55</v>
      </c>
      <c r="AH1567" s="1" t="s">
        <v>47</v>
      </c>
      <c r="AI1567">
        <v>31548</v>
      </c>
      <c r="AJ1567">
        <v>-215.09999999999854</v>
      </c>
    </row>
    <row r="1568" spans="1:36" x14ac:dyDescent="0.25">
      <c r="A1568">
        <v>11567</v>
      </c>
      <c r="B1568">
        <v>21</v>
      </c>
      <c r="C1568" s="1" t="s">
        <v>36</v>
      </c>
      <c r="D1568" s="1" t="s">
        <v>76</v>
      </c>
      <c r="E1568" s="2">
        <v>44813</v>
      </c>
      <c r="F1568" s="2">
        <v>44406</v>
      </c>
      <c r="G1568" s="1" t="s">
        <v>38</v>
      </c>
      <c r="H1568">
        <v>1062</v>
      </c>
      <c r="I1568">
        <v>19</v>
      </c>
      <c r="J1568">
        <v>4</v>
      </c>
      <c r="K1568">
        <v>70.489999999999995</v>
      </c>
      <c r="L1568">
        <v>20</v>
      </c>
      <c r="M1568" s="1" t="s">
        <v>65</v>
      </c>
      <c r="N1568" s="1" t="s">
        <v>40</v>
      </c>
      <c r="O1568">
        <v>19965.599999999999</v>
      </c>
      <c r="P1568" t="b">
        <v>0</v>
      </c>
      <c r="Q1568">
        <v>1.5833333333333333</v>
      </c>
      <c r="R1568">
        <v>1050.8210526315788</v>
      </c>
      <c r="S1568">
        <v>14.097999999999999</v>
      </c>
      <c r="T1568" s="2">
        <v>44805</v>
      </c>
      <c r="U1568" s="1" t="s">
        <v>66</v>
      </c>
      <c r="V1568">
        <v>1</v>
      </c>
      <c r="W1568" s="1" t="s">
        <v>40</v>
      </c>
      <c r="Y1568" s="1" t="s">
        <v>43</v>
      </c>
      <c r="Z1568" s="1" t="s">
        <v>52</v>
      </c>
      <c r="AA1568">
        <v>0.2</v>
      </c>
      <c r="AB1568" s="1" t="s">
        <v>43</v>
      </c>
      <c r="AC1568">
        <v>1</v>
      </c>
      <c r="AD1568" s="2">
        <v>44805</v>
      </c>
      <c r="AE1568" s="1" t="s">
        <v>53</v>
      </c>
      <c r="AF1568" s="1" t="s">
        <v>45</v>
      </c>
      <c r="AG1568" s="1" t="s">
        <v>63</v>
      </c>
      <c r="AH1568" s="1" t="s">
        <v>47</v>
      </c>
      <c r="AI1568">
        <v>20178</v>
      </c>
      <c r="AJ1568">
        <v>-212.40000000000146</v>
      </c>
    </row>
    <row r="1569" spans="1:36" x14ac:dyDescent="0.25">
      <c r="A1569">
        <v>11568</v>
      </c>
      <c r="B1569">
        <v>25</v>
      </c>
      <c r="C1569" s="1" t="s">
        <v>60</v>
      </c>
      <c r="D1569" s="1" t="s">
        <v>71</v>
      </c>
      <c r="E1569" s="2">
        <v>45083</v>
      </c>
      <c r="F1569" s="2">
        <v>44528</v>
      </c>
      <c r="G1569" s="1" t="s">
        <v>62</v>
      </c>
      <c r="H1569">
        <v>1456</v>
      </c>
      <c r="I1569">
        <v>35</v>
      </c>
      <c r="J1569">
        <v>3</v>
      </c>
      <c r="K1569">
        <v>118.06</v>
      </c>
      <c r="L1569">
        <v>15</v>
      </c>
      <c r="M1569" s="1" t="s">
        <v>65</v>
      </c>
      <c r="N1569" s="1" t="s">
        <v>56</v>
      </c>
      <c r="O1569">
        <v>50741.599999999999</v>
      </c>
      <c r="P1569" t="b">
        <v>0</v>
      </c>
      <c r="Q1569">
        <v>2.9166666666666665</v>
      </c>
      <c r="R1569">
        <v>1449.76</v>
      </c>
      <c r="S1569">
        <v>29.515000000000001</v>
      </c>
      <c r="T1569" s="2">
        <v>45078</v>
      </c>
      <c r="U1569" s="1" t="s">
        <v>66</v>
      </c>
      <c r="V1569">
        <v>0</v>
      </c>
      <c r="W1569" s="1" t="s">
        <v>40</v>
      </c>
      <c r="Y1569" s="1" t="s">
        <v>43</v>
      </c>
      <c r="Z1569" s="1" t="s">
        <v>42</v>
      </c>
      <c r="AA1569">
        <v>8.3333333333333329E-2</v>
      </c>
      <c r="AB1569" s="1" t="s">
        <v>43</v>
      </c>
      <c r="AC1569">
        <v>2</v>
      </c>
      <c r="AD1569" s="2">
        <v>45078</v>
      </c>
      <c r="AE1569" s="1" t="s">
        <v>44</v>
      </c>
      <c r="AF1569" s="1" t="s">
        <v>72</v>
      </c>
      <c r="AG1569" s="1" t="s">
        <v>63</v>
      </c>
      <c r="AH1569" s="1" t="s">
        <v>47</v>
      </c>
      <c r="AI1569">
        <v>50960</v>
      </c>
      <c r="AJ1569">
        <v>-218.40000000000146</v>
      </c>
    </row>
    <row r="1570" spans="1:36" x14ac:dyDescent="0.25">
      <c r="A1570">
        <v>11569</v>
      </c>
      <c r="B1570">
        <v>37</v>
      </c>
      <c r="C1570" s="1" t="s">
        <v>36</v>
      </c>
      <c r="D1570" s="1" t="s">
        <v>76</v>
      </c>
      <c r="E1570" s="2">
        <v>44358</v>
      </c>
      <c r="F1570" s="2">
        <v>44366</v>
      </c>
      <c r="G1570" s="1" t="s">
        <v>49</v>
      </c>
      <c r="H1570">
        <v>911</v>
      </c>
      <c r="I1570">
        <v>13</v>
      </c>
      <c r="J1570">
        <v>0</v>
      </c>
      <c r="K1570">
        <v>30.01</v>
      </c>
      <c r="L1570">
        <v>0</v>
      </c>
      <c r="M1570" s="1" t="s">
        <v>65</v>
      </c>
      <c r="N1570" s="1" t="s">
        <v>56</v>
      </c>
      <c r="O1570">
        <v>11843</v>
      </c>
      <c r="P1570" t="b">
        <v>1</v>
      </c>
      <c r="Q1570">
        <v>1.0833333333333333</v>
      </c>
      <c r="R1570">
        <v>911</v>
      </c>
      <c r="S1570">
        <v>30.01</v>
      </c>
      <c r="T1570" s="2">
        <v>44348</v>
      </c>
      <c r="U1570" s="1" t="s">
        <v>51</v>
      </c>
      <c r="V1570">
        <v>0</v>
      </c>
      <c r="W1570" s="1" t="s">
        <v>56</v>
      </c>
      <c r="X1570">
        <v>8</v>
      </c>
      <c r="Y1570" s="1" t="s">
        <v>52</v>
      </c>
      <c r="Z1570" s="1" t="s">
        <v>42</v>
      </c>
      <c r="AA1570">
        <v>0</v>
      </c>
      <c r="AB1570" s="1" t="s">
        <v>52</v>
      </c>
      <c r="AC1570">
        <v>3</v>
      </c>
      <c r="AD1570" s="2">
        <v>44348</v>
      </c>
      <c r="AE1570" s="1" t="s">
        <v>53</v>
      </c>
      <c r="AF1570" s="1" t="s">
        <v>54</v>
      </c>
      <c r="AG1570" s="1" t="s">
        <v>55</v>
      </c>
      <c r="AH1570" s="1" t="s">
        <v>59</v>
      </c>
      <c r="AI1570">
        <v>11843</v>
      </c>
      <c r="AJ1570">
        <v>0</v>
      </c>
    </row>
    <row r="1571" spans="1:36" x14ac:dyDescent="0.25">
      <c r="A1571">
        <v>11570</v>
      </c>
      <c r="B1571">
        <v>46</v>
      </c>
      <c r="C1571" s="1" t="s">
        <v>36</v>
      </c>
      <c r="D1571" s="1" t="s">
        <v>48</v>
      </c>
      <c r="E1571" s="2">
        <v>44387</v>
      </c>
      <c r="F1571" s="2">
        <v>44573</v>
      </c>
      <c r="G1571" s="1" t="s">
        <v>38</v>
      </c>
      <c r="H1571">
        <v>1304</v>
      </c>
      <c r="I1571">
        <v>14</v>
      </c>
      <c r="J1571">
        <v>1</v>
      </c>
      <c r="K1571">
        <v>118.38</v>
      </c>
      <c r="L1571">
        <v>0</v>
      </c>
      <c r="M1571" s="1" t="s">
        <v>39</v>
      </c>
      <c r="N1571" s="1" t="s">
        <v>56</v>
      </c>
      <c r="O1571">
        <v>18256</v>
      </c>
      <c r="P1571" t="b">
        <v>1</v>
      </c>
      <c r="Q1571">
        <v>1.1666666666666667</v>
      </c>
      <c r="R1571">
        <v>1304</v>
      </c>
      <c r="S1571">
        <v>59.19</v>
      </c>
      <c r="T1571" s="2">
        <v>44378</v>
      </c>
      <c r="U1571" s="1" t="s">
        <v>51</v>
      </c>
      <c r="V1571">
        <v>0</v>
      </c>
      <c r="W1571" s="1" t="s">
        <v>40</v>
      </c>
      <c r="X1571">
        <v>186</v>
      </c>
      <c r="Y1571" s="1" t="s">
        <v>43</v>
      </c>
      <c r="Z1571" s="1" t="s">
        <v>42</v>
      </c>
      <c r="AA1571">
        <v>6.6666666666666666E-2</v>
      </c>
      <c r="AB1571" s="1" t="s">
        <v>52</v>
      </c>
      <c r="AC1571">
        <v>1</v>
      </c>
      <c r="AD1571" s="2">
        <v>44378</v>
      </c>
      <c r="AE1571" s="1" t="s">
        <v>53</v>
      </c>
      <c r="AF1571" s="1" t="s">
        <v>54</v>
      </c>
      <c r="AG1571" s="1" t="s">
        <v>63</v>
      </c>
      <c r="AH1571" s="1" t="s">
        <v>47</v>
      </c>
      <c r="AI1571">
        <v>18256</v>
      </c>
      <c r="AJ1571">
        <v>0</v>
      </c>
    </row>
    <row r="1572" spans="1:36" x14ac:dyDescent="0.25">
      <c r="A1572">
        <v>11571</v>
      </c>
      <c r="B1572">
        <v>62</v>
      </c>
      <c r="C1572" s="1" t="s">
        <v>36</v>
      </c>
      <c r="D1572" s="1" t="s">
        <v>71</v>
      </c>
      <c r="E1572" s="2">
        <v>44205</v>
      </c>
      <c r="F1572" s="2">
        <v>44820</v>
      </c>
      <c r="G1572" s="1" t="s">
        <v>62</v>
      </c>
      <c r="H1572">
        <v>1213</v>
      </c>
      <c r="I1572">
        <v>31</v>
      </c>
      <c r="J1572">
        <v>2</v>
      </c>
      <c r="K1572">
        <v>87.15</v>
      </c>
      <c r="L1572">
        <v>20</v>
      </c>
      <c r="M1572" s="1" t="s">
        <v>50</v>
      </c>
      <c r="N1572" s="1" t="s">
        <v>56</v>
      </c>
      <c r="O1572">
        <v>37360.400000000001</v>
      </c>
      <c r="P1572" t="b">
        <v>1</v>
      </c>
      <c r="Q1572">
        <v>2.5833333333333335</v>
      </c>
      <c r="R1572">
        <v>1205.1741935483872</v>
      </c>
      <c r="S1572">
        <v>29.05</v>
      </c>
      <c r="T1572" s="2">
        <v>44197</v>
      </c>
      <c r="U1572" s="1" t="s">
        <v>41</v>
      </c>
      <c r="V1572">
        <v>0</v>
      </c>
      <c r="W1572" s="1" t="s">
        <v>40</v>
      </c>
      <c r="X1572">
        <v>615</v>
      </c>
      <c r="Y1572" s="1" t="s">
        <v>43</v>
      </c>
      <c r="Z1572" s="1" t="s">
        <v>52</v>
      </c>
      <c r="AA1572">
        <v>6.25E-2</v>
      </c>
      <c r="AB1572" s="1" t="s">
        <v>43</v>
      </c>
      <c r="AC1572">
        <v>2</v>
      </c>
      <c r="AD1572" s="2">
        <v>44197</v>
      </c>
      <c r="AE1572" s="1" t="s">
        <v>44</v>
      </c>
      <c r="AF1572" s="1" t="s">
        <v>72</v>
      </c>
      <c r="AG1572" s="1" t="s">
        <v>63</v>
      </c>
      <c r="AH1572" s="1" t="s">
        <v>47</v>
      </c>
      <c r="AI1572">
        <v>37603</v>
      </c>
      <c r="AJ1572">
        <v>-242.59999999999854</v>
      </c>
    </row>
    <row r="1573" spans="1:36" x14ac:dyDescent="0.25">
      <c r="A1573">
        <v>11572</v>
      </c>
      <c r="B1573">
        <v>63</v>
      </c>
      <c r="C1573" s="1" t="s">
        <v>36</v>
      </c>
      <c r="D1573" s="1" t="s">
        <v>48</v>
      </c>
      <c r="E1573" s="2">
        <v>44256</v>
      </c>
      <c r="F1573" s="2">
        <v>44442</v>
      </c>
      <c r="G1573" s="1" t="s">
        <v>38</v>
      </c>
      <c r="H1573">
        <v>1098</v>
      </c>
      <c r="I1573">
        <v>2</v>
      </c>
      <c r="J1573">
        <v>1</v>
      </c>
      <c r="K1573">
        <v>100</v>
      </c>
      <c r="L1573">
        <v>20</v>
      </c>
      <c r="M1573" s="1" t="s">
        <v>67</v>
      </c>
      <c r="N1573" s="1" t="s">
        <v>56</v>
      </c>
      <c r="O1573">
        <v>1976.4</v>
      </c>
      <c r="P1573" t="b">
        <v>1</v>
      </c>
      <c r="Q1573">
        <v>0.16666666666666666</v>
      </c>
      <c r="R1573">
        <v>988.2</v>
      </c>
      <c r="S1573">
        <v>50</v>
      </c>
      <c r="T1573" s="2">
        <v>44256</v>
      </c>
      <c r="U1573" s="1" t="s">
        <v>41</v>
      </c>
      <c r="V1573">
        <v>0</v>
      </c>
      <c r="W1573" s="1" t="s">
        <v>56</v>
      </c>
      <c r="X1573">
        <v>186</v>
      </c>
      <c r="Y1573" s="1" t="s">
        <v>43</v>
      </c>
      <c r="Z1573" s="1" t="s">
        <v>52</v>
      </c>
      <c r="AA1573">
        <v>0.33333333333333331</v>
      </c>
      <c r="AB1573" s="1" t="s">
        <v>42</v>
      </c>
      <c r="AC1573">
        <v>1</v>
      </c>
      <c r="AD1573" s="2">
        <v>44256</v>
      </c>
      <c r="AE1573" s="1" t="s">
        <v>58</v>
      </c>
      <c r="AF1573" s="1" t="s">
        <v>54</v>
      </c>
      <c r="AG1573" s="1" t="s">
        <v>63</v>
      </c>
      <c r="AH1573" s="1" t="s">
        <v>47</v>
      </c>
      <c r="AI1573">
        <v>2196</v>
      </c>
      <c r="AJ1573">
        <v>-219.59999999999991</v>
      </c>
    </row>
    <row r="1574" spans="1:36" x14ac:dyDescent="0.25">
      <c r="A1574">
        <v>11573</v>
      </c>
      <c r="B1574">
        <v>27</v>
      </c>
      <c r="C1574" s="1" t="s">
        <v>36</v>
      </c>
      <c r="D1574" s="1" t="s">
        <v>76</v>
      </c>
      <c r="E1574" s="2">
        <v>45089</v>
      </c>
      <c r="F1574" s="2">
        <v>45228</v>
      </c>
      <c r="G1574" s="1" t="s">
        <v>38</v>
      </c>
      <c r="H1574">
        <v>418</v>
      </c>
      <c r="I1574">
        <v>14</v>
      </c>
      <c r="J1574">
        <v>1</v>
      </c>
      <c r="K1574">
        <v>15.31</v>
      </c>
      <c r="L1574">
        <v>20</v>
      </c>
      <c r="M1574" s="1" t="s">
        <v>39</v>
      </c>
      <c r="N1574" s="1" t="s">
        <v>56</v>
      </c>
      <c r="O1574">
        <v>5768.4</v>
      </c>
      <c r="P1574" t="b">
        <v>1</v>
      </c>
      <c r="Q1574">
        <v>1.1666666666666667</v>
      </c>
      <c r="R1574">
        <v>412.02857142857141</v>
      </c>
      <c r="S1574">
        <v>7.6550000000000002</v>
      </c>
      <c r="T1574" s="2">
        <v>45078</v>
      </c>
      <c r="U1574" s="1" t="s">
        <v>57</v>
      </c>
      <c r="V1574">
        <v>0</v>
      </c>
      <c r="W1574" s="1" t="s">
        <v>56</v>
      </c>
      <c r="X1574">
        <v>139</v>
      </c>
      <c r="Y1574" s="1" t="s">
        <v>42</v>
      </c>
      <c r="Z1574" s="1" t="s">
        <v>52</v>
      </c>
      <c r="AA1574">
        <v>6.6666666666666666E-2</v>
      </c>
      <c r="AB1574" s="1" t="s">
        <v>42</v>
      </c>
      <c r="AC1574">
        <v>1</v>
      </c>
      <c r="AD1574" s="2">
        <v>45078</v>
      </c>
      <c r="AE1574" s="1" t="s">
        <v>53</v>
      </c>
      <c r="AF1574" s="1" t="s">
        <v>54</v>
      </c>
      <c r="AG1574" s="1" t="s">
        <v>46</v>
      </c>
      <c r="AH1574" s="1" t="s">
        <v>68</v>
      </c>
      <c r="AI1574">
        <v>5852</v>
      </c>
      <c r="AJ1574">
        <v>-83.600000000000364</v>
      </c>
    </row>
    <row r="1575" spans="1:36" x14ac:dyDescent="0.25">
      <c r="A1575">
        <v>11574</v>
      </c>
      <c r="B1575">
        <v>60</v>
      </c>
      <c r="C1575" s="1" t="s">
        <v>60</v>
      </c>
      <c r="D1575" s="1" t="s">
        <v>71</v>
      </c>
      <c r="E1575" s="2">
        <v>45013</v>
      </c>
      <c r="F1575" s="2">
        <v>44644</v>
      </c>
      <c r="G1575" s="1" t="s">
        <v>38</v>
      </c>
      <c r="H1575">
        <v>649</v>
      </c>
      <c r="I1575">
        <v>9</v>
      </c>
      <c r="J1575">
        <v>6</v>
      </c>
      <c r="K1575">
        <v>39.549999999999997</v>
      </c>
      <c r="L1575">
        <v>10</v>
      </c>
      <c r="M1575" s="1" t="s">
        <v>50</v>
      </c>
      <c r="N1575" s="1" t="s">
        <v>56</v>
      </c>
      <c r="O1575">
        <v>5776.1</v>
      </c>
      <c r="P1575" t="b">
        <v>0</v>
      </c>
      <c r="Q1575">
        <v>0.75</v>
      </c>
      <c r="R1575">
        <v>641.78888888888889</v>
      </c>
      <c r="S1575">
        <v>5.6499999999999995</v>
      </c>
      <c r="T1575" s="2">
        <v>44986</v>
      </c>
      <c r="U1575" s="1" t="s">
        <v>41</v>
      </c>
      <c r="V1575">
        <v>0</v>
      </c>
      <c r="W1575" s="1" t="s">
        <v>56</v>
      </c>
      <c r="Y1575" s="1" t="s">
        <v>52</v>
      </c>
      <c r="Z1575" s="1" t="s">
        <v>42</v>
      </c>
      <c r="AA1575">
        <v>0.6</v>
      </c>
      <c r="AB1575" s="1" t="s">
        <v>42</v>
      </c>
      <c r="AC1575">
        <v>1</v>
      </c>
      <c r="AD1575" s="2">
        <v>44986</v>
      </c>
      <c r="AE1575" s="1" t="s">
        <v>74</v>
      </c>
      <c r="AF1575" s="1" t="s">
        <v>78</v>
      </c>
      <c r="AG1575" s="1" t="s">
        <v>55</v>
      </c>
      <c r="AH1575" s="1" t="s">
        <v>64</v>
      </c>
      <c r="AI1575">
        <v>5841</v>
      </c>
      <c r="AJ1575">
        <v>-64.899999999999636</v>
      </c>
    </row>
    <row r="1576" spans="1:36" x14ac:dyDescent="0.25">
      <c r="A1576">
        <v>11575</v>
      </c>
      <c r="B1576">
        <v>51</v>
      </c>
      <c r="C1576" s="1" t="s">
        <v>36</v>
      </c>
      <c r="D1576" s="1" t="s">
        <v>37</v>
      </c>
      <c r="E1576" s="2">
        <v>44421</v>
      </c>
      <c r="F1576" s="2">
        <v>44940</v>
      </c>
      <c r="G1576" s="1" t="s">
        <v>49</v>
      </c>
      <c r="H1576">
        <v>1216</v>
      </c>
      <c r="I1576">
        <v>10</v>
      </c>
      <c r="J1576">
        <v>1</v>
      </c>
      <c r="K1576">
        <v>11.64</v>
      </c>
      <c r="L1576">
        <v>20</v>
      </c>
      <c r="M1576" s="1" t="s">
        <v>65</v>
      </c>
      <c r="N1576" s="1" t="s">
        <v>56</v>
      </c>
      <c r="O1576">
        <v>11916.8</v>
      </c>
      <c r="P1576" t="b">
        <v>1</v>
      </c>
      <c r="Q1576">
        <v>0.83333333333333337</v>
      </c>
      <c r="R1576">
        <v>1191.6799999999998</v>
      </c>
      <c r="S1576">
        <v>5.82</v>
      </c>
      <c r="T1576" s="2">
        <v>44409</v>
      </c>
      <c r="U1576" s="1" t="s">
        <v>41</v>
      </c>
      <c r="V1576">
        <v>0</v>
      </c>
      <c r="W1576" s="1" t="s">
        <v>56</v>
      </c>
      <c r="X1576">
        <v>519</v>
      </c>
      <c r="Y1576" s="1" t="s">
        <v>42</v>
      </c>
      <c r="Z1576" s="1" t="s">
        <v>52</v>
      </c>
      <c r="AA1576">
        <v>9.0909090909090912E-2</v>
      </c>
      <c r="AB1576" s="1" t="s">
        <v>52</v>
      </c>
      <c r="AC1576">
        <v>3</v>
      </c>
      <c r="AD1576" s="2">
        <v>44409</v>
      </c>
      <c r="AE1576" s="1" t="s">
        <v>74</v>
      </c>
      <c r="AF1576" s="1" t="s">
        <v>54</v>
      </c>
      <c r="AG1576" s="1" t="s">
        <v>46</v>
      </c>
      <c r="AH1576" s="1" t="s">
        <v>47</v>
      </c>
      <c r="AI1576">
        <v>12160</v>
      </c>
      <c r="AJ1576">
        <v>-243.20000000000073</v>
      </c>
    </row>
    <row r="1577" spans="1:36" x14ac:dyDescent="0.25">
      <c r="A1577">
        <v>11576</v>
      </c>
      <c r="B1577">
        <v>43</v>
      </c>
      <c r="C1577" s="1" t="s">
        <v>60</v>
      </c>
      <c r="D1577" s="1" t="s">
        <v>69</v>
      </c>
      <c r="E1577" s="2">
        <v>45015</v>
      </c>
      <c r="F1577" s="2">
        <v>44522</v>
      </c>
      <c r="G1577" s="1" t="s">
        <v>38</v>
      </c>
      <c r="H1577">
        <v>986</v>
      </c>
      <c r="I1577">
        <v>7</v>
      </c>
      <c r="J1577">
        <v>2</v>
      </c>
      <c r="K1577">
        <v>47.73</v>
      </c>
      <c r="L1577">
        <v>0</v>
      </c>
      <c r="M1577" s="1" t="s">
        <v>39</v>
      </c>
      <c r="N1577" s="1" t="s">
        <v>56</v>
      </c>
      <c r="O1577">
        <v>6902</v>
      </c>
      <c r="P1577" t="b">
        <v>0</v>
      </c>
      <c r="Q1577">
        <v>0.58333333333333337</v>
      </c>
      <c r="R1577">
        <v>986</v>
      </c>
      <c r="S1577">
        <v>15.909999999999998</v>
      </c>
      <c r="T1577" s="2">
        <v>44986</v>
      </c>
      <c r="U1577" s="1" t="s">
        <v>51</v>
      </c>
      <c r="V1577">
        <v>0</v>
      </c>
      <c r="W1577" s="1" t="s">
        <v>56</v>
      </c>
      <c r="Y1577" s="1" t="s">
        <v>52</v>
      </c>
      <c r="Z1577" s="1" t="s">
        <v>42</v>
      </c>
      <c r="AA1577">
        <v>0.25</v>
      </c>
      <c r="AB1577" s="1" t="s">
        <v>42</v>
      </c>
      <c r="AC1577">
        <v>1</v>
      </c>
      <c r="AD1577" s="2">
        <v>44986</v>
      </c>
      <c r="AE1577" s="1" t="s">
        <v>74</v>
      </c>
      <c r="AF1577" s="1" t="s">
        <v>72</v>
      </c>
      <c r="AG1577" s="1" t="s">
        <v>63</v>
      </c>
      <c r="AH1577" s="1" t="s">
        <v>59</v>
      </c>
      <c r="AI1577">
        <v>6902</v>
      </c>
      <c r="AJ1577">
        <v>0</v>
      </c>
    </row>
    <row r="1578" spans="1:36" x14ac:dyDescent="0.25">
      <c r="A1578">
        <v>11577</v>
      </c>
      <c r="B1578">
        <v>58</v>
      </c>
      <c r="C1578" s="1" t="s">
        <v>60</v>
      </c>
      <c r="D1578" s="1" t="s">
        <v>37</v>
      </c>
      <c r="E1578" s="2">
        <v>44896</v>
      </c>
      <c r="F1578" s="2">
        <v>44569</v>
      </c>
      <c r="G1578" s="1" t="s">
        <v>62</v>
      </c>
      <c r="H1578">
        <v>841</v>
      </c>
      <c r="I1578">
        <v>28</v>
      </c>
      <c r="J1578">
        <v>0</v>
      </c>
      <c r="K1578">
        <v>117.85</v>
      </c>
      <c r="L1578">
        <v>0</v>
      </c>
      <c r="M1578" s="1" t="s">
        <v>50</v>
      </c>
      <c r="N1578" s="1" t="s">
        <v>56</v>
      </c>
      <c r="O1578">
        <v>23548</v>
      </c>
      <c r="P1578" t="b">
        <v>0</v>
      </c>
      <c r="Q1578">
        <v>2.3333333333333335</v>
      </c>
      <c r="R1578">
        <v>841</v>
      </c>
      <c r="S1578">
        <v>117.85</v>
      </c>
      <c r="T1578" s="2">
        <v>44896</v>
      </c>
      <c r="U1578" s="1" t="s">
        <v>41</v>
      </c>
      <c r="V1578">
        <v>0</v>
      </c>
      <c r="W1578" s="1" t="s">
        <v>40</v>
      </c>
      <c r="Y1578" s="1" t="s">
        <v>43</v>
      </c>
      <c r="Z1578" s="1" t="s">
        <v>42</v>
      </c>
      <c r="AA1578">
        <v>0</v>
      </c>
      <c r="AB1578" s="1" t="s">
        <v>43</v>
      </c>
      <c r="AC1578">
        <v>2</v>
      </c>
      <c r="AD1578" s="2">
        <v>44896</v>
      </c>
      <c r="AE1578" s="1" t="s">
        <v>44</v>
      </c>
      <c r="AF1578" s="1" t="s">
        <v>54</v>
      </c>
      <c r="AG1578" s="1" t="s">
        <v>63</v>
      </c>
      <c r="AH1578" s="1" t="s">
        <v>59</v>
      </c>
      <c r="AI1578">
        <v>23548</v>
      </c>
      <c r="AJ1578">
        <v>0</v>
      </c>
    </row>
    <row r="1579" spans="1:36" x14ac:dyDescent="0.25">
      <c r="A1579">
        <v>11578</v>
      </c>
      <c r="B1579">
        <v>20</v>
      </c>
      <c r="C1579" s="1" t="s">
        <v>60</v>
      </c>
      <c r="D1579" s="1" t="s">
        <v>37</v>
      </c>
      <c r="E1579" s="2">
        <v>44778</v>
      </c>
      <c r="F1579" s="2">
        <v>44962</v>
      </c>
      <c r="G1579" s="1" t="s">
        <v>62</v>
      </c>
      <c r="H1579">
        <v>1378</v>
      </c>
      <c r="I1579">
        <v>25</v>
      </c>
      <c r="J1579">
        <v>1</v>
      </c>
      <c r="K1579">
        <v>17.11</v>
      </c>
      <c r="L1579">
        <v>15</v>
      </c>
      <c r="M1579" s="1" t="s">
        <v>67</v>
      </c>
      <c r="N1579" s="1" t="s">
        <v>56</v>
      </c>
      <c r="O1579">
        <v>34243.300000000003</v>
      </c>
      <c r="P1579" t="b">
        <v>1</v>
      </c>
      <c r="Q1579">
        <v>2.0833333333333335</v>
      </c>
      <c r="R1579">
        <v>1369.7320000000002</v>
      </c>
      <c r="S1579">
        <v>8.5549999999999997</v>
      </c>
      <c r="T1579" s="2">
        <v>44774</v>
      </c>
      <c r="U1579" s="1" t="s">
        <v>66</v>
      </c>
      <c r="V1579">
        <v>0</v>
      </c>
      <c r="W1579" s="1" t="s">
        <v>40</v>
      </c>
      <c r="X1579">
        <v>184</v>
      </c>
      <c r="Y1579" s="1" t="s">
        <v>42</v>
      </c>
      <c r="Z1579" s="1" t="s">
        <v>42</v>
      </c>
      <c r="AA1579">
        <v>3.8461538461538464E-2</v>
      </c>
      <c r="AB1579" s="1" t="s">
        <v>43</v>
      </c>
      <c r="AC1579">
        <v>2</v>
      </c>
      <c r="AD1579" s="2">
        <v>44774</v>
      </c>
      <c r="AE1579" s="1" t="s">
        <v>44</v>
      </c>
      <c r="AF1579" s="1" t="s">
        <v>54</v>
      </c>
      <c r="AG1579" s="1" t="s">
        <v>46</v>
      </c>
      <c r="AH1579" s="1" t="s">
        <v>47</v>
      </c>
      <c r="AI1579">
        <v>34450</v>
      </c>
      <c r="AJ1579">
        <v>-206.69999999999709</v>
      </c>
    </row>
    <row r="1580" spans="1:36" x14ac:dyDescent="0.25">
      <c r="A1580">
        <v>11579</v>
      </c>
      <c r="B1580">
        <v>23</v>
      </c>
      <c r="C1580" s="1" t="s">
        <v>36</v>
      </c>
      <c r="D1580" s="1" t="s">
        <v>48</v>
      </c>
      <c r="E1580" s="2">
        <v>45001</v>
      </c>
      <c r="F1580" s="2">
        <v>44401</v>
      </c>
      <c r="G1580" s="1" t="s">
        <v>49</v>
      </c>
      <c r="H1580">
        <v>660</v>
      </c>
      <c r="I1580">
        <v>28</v>
      </c>
      <c r="J1580">
        <v>1</v>
      </c>
      <c r="K1580">
        <v>69.67</v>
      </c>
      <c r="L1580">
        <v>20</v>
      </c>
      <c r="M1580" s="1" t="s">
        <v>39</v>
      </c>
      <c r="N1580" s="1" t="s">
        <v>56</v>
      </c>
      <c r="O1580">
        <v>18348</v>
      </c>
      <c r="P1580" t="b">
        <v>0</v>
      </c>
      <c r="Q1580">
        <v>2.3333333333333335</v>
      </c>
      <c r="R1580">
        <v>655.28571428571433</v>
      </c>
      <c r="S1580">
        <v>34.835000000000001</v>
      </c>
      <c r="T1580" s="2">
        <v>44986</v>
      </c>
      <c r="U1580" s="1" t="s">
        <v>66</v>
      </c>
      <c r="V1580">
        <v>0</v>
      </c>
      <c r="W1580" s="1" t="s">
        <v>40</v>
      </c>
      <c r="Y1580" s="1" t="s">
        <v>43</v>
      </c>
      <c r="Z1580" s="1" t="s">
        <v>52</v>
      </c>
      <c r="AA1580">
        <v>3.4482758620689655E-2</v>
      </c>
      <c r="AB1580" s="1" t="s">
        <v>52</v>
      </c>
      <c r="AC1580">
        <v>3</v>
      </c>
      <c r="AD1580" s="2">
        <v>44986</v>
      </c>
      <c r="AE1580" s="1" t="s">
        <v>44</v>
      </c>
      <c r="AF1580" s="1" t="s">
        <v>54</v>
      </c>
      <c r="AG1580" s="1" t="s">
        <v>63</v>
      </c>
      <c r="AH1580" s="1" t="s">
        <v>64</v>
      </c>
      <c r="AI1580">
        <v>18480</v>
      </c>
      <c r="AJ1580">
        <v>-132</v>
      </c>
    </row>
    <row r="1581" spans="1:36" x14ac:dyDescent="0.25">
      <c r="A1581">
        <v>11580</v>
      </c>
      <c r="B1581">
        <v>22</v>
      </c>
      <c r="C1581" s="1" t="s">
        <v>36</v>
      </c>
      <c r="D1581" s="1" t="s">
        <v>73</v>
      </c>
      <c r="E1581" s="2">
        <v>44483</v>
      </c>
      <c r="F1581" s="2">
        <v>45042</v>
      </c>
      <c r="G1581" s="1" t="s">
        <v>38</v>
      </c>
      <c r="H1581">
        <v>1007</v>
      </c>
      <c r="I1581">
        <v>2</v>
      </c>
      <c r="J1581">
        <v>2</v>
      </c>
      <c r="K1581">
        <v>5.7</v>
      </c>
      <c r="L1581">
        <v>10</v>
      </c>
      <c r="M1581" s="1" t="s">
        <v>67</v>
      </c>
      <c r="N1581" s="1" t="s">
        <v>56</v>
      </c>
      <c r="O1581">
        <v>1913.3</v>
      </c>
      <c r="P1581" t="b">
        <v>1</v>
      </c>
      <c r="Q1581">
        <v>0.16666666666666666</v>
      </c>
      <c r="R1581">
        <v>956.65</v>
      </c>
      <c r="S1581">
        <v>1.9000000000000001</v>
      </c>
      <c r="T1581" s="2">
        <v>44470</v>
      </c>
      <c r="U1581" s="1" t="s">
        <v>66</v>
      </c>
      <c r="V1581">
        <v>0</v>
      </c>
      <c r="W1581" s="1" t="s">
        <v>56</v>
      </c>
      <c r="X1581">
        <v>559</v>
      </c>
      <c r="Y1581" s="1" t="s">
        <v>42</v>
      </c>
      <c r="Z1581" s="1" t="s">
        <v>42</v>
      </c>
      <c r="AA1581">
        <v>0.66666666666666663</v>
      </c>
      <c r="AB1581" s="1" t="s">
        <v>42</v>
      </c>
      <c r="AC1581">
        <v>1</v>
      </c>
      <c r="AD1581" s="2">
        <v>44470</v>
      </c>
      <c r="AE1581" s="1" t="s">
        <v>58</v>
      </c>
      <c r="AF1581" s="1" t="s">
        <v>72</v>
      </c>
      <c r="AG1581" s="1" t="s">
        <v>77</v>
      </c>
      <c r="AH1581" s="1" t="s">
        <v>47</v>
      </c>
      <c r="AI1581">
        <v>2014</v>
      </c>
      <c r="AJ1581">
        <v>-100.70000000000005</v>
      </c>
    </row>
    <row r="1582" spans="1:36" x14ac:dyDescent="0.25">
      <c r="A1582">
        <v>11581</v>
      </c>
      <c r="B1582">
        <v>22</v>
      </c>
      <c r="C1582" s="1" t="s">
        <v>36</v>
      </c>
      <c r="D1582" s="1" t="s">
        <v>69</v>
      </c>
      <c r="E1582" s="2">
        <v>44365</v>
      </c>
      <c r="F1582" s="2">
        <v>45210</v>
      </c>
      <c r="G1582" s="1" t="s">
        <v>62</v>
      </c>
      <c r="H1582">
        <v>984</v>
      </c>
      <c r="I1582">
        <v>17</v>
      </c>
      <c r="J1582">
        <v>1</v>
      </c>
      <c r="K1582">
        <v>86.96</v>
      </c>
      <c r="L1582">
        <v>5</v>
      </c>
      <c r="M1582" s="1" t="s">
        <v>39</v>
      </c>
      <c r="N1582" s="1" t="s">
        <v>56</v>
      </c>
      <c r="O1582">
        <v>16678.8</v>
      </c>
      <c r="P1582" t="b">
        <v>1</v>
      </c>
      <c r="Q1582">
        <v>1.4166666666666667</v>
      </c>
      <c r="R1582">
        <v>981.10588235294108</v>
      </c>
      <c r="S1582">
        <v>43.48</v>
      </c>
      <c r="T1582" s="2">
        <v>44348</v>
      </c>
      <c r="U1582" s="1" t="s">
        <v>66</v>
      </c>
      <c r="V1582">
        <v>0</v>
      </c>
      <c r="W1582" s="1" t="s">
        <v>40</v>
      </c>
      <c r="X1582">
        <v>845</v>
      </c>
      <c r="Y1582" s="1" t="s">
        <v>43</v>
      </c>
      <c r="Z1582" s="1" t="s">
        <v>42</v>
      </c>
      <c r="AA1582">
        <v>5.5555555555555552E-2</v>
      </c>
      <c r="AB1582" s="1" t="s">
        <v>52</v>
      </c>
      <c r="AC1582">
        <v>2</v>
      </c>
      <c r="AD1582" s="2">
        <v>44348</v>
      </c>
      <c r="AE1582" s="1" t="s">
        <v>53</v>
      </c>
      <c r="AF1582" s="1" t="s">
        <v>54</v>
      </c>
      <c r="AG1582" s="1" t="s">
        <v>63</v>
      </c>
      <c r="AH1582" s="1" t="s">
        <v>59</v>
      </c>
      <c r="AI1582">
        <v>16728</v>
      </c>
      <c r="AJ1582">
        <v>-49.200000000000728</v>
      </c>
    </row>
    <row r="1583" spans="1:36" x14ac:dyDescent="0.25">
      <c r="A1583">
        <v>11582</v>
      </c>
      <c r="B1583">
        <v>64</v>
      </c>
      <c r="C1583" s="1" t="s">
        <v>60</v>
      </c>
      <c r="D1583" s="1" t="s">
        <v>37</v>
      </c>
      <c r="E1583" s="2">
        <v>44258</v>
      </c>
      <c r="F1583" s="2">
        <v>44750</v>
      </c>
      <c r="G1583" s="1" t="s">
        <v>62</v>
      </c>
      <c r="H1583">
        <v>629</v>
      </c>
      <c r="I1583">
        <v>4</v>
      </c>
      <c r="J1583">
        <v>0</v>
      </c>
      <c r="K1583">
        <v>27.68</v>
      </c>
      <c r="L1583">
        <v>15</v>
      </c>
      <c r="M1583" s="1" t="s">
        <v>65</v>
      </c>
      <c r="N1583" s="1" t="s">
        <v>56</v>
      </c>
      <c r="O1583">
        <v>2421.65</v>
      </c>
      <c r="P1583" t="b">
        <v>1</v>
      </c>
      <c r="Q1583">
        <v>0.33333333333333331</v>
      </c>
      <c r="R1583">
        <v>605.41250000000002</v>
      </c>
      <c r="S1583">
        <v>27.68</v>
      </c>
      <c r="T1583" s="2">
        <v>44256</v>
      </c>
      <c r="U1583" s="1" t="s">
        <v>41</v>
      </c>
      <c r="V1583">
        <v>0</v>
      </c>
      <c r="W1583" s="1" t="s">
        <v>56</v>
      </c>
      <c r="X1583">
        <v>492</v>
      </c>
      <c r="Y1583" s="1" t="s">
        <v>52</v>
      </c>
      <c r="Z1583" s="1" t="s">
        <v>42</v>
      </c>
      <c r="AA1583">
        <v>0</v>
      </c>
      <c r="AB1583" s="1" t="s">
        <v>42</v>
      </c>
      <c r="AC1583">
        <v>2</v>
      </c>
      <c r="AD1583" s="2">
        <v>44256</v>
      </c>
      <c r="AE1583" s="1" t="s">
        <v>58</v>
      </c>
      <c r="AF1583" s="1" t="s">
        <v>54</v>
      </c>
      <c r="AG1583" s="1" t="s">
        <v>70</v>
      </c>
      <c r="AH1583" s="1" t="s">
        <v>64</v>
      </c>
      <c r="AI1583">
        <v>2516</v>
      </c>
      <c r="AJ1583">
        <v>-94.349999999999909</v>
      </c>
    </row>
    <row r="1584" spans="1:36" x14ac:dyDescent="0.25">
      <c r="A1584">
        <v>11583</v>
      </c>
      <c r="B1584">
        <v>40</v>
      </c>
      <c r="C1584" s="1" t="s">
        <v>36</v>
      </c>
      <c r="D1584" s="1" t="s">
        <v>37</v>
      </c>
      <c r="E1584" s="2">
        <v>44545</v>
      </c>
      <c r="F1584" s="2">
        <v>44665</v>
      </c>
      <c r="G1584" s="1" t="s">
        <v>62</v>
      </c>
      <c r="H1584">
        <v>518</v>
      </c>
      <c r="I1584">
        <v>13</v>
      </c>
      <c r="J1584">
        <v>1</v>
      </c>
      <c r="K1584">
        <v>19.899999999999999</v>
      </c>
      <c r="L1584">
        <v>10</v>
      </c>
      <c r="M1584" s="1" t="s">
        <v>65</v>
      </c>
      <c r="N1584" s="1" t="s">
        <v>56</v>
      </c>
      <c r="O1584">
        <v>6682.2</v>
      </c>
      <c r="P1584" t="b">
        <v>1</v>
      </c>
      <c r="Q1584">
        <v>1.0833333333333333</v>
      </c>
      <c r="R1584">
        <v>514.01538461538462</v>
      </c>
      <c r="S1584">
        <v>9.9499999999999993</v>
      </c>
      <c r="T1584" s="2">
        <v>44531</v>
      </c>
      <c r="U1584" s="1" t="s">
        <v>51</v>
      </c>
      <c r="V1584">
        <v>0</v>
      </c>
      <c r="W1584" s="1" t="s">
        <v>56</v>
      </c>
      <c r="X1584">
        <v>120</v>
      </c>
      <c r="Y1584" s="1" t="s">
        <v>42</v>
      </c>
      <c r="Z1584" s="1" t="s">
        <v>42</v>
      </c>
      <c r="AA1584">
        <v>7.1428571428571425E-2</v>
      </c>
      <c r="AB1584" s="1" t="s">
        <v>42</v>
      </c>
      <c r="AC1584">
        <v>2</v>
      </c>
      <c r="AD1584" s="2">
        <v>44531</v>
      </c>
      <c r="AE1584" s="1" t="s">
        <v>53</v>
      </c>
      <c r="AF1584" s="1" t="s">
        <v>54</v>
      </c>
      <c r="AG1584" s="1" t="s">
        <v>46</v>
      </c>
      <c r="AH1584" s="1" t="s">
        <v>64</v>
      </c>
      <c r="AI1584">
        <v>6734</v>
      </c>
      <c r="AJ1584">
        <v>-51.800000000000182</v>
      </c>
    </row>
    <row r="1585" spans="1:36" x14ac:dyDescent="0.25">
      <c r="A1585">
        <v>11584</v>
      </c>
      <c r="B1585">
        <v>26</v>
      </c>
      <c r="C1585" s="1" t="s">
        <v>60</v>
      </c>
      <c r="D1585" s="1" t="s">
        <v>69</v>
      </c>
      <c r="E1585" s="2">
        <v>44638</v>
      </c>
      <c r="F1585" s="2">
        <v>45214</v>
      </c>
      <c r="G1585" s="1" t="s">
        <v>49</v>
      </c>
      <c r="H1585">
        <v>507</v>
      </c>
      <c r="I1585">
        <v>18</v>
      </c>
      <c r="J1585">
        <v>3</v>
      </c>
      <c r="K1585">
        <v>43.76</v>
      </c>
      <c r="L1585">
        <v>20</v>
      </c>
      <c r="M1585" s="1" t="s">
        <v>65</v>
      </c>
      <c r="N1585" s="1" t="s">
        <v>56</v>
      </c>
      <c r="O1585">
        <v>9024.6</v>
      </c>
      <c r="P1585" t="b">
        <v>1</v>
      </c>
      <c r="Q1585">
        <v>1.5</v>
      </c>
      <c r="R1585">
        <v>501.36666666666667</v>
      </c>
      <c r="S1585">
        <v>10.94</v>
      </c>
      <c r="T1585" s="2">
        <v>44621</v>
      </c>
      <c r="U1585" s="1" t="s">
        <v>57</v>
      </c>
      <c r="V1585">
        <v>0</v>
      </c>
      <c r="W1585" s="1" t="s">
        <v>56</v>
      </c>
      <c r="X1585">
        <v>576</v>
      </c>
      <c r="Y1585" s="1" t="s">
        <v>52</v>
      </c>
      <c r="Z1585" s="1" t="s">
        <v>52</v>
      </c>
      <c r="AA1585">
        <v>0.15789473684210525</v>
      </c>
      <c r="AB1585" s="1" t="s">
        <v>52</v>
      </c>
      <c r="AC1585">
        <v>3</v>
      </c>
      <c r="AD1585" s="2">
        <v>44621</v>
      </c>
      <c r="AE1585" s="1" t="s">
        <v>53</v>
      </c>
      <c r="AF1585" s="1" t="s">
        <v>72</v>
      </c>
      <c r="AG1585" s="1" t="s">
        <v>55</v>
      </c>
      <c r="AH1585" s="1" t="s">
        <v>64</v>
      </c>
      <c r="AI1585">
        <v>9126</v>
      </c>
      <c r="AJ1585">
        <v>-101.39999999999964</v>
      </c>
    </row>
    <row r="1586" spans="1:36" x14ac:dyDescent="0.25">
      <c r="A1586">
        <v>11585</v>
      </c>
      <c r="B1586">
        <v>52</v>
      </c>
      <c r="C1586" s="1" t="s">
        <v>60</v>
      </c>
      <c r="D1586" s="1" t="s">
        <v>69</v>
      </c>
      <c r="E1586" s="2">
        <v>44210</v>
      </c>
      <c r="F1586" s="2">
        <v>44696</v>
      </c>
      <c r="G1586" s="1" t="s">
        <v>49</v>
      </c>
      <c r="H1586">
        <v>1144</v>
      </c>
      <c r="I1586">
        <v>3</v>
      </c>
      <c r="J1586">
        <v>1</v>
      </c>
      <c r="K1586">
        <v>93.67</v>
      </c>
      <c r="L1586">
        <v>10</v>
      </c>
      <c r="M1586" s="1" t="s">
        <v>67</v>
      </c>
      <c r="N1586" s="1" t="s">
        <v>56</v>
      </c>
      <c r="O1586">
        <v>3317.6</v>
      </c>
      <c r="P1586" t="b">
        <v>1</v>
      </c>
      <c r="Q1586">
        <v>0.25</v>
      </c>
      <c r="R1586">
        <v>1105.8666666666666</v>
      </c>
      <c r="S1586">
        <v>46.835000000000001</v>
      </c>
      <c r="T1586" s="2">
        <v>44197</v>
      </c>
      <c r="U1586" s="1" t="s">
        <v>41</v>
      </c>
      <c r="V1586">
        <v>0</v>
      </c>
      <c r="W1586" s="1" t="s">
        <v>56</v>
      </c>
      <c r="X1586">
        <v>486</v>
      </c>
      <c r="Y1586" s="1" t="s">
        <v>43</v>
      </c>
      <c r="Z1586" s="1" t="s">
        <v>42</v>
      </c>
      <c r="AA1586">
        <v>0.25</v>
      </c>
      <c r="AB1586" s="1" t="s">
        <v>42</v>
      </c>
      <c r="AC1586">
        <v>3</v>
      </c>
      <c r="AD1586" s="2">
        <v>44197</v>
      </c>
      <c r="AE1586" s="1" t="s">
        <v>58</v>
      </c>
      <c r="AF1586" s="1" t="s">
        <v>54</v>
      </c>
      <c r="AG1586" s="1" t="s">
        <v>63</v>
      </c>
      <c r="AH1586" s="1" t="s">
        <v>47</v>
      </c>
      <c r="AI1586">
        <v>3432</v>
      </c>
      <c r="AJ1586">
        <v>-114.40000000000009</v>
      </c>
    </row>
    <row r="1587" spans="1:36" x14ac:dyDescent="0.25">
      <c r="A1587">
        <v>11586</v>
      </c>
      <c r="B1587">
        <v>37</v>
      </c>
      <c r="C1587" s="1" t="s">
        <v>36</v>
      </c>
      <c r="D1587" s="1" t="s">
        <v>71</v>
      </c>
      <c r="E1587" s="2">
        <v>44360</v>
      </c>
      <c r="F1587" s="2">
        <v>44790</v>
      </c>
      <c r="G1587" s="1" t="s">
        <v>38</v>
      </c>
      <c r="H1587">
        <v>384</v>
      </c>
      <c r="I1587">
        <v>33</v>
      </c>
      <c r="J1587">
        <v>1</v>
      </c>
      <c r="K1587">
        <v>17.260000000000002</v>
      </c>
      <c r="L1587">
        <v>5</v>
      </c>
      <c r="M1587" s="1" t="s">
        <v>65</v>
      </c>
      <c r="N1587" s="1" t="s">
        <v>40</v>
      </c>
      <c r="O1587">
        <v>12652.8</v>
      </c>
      <c r="P1587" t="b">
        <v>1</v>
      </c>
      <c r="Q1587">
        <v>2.75</v>
      </c>
      <c r="R1587">
        <v>383.41818181818178</v>
      </c>
      <c r="S1587">
        <v>8.6300000000000008</v>
      </c>
      <c r="T1587" s="2">
        <v>44348</v>
      </c>
      <c r="U1587" s="1" t="s">
        <v>51</v>
      </c>
      <c r="V1587">
        <v>1</v>
      </c>
      <c r="W1587" s="1" t="s">
        <v>56</v>
      </c>
      <c r="X1587">
        <v>430</v>
      </c>
      <c r="Y1587" s="1" t="s">
        <v>42</v>
      </c>
      <c r="Z1587" s="1" t="s">
        <v>42</v>
      </c>
      <c r="AA1587">
        <v>2.9411764705882353E-2</v>
      </c>
      <c r="AB1587" s="1" t="s">
        <v>52</v>
      </c>
      <c r="AC1587">
        <v>1</v>
      </c>
      <c r="AD1587" s="2">
        <v>44348</v>
      </c>
      <c r="AE1587" s="1" t="s">
        <v>44</v>
      </c>
      <c r="AF1587" s="1" t="s">
        <v>54</v>
      </c>
      <c r="AG1587" s="1" t="s">
        <v>46</v>
      </c>
      <c r="AH1587" s="1" t="s">
        <v>68</v>
      </c>
      <c r="AI1587">
        <v>12672</v>
      </c>
      <c r="AJ1587">
        <v>-19.200000000000728</v>
      </c>
    </row>
    <row r="1588" spans="1:36" x14ac:dyDescent="0.25">
      <c r="A1588">
        <v>11587</v>
      </c>
      <c r="B1588">
        <v>59</v>
      </c>
      <c r="C1588" s="1" t="s">
        <v>60</v>
      </c>
      <c r="D1588" s="1" t="s">
        <v>48</v>
      </c>
      <c r="E1588" s="2">
        <v>44616</v>
      </c>
      <c r="F1588" s="2">
        <v>45180</v>
      </c>
      <c r="G1588" s="1" t="s">
        <v>62</v>
      </c>
      <c r="H1588">
        <v>984</v>
      </c>
      <c r="I1588">
        <v>24</v>
      </c>
      <c r="J1588">
        <v>3</v>
      </c>
      <c r="K1588">
        <v>31.43</v>
      </c>
      <c r="L1588">
        <v>10</v>
      </c>
      <c r="M1588" s="1" t="s">
        <v>67</v>
      </c>
      <c r="N1588" s="1" t="s">
        <v>56</v>
      </c>
      <c r="O1588">
        <v>23517.599999999999</v>
      </c>
      <c r="P1588" t="b">
        <v>1</v>
      </c>
      <c r="Q1588">
        <v>2</v>
      </c>
      <c r="R1588">
        <v>979.9</v>
      </c>
      <c r="S1588">
        <v>7.8574999999999999</v>
      </c>
      <c r="T1588" s="2">
        <v>44593</v>
      </c>
      <c r="U1588" s="1" t="s">
        <v>41</v>
      </c>
      <c r="V1588">
        <v>0</v>
      </c>
      <c r="W1588" s="1" t="s">
        <v>40</v>
      </c>
      <c r="X1588">
        <v>564</v>
      </c>
      <c r="Y1588" s="1" t="s">
        <v>52</v>
      </c>
      <c r="Z1588" s="1" t="s">
        <v>42</v>
      </c>
      <c r="AA1588">
        <v>0.12</v>
      </c>
      <c r="AB1588" s="1" t="s">
        <v>43</v>
      </c>
      <c r="AC1588">
        <v>2</v>
      </c>
      <c r="AD1588" s="2">
        <v>44593</v>
      </c>
      <c r="AE1588" s="1" t="s">
        <v>53</v>
      </c>
      <c r="AF1588" s="1" t="s">
        <v>72</v>
      </c>
      <c r="AG1588" s="1" t="s">
        <v>55</v>
      </c>
      <c r="AH1588" s="1" t="s">
        <v>59</v>
      </c>
      <c r="AI1588">
        <v>23616</v>
      </c>
      <c r="AJ1588">
        <v>-98.400000000001455</v>
      </c>
    </row>
    <row r="1589" spans="1:36" x14ac:dyDescent="0.25">
      <c r="A1589">
        <v>11588</v>
      </c>
      <c r="B1589">
        <v>52</v>
      </c>
      <c r="C1589" s="1" t="s">
        <v>60</v>
      </c>
      <c r="D1589" s="1" t="s">
        <v>69</v>
      </c>
      <c r="E1589" s="2">
        <v>44953</v>
      </c>
      <c r="F1589" s="2">
        <v>44927</v>
      </c>
      <c r="G1589" s="1" t="s">
        <v>38</v>
      </c>
      <c r="H1589">
        <v>544</v>
      </c>
      <c r="I1589">
        <v>8</v>
      </c>
      <c r="J1589">
        <v>3</v>
      </c>
      <c r="K1589">
        <v>5.97</v>
      </c>
      <c r="L1589">
        <v>5</v>
      </c>
      <c r="M1589" s="1" t="s">
        <v>67</v>
      </c>
      <c r="N1589" s="1" t="s">
        <v>56</v>
      </c>
      <c r="O1589">
        <v>4324.8</v>
      </c>
      <c r="P1589" t="b">
        <v>0</v>
      </c>
      <c r="Q1589">
        <v>0.66666666666666663</v>
      </c>
      <c r="R1589">
        <v>540.6</v>
      </c>
      <c r="S1589">
        <v>1.4924999999999999</v>
      </c>
      <c r="T1589" s="2">
        <v>44927</v>
      </c>
      <c r="U1589" s="1" t="s">
        <v>41</v>
      </c>
      <c r="V1589">
        <v>0</v>
      </c>
      <c r="W1589" s="1" t="s">
        <v>56</v>
      </c>
      <c r="Y1589" s="1" t="s">
        <v>42</v>
      </c>
      <c r="Z1589" s="1" t="s">
        <v>42</v>
      </c>
      <c r="AA1589">
        <v>0.33333333333333331</v>
      </c>
      <c r="AB1589" s="1" t="s">
        <v>42</v>
      </c>
      <c r="AC1589">
        <v>1</v>
      </c>
      <c r="AD1589" s="2">
        <v>44927</v>
      </c>
      <c r="AE1589" s="1" t="s">
        <v>74</v>
      </c>
      <c r="AF1589" s="1" t="s">
        <v>72</v>
      </c>
      <c r="AG1589" s="1" t="s">
        <v>77</v>
      </c>
      <c r="AH1589" s="1" t="s">
        <v>64</v>
      </c>
      <c r="AI1589">
        <v>4352</v>
      </c>
      <c r="AJ1589">
        <v>-27.199999999999818</v>
      </c>
    </row>
    <row r="1590" spans="1:36" x14ac:dyDescent="0.25">
      <c r="A1590">
        <v>11589</v>
      </c>
      <c r="B1590">
        <v>35</v>
      </c>
      <c r="C1590" s="1" t="s">
        <v>60</v>
      </c>
      <c r="D1590" s="1" t="s">
        <v>69</v>
      </c>
      <c r="E1590" s="2">
        <v>45043</v>
      </c>
      <c r="F1590" s="2">
        <v>44887</v>
      </c>
      <c r="G1590" s="1" t="s">
        <v>38</v>
      </c>
      <c r="H1590">
        <v>1171</v>
      </c>
      <c r="I1590">
        <v>35</v>
      </c>
      <c r="J1590">
        <v>1</v>
      </c>
      <c r="K1590">
        <v>116.37</v>
      </c>
      <c r="L1590">
        <v>5</v>
      </c>
      <c r="M1590" s="1" t="s">
        <v>67</v>
      </c>
      <c r="N1590" s="1" t="s">
        <v>56</v>
      </c>
      <c r="O1590">
        <v>40926.449999999997</v>
      </c>
      <c r="P1590" t="b">
        <v>0</v>
      </c>
      <c r="Q1590">
        <v>2.9166666666666665</v>
      </c>
      <c r="R1590">
        <v>1169.3271428571427</v>
      </c>
      <c r="S1590">
        <v>58.185000000000002</v>
      </c>
      <c r="T1590" s="2">
        <v>45017</v>
      </c>
      <c r="U1590" s="1" t="s">
        <v>57</v>
      </c>
      <c r="V1590">
        <v>0</v>
      </c>
      <c r="W1590" s="1" t="s">
        <v>40</v>
      </c>
      <c r="Y1590" s="1" t="s">
        <v>43</v>
      </c>
      <c r="Z1590" s="1" t="s">
        <v>42</v>
      </c>
      <c r="AA1590">
        <v>2.7777777777777776E-2</v>
      </c>
      <c r="AB1590" s="1" t="s">
        <v>43</v>
      </c>
      <c r="AC1590">
        <v>1</v>
      </c>
      <c r="AD1590" s="2">
        <v>45017</v>
      </c>
      <c r="AE1590" s="1" t="s">
        <v>44</v>
      </c>
      <c r="AF1590" s="1" t="s">
        <v>54</v>
      </c>
      <c r="AG1590" s="1" t="s">
        <v>63</v>
      </c>
      <c r="AH1590" s="1" t="s">
        <v>47</v>
      </c>
      <c r="AI1590">
        <v>40985</v>
      </c>
      <c r="AJ1590">
        <v>-58.55000000000291</v>
      </c>
    </row>
    <row r="1591" spans="1:36" x14ac:dyDescent="0.25">
      <c r="A1591">
        <v>11590</v>
      </c>
      <c r="B1591">
        <v>34</v>
      </c>
      <c r="C1591" s="1" t="s">
        <v>60</v>
      </c>
      <c r="D1591" s="1" t="s">
        <v>61</v>
      </c>
      <c r="E1591" s="2">
        <v>44716</v>
      </c>
      <c r="F1591" s="2">
        <v>45133</v>
      </c>
      <c r="G1591" s="1" t="s">
        <v>62</v>
      </c>
      <c r="H1591">
        <v>1322</v>
      </c>
      <c r="I1591">
        <v>2</v>
      </c>
      <c r="J1591">
        <v>0</v>
      </c>
      <c r="K1591">
        <v>73.099999999999994</v>
      </c>
      <c r="L1591">
        <v>5</v>
      </c>
      <c r="M1591" s="1" t="s">
        <v>65</v>
      </c>
      <c r="N1591" s="1" t="s">
        <v>56</v>
      </c>
      <c r="O1591">
        <v>2577.9</v>
      </c>
      <c r="P1591" t="b">
        <v>1</v>
      </c>
      <c r="Q1591">
        <v>0.16666666666666666</v>
      </c>
      <c r="R1591">
        <v>1288.95</v>
      </c>
      <c r="S1591">
        <v>73.099999999999994</v>
      </c>
      <c r="T1591" s="2">
        <v>44713</v>
      </c>
      <c r="U1591" s="1" t="s">
        <v>57</v>
      </c>
      <c r="V1591">
        <v>0</v>
      </c>
      <c r="W1591" s="1" t="s">
        <v>56</v>
      </c>
      <c r="X1591">
        <v>417</v>
      </c>
      <c r="Y1591" s="1" t="s">
        <v>43</v>
      </c>
      <c r="Z1591" s="1" t="s">
        <v>42</v>
      </c>
      <c r="AA1591">
        <v>0</v>
      </c>
      <c r="AB1591" s="1" t="s">
        <v>42</v>
      </c>
      <c r="AC1591">
        <v>2</v>
      </c>
      <c r="AD1591" s="2">
        <v>44713</v>
      </c>
      <c r="AE1591" s="1" t="s">
        <v>58</v>
      </c>
      <c r="AF1591" s="1" t="s">
        <v>54</v>
      </c>
      <c r="AG1591" s="1" t="s">
        <v>63</v>
      </c>
      <c r="AH1591" s="1" t="s">
        <v>47</v>
      </c>
      <c r="AI1591">
        <v>2644</v>
      </c>
      <c r="AJ1591">
        <v>-66.099999999999909</v>
      </c>
    </row>
    <row r="1592" spans="1:36" x14ac:dyDescent="0.25">
      <c r="A1592">
        <v>11591</v>
      </c>
      <c r="B1592">
        <v>41</v>
      </c>
      <c r="C1592" s="1" t="s">
        <v>60</v>
      </c>
      <c r="D1592" s="1" t="s">
        <v>73</v>
      </c>
      <c r="E1592" s="2">
        <v>44862</v>
      </c>
      <c r="F1592" s="2">
        <v>44629</v>
      </c>
      <c r="G1592" s="1" t="s">
        <v>38</v>
      </c>
      <c r="H1592">
        <v>895</v>
      </c>
      <c r="I1592">
        <v>33</v>
      </c>
      <c r="J1592">
        <v>4</v>
      </c>
      <c r="K1592">
        <v>87.79</v>
      </c>
      <c r="L1592">
        <v>10</v>
      </c>
      <c r="M1592" s="1" t="s">
        <v>50</v>
      </c>
      <c r="N1592" s="1" t="s">
        <v>56</v>
      </c>
      <c r="O1592">
        <v>29445.5</v>
      </c>
      <c r="P1592" t="b">
        <v>0</v>
      </c>
      <c r="Q1592">
        <v>2.75</v>
      </c>
      <c r="R1592">
        <v>892.28787878787875</v>
      </c>
      <c r="S1592">
        <v>17.558</v>
      </c>
      <c r="T1592" s="2">
        <v>44835</v>
      </c>
      <c r="U1592" s="1" t="s">
        <v>51</v>
      </c>
      <c r="V1592">
        <v>0</v>
      </c>
      <c r="W1592" s="1" t="s">
        <v>40</v>
      </c>
      <c r="Y1592" s="1" t="s">
        <v>43</v>
      </c>
      <c r="Z1592" s="1" t="s">
        <v>42</v>
      </c>
      <c r="AA1592">
        <v>0.11764705882352941</v>
      </c>
      <c r="AB1592" s="1" t="s">
        <v>43</v>
      </c>
      <c r="AC1592">
        <v>1</v>
      </c>
      <c r="AD1592" s="2">
        <v>44835</v>
      </c>
      <c r="AE1592" s="1" t="s">
        <v>44</v>
      </c>
      <c r="AF1592" s="1" t="s">
        <v>45</v>
      </c>
      <c r="AG1592" s="1" t="s">
        <v>63</v>
      </c>
      <c r="AH1592" s="1" t="s">
        <v>59</v>
      </c>
      <c r="AI1592">
        <v>29535</v>
      </c>
      <c r="AJ1592">
        <v>-89.5</v>
      </c>
    </row>
    <row r="1593" spans="1:36" x14ac:dyDescent="0.25">
      <c r="A1593">
        <v>11592</v>
      </c>
      <c r="B1593">
        <v>20</v>
      </c>
      <c r="C1593" s="1" t="s">
        <v>60</v>
      </c>
      <c r="D1593" s="1" t="s">
        <v>69</v>
      </c>
      <c r="E1593" s="2">
        <v>44744</v>
      </c>
      <c r="F1593" s="2">
        <v>44707</v>
      </c>
      <c r="G1593" s="1" t="s">
        <v>38</v>
      </c>
      <c r="H1593">
        <v>984</v>
      </c>
      <c r="I1593">
        <v>12</v>
      </c>
      <c r="J1593">
        <v>2</v>
      </c>
      <c r="K1593">
        <v>79.91</v>
      </c>
      <c r="L1593">
        <v>20</v>
      </c>
      <c r="M1593" s="1" t="s">
        <v>67</v>
      </c>
      <c r="N1593" s="1" t="s">
        <v>40</v>
      </c>
      <c r="O1593">
        <v>11611.2</v>
      </c>
      <c r="P1593" t="b">
        <v>0</v>
      </c>
      <c r="Q1593">
        <v>1</v>
      </c>
      <c r="R1593">
        <v>967.6</v>
      </c>
      <c r="S1593">
        <v>26.636666666666667</v>
      </c>
      <c r="T1593" s="2">
        <v>44743</v>
      </c>
      <c r="U1593" s="1" t="s">
        <v>66</v>
      </c>
      <c r="V1593">
        <v>1</v>
      </c>
      <c r="W1593" s="1" t="s">
        <v>56</v>
      </c>
      <c r="Y1593" s="1" t="s">
        <v>43</v>
      </c>
      <c r="Z1593" s="1" t="s">
        <v>52</v>
      </c>
      <c r="AA1593">
        <v>0.15384615384615385</v>
      </c>
      <c r="AB1593" s="1" t="s">
        <v>52</v>
      </c>
      <c r="AC1593">
        <v>1</v>
      </c>
      <c r="AD1593" s="2">
        <v>44743</v>
      </c>
      <c r="AE1593" s="1" t="s">
        <v>74</v>
      </c>
      <c r="AF1593" s="1" t="s">
        <v>72</v>
      </c>
      <c r="AG1593" s="1" t="s">
        <v>63</v>
      </c>
      <c r="AH1593" s="1" t="s">
        <v>59</v>
      </c>
      <c r="AI1593">
        <v>11808</v>
      </c>
      <c r="AJ1593">
        <v>-196.79999999999927</v>
      </c>
    </row>
    <row r="1594" spans="1:36" x14ac:dyDescent="0.25">
      <c r="A1594">
        <v>11593</v>
      </c>
      <c r="B1594">
        <v>49</v>
      </c>
      <c r="C1594" s="1" t="s">
        <v>36</v>
      </c>
      <c r="D1594" s="1" t="s">
        <v>48</v>
      </c>
      <c r="E1594" s="2">
        <v>44756</v>
      </c>
      <c r="F1594" s="2">
        <v>45170</v>
      </c>
      <c r="G1594" s="1" t="s">
        <v>49</v>
      </c>
      <c r="H1594">
        <v>1456</v>
      </c>
      <c r="I1594">
        <v>22</v>
      </c>
      <c r="J1594">
        <v>1</v>
      </c>
      <c r="K1594">
        <v>21.6</v>
      </c>
      <c r="L1594">
        <v>0</v>
      </c>
      <c r="M1594" s="1" t="s">
        <v>50</v>
      </c>
      <c r="N1594" s="1" t="s">
        <v>56</v>
      </c>
      <c r="O1594">
        <v>32032</v>
      </c>
      <c r="P1594" t="b">
        <v>1</v>
      </c>
      <c r="Q1594">
        <v>1.8333333333333333</v>
      </c>
      <c r="R1594">
        <v>1456</v>
      </c>
      <c r="S1594">
        <v>10.8</v>
      </c>
      <c r="T1594" s="2">
        <v>44743</v>
      </c>
      <c r="U1594" s="1" t="s">
        <v>51</v>
      </c>
      <c r="V1594">
        <v>0</v>
      </c>
      <c r="W1594" s="1" t="s">
        <v>40</v>
      </c>
      <c r="X1594">
        <v>414</v>
      </c>
      <c r="Y1594" s="1" t="s">
        <v>52</v>
      </c>
      <c r="Z1594" s="1" t="s">
        <v>42</v>
      </c>
      <c r="AA1594">
        <v>4.3478260869565216E-2</v>
      </c>
      <c r="AB1594" s="1" t="s">
        <v>43</v>
      </c>
      <c r="AC1594">
        <v>3</v>
      </c>
      <c r="AD1594" s="2">
        <v>44743</v>
      </c>
      <c r="AE1594" s="1" t="s">
        <v>53</v>
      </c>
      <c r="AF1594" s="1" t="s">
        <v>54</v>
      </c>
      <c r="AG1594" s="1" t="s">
        <v>70</v>
      </c>
      <c r="AH1594" s="1" t="s">
        <v>47</v>
      </c>
      <c r="AI1594">
        <v>32032</v>
      </c>
      <c r="AJ1594">
        <v>0</v>
      </c>
    </row>
    <row r="1595" spans="1:36" x14ac:dyDescent="0.25">
      <c r="A1595">
        <v>11594</v>
      </c>
      <c r="B1595">
        <v>52</v>
      </c>
      <c r="C1595" s="1" t="s">
        <v>36</v>
      </c>
      <c r="D1595" s="1" t="s">
        <v>73</v>
      </c>
      <c r="E1595" s="2">
        <v>44793</v>
      </c>
      <c r="F1595" s="2">
        <v>44978</v>
      </c>
      <c r="G1595" s="1" t="s">
        <v>38</v>
      </c>
      <c r="H1595">
        <v>1313</v>
      </c>
      <c r="I1595">
        <v>13</v>
      </c>
      <c r="J1595">
        <v>3</v>
      </c>
      <c r="K1595">
        <v>62.59</v>
      </c>
      <c r="L1595">
        <v>0</v>
      </c>
      <c r="M1595" s="1" t="s">
        <v>67</v>
      </c>
      <c r="N1595" s="1" t="s">
        <v>56</v>
      </c>
      <c r="O1595">
        <v>17069</v>
      </c>
      <c r="P1595" t="b">
        <v>1</v>
      </c>
      <c r="Q1595">
        <v>1.0833333333333333</v>
      </c>
      <c r="R1595">
        <v>1313</v>
      </c>
      <c r="S1595">
        <v>15.647500000000001</v>
      </c>
      <c r="T1595" s="2">
        <v>44774</v>
      </c>
      <c r="U1595" s="1" t="s">
        <v>41</v>
      </c>
      <c r="V1595">
        <v>0</v>
      </c>
      <c r="W1595" s="1" t="s">
        <v>40</v>
      </c>
      <c r="X1595">
        <v>185</v>
      </c>
      <c r="Y1595" s="1" t="s">
        <v>43</v>
      </c>
      <c r="Z1595" s="1" t="s">
        <v>42</v>
      </c>
      <c r="AA1595">
        <v>0.21428571428571427</v>
      </c>
      <c r="AB1595" s="1" t="s">
        <v>52</v>
      </c>
      <c r="AC1595">
        <v>1</v>
      </c>
      <c r="AD1595" s="2">
        <v>44774</v>
      </c>
      <c r="AE1595" s="1" t="s">
        <v>53</v>
      </c>
      <c r="AF1595" s="1" t="s">
        <v>72</v>
      </c>
      <c r="AG1595" s="1" t="s">
        <v>63</v>
      </c>
      <c r="AH1595" s="1" t="s">
        <v>47</v>
      </c>
      <c r="AI1595">
        <v>17069</v>
      </c>
      <c r="AJ1595">
        <v>0</v>
      </c>
    </row>
    <row r="1596" spans="1:36" x14ac:dyDescent="0.25">
      <c r="A1596">
        <v>11595</v>
      </c>
      <c r="B1596">
        <v>55</v>
      </c>
      <c r="C1596" s="1" t="s">
        <v>36</v>
      </c>
      <c r="D1596" s="1" t="s">
        <v>73</v>
      </c>
      <c r="E1596" s="2">
        <v>44224</v>
      </c>
      <c r="F1596" s="2">
        <v>45239</v>
      </c>
      <c r="G1596" s="1" t="s">
        <v>49</v>
      </c>
      <c r="H1596">
        <v>1313</v>
      </c>
      <c r="I1596">
        <v>10</v>
      </c>
      <c r="J1596">
        <v>1</v>
      </c>
      <c r="K1596">
        <v>20.11</v>
      </c>
      <c r="L1596">
        <v>10</v>
      </c>
      <c r="M1596" s="1" t="s">
        <v>65</v>
      </c>
      <c r="N1596" s="1" t="s">
        <v>56</v>
      </c>
      <c r="O1596">
        <v>12998.7</v>
      </c>
      <c r="P1596" t="b">
        <v>1</v>
      </c>
      <c r="Q1596">
        <v>0.83333333333333337</v>
      </c>
      <c r="R1596">
        <v>1299.8700000000001</v>
      </c>
      <c r="S1596">
        <v>10.055</v>
      </c>
      <c r="T1596" s="2">
        <v>44197</v>
      </c>
      <c r="U1596" s="1" t="s">
        <v>41</v>
      </c>
      <c r="V1596">
        <v>0</v>
      </c>
      <c r="W1596" s="1" t="s">
        <v>56</v>
      </c>
      <c r="X1596">
        <v>1015</v>
      </c>
      <c r="Y1596" s="1" t="s">
        <v>52</v>
      </c>
      <c r="Z1596" s="1" t="s">
        <v>42</v>
      </c>
      <c r="AA1596">
        <v>9.0909090909090912E-2</v>
      </c>
      <c r="AB1596" s="1" t="s">
        <v>52</v>
      </c>
      <c r="AC1596">
        <v>3</v>
      </c>
      <c r="AD1596" s="2">
        <v>44197</v>
      </c>
      <c r="AE1596" s="1" t="s">
        <v>74</v>
      </c>
      <c r="AF1596" s="1" t="s">
        <v>54</v>
      </c>
      <c r="AG1596" s="1" t="s">
        <v>70</v>
      </c>
      <c r="AH1596" s="1" t="s">
        <v>47</v>
      </c>
      <c r="AI1596">
        <v>13130</v>
      </c>
      <c r="AJ1596">
        <v>-131.29999999999927</v>
      </c>
    </row>
    <row r="1597" spans="1:36" x14ac:dyDescent="0.25">
      <c r="A1597">
        <v>11596</v>
      </c>
      <c r="B1597">
        <v>30</v>
      </c>
      <c r="C1597" s="1" t="s">
        <v>75</v>
      </c>
      <c r="D1597" s="1" t="s">
        <v>37</v>
      </c>
      <c r="E1597" s="2">
        <v>44904</v>
      </c>
      <c r="F1597" s="2">
        <v>44993</v>
      </c>
      <c r="G1597" s="1" t="s">
        <v>62</v>
      </c>
      <c r="H1597">
        <v>649</v>
      </c>
      <c r="I1597">
        <v>17</v>
      </c>
      <c r="J1597">
        <v>1</v>
      </c>
      <c r="K1597">
        <v>51.14</v>
      </c>
      <c r="L1597">
        <v>20</v>
      </c>
      <c r="M1597" s="1" t="s">
        <v>65</v>
      </c>
      <c r="N1597" s="1" t="s">
        <v>56</v>
      </c>
      <c r="O1597">
        <v>10903.2</v>
      </c>
      <c r="P1597" t="b">
        <v>1</v>
      </c>
      <c r="Q1597">
        <v>1.4166666666666667</v>
      </c>
      <c r="R1597">
        <v>641.36470588235295</v>
      </c>
      <c r="S1597">
        <v>25.57</v>
      </c>
      <c r="T1597" s="2">
        <v>44896</v>
      </c>
      <c r="U1597" s="1" t="s">
        <v>57</v>
      </c>
      <c r="V1597">
        <v>0</v>
      </c>
      <c r="W1597" s="1" t="s">
        <v>56</v>
      </c>
      <c r="X1597">
        <v>89</v>
      </c>
      <c r="Y1597" s="1" t="s">
        <v>52</v>
      </c>
      <c r="Z1597" s="1" t="s">
        <v>52</v>
      </c>
      <c r="AA1597">
        <v>5.5555555555555552E-2</v>
      </c>
      <c r="AB1597" s="1" t="s">
        <v>52</v>
      </c>
      <c r="AC1597">
        <v>2</v>
      </c>
      <c r="AD1597" s="2">
        <v>44896</v>
      </c>
      <c r="AE1597" s="1" t="s">
        <v>53</v>
      </c>
      <c r="AF1597" s="1" t="s">
        <v>54</v>
      </c>
      <c r="AG1597" s="1" t="s">
        <v>63</v>
      </c>
      <c r="AH1597" s="1" t="s">
        <v>64</v>
      </c>
      <c r="AI1597">
        <v>11033</v>
      </c>
      <c r="AJ1597">
        <v>-129.79999999999927</v>
      </c>
    </row>
    <row r="1598" spans="1:36" x14ac:dyDescent="0.25">
      <c r="A1598">
        <v>11597</v>
      </c>
      <c r="B1598">
        <v>64</v>
      </c>
      <c r="C1598" s="1" t="s">
        <v>60</v>
      </c>
      <c r="D1598" s="1" t="s">
        <v>37</v>
      </c>
      <c r="E1598" s="2">
        <v>44642</v>
      </c>
      <c r="F1598" s="2">
        <v>44988</v>
      </c>
      <c r="G1598" s="1" t="s">
        <v>62</v>
      </c>
      <c r="H1598">
        <v>581</v>
      </c>
      <c r="I1598">
        <v>5</v>
      </c>
      <c r="J1598">
        <v>4</v>
      </c>
      <c r="K1598">
        <v>70.430000000000007</v>
      </c>
      <c r="L1598">
        <v>0</v>
      </c>
      <c r="M1598" s="1" t="s">
        <v>65</v>
      </c>
      <c r="N1598" s="1" t="s">
        <v>40</v>
      </c>
      <c r="O1598">
        <v>2905</v>
      </c>
      <c r="P1598" t="b">
        <v>1</v>
      </c>
      <c r="Q1598">
        <v>0.41666666666666669</v>
      </c>
      <c r="R1598">
        <v>581</v>
      </c>
      <c r="S1598">
        <v>14.086000000000002</v>
      </c>
      <c r="T1598" s="2">
        <v>44621</v>
      </c>
      <c r="U1598" s="1" t="s">
        <v>41</v>
      </c>
      <c r="V1598">
        <v>1</v>
      </c>
      <c r="W1598" s="1" t="s">
        <v>56</v>
      </c>
      <c r="X1598">
        <v>346</v>
      </c>
      <c r="Y1598" s="1" t="s">
        <v>43</v>
      </c>
      <c r="Z1598" s="1" t="s">
        <v>42</v>
      </c>
      <c r="AA1598">
        <v>0.66666666666666663</v>
      </c>
      <c r="AB1598" s="1" t="s">
        <v>42</v>
      </c>
      <c r="AC1598">
        <v>2</v>
      </c>
      <c r="AD1598" s="2">
        <v>44621</v>
      </c>
      <c r="AE1598" s="1" t="s">
        <v>58</v>
      </c>
      <c r="AF1598" s="1" t="s">
        <v>45</v>
      </c>
      <c r="AG1598" s="1" t="s">
        <v>63</v>
      </c>
      <c r="AH1598" s="1" t="s">
        <v>64</v>
      </c>
      <c r="AI1598">
        <v>2905</v>
      </c>
      <c r="AJ1598">
        <v>0</v>
      </c>
    </row>
    <row r="1599" spans="1:36" x14ac:dyDescent="0.25">
      <c r="A1599">
        <v>11598</v>
      </c>
      <c r="B1599">
        <v>42</v>
      </c>
      <c r="C1599" s="1" t="s">
        <v>36</v>
      </c>
      <c r="D1599" s="1" t="s">
        <v>37</v>
      </c>
      <c r="E1599" s="2">
        <v>44404</v>
      </c>
      <c r="F1599" s="2">
        <v>44355</v>
      </c>
      <c r="G1599" s="1" t="s">
        <v>49</v>
      </c>
      <c r="H1599">
        <v>592</v>
      </c>
      <c r="I1599">
        <v>9</v>
      </c>
      <c r="J1599">
        <v>4</v>
      </c>
      <c r="K1599">
        <v>69.27</v>
      </c>
      <c r="L1599">
        <v>5</v>
      </c>
      <c r="M1599" s="1" t="s">
        <v>39</v>
      </c>
      <c r="N1599" s="1" t="s">
        <v>40</v>
      </c>
      <c r="O1599">
        <v>5298.4</v>
      </c>
      <c r="P1599" t="b">
        <v>0</v>
      </c>
      <c r="Q1599">
        <v>0.75</v>
      </c>
      <c r="R1599">
        <v>588.71111111111111</v>
      </c>
      <c r="S1599">
        <v>13.853999999999999</v>
      </c>
      <c r="T1599" s="2">
        <v>44378</v>
      </c>
      <c r="U1599" s="1" t="s">
        <v>51</v>
      </c>
      <c r="V1599">
        <v>1</v>
      </c>
      <c r="W1599" s="1" t="s">
        <v>56</v>
      </c>
      <c r="Y1599" s="1" t="s">
        <v>43</v>
      </c>
      <c r="Z1599" s="1" t="s">
        <v>42</v>
      </c>
      <c r="AA1599">
        <v>0.4</v>
      </c>
      <c r="AB1599" s="1" t="s">
        <v>42</v>
      </c>
      <c r="AC1599">
        <v>3</v>
      </c>
      <c r="AD1599" s="2">
        <v>44378</v>
      </c>
      <c r="AE1599" s="1" t="s">
        <v>74</v>
      </c>
      <c r="AF1599" s="1" t="s">
        <v>45</v>
      </c>
      <c r="AG1599" s="1" t="s">
        <v>63</v>
      </c>
      <c r="AH1599" s="1" t="s">
        <v>64</v>
      </c>
      <c r="AI1599">
        <v>5328</v>
      </c>
      <c r="AJ1599">
        <v>-29.600000000000364</v>
      </c>
    </row>
    <row r="1600" spans="1:36" x14ac:dyDescent="0.25">
      <c r="A1600">
        <v>11599</v>
      </c>
      <c r="B1600">
        <v>26</v>
      </c>
      <c r="C1600" s="1" t="s">
        <v>75</v>
      </c>
      <c r="D1600" s="1" t="s">
        <v>37</v>
      </c>
      <c r="E1600" s="2">
        <v>44666</v>
      </c>
      <c r="F1600" s="2">
        <v>44910</v>
      </c>
      <c r="G1600" s="1" t="s">
        <v>38</v>
      </c>
      <c r="H1600">
        <v>1283</v>
      </c>
      <c r="I1600">
        <v>13</v>
      </c>
      <c r="J1600">
        <v>1</v>
      </c>
      <c r="K1600">
        <v>18.690000000000001</v>
      </c>
      <c r="L1600">
        <v>10</v>
      </c>
      <c r="M1600" s="1" t="s">
        <v>65</v>
      </c>
      <c r="N1600" s="1" t="s">
        <v>56</v>
      </c>
      <c r="O1600">
        <v>16550.7</v>
      </c>
      <c r="P1600" t="b">
        <v>1</v>
      </c>
      <c r="Q1600">
        <v>1.0833333333333333</v>
      </c>
      <c r="R1600">
        <v>1273.1307692307694</v>
      </c>
      <c r="S1600">
        <v>9.3450000000000006</v>
      </c>
      <c r="T1600" s="2">
        <v>44652</v>
      </c>
      <c r="U1600" s="1" t="s">
        <v>57</v>
      </c>
      <c r="V1600">
        <v>0</v>
      </c>
      <c r="W1600" s="1" t="s">
        <v>40</v>
      </c>
      <c r="X1600">
        <v>244</v>
      </c>
      <c r="Y1600" s="1" t="s">
        <v>42</v>
      </c>
      <c r="Z1600" s="1" t="s">
        <v>42</v>
      </c>
      <c r="AA1600">
        <v>7.1428571428571425E-2</v>
      </c>
      <c r="AB1600" s="1" t="s">
        <v>52</v>
      </c>
      <c r="AC1600">
        <v>1</v>
      </c>
      <c r="AD1600" s="2">
        <v>44652</v>
      </c>
      <c r="AE1600" s="1" t="s">
        <v>53</v>
      </c>
      <c r="AF1600" s="1" t="s">
        <v>54</v>
      </c>
      <c r="AG1600" s="1" t="s">
        <v>46</v>
      </c>
      <c r="AH1600" s="1" t="s">
        <v>47</v>
      </c>
      <c r="AI1600">
        <v>16679</v>
      </c>
      <c r="AJ1600">
        <v>-128.29999999999927</v>
      </c>
    </row>
    <row r="1601" spans="1:36" x14ac:dyDescent="0.25">
      <c r="A1601">
        <v>11600</v>
      </c>
      <c r="B1601">
        <v>21</v>
      </c>
      <c r="C1601" s="1" t="s">
        <v>60</v>
      </c>
      <c r="D1601" s="1" t="s">
        <v>61</v>
      </c>
      <c r="E1601" s="2">
        <v>44912</v>
      </c>
      <c r="F1601" s="2">
        <v>44838</v>
      </c>
      <c r="G1601" s="1" t="s">
        <v>38</v>
      </c>
      <c r="H1601">
        <v>319</v>
      </c>
      <c r="I1601">
        <v>23</v>
      </c>
      <c r="J1601">
        <v>2</v>
      </c>
      <c r="K1601">
        <v>8.9600000000000009</v>
      </c>
      <c r="L1601">
        <v>10</v>
      </c>
      <c r="M1601" s="1" t="s">
        <v>50</v>
      </c>
      <c r="N1601" s="1" t="s">
        <v>40</v>
      </c>
      <c r="O1601">
        <v>7305.1</v>
      </c>
      <c r="P1601" t="b">
        <v>0</v>
      </c>
      <c r="Q1601">
        <v>1.9166666666666667</v>
      </c>
      <c r="R1601">
        <v>317.61304347826086</v>
      </c>
      <c r="S1601">
        <v>2.9866666666666668</v>
      </c>
      <c r="T1601" s="2">
        <v>44896</v>
      </c>
      <c r="U1601" s="1" t="s">
        <v>66</v>
      </c>
      <c r="V1601">
        <v>1</v>
      </c>
      <c r="W1601" s="1" t="s">
        <v>56</v>
      </c>
      <c r="Y1601" s="1" t="s">
        <v>42</v>
      </c>
      <c r="Z1601" s="1" t="s">
        <v>42</v>
      </c>
      <c r="AA1601">
        <v>8.3333333333333329E-2</v>
      </c>
      <c r="AB1601" s="1" t="s">
        <v>42</v>
      </c>
      <c r="AC1601">
        <v>1</v>
      </c>
      <c r="AD1601" s="2">
        <v>44896</v>
      </c>
      <c r="AE1601" s="1" t="s">
        <v>53</v>
      </c>
      <c r="AF1601" s="1" t="s">
        <v>72</v>
      </c>
      <c r="AG1601" s="1" t="s">
        <v>77</v>
      </c>
      <c r="AH1601" s="1" t="s">
        <v>68</v>
      </c>
      <c r="AI1601">
        <v>7337</v>
      </c>
      <c r="AJ1601">
        <v>-31.899999999999636</v>
      </c>
    </row>
    <row r="1602" spans="1:36" x14ac:dyDescent="0.25">
      <c r="A1602">
        <v>11601</v>
      </c>
      <c r="B1602">
        <v>31</v>
      </c>
      <c r="C1602" s="1" t="s">
        <v>36</v>
      </c>
      <c r="D1602" s="1" t="s">
        <v>69</v>
      </c>
      <c r="E1602" s="2">
        <v>45015</v>
      </c>
      <c r="F1602" s="2">
        <v>44688</v>
      </c>
      <c r="G1602" s="1" t="s">
        <v>38</v>
      </c>
      <c r="H1602">
        <v>1058</v>
      </c>
      <c r="I1602">
        <v>30</v>
      </c>
      <c r="J1602">
        <v>4</v>
      </c>
      <c r="K1602">
        <v>96.8</v>
      </c>
      <c r="L1602">
        <v>15</v>
      </c>
      <c r="M1602" s="1" t="s">
        <v>67</v>
      </c>
      <c r="N1602" s="1" t="s">
        <v>56</v>
      </c>
      <c r="O1602">
        <v>31581.3</v>
      </c>
      <c r="P1602" t="b">
        <v>0</v>
      </c>
      <c r="Q1602">
        <v>2.5</v>
      </c>
      <c r="R1602">
        <v>1052.71</v>
      </c>
      <c r="S1602">
        <v>19.36</v>
      </c>
      <c r="T1602" s="2">
        <v>44986</v>
      </c>
      <c r="U1602" s="1" t="s">
        <v>57</v>
      </c>
      <c r="V1602">
        <v>0</v>
      </c>
      <c r="W1602" s="1" t="s">
        <v>40</v>
      </c>
      <c r="Y1602" s="1" t="s">
        <v>43</v>
      </c>
      <c r="Z1602" s="1" t="s">
        <v>42</v>
      </c>
      <c r="AA1602">
        <v>0.12903225806451613</v>
      </c>
      <c r="AB1602" s="1" t="s">
        <v>43</v>
      </c>
      <c r="AC1602">
        <v>1</v>
      </c>
      <c r="AD1602" s="2">
        <v>44986</v>
      </c>
      <c r="AE1602" s="1" t="s">
        <v>44</v>
      </c>
      <c r="AF1602" s="1" t="s">
        <v>45</v>
      </c>
      <c r="AG1602" s="1" t="s">
        <v>63</v>
      </c>
      <c r="AH1602" s="1" t="s">
        <v>47</v>
      </c>
      <c r="AI1602">
        <v>31740</v>
      </c>
      <c r="AJ1602">
        <v>-158.70000000000073</v>
      </c>
    </row>
    <row r="1603" spans="1:36" x14ac:dyDescent="0.25">
      <c r="A1603">
        <v>11602</v>
      </c>
      <c r="B1603">
        <v>54</v>
      </c>
      <c r="C1603" s="1" t="s">
        <v>60</v>
      </c>
      <c r="D1603" s="1" t="s">
        <v>37</v>
      </c>
      <c r="E1603" s="2">
        <v>44300</v>
      </c>
      <c r="F1603" s="2">
        <v>44819</v>
      </c>
      <c r="G1603" s="1" t="s">
        <v>38</v>
      </c>
      <c r="H1603">
        <v>704</v>
      </c>
      <c r="I1603">
        <v>4</v>
      </c>
      <c r="J1603">
        <v>2</v>
      </c>
      <c r="K1603">
        <v>88.48</v>
      </c>
      <c r="L1603">
        <v>15</v>
      </c>
      <c r="M1603" s="1" t="s">
        <v>50</v>
      </c>
      <c r="N1603" s="1" t="s">
        <v>40</v>
      </c>
      <c r="O1603">
        <v>2710.4</v>
      </c>
      <c r="P1603" t="b">
        <v>1</v>
      </c>
      <c r="Q1603">
        <v>0.33333333333333331</v>
      </c>
      <c r="R1603">
        <v>677.6</v>
      </c>
      <c r="S1603">
        <v>29.493333333333336</v>
      </c>
      <c r="T1603" s="2">
        <v>44287</v>
      </c>
      <c r="U1603" s="1" t="s">
        <v>41</v>
      </c>
      <c r="V1603">
        <v>1</v>
      </c>
      <c r="W1603" s="1" t="s">
        <v>56</v>
      </c>
      <c r="X1603">
        <v>519</v>
      </c>
      <c r="Y1603" s="1" t="s">
        <v>43</v>
      </c>
      <c r="Z1603" s="1" t="s">
        <v>42</v>
      </c>
      <c r="AA1603">
        <v>0.4</v>
      </c>
      <c r="AB1603" s="1" t="s">
        <v>42</v>
      </c>
      <c r="AC1603">
        <v>1</v>
      </c>
      <c r="AD1603" s="2">
        <v>44287</v>
      </c>
      <c r="AE1603" s="1" t="s">
        <v>58</v>
      </c>
      <c r="AF1603" s="1" t="s">
        <v>72</v>
      </c>
      <c r="AG1603" s="1" t="s">
        <v>63</v>
      </c>
      <c r="AH1603" s="1" t="s">
        <v>59</v>
      </c>
      <c r="AI1603">
        <v>2816</v>
      </c>
      <c r="AJ1603">
        <v>-105.59999999999991</v>
      </c>
    </row>
    <row r="1604" spans="1:36" x14ac:dyDescent="0.25">
      <c r="A1604">
        <v>11603</v>
      </c>
      <c r="B1604">
        <v>51</v>
      </c>
      <c r="C1604" s="1" t="s">
        <v>60</v>
      </c>
      <c r="D1604" s="1" t="s">
        <v>71</v>
      </c>
      <c r="E1604" s="2">
        <v>44938</v>
      </c>
      <c r="F1604" s="2">
        <v>45140</v>
      </c>
      <c r="G1604" s="1" t="s">
        <v>49</v>
      </c>
      <c r="H1604">
        <v>1438</v>
      </c>
      <c r="I1604">
        <v>21</v>
      </c>
      <c r="J1604">
        <v>2</v>
      </c>
      <c r="K1604">
        <v>14.41</v>
      </c>
      <c r="L1604">
        <v>15</v>
      </c>
      <c r="M1604" s="1" t="s">
        <v>39</v>
      </c>
      <c r="N1604" s="1" t="s">
        <v>56</v>
      </c>
      <c r="O1604">
        <v>29982.3</v>
      </c>
      <c r="P1604" t="b">
        <v>1</v>
      </c>
      <c r="Q1604">
        <v>1.75</v>
      </c>
      <c r="R1604">
        <v>1427.7285714285713</v>
      </c>
      <c r="S1604">
        <v>4.8033333333333337</v>
      </c>
      <c r="T1604" s="2">
        <v>44927</v>
      </c>
      <c r="U1604" s="1" t="s">
        <v>41</v>
      </c>
      <c r="V1604">
        <v>0</v>
      </c>
      <c r="W1604" s="1" t="s">
        <v>40</v>
      </c>
      <c r="X1604">
        <v>202</v>
      </c>
      <c r="Y1604" s="1" t="s">
        <v>42</v>
      </c>
      <c r="Z1604" s="1" t="s">
        <v>42</v>
      </c>
      <c r="AA1604">
        <v>9.0909090909090912E-2</v>
      </c>
      <c r="AB1604" s="1" t="s">
        <v>43</v>
      </c>
      <c r="AC1604">
        <v>3</v>
      </c>
      <c r="AD1604" s="2">
        <v>44927</v>
      </c>
      <c r="AE1604" s="1" t="s">
        <v>53</v>
      </c>
      <c r="AF1604" s="1" t="s">
        <v>72</v>
      </c>
      <c r="AG1604" s="1" t="s">
        <v>46</v>
      </c>
      <c r="AH1604" s="1" t="s">
        <v>47</v>
      </c>
      <c r="AI1604">
        <v>30198</v>
      </c>
      <c r="AJ1604">
        <v>-215.70000000000073</v>
      </c>
    </row>
    <row r="1605" spans="1:36" x14ac:dyDescent="0.25">
      <c r="A1605">
        <v>11604</v>
      </c>
      <c r="B1605">
        <v>28</v>
      </c>
      <c r="C1605" s="1" t="s">
        <v>60</v>
      </c>
      <c r="D1605" s="1" t="s">
        <v>37</v>
      </c>
      <c r="E1605" s="2">
        <v>44622</v>
      </c>
      <c r="F1605" s="2">
        <v>45034</v>
      </c>
      <c r="G1605" s="1" t="s">
        <v>49</v>
      </c>
      <c r="H1605">
        <v>1000</v>
      </c>
      <c r="I1605">
        <v>9</v>
      </c>
      <c r="J1605">
        <v>1</v>
      </c>
      <c r="K1605">
        <v>19.649999999999999</v>
      </c>
      <c r="L1605">
        <v>20</v>
      </c>
      <c r="M1605" s="1" t="s">
        <v>50</v>
      </c>
      <c r="N1605" s="1" t="s">
        <v>56</v>
      </c>
      <c r="O1605">
        <v>8800</v>
      </c>
      <c r="P1605" t="b">
        <v>1</v>
      </c>
      <c r="Q1605">
        <v>0.75</v>
      </c>
      <c r="R1605">
        <v>977.77777777777783</v>
      </c>
      <c r="S1605">
        <v>9.8249999999999993</v>
      </c>
      <c r="T1605" s="2">
        <v>44621</v>
      </c>
      <c r="U1605" s="1" t="s">
        <v>57</v>
      </c>
      <c r="V1605">
        <v>0</v>
      </c>
      <c r="W1605" s="1" t="s">
        <v>56</v>
      </c>
      <c r="X1605">
        <v>412</v>
      </c>
      <c r="Y1605" s="1" t="s">
        <v>42</v>
      </c>
      <c r="Z1605" s="1" t="s">
        <v>52</v>
      </c>
      <c r="AA1605">
        <v>0.1</v>
      </c>
      <c r="AB1605" s="1" t="s">
        <v>42</v>
      </c>
      <c r="AC1605">
        <v>3</v>
      </c>
      <c r="AD1605" s="2">
        <v>44621</v>
      </c>
      <c r="AE1605" s="1" t="s">
        <v>74</v>
      </c>
      <c r="AF1605" s="1" t="s">
        <v>54</v>
      </c>
      <c r="AG1605" s="1" t="s">
        <v>46</v>
      </c>
      <c r="AH1605" s="1" t="s">
        <v>59</v>
      </c>
      <c r="AI1605">
        <v>9000</v>
      </c>
      <c r="AJ1605">
        <v>-200</v>
      </c>
    </row>
    <row r="1606" spans="1:36" x14ac:dyDescent="0.25">
      <c r="A1606">
        <v>11605</v>
      </c>
      <c r="B1606">
        <v>58</v>
      </c>
      <c r="C1606" s="1" t="s">
        <v>36</v>
      </c>
      <c r="D1606" s="1" t="s">
        <v>69</v>
      </c>
      <c r="E1606" s="2">
        <v>44297</v>
      </c>
      <c r="F1606" s="2">
        <v>45042</v>
      </c>
      <c r="G1606" s="1" t="s">
        <v>38</v>
      </c>
      <c r="H1606">
        <v>1279</v>
      </c>
      <c r="I1606">
        <v>7</v>
      </c>
      <c r="J1606">
        <v>2</v>
      </c>
      <c r="K1606">
        <v>107.65</v>
      </c>
      <c r="L1606">
        <v>10</v>
      </c>
      <c r="M1606" s="1" t="s">
        <v>67</v>
      </c>
      <c r="N1606" s="1" t="s">
        <v>40</v>
      </c>
      <c r="O1606">
        <v>8825.1</v>
      </c>
      <c r="P1606" t="b">
        <v>1</v>
      </c>
      <c r="Q1606">
        <v>0.58333333333333337</v>
      </c>
      <c r="R1606">
        <v>1260.7285714285715</v>
      </c>
      <c r="S1606">
        <v>35.883333333333333</v>
      </c>
      <c r="T1606" s="2">
        <v>44287</v>
      </c>
      <c r="U1606" s="1" t="s">
        <v>41</v>
      </c>
      <c r="V1606">
        <v>1</v>
      </c>
      <c r="W1606" s="1" t="s">
        <v>56</v>
      </c>
      <c r="X1606">
        <v>745</v>
      </c>
      <c r="Y1606" s="1" t="s">
        <v>43</v>
      </c>
      <c r="Z1606" s="1" t="s">
        <v>42</v>
      </c>
      <c r="AA1606">
        <v>0.25</v>
      </c>
      <c r="AB1606" s="1" t="s">
        <v>52</v>
      </c>
      <c r="AC1606">
        <v>1</v>
      </c>
      <c r="AD1606" s="2">
        <v>44287</v>
      </c>
      <c r="AE1606" s="1" t="s">
        <v>74</v>
      </c>
      <c r="AF1606" s="1" t="s">
        <v>72</v>
      </c>
      <c r="AG1606" s="1" t="s">
        <v>63</v>
      </c>
      <c r="AH1606" s="1" t="s">
        <v>47</v>
      </c>
      <c r="AI1606">
        <v>8953</v>
      </c>
      <c r="AJ1606">
        <v>-127.89999999999964</v>
      </c>
    </row>
    <row r="1607" spans="1:36" x14ac:dyDescent="0.25">
      <c r="A1607">
        <v>11606</v>
      </c>
      <c r="B1607">
        <v>20</v>
      </c>
      <c r="C1607" s="1" t="s">
        <v>36</v>
      </c>
      <c r="D1607" s="1" t="s">
        <v>37</v>
      </c>
      <c r="E1607" s="2">
        <v>44737</v>
      </c>
      <c r="F1607" s="2">
        <v>45051</v>
      </c>
      <c r="G1607" s="1" t="s">
        <v>38</v>
      </c>
      <c r="H1607">
        <v>325</v>
      </c>
      <c r="I1607">
        <v>16</v>
      </c>
      <c r="J1607">
        <v>1</v>
      </c>
      <c r="K1607">
        <v>93.45</v>
      </c>
      <c r="L1607">
        <v>15</v>
      </c>
      <c r="M1607" s="1" t="s">
        <v>67</v>
      </c>
      <c r="N1607" s="1" t="s">
        <v>56</v>
      </c>
      <c r="O1607">
        <v>5151.25</v>
      </c>
      <c r="P1607" t="b">
        <v>1</v>
      </c>
      <c r="Q1607">
        <v>1.3333333333333333</v>
      </c>
      <c r="R1607">
        <v>321.953125</v>
      </c>
      <c r="S1607">
        <v>46.725000000000001</v>
      </c>
      <c r="T1607" s="2">
        <v>44713</v>
      </c>
      <c r="U1607" s="1" t="s">
        <v>66</v>
      </c>
      <c r="V1607">
        <v>0</v>
      </c>
      <c r="W1607" s="1" t="s">
        <v>56</v>
      </c>
      <c r="X1607">
        <v>314</v>
      </c>
      <c r="Y1607" s="1" t="s">
        <v>43</v>
      </c>
      <c r="Z1607" s="1" t="s">
        <v>42</v>
      </c>
      <c r="AA1607">
        <v>5.8823529411764705E-2</v>
      </c>
      <c r="AB1607" s="1" t="s">
        <v>42</v>
      </c>
      <c r="AC1607">
        <v>1</v>
      </c>
      <c r="AD1607" s="2">
        <v>44713</v>
      </c>
      <c r="AE1607" s="1" t="s">
        <v>53</v>
      </c>
      <c r="AF1607" s="1" t="s">
        <v>54</v>
      </c>
      <c r="AG1607" s="1" t="s">
        <v>63</v>
      </c>
      <c r="AH1607" s="1" t="s">
        <v>68</v>
      </c>
      <c r="AI1607">
        <v>5200</v>
      </c>
      <c r="AJ1607">
        <v>-48.75</v>
      </c>
    </row>
    <row r="1608" spans="1:36" x14ac:dyDescent="0.25">
      <c r="A1608">
        <v>11607</v>
      </c>
      <c r="B1608">
        <v>45</v>
      </c>
      <c r="C1608" s="1" t="s">
        <v>36</v>
      </c>
      <c r="D1608" s="1" t="s">
        <v>61</v>
      </c>
      <c r="E1608" s="2">
        <v>44835</v>
      </c>
      <c r="F1608" s="2">
        <v>44596</v>
      </c>
      <c r="G1608" s="1" t="s">
        <v>38</v>
      </c>
      <c r="H1608">
        <v>865</v>
      </c>
      <c r="I1608">
        <v>23</v>
      </c>
      <c r="J1608">
        <v>3</v>
      </c>
      <c r="K1608">
        <v>119.56</v>
      </c>
      <c r="L1608">
        <v>10</v>
      </c>
      <c r="M1608" s="1" t="s">
        <v>65</v>
      </c>
      <c r="N1608" s="1" t="s">
        <v>56</v>
      </c>
      <c r="O1608">
        <v>19808.5</v>
      </c>
      <c r="P1608" t="b">
        <v>0</v>
      </c>
      <c r="Q1608">
        <v>1.9166666666666667</v>
      </c>
      <c r="R1608">
        <v>861.23913043478262</v>
      </c>
      <c r="S1608">
        <v>29.89</v>
      </c>
      <c r="T1608" s="2">
        <v>44835</v>
      </c>
      <c r="U1608" s="1" t="s">
        <v>51</v>
      </c>
      <c r="V1608">
        <v>0</v>
      </c>
      <c r="W1608" s="1" t="s">
        <v>40</v>
      </c>
      <c r="Y1608" s="1" t="s">
        <v>43</v>
      </c>
      <c r="Z1608" s="1" t="s">
        <v>42</v>
      </c>
      <c r="AA1608">
        <v>0.125</v>
      </c>
      <c r="AB1608" s="1" t="s">
        <v>43</v>
      </c>
      <c r="AC1608">
        <v>1</v>
      </c>
      <c r="AD1608" s="2">
        <v>44835</v>
      </c>
      <c r="AE1608" s="1" t="s">
        <v>53</v>
      </c>
      <c r="AF1608" s="1" t="s">
        <v>72</v>
      </c>
      <c r="AG1608" s="1" t="s">
        <v>63</v>
      </c>
      <c r="AH1608" s="1" t="s">
        <v>59</v>
      </c>
      <c r="AI1608">
        <v>19895</v>
      </c>
      <c r="AJ1608">
        <v>-86.5</v>
      </c>
    </row>
    <row r="1609" spans="1:36" x14ac:dyDescent="0.25">
      <c r="A1609">
        <v>11608</v>
      </c>
      <c r="B1609">
        <v>46</v>
      </c>
      <c r="C1609" s="1" t="s">
        <v>60</v>
      </c>
      <c r="D1609" s="1" t="s">
        <v>48</v>
      </c>
      <c r="E1609" s="2">
        <v>45046</v>
      </c>
      <c r="F1609" s="2">
        <v>44582</v>
      </c>
      <c r="G1609" s="1" t="s">
        <v>38</v>
      </c>
      <c r="H1609">
        <v>694</v>
      </c>
      <c r="I1609">
        <v>23</v>
      </c>
      <c r="J1609">
        <v>4</v>
      </c>
      <c r="K1609">
        <v>34.21</v>
      </c>
      <c r="L1609">
        <v>5</v>
      </c>
      <c r="M1609" s="1" t="s">
        <v>39</v>
      </c>
      <c r="N1609" s="1" t="s">
        <v>40</v>
      </c>
      <c r="O1609">
        <v>15927.3</v>
      </c>
      <c r="P1609" t="b">
        <v>0</v>
      </c>
      <c r="Q1609">
        <v>1.9166666666666667</v>
      </c>
      <c r="R1609">
        <v>692.49130434782603</v>
      </c>
      <c r="S1609">
        <v>6.8420000000000005</v>
      </c>
      <c r="T1609" s="2">
        <v>45017</v>
      </c>
      <c r="U1609" s="1" t="s">
        <v>51</v>
      </c>
      <c r="V1609">
        <v>1</v>
      </c>
      <c r="W1609" s="1" t="s">
        <v>40</v>
      </c>
      <c r="Y1609" s="1" t="s">
        <v>52</v>
      </c>
      <c r="Z1609" s="1" t="s">
        <v>42</v>
      </c>
      <c r="AA1609">
        <v>0.16666666666666666</v>
      </c>
      <c r="AB1609" s="1" t="s">
        <v>52</v>
      </c>
      <c r="AC1609">
        <v>1</v>
      </c>
      <c r="AD1609" s="2">
        <v>45017</v>
      </c>
      <c r="AE1609" s="1" t="s">
        <v>53</v>
      </c>
      <c r="AF1609" s="1" t="s">
        <v>45</v>
      </c>
      <c r="AG1609" s="1" t="s">
        <v>55</v>
      </c>
      <c r="AH1609" s="1" t="s">
        <v>64</v>
      </c>
      <c r="AI1609">
        <v>15962</v>
      </c>
      <c r="AJ1609">
        <v>-34.700000000000728</v>
      </c>
    </row>
    <row r="1610" spans="1:36" x14ac:dyDescent="0.25">
      <c r="A1610">
        <v>11609</v>
      </c>
      <c r="B1610">
        <v>26</v>
      </c>
      <c r="C1610" s="1" t="s">
        <v>60</v>
      </c>
      <c r="D1610" s="1" t="s">
        <v>48</v>
      </c>
      <c r="E1610" s="2">
        <v>44718</v>
      </c>
      <c r="F1610" s="2">
        <v>44430</v>
      </c>
      <c r="G1610" s="1" t="s">
        <v>62</v>
      </c>
      <c r="H1610">
        <v>1300</v>
      </c>
      <c r="I1610">
        <v>31</v>
      </c>
      <c r="J1610">
        <v>3</v>
      </c>
      <c r="K1610">
        <v>62.59</v>
      </c>
      <c r="L1610">
        <v>15</v>
      </c>
      <c r="M1610" s="1" t="s">
        <v>39</v>
      </c>
      <c r="N1610" s="1" t="s">
        <v>56</v>
      </c>
      <c r="O1610">
        <v>40105</v>
      </c>
      <c r="P1610" t="b">
        <v>0</v>
      </c>
      <c r="Q1610">
        <v>2.5833333333333335</v>
      </c>
      <c r="R1610">
        <v>1293.7096774193549</v>
      </c>
      <c r="S1610">
        <v>15.647500000000001</v>
      </c>
      <c r="T1610" s="2">
        <v>44713</v>
      </c>
      <c r="U1610" s="1" t="s">
        <v>57</v>
      </c>
      <c r="V1610">
        <v>0</v>
      </c>
      <c r="W1610" s="1" t="s">
        <v>40</v>
      </c>
      <c r="Y1610" s="1" t="s">
        <v>43</v>
      </c>
      <c r="Z1610" s="1" t="s">
        <v>42</v>
      </c>
      <c r="AA1610">
        <v>9.375E-2</v>
      </c>
      <c r="AB1610" s="1" t="s">
        <v>43</v>
      </c>
      <c r="AC1610">
        <v>2</v>
      </c>
      <c r="AD1610" s="2">
        <v>44713</v>
      </c>
      <c r="AE1610" s="1" t="s">
        <v>44</v>
      </c>
      <c r="AF1610" s="1" t="s">
        <v>72</v>
      </c>
      <c r="AG1610" s="1" t="s">
        <v>63</v>
      </c>
      <c r="AH1610" s="1" t="s">
        <v>47</v>
      </c>
      <c r="AI1610">
        <v>40300</v>
      </c>
      <c r="AJ1610">
        <v>-195</v>
      </c>
    </row>
    <row r="1611" spans="1:36" x14ac:dyDescent="0.25">
      <c r="A1611">
        <v>11610</v>
      </c>
      <c r="B1611">
        <v>20</v>
      </c>
      <c r="C1611" s="1" t="s">
        <v>60</v>
      </c>
      <c r="D1611" s="1" t="s">
        <v>69</v>
      </c>
      <c r="E1611" s="2">
        <v>44302</v>
      </c>
      <c r="F1611" s="2">
        <v>44440</v>
      </c>
      <c r="G1611" s="1" t="s">
        <v>38</v>
      </c>
      <c r="H1611">
        <v>822</v>
      </c>
      <c r="I1611">
        <v>5</v>
      </c>
      <c r="J1611">
        <v>1</v>
      </c>
      <c r="K1611">
        <v>32.19</v>
      </c>
      <c r="L1611">
        <v>10</v>
      </c>
      <c r="M1611" s="1" t="s">
        <v>50</v>
      </c>
      <c r="N1611" s="1" t="s">
        <v>56</v>
      </c>
      <c r="O1611">
        <v>4027.8</v>
      </c>
      <c r="P1611" t="b">
        <v>1</v>
      </c>
      <c r="Q1611">
        <v>0.41666666666666669</v>
      </c>
      <c r="R1611">
        <v>805.56000000000006</v>
      </c>
      <c r="S1611">
        <v>16.094999999999999</v>
      </c>
      <c r="T1611" s="2">
        <v>44287</v>
      </c>
      <c r="U1611" s="1" t="s">
        <v>66</v>
      </c>
      <c r="V1611">
        <v>0</v>
      </c>
      <c r="W1611" s="1" t="s">
        <v>56</v>
      </c>
      <c r="X1611">
        <v>138</v>
      </c>
      <c r="Y1611" s="1" t="s">
        <v>52</v>
      </c>
      <c r="Z1611" s="1" t="s">
        <v>42</v>
      </c>
      <c r="AA1611">
        <v>0.16666666666666666</v>
      </c>
      <c r="AB1611" s="1" t="s">
        <v>42</v>
      </c>
      <c r="AC1611">
        <v>1</v>
      </c>
      <c r="AD1611" s="2">
        <v>44287</v>
      </c>
      <c r="AE1611" s="1" t="s">
        <v>58</v>
      </c>
      <c r="AF1611" s="1" t="s">
        <v>54</v>
      </c>
      <c r="AG1611" s="1" t="s">
        <v>55</v>
      </c>
      <c r="AH1611" s="1" t="s">
        <v>59</v>
      </c>
      <c r="AI1611">
        <v>4110</v>
      </c>
      <c r="AJ1611">
        <v>-82.199999999999818</v>
      </c>
    </row>
    <row r="1612" spans="1:36" x14ac:dyDescent="0.25">
      <c r="A1612">
        <v>11611</v>
      </c>
      <c r="B1612">
        <v>42</v>
      </c>
      <c r="C1612" s="1" t="s">
        <v>60</v>
      </c>
      <c r="D1612" s="1" t="s">
        <v>48</v>
      </c>
      <c r="E1612" s="2">
        <v>44875</v>
      </c>
      <c r="F1612" s="2">
        <v>45232</v>
      </c>
      <c r="G1612" s="1" t="s">
        <v>62</v>
      </c>
      <c r="H1612">
        <v>1161</v>
      </c>
      <c r="I1612">
        <v>6</v>
      </c>
      <c r="J1612">
        <v>0</v>
      </c>
      <c r="K1612">
        <v>76.62</v>
      </c>
      <c r="L1612">
        <v>20</v>
      </c>
      <c r="M1612" s="1" t="s">
        <v>65</v>
      </c>
      <c r="N1612" s="1" t="s">
        <v>56</v>
      </c>
      <c r="O1612">
        <v>6733.8</v>
      </c>
      <c r="P1612" t="b">
        <v>1</v>
      </c>
      <c r="Q1612">
        <v>0.5</v>
      </c>
      <c r="R1612">
        <v>1122.3</v>
      </c>
      <c r="S1612">
        <v>76.62</v>
      </c>
      <c r="T1612" s="2">
        <v>44866</v>
      </c>
      <c r="U1612" s="1" t="s">
        <v>51</v>
      </c>
      <c r="V1612">
        <v>0</v>
      </c>
      <c r="W1612" s="1" t="s">
        <v>56</v>
      </c>
      <c r="X1612">
        <v>357</v>
      </c>
      <c r="Y1612" s="1" t="s">
        <v>43</v>
      </c>
      <c r="Z1612" s="1" t="s">
        <v>52</v>
      </c>
      <c r="AA1612">
        <v>0</v>
      </c>
      <c r="AB1612" s="1" t="s">
        <v>42</v>
      </c>
      <c r="AC1612">
        <v>2</v>
      </c>
      <c r="AD1612" s="2">
        <v>44866</v>
      </c>
      <c r="AE1612" s="1" t="s">
        <v>58</v>
      </c>
      <c r="AF1612" s="1" t="s">
        <v>54</v>
      </c>
      <c r="AG1612" s="1" t="s">
        <v>63</v>
      </c>
      <c r="AH1612" s="1" t="s">
        <v>47</v>
      </c>
      <c r="AI1612">
        <v>6966</v>
      </c>
      <c r="AJ1612">
        <v>-232.19999999999982</v>
      </c>
    </row>
    <row r="1613" spans="1:36" x14ac:dyDescent="0.25">
      <c r="A1613">
        <v>11612</v>
      </c>
      <c r="B1613">
        <v>51</v>
      </c>
      <c r="C1613" s="1" t="s">
        <v>36</v>
      </c>
      <c r="D1613" s="1" t="s">
        <v>48</v>
      </c>
      <c r="E1613" s="2">
        <v>44965</v>
      </c>
      <c r="F1613" s="2">
        <v>44741</v>
      </c>
      <c r="G1613" s="1" t="s">
        <v>38</v>
      </c>
      <c r="H1613">
        <v>1406</v>
      </c>
      <c r="I1613">
        <v>1</v>
      </c>
      <c r="J1613">
        <v>1</v>
      </c>
      <c r="K1613">
        <v>18.27</v>
      </c>
      <c r="L1613">
        <v>20</v>
      </c>
      <c r="M1613" s="1" t="s">
        <v>65</v>
      </c>
      <c r="N1613" s="1" t="s">
        <v>40</v>
      </c>
      <c r="O1613">
        <v>1124.8</v>
      </c>
      <c r="P1613" t="b">
        <v>0</v>
      </c>
      <c r="Q1613">
        <v>8.3333333333333329E-2</v>
      </c>
      <c r="R1613">
        <v>1124.8</v>
      </c>
      <c r="S1613">
        <v>9.1349999999999998</v>
      </c>
      <c r="T1613" s="2">
        <v>44958</v>
      </c>
      <c r="U1613" s="1" t="s">
        <v>41</v>
      </c>
      <c r="V1613">
        <v>1</v>
      </c>
      <c r="W1613" s="1" t="s">
        <v>56</v>
      </c>
      <c r="Y1613" s="1" t="s">
        <v>42</v>
      </c>
      <c r="Z1613" s="1" t="s">
        <v>52</v>
      </c>
      <c r="AA1613">
        <v>0.5</v>
      </c>
      <c r="AB1613" s="1" t="s">
        <v>42</v>
      </c>
      <c r="AC1613">
        <v>1</v>
      </c>
      <c r="AD1613" s="2">
        <v>44958</v>
      </c>
      <c r="AE1613" s="1" t="s">
        <v>58</v>
      </c>
      <c r="AF1613" s="1" t="s">
        <v>54</v>
      </c>
      <c r="AG1613" s="1" t="s">
        <v>46</v>
      </c>
      <c r="AH1613" s="1" t="s">
        <v>47</v>
      </c>
      <c r="AI1613">
        <v>1406</v>
      </c>
      <c r="AJ1613">
        <v>-281.20000000000005</v>
      </c>
    </row>
    <row r="1614" spans="1:36" x14ac:dyDescent="0.25">
      <c r="A1614">
        <v>11613</v>
      </c>
      <c r="B1614">
        <v>29</v>
      </c>
      <c r="C1614" s="1" t="s">
        <v>60</v>
      </c>
      <c r="D1614" s="1" t="s">
        <v>76</v>
      </c>
      <c r="E1614" s="2">
        <v>45003</v>
      </c>
      <c r="F1614" s="2">
        <v>45171</v>
      </c>
      <c r="G1614" s="1" t="s">
        <v>38</v>
      </c>
      <c r="H1614">
        <v>1101</v>
      </c>
      <c r="I1614">
        <v>28</v>
      </c>
      <c r="J1614">
        <v>4</v>
      </c>
      <c r="K1614">
        <v>19.63</v>
      </c>
      <c r="L1614">
        <v>10</v>
      </c>
      <c r="M1614" s="1" t="s">
        <v>65</v>
      </c>
      <c r="N1614" s="1" t="s">
        <v>40</v>
      </c>
      <c r="O1614">
        <v>30607.8</v>
      </c>
      <c r="P1614" t="b">
        <v>1</v>
      </c>
      <c r="Q1614">
        <v>2.3333333333333335</v>
      </c>
      <c r="R1614">
        <v>1093.1357142857144</v>
      </c>
      <c r="S1614">
        <v>3.9259999999999997</v>
      </c>
      <c r="T1614" s="2">
        <v>44986</v>
      </c>
      <c r="U1614" s="1" t="s">
        <v>57</v>
      </c>
      <c r="V1614">
        <v>1</v>
      </c>
      <c r="W1614" s="1" t="s">
        <v>40</v>
      </c>
      <c r="X1614">
        <v>168</v>
      </c>
      <c r="Y1614" s="1" t="s">
        <v>42</v>
      </c>
      <c r="Z1614" s="1" t="s">
        <v>42</v>
      </c>
      <c r="AA1614">
        <v>0.13793103448275862</v>
      </c>
      <c r="AB1614" s="1" t="s">
        <v>43</v>
      </c>
      <c r="AC1614">
        <v>1</v>
      </c>
      <c r="AD1614" s="2">
        <v>44986</v>
      </c>
      <c r="AE1614" s="1" t="s">
        <v>44</v>
      </c>
      <c r="AF1614" s="1" t="s">
        <v>45</v>
      </c>
      <c r="AG1614" s="1" t="s">
        <v>46</v>
      </c>
      <c r="AH1614" s="1" t="s">
        <v>47</v>
      </c>
      <c r="AI1614">
        <v>30828</v>
      </c>
      <c r="AJ1614">
        <v>-220.20000000000073</v>
      </c>
    </row>
    <row r="1615" spans="1:36" x14ac:dyDescent="0.25">
      <c r="A1615">
        <v>11614</v>
      </c>
      <c r="B1615">
        <v>59</v>
      </c>
      <c r="C1615" s="1" t="s">
        <v>36</v>
      </c>
      <c r="D1615" s="1" t="s">
        <v>76</v>
      </c>
      <c r="E1615" s="2">
        <v>44473</v>
      </c>
      <c r="F1615" s="2">
        <v>44615</v>
      </c>
      <c r="G1615" s="1" t="s">
        <v>62</v>
      </c>
      <c r="H1615">
        <v>849</v>
      </c>
      <c r="I1615">
        <v>18</v>
      </c>
      <c r="J1615">
        <v>1</v>
      </c>
      <c r="K1615">
        <v>13.27</v>
      </c>
      <c r="L1615">
        <v>15</v>
      </c>
      <c r="M1615" s="1" t="s">
        <v>67</v>
      </c>
      <c r="N1615" s="1" t="s">
        <v>56</v>
      </c>
      <c r="O1615">
        <v>15154.65</v>
      </c>
      <c r="P1615" t="b">
        <v>1</v>
      </c>
      <c r="Q1615">
        <v>1.5</v>
      </c>
      <c r="R1615">
        <v>841.92499999999995</v>
      </c>
      <c r="S1615">
        <v>6.6349999999999998</v>
      </c>
      <c r="T1615" s="2">
        <v>44470</v>
      </c>
      <c r="U1615" s="1" t="s">
        <v>41</v>
      </c>
      <c r="V1615">
        <v>0</v>
      </c>
      <c r="W1615" s="1" t="s">
        <v>40</v>
      </c>
      <c r="X1615">
        <v>142</v>
      </c>
      <c r="Y1615" s="1" t="s">
        <v>42</v>
      </c>
      <c r="Z1615" s="1" t="s">
        <v>42</v>
      </c>
      <c r="AA1615">
        <v>5.2631578947368418E-2</v>
      </c>
      <c r="AB1615" s="1" t="s">
        <v>52</v>
      </c>
      <c r="AC1615">
        <v>2</v>
      </c>
      <c r="AD1615" s="2">
        <v>44470</v>
      </c>
      <c r="AE1615" s="1" t="s">
        <v>53</v>
      </c>
      <c r="AF1615" s="1" t="s">
        <v>54</v>
      </c>
      <c r="AG1615" s="1" t="s">
        <v>46</v>
      </c>
      <c r="AH1615" s="1" t="s">
        <v>59</v>
      </c>
      <c r="AI1615">
        <v>15282</v>
      </c>
      <c r="AJ1615">
        <v>-127.35000000000036</v>
      </c>
    </row>
    <row r="1616" spans="1:36" x14ac:dyDescent="0.25">
      <c r="A1616">
        <v>11615</v>
      </c>
      <c r="B1616">
        <v>41</v>
      </c>
      <c r="C1616" s="1" t="s">
        <v>36</v>
      </c>
      <c r="D1616" s="1" t="s">
        <v>69</v>
      </c>
      <c r="E1616" s="2">
        <v>44261</v>
      </c>
      <c r="F1616" s="2">
        <v>44764</v>
      </c>
      <c r="G1616" s="1" t="s">
        <v>62</v>
      </c>
      <c r="H1616">
        <v>386</v>
      </c>
      <c r="I1616">
        <v>24</v>
      </c>
      <c r="J1616">
        <v>2</v>
      </c>
      <c r="K1616">
        <v>84.76</v>
      </c>
      <c r="L1616">
        <v>20</v>
      </c>
      <c r="M1616" s="1" t="s">
        <v>39</v>
      </c>
      <c r="N1616" s="1" t="s">
        <v>56</v>
      </c>
      <c r="O1616">
        <v>9186.7999999999993</v>
      </c>
      <c r="P1616" t="b">
        <v>1</v>
      </c>
      <c r="Q1616">
        <v>2</v>
      </c>
      <c r="R1616">
        <v>382.7833333333333</v>
      </c>
      <c r="S1616">
        <v>28.253333333333334</v>
      </c>
      <c r="T1616" s="2">
        <v>44256</v>
      </c>
      <c r="U1616" s="1" t="s">
        <v>51</v>
      </c>
      <c r="V1616">
        <v>0</v>
      </c>
      <c r="W1616" s="1" t="s">
        <v>56</v>
      </c>
      <c r="X1616">
        <v>503</v>
      </c>
      <c r="Y1616" s="1" t="s">
        <v>43</v>
      </c>
      <c r="Z1616" s="1" t="s">
        <v>52</v>
      </c>
      <c r="AA1616">
        <v>0.08</v>
      </c>
      <c r="AB1616" s="1" t="s">
        <v>52</v>
      </c>
      <c r="AC1616">
        <v>2</v>
      </c>
      <c r="AD1616" s="2">
        <v>44256</v>
      </c>
      <c r="AE1616" s="1" t="s">
        <v>53</v>
      </c>
      <c r="AF1616" s="1" t="s">
        <v>72</v>
      </c>
      <c r="AG1616" s="1" t="s">
        <v>63</v>
      </c>
      <c r="AH1616" s="1" t="s">
        <v>68</v>
      </c>
      <c r="AI1616">
        <v>9264</v>
      </c>
      <c r="AJ1616">
        <v>-77.200000000000728</v>
      </c>
    </row>
    <row r="1617" spans="1:36" x14ac:dyDescent="0.25">
      <c r="A1617">
        <v>11616</v>
      </c>
      <c r="B1617">
        <v>32</v>
      </c>
      <c r="C1617" s="1" t="s">
        <v>60</v>
      </c>
      <c r="D1617" s="1" t="s">
        <v>48</v>
      </c>
      <c r="E1617" s="2">
        <v>44979</v>
      </c>
      <c r="F1617" s="2">
        <v>44979</v>
      </c>
      <c r="G1617" s="1" t="s">
        <v>49</v>
      </c>
      <c r="H1617">
        <v>1132</v>
      </c>
      <c r="I1617">
        <v>13</v>
      </c>
      <c r="J1617">
        <v>0</v>
      </c>
      <c r="K1617">
        <v>61.82</v>
      </c>
      <c r="L1617">
        <v>0</v>
      </c>
      <c r="M1617" s="1" t="s">
        <v>50</v>
      </c>
      <c r="N1617" s="1" t="s">
        <v>56</v>
      </c>
      <c r="O1617">
        <v>14716</v>
      </c>
      <c r="P1617" t="b">
        <v>1</v>
      </c>
      <c r="Q1617">
        <v>1.0833333333333333</v>
      </c>
      <c r="R1617">
        <v>1132</v>
      </c>
      <c r="S1617">
        <v>61.82</v>
      </c>
      <c r="T1617" s="2">
        <v>44958</v>
      </c>
      <c r="U1617" s="1" t="s">
        <v>57</v>
      </c>
      <c r="V1617">
        <v>0</v>
      </c>
      <c r="W1617" s="1" t="s">
        <v>40</v>
      </c>
      <c r="X1617">
        <v>0</v>
      </c>
      <c r="Y1617" s="1" t="s">
        <v>43</v>
      </c>
      <c r="Z1617" s="1" t="s">
        <v>42</v>
      </c>
      <c r="AA1617">
        <v>0</v>
      </c>
      <c r="AB1617" s="1" t="s">
        <v>52</v>
      </c>
      <c r="AC1617">
        <v>3</v>
      </c>
      <c r="AD1617" s="2">
        <v>44958</v>
      </c>
      <c r="AE1617" s="1" t="s">
        <v>53</v>
      </c>
      <c r="AF1617" s="1" t="s">
        <v>54</v>
      </c>
      <c r="AG1617" s="1" t="s">
        <v>63</v>
      </c>
      <c r="AH1617" s="1" t="s">
        <v>47</v>
      </c>
      <c r="AI1617">
        <v>14716</v>
      </c>
      <c r="AJ1617">
        <v>0</v>
      </c>
    </row>
    <row r="1618" spans="1:36" x14ac:dyDescent="0.25">
      <c r="A1618">
        <v>11617</v>
      </c>
      <c r="B1618">
        <v>57</v>
      </c>
      <c r="C1618" s="1" t="s">
        <v>36</v>
      </c>
      <c r="D1618" s="1" t="s">
        <v>48</v>
      </c>
      <c r="E1618" s="2">
        <v>45096</v>
      </c>
      <c r="F1618" s="2">
        <v>44930</v>
      </c>
      <c r="G1618" s="1" t="s">
        <v>49</v>
      </c>
      <c r="H1618">
        <v>686</v>
      </c>
      <c r="I1618">
        <v>33</v>
      </c>
      <c r="J1618">
        <v>5</v>
      </c>
      <c r="K1618">
        <v>76.040000000000006</v>
      </c>
      <c r="L1618">
        <v>5</v>
      </c>
      <c r="M1618" s="1" t="s">
        <v>50</v>
      </c>
      <c r="N1618" s="1" t="s">
        <v>56</v>
      </c>
      <c r="O1618">
        <v>22603.7</v>
      </c>
      <c r="P1618" t="b">
        <v>0</v>
      </c>
      <c r="Q1618">
        <v>2.75</v>
      </c>
      <c r="R1618">
        <v>684.9606060606061</v>
      </c>
      <c r="S1618">
        <v>12.673333333333334</v>
      </c>
      <c r="T1618" s="2">
        <v>45078</v>
      </c>
      <c r="U1618" s="1" t="s">
        <v>41</v>
      </c>
      <c r="V1618">
        <v>0</v>
      </c>
      <c r="W1618" s="1" t="s">
        <v>40</v>
      </c>
      <c r="Y1618" s="1" t="s">
        <v>43</v>
      </c>
      <c r="Z1618" s="1" t="s">
        <v>42</v>
      </c>
      <c r="AA1618">
        <v>0.14705882352941177</v>
      </c>
      <c r="AB1618" s="1" t="s">
        <v>43</v>
      </c>
      <c r="AC1618">
        <v>3</v>
      </c>
      <c r="AD1618" s="2">
        <v>45078</v>
      </c>
      <c r="AE1618" s="1" t="s">
        <v>44</v>
      </c>
      <c r="AF1618" s="1" t="s">
        <v>45</v>
      </c>
      <c r="AG1618" s="1" t="s">
        <v>63</v>
      </c>
      <c r="AH1618" s="1" t="s">
        <v>64</v>
      </c>
      <c r="AI1618">
        <v>22638</v>
      </c>
      <c r="AJ1618">
        <v>-34.299999999999272</v>
      </c>
    </row>
    <row r="1619" spans="1:36" x14ac:dyDescent="0.25">
      <c r="A1619">
        <v>11618</v>
      </c>
      <c r="B1619">
        <v>42</v>
      </c>
      <c r="C1619" s="1" t="s">
        <v>60</v>
      </c>
      <c r="D1619" s="1" t="s">
        <v>48</v>
      </c>
      <c r="E1619" s="2">
        <v>44384</v>
      </c>
      <c r="F1619" s="2">
        <v>44876</v>
      </c>
      <c r="G1619" s="1" t="s">
        <v>38</v>
      </c>
      <c r="H1619">
        <v>1262</v>
      </c>
      <c r="I1619">
        <v>10</v>
      </c>
      <c r="J1619">
        <v>2</v>
      </c>
      <c r="K1619">
        <v>106.12</v>
      </c>
      <c r="L1619">
        <v>10</v>
      </c>
      <c r="M1619" s="1" t="s">
        <v>50</v>
      </c>
      <c r="N1619" s="1" t="s">
        <v>40</v>
      </c>
      <c r="O1619">
        <v>12493.8</v>
      </c>
      <c r="P1619" t="b">
        <v>1</v>
      </c>
      <c r="Q1619">
        <v>0.83333333333333337</v>
      </c>
      <c r="R1619">
        <v>1249.3799999999999</v>
      </c>
      <c r="S1619">
        <v>35.373333333333335</v>
      </c>
      <c r="T1619" s="2">
        <v>44378</v>
      </c>
      <c r="U1619" s="1" t="s">
        <v>51</v>
      </c>
      <c r="V1619">
        <v>1</v>
      </c>
      <c r="W1619" s="1" t="s">
        <v>56</v>
      </c>
      <c r="X1619">
        <v>492</v>
      </c>
      <c r="Y1619" s="1" t="s">
        <v>43</v>
      </c>
      <c r="Z1619" s="1" t="s">
        <v>42</v>
      </c>
      <c r="AA1619">
        <v>0.18181818181818182</v>
      </c>
      <c r="AB1619" s="1" t="s">
        <v>52</v>
      </c>
      <c r="AC1619">
        <v>1</v>
      </c>
      <c r="AD1619" s="2">
        <v>44378</v>
      </c>
      <c r="AE1619" s="1" t="s">
        <v>74</v>
      </c>
      <c r="AF1619" s="1" t="s">
        <v>72</v>
      </c>
      <c r="AG1619" s="1" t="s">
        <v>63</v>
      </c>
      <c r="AH1619" s="1" t="s">
        <v>47</v>
      </c>
      <c r="AI1619">
        <v>12620</v>
      </c>
      <c r="AJ1619">
        <v>-126.20000000000073</v>
      </c>
    </row>
    <row r="1620" spans="1:36" x14ac:dyDescent="0.25">
      <c r="A1620">
        <v>11619</v>
      </c>
      <c r="B1620">
        <v>22</v>
      </c>
      <c r="C1620" s="1" t="s">
        <v>60</v>
      </c>
      <c r="D1620" s="1" t="s">
        <v>73</v>
      </c>
      <c r="E1620" s="2">
        <v>44513</v>
      </c>
      <c r="F1620" s="2">
        <v>44600</v>
      </c>
      <c r="G1620" s="1" t="s">
        <v>38</v>
      </c>
      <c r="H1620">
        <v>967</v>
      </c>
      <c r="I1620">
        <v>7</v>
      </c>
      <c r="J1620">
        <v>1</v>
      </c>
      <c r="K1620">
        <v>90.14</v>
      </c>
      <c r="L1620">
        <v>0</v>
      </c>
      <c r="M1620" s="1" t="s">
        <v>65</v>
      </c>
      <c r="N1620" s="1" t="s">
        <v>56</v>
      </c>
      <c r="O1620">
        <v>6769</v>
      </c>
      <c r="P1620" t="b">
        <v>1</v>
      </c>
      <c r="Q1620">
        <v>0.58333333333333337</v>
      </c>
      <c r="R1620">
        <v>967</v>
      </c>
      <c r="S1620">
        <v>45.07</v>
      </c>
      <c r="T1620" s="2">
        <v>44501</v>
      </c>
      <c r="U1620" s="1" t="s">
        <v>66</v>
      </c>
      <c r="V1620">
        <v>0</v>
      </c>
      <c r="W1620" s="1" t="s">
        <v>56</v>
      </c>
      <c r="X1620">
        <v>87</v>
      </c>
      <c r="Y1620" s="1" t="s">
        <v>43</v>
      </c>
      <c r="Z1620" s="1" t="s">
        <v>42</v>
      </c>
      <c r="AA1620">
        <v>0.125</v>
      </c>
      <c r="AB1620" s="1" t="s">
        <v>42</v>
      </c>
      <c r="AC1620">
        <v>1</v>
      </c>
      <c r="AD1620" s="2">
        <v>44501</v>
      </c>
      <c r="AE1620" s="1" t="s">
        <v>74</v>
      </c>
      <c r="AF1620" s="1" t="s">
        <v>54</v>
      </c>
      <c r="AG1620" s="1" t="s">
        <v>63</v>
      </c>
      <c r="AH1620" s="1" t="s">
        <v>59</v>
      </c>
      <c r="AI1620">
        <v>6769</v>
      </c>
      <c r="AJ1620">
        <v>0</v>
      </c>
    </row>
    <row r="1621" spans="1:36" x14ac:dyDescent="0.25">
      <c r="A1621">
        <v>11620</v>
      </c>
      <c r="B1621">
        <v>41</v>
      </c>
      <c r="C1621" s="1" t="s">
        <v>60</v>
      </c>
      <c r="D1621" s="1" t="s">
        <v>61</v>
      </c>
      <c r="E1621" s="2">
        <v>44334</v>
      </c>
      <c r="F1621" s="2">
        <v>44469</v>
      </c>
      <c r="G1621" s="1" t="s">
        <v>49</v>
      </c>
      <c r="H1621">
        <v>585</v>
      </c>
      <c r="I1621">
        <v>32</v>
      </c>
      <c r="J1621">
        <v>3</v>
      </c>
      <c r="K1621">
        <v>58.1</v>
      </c>
      <c r="L1621">
        <v>15</v>
      </c>
      <c r="M1621" s="1" t="s">
        <v>39</v>
      </c>
      <c r="N1621" s="1" t="s">
        <v>40</v>
      </c>
      <c r="O1621">
        <v>18632.25</v>
      </c>
      <c r="P1621" t="b">
        <v>1</v>
      </c>
      <c r="Q1621">
        <v>2.6666666666666665</v>
      </c>
      <c r="R1621">
        <v>582.2578125</v>
      </c>
      <c r="S1621">
        <v>14.525</v>
      </c>
      <c r="T1621" s="2">
        <v>44317</v>
      </c>
      <c r="U1621" s="1" t="s">
        <v>51</v>
      </c>
      <c r="V1621">
        <v>1</v>
      </c>
      <c r="W1621" s="1" t="s">
        <v>40</v>
      </c>
      <c r="X1621">
        <v>135</v>
      </c>
      <c r="Y1621" s="1" t="s">
        <v>52</v>
      </c>
      <c r="Z1621" s="1" t="s">
        <v>42</v>
      </c>
      <c r="AA1621">
        <v>9.0909090909090912E-2</v>
      </c>
      <c r="AB1621" s="1" t="s">
        <v>52</v>
      </c>
      <c r="AC1621">
        <v>3</v>
      </c>
      <c r="AD1621" s="2">
        <v>44317</v>
      </c>
      <c r="AE1621" s="1" t="s">
        <v>44</v>
      </c>
      <c r="AF1621" s="1" t="s">
        <v>72</v>
      </c>
      <c r="AG1621" s="1" t="s">
        <v>63</v>
      </c>
      <c r="AH1621" s="1" t="s">
        <v>64</v>
      </c>
      <c r="AI1621">
        <v>18720</v>
      </c>
      <c r="AJ1621">
        <v>-87.75</v>
      </c>
    </row>
    <row r="1622" spans="1:36" x14ac:dyDescent="0.25">
      <c r="A1622">
        <v>11621</v>
      </c>
      <c r="B1622">
        <v>51</v>
      </c>
      <c r="C1622" s="1" t="s">
        <v>36</v>
      </c>
      <c r="D1622" s="1" t="s">
        <v>37</v>
      </c>
      <c r="E1622" s="2">
        <v>44539</v>
      </c>
      <c r="F1622" s="2">
        <v>45239</v>
      </c>
      <c r="G1622" s="1" t="s">
        <v>49</v>
      </c>
      <c r="H1622">
        <v>997</v>
      </c>
      <c r="I1622">
        <v>22</v>
      </c>
      <c r="J1622">
        <v>4</v>
      </c>
      <c r="K1622">
        <v>118.2</v>
      </c>
      <c r="L1622">
        <v>10</v>
      </c>
      <c r="M1622" s="1" t="s">
        <v>39</v>
      </c>
      <c r="N1622" s="1" t="s">
        <v>56</v>
      </c>
      <c r="O1622">
        <v>21834.3</v>
      </c>
      <c r="P1622" t="b">
        <v>1</v>
      </c>
      <c r="Q1622">
        <v>1.8333333333333333</v>
      </c>
      <c r="R1622">
        <v>992.46818181818173</v>
      </c>
      <c r="S1622">
        <v>23.64</v>
      </c>
      <c r="T1622" s="2">
        <v>44531</v>
      </c>
      <c r="U1622" s="1" t="s">
        <v>41</v>
      </c>
      <c r="V1622">
        <v>0</v>
      </c>
      <c r="W1622" s="1" t="s">
        <v>40</v>
      </c>
      <c r="X1622">
        <v>700</v>
      </c>
      <c r="Y1622" s="1" t="s">
        <v>43</v>
      </c>
      <c r="Z1622" s="1" t="s">
        <v>42</v>
      </c>
      <c r="AA1622">
        <v>0.17391304347826086</v>
      </c>
      <c r="AB1622" s="1" t="s">
        <v>43</v>
      </c>
      <c r="AC1622">
        <v>3</v>
      </c>
      <c r="AD1622" s="2">
        <v>44531</v>
      </c>
      <c r="AE1622" s="1" t="s">
        <v>53</v>
      </c>
      <c r="AF1622" s="1" t="s">
        <v>45</v>
      </c>
      <c r="AG1622" s="1" t="s">
        <v>63</v>
      </c>
      <c r="AH1622" s="1" t="s">
        <v>59</v>
      </c>
      <c r="AI1622">
        <v>21934</v>
      </c>
      <c r="AJ1622">
        <v>-99.700000000000728</v>
      </c>
    </row>
    <row r="1623" spans="1:36" x14ac:dyDescent="0.25">
      <c r="A1623">
        <v>11622</v>
      </c>
      <c r="B1623">
        <v>41</v>
      </c>
      <c r="C1623" s="1" t="s">
        <v>60</v>
      </c>
      <c r="D1623" s="1" t="s">
        <v>61</v>
      </c>
      <c r="E1623" s="2">
        <v>44301</v>
      </c>
      <c r="F1623" s="2">
        <v>44357</v>
      </c>
      <c r="G1623" s="1" t="s">
        <v>49</v>
      </c>
      <c r="H1623">
        <v>1264</v>
      </c>
      <c r="I1623">
        <v>16</v>
      </c>
      <c r="J1623">
        <v>1</v>
      </c>
      <c r="K1623">
        <v>57.47</v>
      </c>
      <c r="L1623">
        <v>10</v>
      </c>
      <c r="M1623" s="1" t="s">
        <v>67</v>
      </c>
      <c r="N1623" s="1" t="s">
        <v>56</v>
      </c>
      <c r="O1623">
        <v>20097.599999999999</v>
      </c>
      <c r="P1623" t="b">
        <v>1</v>
      </c>
      <c r="Q1623">
        <v>1.3333333333333333</v>
      </c>
      <c r="R1623">
        <v>1256.0999999999999</v>
      </c>
      <c r="S1623">
        <v>28.734999999999999</v>
      </c>
      <c r="T1623" s="2">
        <v>44287</v>
      </c>
      <c r="U1623" s="1" t="s">
        <v>51</v>
      </c>
      <c r="V1623">
        <v>0</v>
      </c>
      <c r="W1623" s="1" t="s">
        <v>40</v>
      </c>
      <c r="X1623">
        <v>56</v>
      </c>
      <c r="Y1623" s="1" t="s">
        <v>52</v>
      </c>
      <c r="Z1623" s="1" t="s">
        <v>42</v>
      </c>
      <c r="AA1623">
        <v>5.8823529411764705E-2</v>
      </c>
      <c r="AB1623" s="1" t="s">
        <v>43</v>
      </c>
      <c r="AC1623">
        <v>3</v>
      </c>
      <c r="AD1623" s="2">
        <v>44287</v>
      </c>
      <c r="AE1623" s="1" t="s">
        <v>53</v>
      </c>
      <c r="AF1623" s="1" t="s">
        <v>54</v>
      </c>
      <c r="AG1623" s="1" t="s">
        <v>63</v>
      </c>
      <c r="AH1623" s="1" t="s">
        <v>47</v>
      </c>
      <c r="AI1623">
        <v>20224</v>
      </c>
      <c r="AJ1623">
        <v>-126.40000000000146</v>
      </c>
    </row>
    <row r="1624" spans="1:36" x14ac:dyDescent="0.25">
      <c r="A1624">
        <v>11623</v>
      </c>
      <c r="B1624">
        <v>32</v>
      </c>
      <c r="C1624" s="1" t="s">
        <v>36</v>
      </c>
      <c r="D1624" s="1" t="s">
        <v>69</v>
      </c>
      <c r="E1624" s="2">
        <v>44742</v>
      </c>
      <c r="F1624" s="2">
        <v>45146</v>
      </c>
      <c r="G1624" s="1" t="s">
        <v>38</v>
      </c>
      <c r="H1624">
        <v>668</v>
      </c>
      <c r="I1624">
        <v>24</v>
      </c>
      <c r="J1624">
        <v>1</v>
      </c>
      <c r="K1624">
        <v>17.93</v>
      </c>
      <c r="L1624">
        <v>20</v>
      </c>
      <c r="M1624" s="1" t="s">
        <v>67</v>
      </c>
      <c r="N1624" s="1" t="s">
        <v>56</v>
      </c>
      <c r="O1624">
        <v>15898.4</v>
      </c>
      <c r="P1624" t="b">
        <v>1</v>
      </c>
      <c r="Q1624">
        <v>2</v>
      </c>
      <c r="R1624">
        <v>662.43333333333328</v>
      </c>
      <c r="S1624">
        <v>8.9649999999999999</v>
      </c>
      <c r="T1624" s="2">
        <v>44713</v>
      </c>
      <c r="U1624" s="1" t="s">
        <v>57</v>
      </c>
      <c r="V1624">
        <v>0</v>
      </c>
      <c r="W1624" s="1" t="s">
        <v>40</v>
      </c>
      <c r="X1624">
        <v>404</v>
      </c>
      <c r="Y1624" s="1" t="s">
        <v>42</v>
      </c>
      <c r="Z1624" s="1" t="s">
        <v>52</v>
      </c>
      <c r="AA1624">
        <v>0.04</v>
      </c>
      <c r="AB1624" s="1" t="s">
        <v>52</v>
      </c>
      <c r="AC1624">
        <v>1</v>
      </c>
      <c r="AD1624" s="2">
        <v>44713</v>
      </c>
      <c r="AE1624" s="1" t="s">
        <v>53</v>
      </c>
      <c r="AF1624" s="1" t="s">
        <v>54</v>
      </c>
      <c r="AG1624" s="1" t="s">
        <v>46</v>
      </c>
      <c r="AH1624" s="1" t="s">
        <v>64</v>
      </c>
      <c r="AI1624">
        <v>16032</v>
      </c>
      <c r="AJ1624">
        <v>-133.60000000000036</v>
      </c>
    </row>
    <row r="1625" spans="1:36" x14ac:dyDescent="0.25">
      <c r="A1625">
        <v>11624</v>
      </c>
      <c r="B1625">
        <v>55</v>
      </c>
      <c r="C1625" s="1" t="s">
        <v>36</v>
      </c>
      <c r="D1625" s="1" t="s">
        <v>71</v>
      </c>
      <c r="E1625" s="2">
        <v>44576</v>
      </c>
      <c r="F1625" s="2">
        <v>44663</v>
      </c>
      <c r="G1625" s="1" t="s">
        <v>49</v>
      </c>
      <c r="H1625">
        <v>954</v>
      </c>
      <c r="I1625">
        <v>14</v>
      </c>
      <c r="J1625">
        <v>4</v>
      </c>
      <c r="K1625">
        <v>119.16</v>
      </c>
      <c r="L1625">
        <v>10</v>
      </c>
      <c r="M1625" s="1" t="s">
        <v>67</v>
      </c>
      <c r="N1625" s="1" t="s">
        <v>56</v>
      </c>
      <c r="O1625">
        <v>13260.6</v>
      </c>
      <c r="P1625" t="b">
        <v>1</v>
      </c>
      <c r="Q1625">
        <v>1.1666666666666667</v>
      </c>
      <c r="R1625">
        <v>947.18571428571431</v>
      </c>
      <c r="S1625">
        <v>23.832000000000001</v>
      </c>
      <c r="T1625" s="2">
        <v>44562</v>
      </c>
      <c r="U1625" s="1" t="s">
        <v>41</v>
      </c>
      <c r="V1625">
        <v>0</v>
      </c>
      <c r="W1625" s="1" t="s">
        <v>56</v>
      </c>
      <c r="X1625">
        <v>87</v>
      </c>
      <c r="Y1625" s="1" t="s">
        <v>43</v>
      </c>
      <c r="Z1625" s="1" t="s">
        <v>42</v>
      </c>
      <c r="AA1625">
        <v>0.26666666666666666</v>
      </c>
      <c r="AB1625" s="1" t="s">
        <v>52</v>
      </c>
      <c r="AC1625">
        <v>3</v>
      </c>
      <c r="AD1625" s="2">
        <v>44562</v>
      </c>
      <c r="AE1625" s="1" t="s">
        <v>53</v>
      </c>
      <c r="AF1625" s="1" t="s">
        <v>45</v>
      </c>
      <c r="AG1625" s="1" t="s">
        <v>63</v>
      </c>
      <c r="AH1625" s="1" t="s">
        <v>59</v>
      </c>
      <c r="AI1625">
        <v>13356</v>
      </c>
      <c r="AJ1625">
        <v>-95.399999999999636</v>
      </c>
    </row>
    <row r="1626" spans="1:36" x14ac:dyDescent="0.25">
      <c r="A1626">
        <v>11625</v>
      </c>
      <c r="B1626">
        <v>25</v>
      </c>
      <c r="C1626" s="1" t="s">
        <v>60</v>
      </c>
      <c r="D1626" s="1" t="s">
        <v>37</v>
      </c>
      <c r="E1626" s="2">
        <v>44306</v>
      </c>
      <c r="F1626" s="2">
        <v>45185</v>
      </c>
      <c r="G1626" s="1" t="s">
        <v>38</v>
      </c>
      <c r="H1626">
        <v>953</v>
      </c>
      <c r="I1626">
        <v>11</v>
      </c>
      <c r="J1626">
        <v>4</v>
      </c>
      <c r="K1626">
        <v>7.62</v>
      </c>
      <c r="L1626">
        <v>10</v>
      </c>
      <c r="M1626" s="1" t="s">
        <v>50</v>
      </c>
      <c r="N1626" s="1" t="s">
        <v>40</v>
      </c>
      <c r="O1626">
        <v>10387.700000000001</v>
      </c>
      <c r="P1626" t="b">
        <v>1</v>
      </c>
      <c r="Q1626">
        <v>0.91666666666666663</v>
      </c>
      <c r="R1626">
        <v>944.33636363636367</v>
      </c>
      <c r="S1626">
        <v>1.524</v>
      </c>
      <c r="T1626" s="2">
        <v>44287</v>
      </c>
      <c r="U1626" s="1" t="s">
        <v>66</v>
      </c>
      <c r="V1626">
        <v>1</v>
      </c>
      <c r="W1626" s="1" t="s">
        <v>56</v>
      </c>
      <c r="X1626">
        <v>879</v>
      </c>
      <c r="Y1626" s="1" t="s">
        <v>42</v>
      </c>
      <c r="Z1626" s="1" t="s">
        <v>42</v>
      </c>
      <c r="AA1626">
        <v>0.33333333333333331</v>
      </c>
      <c r="AB1626" s="1" t="s">
        <v>52</v>
      </c>
      <c r="AC1626">
        <v>1</v>
      </c>
      <c r="AD1626" s="2">
        <v>44287</v>
      </c>
      <c r="AE1626" s="1" t="s">
        <v>74</v>
      </c>
      <c r="AF1626" s="1" t="s">
        <v>45</v>
      </c>
      <c r="AG1626" s="1" t="s">
        <v>77</v>
      </c>
      <c r="AH1626" s="1" t="s">
        <v>59</v>
      </c>
      <c r="AI1626">
        <v>10483</v>
      </c>
      <c r="AJ1626">
        <v>-95.299999999999272</v>
      </c>
    </row>
    <row r="1627" spans="1:36" x14ac:dyDescent="0.25">
      <c r="A1627">
        <v>11626</v>
      </c>
      <c r="B1627">
        <v>22</v>
      </c>
      <c r="C1627" s="1" t="s">
        <v>36</v>
      </c>
      <c r="D1627" s="1" t="s">
        <v>71</v>
      </c>
      <c r="E1627" s="2">
        <v>44741</v>
      </c>
      <c r="F1627" s="2">
        <v>44620</v>
      </c>
      <c r="G1627" s="1" t="s">
        <v>62</v>
      </c>
      <c r="H1627">
        <v>996</v>
      </c>
      <c r="I1627">
        <v>19</v>
      </c>
      <c r="J1627">
        <v>1</v>
      </c>
      <c r="K1627">
        <v>68.239999999999995</v>
      </c>
      <c r="L1627">
        <v>5</v>
      </c>
      <c r="M1627" s="1" t="s">
        <v>50</v>
      </c>
      <c r="N1627" s="1" t="s">
        <v>40</v>
      </c>
      <c r="O1627">
        <v>18874.2</v>
      </c>
      <c r="P1627" t="b">
        <v>0</v>
      </c>
      <c r="Q1627">
        <v>1.5833333333333333</v>
      </c>
      <c r="R1627">
        <v>993.37894736842111</v>
      </c>
      <c r="S1627">
        <v>34.119999999999997</v>
      </c>
      <c r="T1627" s="2">
        <v>44713</v>
      </c>
      <c r="U1627" s="1" t="s">
        <v>66</v>
      </c>
      <c r="V1627">
        <v>1</v>
      </c>
      <c r="W1627" s="1" t="s">
        <v>40</v>
      </c>
      <c r="Y1627" s="1" t="s">
        <v>43</v>
      </c>
      <c r="Z1627" s="1" t="s">
        <v>42</v>
      </c>
      <c r="AA1627">
        <v>0.05</v>
      </c>
      <c r="AB1627" s="1" t="s">
        <v>52</v>
      </c>
      <c r="AC1627">
        <v>2</v>
      </c>
      <c r="AD1627" s="2">
        <v>44713</v>
      </c>
      <c r="AE1627" s="1" t="s">
        <v>53</v>
      </c>
      <c r="AF1627" s="1" t="s">
        <v>54</v>
      </c>
      <c r="AG1627" s="1" t="s">
        <v>63</v>
      </c>
      <c r="AH1627" s="1" t="s">
        <v>59</v>
      </c>
      <c r="AI1627">
        <v>18924</v>
      </c>
      <c r="AJ1627">
        <v>-49.799999999999272</v>
      </c>
    </row>
    <row r="1628" spans="1:36" x14ac:dyDescent="0.25">
      <c r="A1628">
        <v>11627</v>
      </c>
      <c r="B1628">
        <v>43</v>
      </c>
      <c r="C1628" s="1" t="s">
        <v>36</v>
      </c>
      <c r="D1628" s="1" t="s">
        <v>73</v>
      </c>
      <c r="E1628" s="2">
        <v>44550</v>
      </c>
      <c r="F1628" s="2">
        <v>44653</v>
      </c>
      <c r="G1628" s="1" t="s">
        <v>49</v>
      </c>
      <c r="H1628">
        <v>1323</v>
      </c>
      <c r="I1628">
        <v>23</v>
      </c>
      <c r="J1628">
        <v>2</v>
      </c>
      <c r="K1628">
        <v>40.549999999999997</v>
      </c>
      <c r="L1628">
        <v>15</v>
      </c>
      <c r="M1628" s="1" t="s">
        <v>39</v>
      </c>
      <c r="N1628" s="1" t="s">
        <v>56</v>
      </c>
      <c r="O1628">
        <v>30230.55</v>
      </c>
      <c r="P1628" t="b">
        <v>1</v>
      </c>
      <c r="Q1628">
        <v>1.9166666666666667</v>
      </c>
      <c r="R1628">
        <v>1314.3717391304347</v>
      </c>
      <c r="S1628">
        <v>13.516666666666666</v>
      </c>
      <c r="T1628" s="2">
        <v>44531</v>
      </c>
      <c r="U1628" s="1" t="s">
        <v>51</v>
      </c>
      <c r="V1628">
        <v>0</v>
      </c>
      <c r="W1628" s="1" t="s">
        <v>40</v>
      </c>
      <c r="X1628">
        <v>103</v>
      </c>
      <c r="Y1628" s="1" t="s">
        <v>52</v>
      </c>
      <c r="Z1628" s="1" t="s">
        <v>42</v>
      </c>
      <c r="AA1628">
        <v>8.3333333333333329E-2</v>
      </c>
      <c r="AB1628" s="1" t="s">
        <v>43</v>
      </c>
      <c r="AC1628">
        <v>3</v>
      </c>
      <c r="AD1628" s="2">
        <v>44531</v>
      </c>
      <c r="AE1628" s="1" t="s">
        <v>53</v>
      </c>
      <c r="AF1628" s="1" t="s">
        <v>72</v>
      </c>
      <c r="AG1628" s="1" t="s">
        <v>55</v>
      </c>
      <c r="AH1628" s="1" t="s">
        <v>47</v>
      </c>
      <c r="AI1628">
        <v>30429</v>
      </c>
      <c r="AJ1628">
        <v>-198.45000000000073</v>
      </c>
    </row>
    <row r="1629" spans="1:36" x14ac:dyDescent="0.25">
      <c r="A1629">
        <v>11628</v>
      </c>
      <c r="B1629">
        <v>35</v>
      </c>
      <c r="C1629" s="1" t="s">
        <v>60</v>
      </c>
      <c r="D1629" s="1" t="s">
        <v>69</v>
      </c>
      <c r="E1629" s="2">
        <v>44939</v>
      </c>
      <c r="F1629" s="2">
        <v>45152</v>
      </c>
      <c r="G1629" s="1" t="s">
        <v>38</v>
      </c>
      <c r="H1629">
        <v>1214</v>
      </c>
      <c r="I1629">
        <v>34</v>
      </c>
      <c r="J1629">
        <v>3</v>
      </c>
      <c r="K1629">
        <v>62.91</v>
      </c>
      <c r="L1629">
        <v>0</v>
      </c>
      <c r="M1629" s="1" t="s">
        <v>67</v>
      </c>
      <c r="N1629" s="1" t="s">
        <v>56</v>
      </c>
      <c r="O1629">
        <v>41276</v>
      </c>
      <c r="P1629" t="b">
        <v>1</v>
      </c>
      <c r="Q1629">
        <v>2.8333333333333335</v>
      </c>
      <c r="R1629">
        <v>1214</v>
      </c>
      <c r="S1629">
        <v>15.727499999999999</v>
      </c>
      <c r="T1629" s="2">
        <v>44927</v>
      </c>
      <c r="U1629" s="1" t="s">
        <v>57</v>
      </c>
      <c r="V1629">
        <v>0</v>
      </c>
      <c r="W1629" s="1" t="s">
        <v>40</v>
      </c>
      <c r="X1629">
        <v>213</v>
      </c>
      <c r="Y1629" s="1" t="s">
        <v>43</v>
      </c>
      <c r="Z1629" s="1" t="s">
        <v>42</v>
      </c>
      <c r="AA1629">
        <v>8.5714285714285715E-2</v>
      </c>
      <c r="AB1629" s="1" t="s">
        <v>43</v>
      </c>
      <c r="AC1629">
        <v>1</v>
      </c>
      <c r="AD1629" s="2">
        <v>44927</v>
      </c>
      <c r="AE1629" s="1" t="s">
        <v>44</v>
      </c>
      <c r="AF1629" s="1" t="s">
        <v>72</v>
      </c>
      <c r="AG1629" s="1" t="s">
        <v>63</v>
      </c>
      <c r="AH1629" s="1" t="s">
        <v>47</v>
      </c>
      <c r="AI1629">
        <v>41276</v>
      </c>
      <c r="AJ1629">
        <v>0</v>
      </c>
    </row>
    <row r="1630" spans="1:36" x14ac:dyDescent="0.25">
      <c r="A1630">
        <v>11629</v>
      </c>
      <c r="B1630">
        <v>23</v>
      </c>
      <c r="C1630" s="1" t="s">
        <v>60</v>
      </c>
      <c r="D1630" s="1" t="s">
        <v>73</v>
      </c>
      <c r="E1630" s="2">
        <v>44513</v>
      </c>
      <c r="F1630" s="2">
        <v>44557</v>
      </c>
      <c r="G1630" s="1" t="s">
        <v>49</v>
      </c>
      <c r="H1630">
        <v>587</v>
      </c>
      <c r="I1630">
        <v>13</v>
      </c>
      <c r="J1630">
        <v>2</v>
      </c>
      <c r="K1630">
        <v>69.25</v>
      </c>
      <c r="L1630">
        <v>20</v>
      </c>
      <c r="M1630" s="1" t="s">
        <v>50</v>
      </c>
      <c r="N1630" s="1" t="s">
        <v>56</v>
      </c>
      <c r="O1630">
        <v>7513.6</v>
      </c>
      <c r="P1630" t="b">
        <v>1</v>
      </c>
      <c r="Q1630">
        <v>1.0833333333333333</v>
      </c>
      <c r="R1630">
        <v>577.96923076923076</v>
      </c>
      <c r="S1630">
        <v>23.083333333333332</v>
      </c>
      <c r="T1630" s="2">
        <v>44501</v>
      </c>
      <c r="U1630" s="1" t="s">
        <v>66</v>
      </c>
      <c r="V1630">
        <v>0</v>
      </c>
      <c r="W1630" s="1" t="s">
        <v>56</v>
      </c>
      <c r="X1630">
        <v>44</v>
      </c>
      <c r="Y1630" s="1" t="s">
        <v>43</v>
      </c>
      <c r="Z1630" s="1" t="s">
        <v>52</v>
      </c>
      <c r="AA1630">
        <v>0.14285714285714285</v>
      </c>
      <c r="AB1630" s="1" t="s">
        <v>42</v>
      </c>
      <c r="AC1630">
        <v>3</v>
      </c>
      <c r="AD1630" s="2">
        <v>44501</v>
      </c>
      <c r="AE1630" s="1" t="s">
        <v>53</v>
      </c>
      <c r="AF1630" s="1" t="s">
        <v>72</v>
      </c>
      <c r="AG1630" s="1" t="s">
        <v>63</v>
      </c>
      <c r="AH1630" s="1" t="s">
        <v>64</v>
      </c>
      <c r="AI1630">
        <v>7631</v>
      </c>
      <c r="AJ1630">
        <v>-117.39999999999964</v>
      </c>
    </row>
    <row r="1631" spans="1:36" x14ac:dyDescent="0.25">
      <c r="A1631">
        <v>11630</v>
      </c>
      <c r="B1631">
        <v>54</v>
      </c>
      <c r="C1631" s="1" t="s">
        <v>36</v>
      </c>
      <c r="D1631" s="1" t="s">
        <v>69</v>
      </c>
      <c r="E1631" s="2">
        <v>44462</v>
      </c>
      <c r="F1631" s="2">
        <v>45077</v>
      </c>
      <c r="G1631" s="1" t="s">
        <v>38</v>
      </c>
      <c r="H1631">
        <v>394</v>
      </c>
      <c r="I1631">
        <v>28</v>
      </c>
      <c r="J1631">
        <v>3</v>
      </c>
      <c r="K1631">
        <v>32.61</v>
      </c>
      <c r="L1631">
        <v>5</v>
      </c>
      <c r="M1631" s="1" t="s">
        <v>67</v>
      </c>
      <c r="N1631" s="1" t="s">
        <v>56</v>
      </c>
      <c r="O1631">
        <v>11012.3</v>
      </c>
      <c r="P1631" t="b">
        <v>1</v>
      </c>
      <c r="Q1631">
        <v>2.3333333333333335</v>
      </c>
      <c r="R1631">
        <v>393.29642857142852</v>
      </c>
      <c r="S1631">
        <v>8.1524999999999999</v>
      </c>
      <c r="T1631" s="2">
        <v>44440</v>
      </c>
      <c r="U1631" s="1" t="s">
        <v>41</v>
      </c>
      <c r="V1631">
        <v>0</v>
      </c>
      <c r="W1631" s="1" t="s">
        <v>56</v>
      </c>
      <c r="X1631">
        <v>615</v>
      </c>
      <c r="Y1631" s="1" t="s">
        <v>52</v>
      </c>
      <c r="Z1631" s="1" t="s">
        <v>42</v>
      </c>
      <c r="AA1631">
        <v>0.10344827586206896</v>
      </c>
      <c r="AB1631" s="1" t="s">
        <v>52</v>
      </c>
      <c r="AC1631">
        <v>1</v>
      </c>
      <c r="AD1631" s="2">
        <v>44440</v>
      </c>
      <c r="AE1631" s="1" t="s">
        <v>44</v>
      </c>
      <c r="AF1631" s="1" t="s">
        <v>72</v>
      </c>
      <c r="AG1631" s="1" t="s">
        <v>55</v>
      </c>
      <c r="AH1631" s="1" t="s">
        <v>68</v>
      </c>
      <c r="AI1631">
        <v>11032</v>
      </c>
      <c r="AJ1631">
        <v>-19.700000000000728</v>
      </c>
    </row>
    <row r="1632" spans="1:36" x14ac:dyDescent="0.25">
      <c r="A1632">
        <v>11631</v>
      </c>
      <c r="B1632">
        <v>30</v>
      </c>
      <c r="C1632" s="1" t="s">
        <v>60</v>
      </c>
      <c r="D1632" s="1" t="s">
        <v>71</v>
      </c>
      <c r="E1632" s="2">
        <v>44890</v>
      </c>
      <c r="F1632" s="2">
        <v>45100</v>
      </c>
      <c r="G1632" s="1" t="s">
        <v>49</v>
      </c>
      <c r="H1632">
        <v>968</v>
      </c>
      <c r="I1632">
        <v>16</v>
      </c>
      <c r="J1632">
        <v>2</v>
      </c>
      <c r="K1632">
        <v>69.040000000000006</v>
      </c>
      <c r="L1632">
        <v>0</v>
      </c>
      <c r="M1632" s="1" t="s">
        <v>67</v>
      </c>
      <c r="N1632" s="1" t="s">
        <v>56</v>
      </c>
      <c r="O1632">
        <v>15488</v>
      </c>
      <c r="P1632" t="b">
        <v>1</v>
      </c>
      <c r="Q1632">
        <v>1.3333333333333333</v>
      </c>
      <c r="R1632">
        <v>968</v>
      </c>
      <c r="S1632">
        <v>23.013333333333335</v>
      </c>
      <c r="T1632" s="2">
        <v>44866</v>
      </c>
      <c r="U1632" s="1" t="s">
        <v>57</v>
      </c>
      <c r="V1632">
        <v>0</v>
      </c>
      <c r="W1632" s="1" t="s">
        <v>40</v>
      </c>
      <c r="X1632">
        <v>210</v>
      </c>
      <c r="Y1632" s="1" t="s">
        <v>43</v>
      </c>
      <c r="Z1632" s="1" t="s">
        <v>42</v>
      </c>
      <c r="AA1632">
        <v>0.11764705882352941</v>
      </c>
      <c r="AB1632" s="1" t="s">
        <v>52</v>
      </c>
      <c r="AC1632">
        <v>3</v>
      </c>
      <c r="AD1632" s="2">
        <v>44866</v>
      </c>
      <c r="AE1632" s="1" t="s">
        <v>53</v>
      </c>
      <c r="AF1632" s="1" t="s">
        <v>72</v>
      </c>
      <c r="AG1632" s="1" t="s">
        <v>63</v>
      </c>
      <c r="AH1632" s="1" t="s">
        <v>59</v>
      </c>
      <c r="AI1632">
        <v>15488</v>
      </c>
      <c r="AJ1632">
        <v>0</v>
      </c>
    </row>
    <row r="1633" spans="1:36" x14ac:dyDescent="0.25">
      <c r="A1633">
        <v>11632</v>
      </c>
      <c r="B1633">
        <v>45</v>
      </c>
      <c r="C1633" s="1" t="s">
        <v>36</v>
      </c>
      <c r="D1633" s="1" t="s">
        <v>71</v>
      </c>
      <c r="E1633" s="2">
        <v>45048</v>
      </c>
      <c r="F1633" s="2">
        <v>45233</v>
      </c>
      <c r="G1633" s="1" t="s">
        <v>38</v>
      </c>
      <c r="H1633">
        <v>340</v>
      </c>
      <c r="I1633">
        <v>28</v>
      </c>
      <c r="J1633">
        <v>8</v>
      </c>
      <c r="K1633">
        <v>91.95</v>
      </c>
      <c r="L1633">
        <v>0</v>
      </c>
      <c r="M1633" s="1" t="s">
        <v>39</v>
      </c>
      <c r="N1633" s="1" t="s">
        <v>56</v>
      </c>
      <c r="O1633">
        <v>9520</v>
      </c>
      <c r="P1633" t="b">
        <v>1</v>
      </c>
      <c r="Q1633">
        <v>2.3333333333333335</v>
      </c>
      <c r="R1633">
        <v>340</v>
      </c>
      <c r="S1633">
        <v>10.216666666666667</v>
      </c>
      <c r="T1633" s="2">
        <v>45047</v>
      </c>
      <c r="U1633" s="1" t="s">
        <v>51</v>
      </c>
      <c r="V1633">
        <v>0</v>
      </c>
      <c r="W1633" s="1" t="s">
        <v>56</v>
      </c>
      <c r="X1633">
        <v>185</v>
      </c>
      <c r="Y1633" s="1" t="s">
        <v>43</v>
      </c>
      <c r="Z1633" s="1" t="s">
        <v>42</v>
      </c>
      <c r="AA1633">
        <v>0.27586206896551724</v>
      </c>
      <c r="AB1633" s="1" t="s">
        <v>52</v>
      </c>
      <c r="AC1633">
        <v>1</v>
      </c>
      <c r="AD1633" s="2">
        <v>45047</v>
      </c>
      <c r="AE1633" s="1" t="s">
        <v>44</v>
      </c>
      <c r="AF1633" s="1" t="s">
        <v>78</v>
      </c>
      <c r="AG1633" s="1" t="s">
        <v>63</v>
      </c>
      <c r="AH1633" s="1" t="s">
        <v>68</v>
      </c>
      <c r="AI1633">
        <v>9520</v>
      </c>
      <c r="AJ1633">
        <v>0</v>
      </c>
    </row>
    <row r="1634" spans="1:36" x14ac:dyDescent="0.25">
      <c r="A1634">
        <v>11633</v>
      </c>
      <c r="B1634">
        <v>22</v>
      </c>
      <c r="C1634" s="1" t="s">
        <v>60</v>
      </c>
      <c r="D1634" s="1" t="s">
        <v>71</v>
      </c>
      <c r="E1634" s="2">
        <v>44261</v>
      </c>
      <c r="F1634" s="2">
        <v>44811</v>
      </c>
      <c r="G1634" s="1" t="s">
        <v>49</v>
      </c>
      <c r="H1634">
        <v>630</v>
      </c>
      <c r="I1634">
        <v>4</v>
      </c>
      <c r="J1634">
        <v>2</v>
      </c>
      <c r="K1634">
        <v>62.59</v>
      </c>
      <c r="L1634">
        <v>5</v>
      </c>
      <c r="M1634" s="1" t="s">
        <v>39</v>
      </c>
      <c r="N1634" s="1" t="s">
        <v>40</v>
      </c>
      <c r="O1634">
        <v>2488.5</v>
      </c>
      <c r="P1634" t="b">
        <v>1</v>
      </c>
      <c r="Q1634">
        <v>0.33333333333333331</v>
      </c>
      <c r="R1634">
        <v>622.125</v>
      </c>
      <c r="S1634">
        <v>20.863333333333333</v>
      </c>
      <c r="T1634" s="2">
        <v>44256</v>
      </c>
      <c r="U1634" s="1" t="s">
        <v>66</v>
      </c>
      <c r="V1634">
        <v>1</v>
      </c>
      <c r="W1634" s="1" t="s">
        <v>56</v>
      </c>
      <c r="X1634">
        <v>550</v>
      </c>
      <c r="Y1634" s="1" t="s">
        <v>43</v>
      </c>
      <c r="Z1634" s="1" t="s">
        <v>42</v>
      </c>
      <c r="AA1634">
        <v>0.4</v>
      </c>
      <c r="AB1634" s="1" t="s">
        <v>42</v>
      </c>
      <c r="AC1634">
        <v>3</v>
      </c>
      <c r="AD1634" s="2">
        <v>44256</v>
      </c>
      <c r="AE1634" s="1" t="s">
        <v>58</v>
      </c>
      <c r="AF1634" s="1" t="s">
        <v>72</v>
      </c>
      <c r="AG1634" s="1" t="s">
        <v>63</v>
      </c>
      <c r="AH1634" s="1" t="s">
        <v>64</v>
      </c>
      <c r="AI1634">
        <v>2520</v>
      </c>
      <c r="AJ1634">
        <v>-31.5</v>
      </c>
    </row>
    <row r="1635" spans="1:36" x14ac:dyDescent="0.25">
      <c r="A1635">
        <v>11634</v>
      </c>
      <c r="B1635">
        <v>30</v>
      </c>
      <c r="C1635" s="1" t="s">
        <v>60</v>
      </c>
      <c r="D1635" s="1" t="s">
        <v>69</v>
      </c>
      <c r="E1635" s="2">
        <v>44529</v>
      </c>
      <c r="F1635" s="2">
        <v>45059</v>
      </c>
      <c r="G1635" s="1" t="s">
        <v>38</v>
      </c>
      <c r="H1635">
        <v>1478</v>
      </c>
      <c r="I1635">
        <v>28</v>
      </c>
      <c r="J1635">
        <v>1</v>
      </c>
      <c r="K1635">
        <v>49.09</v>
      </c>
      <c r="L1635">
        <v>20</v>
      </c>
      <c r="M1635" s="1" t="s">
        <v>50</v>
      </c>
      <c r="N1635" s="1" t="s">
        <v>56</v>
      </c>
      <c r="O1635">
        <v>41088.400000000001</v>
      </c>
      <c r="P1635" t="b">
        <v>1</v>
      </c>
      <c r="Q1635">
        <v>2.3333333333333335</v>
      </c>
      <c r="R1635">
        <v>1467.4428571428573</v>
      </c>
      <c r="S1635">
        <v>24.545000000000002</v>
      </c>
      <c r="T1635" s="2">
        <v>44501</v>
      </c>
      <c r="U1635" s="1" t="s">
        <v>57</v>
      </c>
      <c r="V1635">
        <v>0</v>
      </c>
      <c r="W1635" s="1" t="s">
        <v>40</v>
      </c>
      <c r="X1635">
        <v>530</v>
      </c>
      <c r="Y1635" s="1" t="s">
        <v>52</v>
      </c>
      <c r="Z1635" s="1" t="s">
        <v>52</v>
      </c>
      <c r="AA1635">
        <v>3.4482758620689655E-2</v>
      </c>
      <c r="AB1635" s="1" t="s">
        <v>43</v>
      </c>
      <c r="AC1635">
        <v>1</v>
      </c>
      <c r="AD1635" s="2">
        <v>44501</v>
      </c>
      <c r="AE1635" s="1" t="s">
        <v>44</v>
      </c>
      <c r="AF1635" s="1" t="s">
        <v>54</v>
      </c>
      <c r="AG1635" s="1" t="s">
        <v>63</v>
      </c>
      <c r="AH1635" s="1" t="s">
        <v>47</v>
      </c>
      <c r="AI1635">
        <v>41384</v>
      </c>
      <c r="AJ1635">
        <v>-295.59999999999854</v>
      </c>
    </row>
    <row r="1636" spans="1:36" x14ac:dyDescent="0.25">
      <c r="A1636">
        <v>11635</v>
      </c>
      <c r="B1636">
        <v>34</v>
      </c>
      <c r="C1636" s="1" t="s">
        <v>60</v>
      </c>
      <c r="D1636" s="1" t="s">
        <v>76</v>
      </c>
      <c r="E1636" s="2">
        <v>44709</v>
      </c>
      <c r="F1636" s="2">
        <v>45075</v>
      </c>
      <c r="G1636" s="1" t="s">
        <v>62</v>
      </c>
      <c r="H1636">
        <v>803</v>
      </c>
      <c r="I1636">
        <v>12</v>
      </c>
      <c r="J1636">
        <v>1</v>
      </c>
      <c r="K1636">
        <v>35.85</v>
      </c>
      <c r="L1636">
        <v>15</v>
      </c>
      <c r="M1636" s="1" t="s">
        <v>39</v>
      </c>
      <c r="N1636" s="1" t="s">
        <v>40</v>
      </c>
      <c r="O1636">
        <v>9515.5499999999993</v>
      </c>
      <c r="P1636" t="b">
        <v>1</v>
      </c>
      <c r="Q1636">
        <v>1</v>
      </c>
      <c r="R1636">
        <v>792.96249999999998</v>
      </c>
      <c r="S1636">
        <v>17.925000000000001</v>
      </c>
      <c r="T1636" s="2">
        <v>44682</v>
      </c>
      <c r="U1636" s="1" t="s">
        <v>57</v>
      </c>
      <c r="V1636">
        <v>1</v>
      </c>
      <c r="W1636" s="1" t="s">
        <v>56</v>
      </c>
      <c r="X1636">
        <v>366</v>
      </c>
      <c r="Y1636" s="1" t="s">
        <v>52</v>
      </c>
      <c r="Z1636" s="1" t="s">
        <v>42</v>
      </c>
      <c r="AA1636">
        <v>7.6923076923076927E-2</v>
      </c>
      <c r="AB1636" s="1" t="s">
        <v>52</v>
      </c>
      <c r="AC1636">
        <v>2</v>
      </c>
      <c r="AD1636" s="2">
        <v>44682</v>
      </c>
      <c r="AE1636" s="1" t="s">
        <v>74</v>
      </c>
      <c r="AF1636" s="1" t="s">
        <v>54</v>
      </c>
      <c r="AG1636" s="1" t="s">
        <v>55</v>
      </c>
      <c r="AH1636" s="1" t="s">
        <v>59</v>
      </c>
      <c r="AI1636">
        <v>9636</v>
      </c>
      <c r="AJ1636">
        <v>-120.45000000000073</v>
      </c>
    </row>
    <row r="1637" spans="1:36" x14ac:dyDescent="0.25">
      <c r="A1637">
        <v>11636</v>
      </c>
      <c r="B1637">
        <v>57</v>
      </c>
      <c r="C1637" s="1" t="s">
        <v>60</v>
      </c>
      <c r="D1637" s="1" t="s">
        <v>71</v>
      </c>
      <c r="E1637" s="2">
        <v>44329</v>
      </c>
      <c r="F1637" s="2">
        <v>45064</v>
      </c>
      <c r="G1637" s="1" t="s">
        <v>62</v>
      </c>
      <c r="H1637">
        <v>574</v>
      </c>
      <c r="I1637">
        <v>16</v>
      </c>
      <c r="J1637">
        <v>0</v>
      </c>
      <c r="K1637">
        <v>99.36</v>
      </c>
      <c r="L1637">
        <v>5</v>
      </c>
      <c r="M1637" s="1" t="s">
        <v>67</v>
      </c>
      <c r="N1637" s="1" t="s">
        <v>56</v>
      </c>
      <c r="O1637">
        <v>9155.2999999999993</v>
      </c>
      <c r="P1637" t="b">
        <v>1</v>
      </c>
      <c r="Q1637">
        <v>1.3333333333333333</v>
      </c>
      <c r="R1637">
        <v>572.20624999999995</v>
      </c>
      <c r="S1637">
        <v>99.36</v>
      </c>
      <c r="T1637" s="2">
        <v>44317</v>
      </c>
      <c r="U1637" s="1" t="s">
        <v>41</v>
      </c>
      <c r="V1637">
        <v>0</v>
      </c>
      <c r="W1637" s="1" t="s">
        <v>56</v>
      </c>
      <c r="X1637">
        <v>735</v>
      </c>
      <c r="Y1637" s="1" t="s">
        <v>43</v>
      </c>
      <c r="Z1637" s="1" t="s">
        <v>42</v>
      </c>
      <c r="AA1637">
        <v>0</v>
      </c>
      <c r="AB1637" s="1" t="s">
        <v>52</v>
      </c>
      <c r="AC1637">
        <v>2</v>
      </c>
      <c r="AD1637" s="2">
        <v>44317</v>
      </c>
      <c r="AE1637" s="1" t="s">
        <v>53</v>
      </c>
      <c r="AF1637" s="1" t="s">
        <v>54</v>
      </c>
      <c r="AG1637" s="1" t="s">
        <v>63</v>
      </c>
      <c r="AH1637" s="1" t="s">
        <v>64</v>
      </c>
      <c r="AI1637">
        <v>9184</v>
      </c>
      <c r="AJ1637">
        <v>-28.700000000000728</v>
      </c>
    </row>
    <row r="1638" spans="1:36" x14ac:dyDescent="0.25">
      <c r="A1638">
        <v>11637</v>
      </c>
      <c r="B1638">
        <v>62</v>
      </c>
      <c r="C1638" s="1" t="s">
        <v>36</v>
      </c>
      <c r="D1638" s="1" t="s">
        <v>73</v>
      </c>
      <c r="E1638" s="2">
        <v>44788</v>
      </c>
      <c r="F1638" s="2">
        <v>44763</v>
      </c>
      <c r="G1638" s="1" t="s">
        <v>62</v>
      </c>
      <c r="H1638">
        <v>478</v>
      </c>
      <c r="I1638">
        <v>20</v>
      </c>
      <c r="J1638">
        <v>0</v>
      </c>
      <c r="K1638">
        <v>88.37</v>
      </c>
      <c r="L1638">
        <v>5</v>
      </c>
      <c r="M1638" s="1" t="s">
        <v>39</v>
      </c>
      <c r="N1638" s="1" t="s">
        <v>56</v>
      </c>
      <c r="O1638">
        <v>9536.1</v>
      </c>
      <c r="P1638" t="b">
        <v>0</v>
      </c>
      <c r="Q1638">
        <v>1.6666666666666667</v>
      </c>
      <c r="R1638">
        <v>476.80500000000001</v>
      </c>
      <c r="S1638">
        <v>88.37</v>
      </c>
      <c r="T1638" s="2">
        <v>44774</v>
      </c>
      <c r="U1638" s="1" t="s">
        <v>41</v>
      </c>
      <c r="V1638">
        <v>0</v>
      </c>
      <c r="W1638" s="1" t="s">
        <v>56</v>
      </c>
      <c r="Y1638" s="1" t="s">
        <v>43</v>
      </c>
      <c r="Z1638" s="1" t="s">
        <v>42</v>
      </c>
      <c r="AA1638">
        <v>0</v>
      </c>
      <c r="AB1638" s="1" t="s">
        <v>52</v>
      </c>
      <c r="AC1638">
        <v>2</v>
      </c>
      <c r="AD1638" s="2">
        <v>44774</v>
      </c>
      <c r="AE1638" s="1" t="s">
        <v>53</v>
      </c>
      <c r="AF1638" s="1" t="s">
        <v>54</v>
      </c>
      <c r="AG1638" s="1" t="s">
        <v>63</v>
      </c>
      <c r="AH1638" s="1" t="s">
        <v>68</v>
      </c>
      <c r="AI1638">
        <v>9560</v>
      </c>
      <c r="AJ1638">
        <v>-23.899999999999636</v>
      </c>
    </row>
    <row r="1639" spans="1:36" x14ac:dyDescent="0.25">
      <c r="A1639">
        <v>11638</v>
      </c>
      <c r="B1639">
        <v>49</v>
      </c>
      <c r="C1639" s="1" t="s">
        <v>60</v>
      </c>
      <c r="D1639" s="1" t="s">
        <v>37</v>
      </c>
      <c r="E1639" s="2">
        <v>44979</v>
      </c>
      <c r="F1639" s="2">
        <v>44563</v>
      </c>
      <c r="G1639" s="1" t="s">
        <v>38</v>
      </c>
      <c r="H1639">
        <v>436</v>
      </c>
      <c r="I1639">
        <v>26</v>
      </c>
      <c r="J1639">
        <v>2</v>
      </c>
      <c r="K1639">
        <v>105.19</v>
      </c>
      <c r="L1639">
        <v>10</v>
      </c>
      <c r="M1639" s="1" t="s">
        <v>67</v>
      </c>
      <c r="N1639" s="1" t="s">
        <v>56</v>
      </c>
      <c r="O1639">
        <v>11314.2</v>
      </c>
      <c r="P1639" t="b">
        <v>0</v>
      </c>
      <c r="Q1639">
        <v>2.1666666666666665</v>
      </c>
      <c r="R1639">
        <v>435.1615384615385</v>
      </c>
      <c r="S1639">
        <v>35.063333333333333</v>
      </c>
      <c r="T1639" s="2">
        <v>44958</v>
      </c>
      <c r="U1639" s="1" t="s">
        <v>51</v>
      </c>
      <c r="V1639">
        <v>0</v>
      </c>
      <c r="W1639" s="1" t="s">
        <v>56</v>
      </c>
      <c r="Y1639" s="1" t="s">
        <v>43</v>
      </c>
      <c r="Z1639" s="1" t="s">
        <v>42</v>
      </c>
      <c r="AA1639">
        <v>7.407407407407407E-2</v>
      </c>
      <c r="AB1639" s="1" t="s">
        <v>52</v>
      </c>
      <c r="AC1639">
        <v>1</v>
      </c>
      <c r="AD1639" s="2">
        <v>44958</v>
      </c>
      <c r="AE1639" s="1" t="s">
        <v>44</v>
      </c>
      <c r="AF1639" s="1" t="s">
        <v>72</v>
      </c>
      <c r="AG1639" s="1" t="s">
        <v>63</v>
      </c>
      <c r="AH1639" s="1" t="s">
        <v>68</v>
      </c>
      <c r="AI1639">
        <v>11336</v>
      </c>
      <c r="AJ1639">
        <v>-21.799999999999272</v>
      </c>
    </row>
    <row r="1640" spans="1:36" x14ac:dyDescent="0.25">
      <c r="A1640">
        <v>11639</v>
      </c>
      <c r="B1640">
        <v>46</v>
      </c>
      <c r="C1640" s="1" t="s">
        <v>36</v>
      </c>
      <c r="D1640" s="1" t="s">
        <v>69</v>
      </c>
      <c r="E1640" s="2">
        <v>44949</v>
      </c>
      <c r="F1640" s="2">
        <v>44427</v>
      </c>
      <c r="G1640" s="1" t="s">
        <v>62</v>
      </c>
      <c r="H1640">
        <v>1066</v>
      </c>
      <c r="I1640">
        <v>26</v>
      </c>
      <c r="J1640">
        <v>1</v>
      </c>
      <c r="K1640">
        <v>24.56</v>
      </c>
      <c r="L1640">
        <v>10</v>
      </c>
      <c r="M1640" s="1" t="s">
        <v>67</v>
      </c>
      <c r="N1640" s="1" t="s">
        <v>56</v>
      </c>
      <c r="O1640">
        <v>27502.799999999999</v>
      </c>
      <c r="P1640" t="b">
        <v>0</v>
      </c>
      <c r="Q1640">
        <v>2.1666666666666665</v>
      </c>
      <c r="R1640">
        <v>1057.8</v>
      </c>
      <c r="S1640">
        <v>12.28</v>
      </c>
      <c r="T1640" s="2">
        <v>44927</v>
      </c>
      <c r="U1640" s="1" t="s">
        <v>51</v>
      </c>
      <c r="V1640">
        <v>0</v>
      </c>
      <c r="W1640" s="1" t="s">
        <v>40</v>
      </c>
      <c r="Y1640" s="1" t="s">
        <v>52</v>
      </c>
      <c r="Z1640" s="1" t="s">
        <v>42</v>
      </c>
      <c r="AA1640">
        <v>3.7037037037037035E-2</v>
      </c>
      <c r="AB1640" s="1" t="s">
        <v>43</v>
      </c>
      <c r="AC1640">
        <v>2</v>
      </c>
      <c r="AD1640" s="2">
        <v>44927</v>
      </c>
      <c r="AE1640" s="1" t="s">
        <v>44</v>
      </c>
      <c r="AF1640" s="1" t="s">
        <v>54</v>
      </c>
      <c r="AG1640" s="1" t="s">
        <v>70</v>
      </c>
      <c r="AH1640" s="1" t="s">
        <v>47</v>
      </c>
      <c r="AI1640">
        <v>27716</v>
      </c>
      <c r="AJ1640">
        <v>-213.20000000000073</v>
      </c>
    </row>
    <row r="1641" spans="1:36" x14ac:dyDescent="0.25">
      <c r="A1641">
        <v>11640</v>
      </c>
      <c r="B1641">
        <v>20</v>
      </c>
      <c r="C1641" s="1" t="s">
        <v>36</v>
      </c>
      <c r="D1641" s="1" t="s">
        <v>73</v>
      </c>
      <c r="E1641" s="2">
        <v>44736</v>
      </c>
      <c r="F1641" s="2">
        <v>45126</v>
      </c>
      <c r="G1641" s="1" t="s">
        <v>38</v>
      </c>
      <c r="H1641">
        <v>1287</v>
      </c>
      <c r="I1641">
        <v>22</v>
      </c>
      <c r="J1641">
        <v>3</v>
      </c>
      <c r="K1641">
        <v>13.46</v>
      </c>
      <c r="L1641">
        <v>5</v>
      </c>
      <c r="M1641" s="1" t="s">
        <v>50</v>
      </c>
      <c r="N1641" s="1" t="s">
        <v>56</v>
      </c>
      <c r="O1641">
        <v>28249.65</v>
      </c>
      <c r="P1641" t="b">
        <v>1</v>
      </c>
      <c r="Q1641">
        <v>1.8333333333333333</v>
      </c>
      <c r="R1641">
        <v>1284.075</v>
      </c>
      <c r="S1641">
        <v>3.3650000000000002</v>
      </c>
      <c r="T1641" s="2">
        <v>44713</v>
      </c>
      <c r="U1641" s="1" t="s">
        <v>66</v>
      </c>
      <c r="V1641">
        <v>0</v>
      </c>
      <c r="W1641" s="1" t="s">
        <v>40</v>
      </c>
      <c r="X1641">
        <v>390</v>
      </c>
      <c r="Y1641" s="1" t="s">
        <v>42</v>
      </c>
      <c r="Z1641" s="1" t="s">
        <v>42</v>
      </c>
      <c r="AA1641">
        <v>0.13043478260869565</v>
      </c>
      <c r="AB1641" s="1" t="s">
        <v>43</v>
      </c>
      <c r="AC1641">
        <v>1</v>
      </c>
      <c r="AD1641" s="2">
        <v>44713</v>
      </c>
      <c r="AE1641" s="1" t="s">
        <v>53</v>
      </c>
      <c r="AF1641" s="1" t="s">
        <v>72</v>
      </c>
      <c r="AG1641" s="1" t="s">
        <v>46</v>
      </c>
      <c r="AH1641" s="1" t="s">
        <v>47</v>
      </c>
      <c r="AI1641">
        <v>28314</v>
      </c>
      <c r="AJ1641">
        <v>-64.349999999998545</v>
      </c>
    </row>
    <row r="1642" spans="1:36" x14ac:dyDescent="0.25">
      <c r="A1642">
        <v>11641</v>
      </c>
      <c r="B1642">
        <v>57</v>
      </c>
      <c r="C1642" s="1" t="s">
        <v>36</v>
      </c>
      <c r="D1642" s="1" t="s">
        <v>61</v>
      </c>
      <c r="E1642" s="2">
        <v>44931</v>
      </c>
      <c r="F1642" s="2">
        <v>44827</v>
      </c>
      <c r="G1642" s="1" t="s">
        <v>62</v>
      </c>
      <c r="H1642">
        <v>542</v>
      </c>
      <c r="I1642">
        <v>9</v>
      </c>
      <c r="J1642">
        <v>2</v>
      </c>
      <c r="K1642">
        <v>18.73</v>
      </c>
      <c r="L1642">
        <v>5</v>
      </c>
      <c r="M1642" s="1" t="s">
        <v>50</v>
      </c>
      <c r="N1642" s="1" t="s">
        <v>56</v>
      </c>
      <c r="O1642">
        <v>4850.8999999999996</v>
      </c>
      <c r="P1642" t="b">
        <v>0</v>
      </c>
      <c r="Q1642">
        <v>0.75</v>
      </c>
      <c r="R1642">
        <v>538.98888888888882</v>
      </c>
      <c r="S1642">
        <v>6.2433333333333332</v>
      </c>
      <c r="T1642" s="2">
        <v>44927</v>
      </c>
      <c r="U1642" s="1" t="s">
        <v>41</v>
      </c>
      <c r="V1642">
        <v>0</v>
      </c>
      <c r="W1642" s="1" t="s">
        <v>56</v>
      </c>
      <c r="Y1642" s="1" t="s">
        <v>42</v>
      </c>
      <c r="Z1642" s="1" t="s">
        <v>42</v>
      </c>
      <c r="AA1642">
        <v>0.2</v>
      </c>
      <c r="AB1642" s="1" t="s">
        <v>42</v>
      </c>
      <c r="AC1642">
        <v>2</v>
      </c>
      <c r="AD1642" s="2">
        <v>44927</v>
      </c>
      <c r="AE1642" s="1" t="s">
        <v>74</v>
      </c>
      <c r="AF1642" s="1" t="s">
        <v>72</v>
      </c>
      <c r="AG1642" s="1" t="s">
        <v>46</v>
      </c>
      <c r="AH1642" s="1" t="s">
        <v>64</v>
      </c>
      <c r="AI1642">
        <v>4878</v>
      </c>
      <c r="AJ1642">
        <v>-27.100000000000364</v>
      </c>
    </row>
    <row r="1643" spans="1:36" x14ac:dyDescent="0.25">
      <c r="A1643">
        <v>11642</v>
      </c>
      <c r="B1643">
        <v>51</v>
      </c>
      <c r="C1643" s="1" t="s">
        <v>36</v>
      </c>
      <c r="D1643" s="1" t="s">
        <v>61</v>
      </c>
      <c r="E1643" s="2">
        <v>44731</v>
      </c>
      <c r="F1643" s="2">
        <v>45238</v>
      </c>
      <c r="G1643" s="1" t="s">
        <v>38</v>
      </c>
      <c r="H1643">
        <v>1419</v>
      </c>
      <c r="I1643">
        <v>5</v>
      </c>
      <c r="J1643">
        <v>1</v>
      </c>
      <c r="K1643">
        <v>23.52</v>
      </c>
      <c r="L1643">
        <v>10</v>
      </c>
      <c r="M1643" s="1" t="s">
        <v>50</v>
      </c>
      <c r="N1643" s="1" t="s">
        <v>56</v>
      </c>
      <c r="O1643">
        <v>6953.1</v>
      </c>
      <c r="P1643" t="b">
        <v>1</v>
      </c>
      <c r="Q1643">
        <v>0.41666666666666669</v>
      </c>
      <c r="R1643">
        <v>1390.6200000000001</v>
      </c>
      <c r="S1643">
        <v>11.76</v>
      </c>
      <c r="T1643" s="2">
        <v>44713</v>
      </c>
      <c r="U1643" s="1" t="s">
        <v>41</v>
      </c>
      <c r="V1643">
        <v>0</v>
      </c>
      <c r="W1643" s="1" t="s">
        <v>56</v>
      </c>
      <c r="X1643">
        <v>507</v>
      </c>
      <c r="Y1643" s="1" t="s">
        <v>52</v>
      </c>
      <c r="Z1643" s="1" t="s">
        <v>42</v>
      </c>
      <c r="AA1643">
        <v>0.16666666666666666</v>
      </c>
      <c r="AB1643" s="1" t="s">
        <v>42</v>
      </c>
      <c r="AC1643">
        <v>1</v>
      </c>
      <c r="AD1643" s="2">
        <v>44713</v>
      </c>
      <c r="AE1643" s="1" t="s">
        <v>58</v>
      </c>
      <c r="AF1643" s="1" t="s">
        <v>54</v>
      </c>
      <c r="AG1643" s="1" t="s">
        <v>70</v>
      </c>
      <c r="AH1643" s="1" t="s">
        <v>47</v>
      </c>
      <c r="AI1643">
        <v>7095</v>
      </c>
      <c r="AJ1643">
        <v>-141.89999999999964</v>
      </c>
    </row>
    <row r="1644" spans="1:36" x14ac:dyDescent="0.25">
      <c r="A1644">
        <v>11643</v>
      </c>
      <c r="B1644">
        <v>57</v>
      </c>
      <c r="C1644" s="1" t="s">
        <v>60</v>
      </c>
      <c r="D1644" s="1" t="s">
        <v>37</v>
      </c>
      <c r="E1644" s="2">
        <v>44692</v>
      </c>
      <c r="F1644" s="2">
        <v>44894</v>
      </c>
      <c r="G1644" s="1" t="s">
        <v>49</v>
      </c>
      <c r="H1644">
        <v>496</v>
      </c>
      <c r="I1644">
        <v>17</v>
      </c>
      <c r="J1644">
        <v>1</v>
      </c>
      <c r="K1644">
        <v>66.3</v>
      </c>
      <c r="L1644">
        <v>10</v>
      </c>
      <c r="M1644" s="1" t="s">
        <v>67</v>
      </c>
      <c r="N1644" s="1" t="s">
        <v>56</v>
      </c>
      <c r="O1644">
        <v>8382.4</v>
      </c>
      <c r="P1644" t="b">
        <v>1</v>
      </c>
      <c r="Q1644">
        <v>1.4166666666666667</v>
      </c>
      <c r="R1644">
        <v>493.08235294117645</v>
      </c>
      <c r="S1644">
        <v>33.15</v>
      </c>
      <c r="T1644" s="2">
        <v>44682</v>
      </c>
      <c r="U1644" s="1" t="s">
        <v>41</v>
      </c>
      <c r="V1644">
        <v>0</v>
      </c>
      <c r="W1644" s="1" t="s">
        <v>56</v>
      </c>
      <c r="X1644">
        <v>202</v>
      </c>
      <c r="Y1644" s="1" t="s">
        <v>43</v>
      </c>
      <c r="Z1644" s="1" t="s">
        <v>42</v>
      </c>
      <c r="AA1644">
        <v>5.5555555555555552E-2</v>
      </c>
      <c r="AB1644" s="1" t="s">
        <v>42</v>
      </c>
      <c r="AC1644">
        <v>3</v>
      </c>
      <c r="AD1644" s="2">
        <v>44682</v>
      </c>
      <c r="AE1644" s="1" t="s">
        <v>53</v>
      </c>
      <c r="AF1644" s="1" t="s">
        <v>54</v>
      </c>
      <c r="AG1644" s="1" t="s">
        <v>63</v>
      </c>
      <c r="AH1644" s="1" t="s">
        <v>68</v>
      </c>
      <c r="AI1644">
        <v>8432</v>
      </c>
      <c r="AJ1644">
        <v>-49.600000000000364</v>
      </c>
    </row>
    <row r="1645" spans="1:36" x14ac:dyDescent="0.25">
      <c r="A1645">
        <v>11644</v>
      </c>
      <c r="B1645">
        <v>44</v>
      </c>
      <c r="C1645" s="1" t="s">
        <v>60</v>
      </c>
      <c r="D1645" s="1" t="s">
        <v>48</v>
      </c>
      <c r="E1645" s="2">
        <v>44817</v>
      </c>
      <c r="F1645" s="2">
        <v>45148</v>
      </c>
      <c r="G1645" s="1" t="s">
        <v>38</v>
      </c>
      <c r="H1645">
        <v>825</v>
      </c>
      <c r="I1645">
        <v>34</v>
      </c>
      <c r="J1645">
        <v>2</v>
      </c>
      <c r="K1645">
        <v>116.65</v>
      </c>
      <c r="L1645">
        <v>10</v>
      </c>
      <c r="M1645" s="1" t="s">
        <v>39</v>
      </c>
      <c r="N1645" s="1" t="s">
        <v>56</v>
      </c>
      <c r="O1645">
        <v>27967.5</v>
      </c>
      <c r="P1645" t="b">
        <v>1</v>
      </c>
      <c r="Q1645">
        <v>2.8333333333333335</v>
      </c>
      <c r="R1645">
        <v>822.57352941176475</v>
      </c>
      <c r="S1645">
        <v>38.883333333333333</v>
      </c>
      <c r="T1645" s="2">
        <v>44805</v>
      </c>
      <c r="U1645" s="1" t="s">
        <v>51</v>
      </c>
      <c r="V1645">
        <v>0</v>
      </c>
      <c r="W1645" s="1" t="s">
        <v>40</v>
      </c>
      <c r="X1645">
        <v>331</v>
      </c>
      <c r="Y1645" s="1" t="s">
        <v>43</v>
      </c>
      <c r="Z1645" s="1" t="s">
        <v>42</v>
      </c>
      <c r="AA1645">
        <v>5.7142857142857141E-2</v>
      </c>
      <c r="AB1645" s="1" t="s">
        <v>43</v>
      </c>
      <c r="AC1645">
        <v>1</v>
      </c>
      <c r="AD1645" s="2">
        <v>44805</v>
      </c>
      <c r="AE1645" s="1" t="s">
        <v>44</v>
      </c>
      <c r="AF1645" s="1" t="s">
        <v>72</v>
      </c>
      <c r="AG1645" s="1" t="s">
        <v>63</v>
      </c>
      <c r="AH1645" s="1" t="s">
        <v>59</v>
      </c>
      <c r="AI1645">
        <v>28050</v>
      </c>
      <c r="AJ1645">
        <v>-82.5</v>
      </c>
    </row>
    <row r="1646" spans="1:36" x14ac:dyDescent="0.25">
      <c r="A1646">
        <v>11645</v>
      </c>
      <c r="B1646">
        <v>30</v>
      </c>
      <c r="C1646" s="1" t="s">
        <v>36</v>
      </c>
      <c r="D1646" s="1" t="s">
        <v>71</v>
      </c>
      <c r="E1646" s="2">
        <v>44815</v>
      </c>
      <c r="F1646" s="2">
        <v>44365</v>
      </c>
      <c r="G1646" s="1" t="s">
        <v>38</v>
      </c>
      <c r="H1646">
        <v>931</v>
      </c>
      <c r="I1646">
        <v>2</v>
      </c>
      <c r="J1646">
        <v>4</v>
      </c>
      <c r="K1646">
        <v>46.08</v>
      </c>
      <c r="L1646">
        <v>10</v>
      </c>
      <c r="M1646" s="1" t="s">
        <v>50</v>
      </c>
      <c r="N1646" s="1" t="s">
        <v>56</v>
      </c>
      <c r="O1646">
        <v>1768.9</v>
      </c>
      <c r="P1646" t="b">
        <v>0</v>
      </c>
      <c r="Q1646">
        <v>0.16666666666666666</v>
      </c>
      <c r="R1646">
        <v>884.45</v>
      </c>
      <c r="S1646">
        <v>9.2159999999999993</v>
      </c>
      <c r="T1646" s="2">
        <v>44805</v>
      </c>
      <c r="U1646" s="1" t="s">
        <v>57</v>
      </c>
      <c r="V1646">
        <v>0</v>
      </c>
      <c r="W1646" s="1" t="s">
        <v>56</v>
      </c>
      <c r="Y1646" s="1" t="s">
        <v>52</v>
      </c>
      <c r="Z1646" s="1" t="s">
        <v>42</v>
      </c>
      <c r="AA1646">
        <v>1.3333333333333333</v>
      </c>
      <c r="AB1646" s="1" t="s">
        <v>42</v>
      </c>
      <c r="AC1646">
        <v>1</v>
      </c>
      <c r="AD1646" s="2">
        <v>44805</v>
      </c>
      <c r="AE1646" s="1" t="s">
        <v>58</v>
      </c>
      <c r="AF1646" s="1" t="s">
        <v>45</v>
      </c>
      <c r="AG1646" s="1" t="s">
        <v>63</v>
      </c>
      <c r="AH1646" s="1" t="s">
        <v>59</v>
      </c>
      <c r="AI1646">
        <v>1862</v>
      </c>
      <c r="AJ1646">
        <v>-93.099999999999909</v>
      </c>
    </row>
    <row r="1647" spans="1:36" x14ac:dyDescent="0.25">
      <c r="A1647">
        <v>11646</v>
      </c>
      <c r="B1647">
        <v>62</v>
      </c>
      <c r="C1647" s="1" t="s">
        <v>60</v>
      </c>
      <c r="D1647" s="1" t="s">
        <v>69</v>
      </c>
      <c r="E1647" s="2">
        <v>44853</v>
      </c>
      <c r="F1647" s="2">
        <v>44512</v>
      </c>
      <c r="G1647" s="1" t="s">
        <v>38</v>
      </c>
      <c r="H1647">
        <v>707</v>
      </c>
      <c r="I1647">
        <v>7</v>
      </c>
      <c r="J1647">
        <v>2</v>
      </c>
      <c r="K1647">
        <v>115.23</v>
      </c>
      <c r="L1647">
        <v>5</v>
      </c>
      <c r="M1647" s="1" t="s">
        <v>50</v>
      </c>
      <c r="N1647" s="1" t="s">
        <v>56</v>
      </c>
      <c r="O1647">
        <v>4913.6499999999996</v>
      </c>
      <c r="P1647" t="b">
        <v>0</v>
      </c>
      <c r="Q1647">
        <v>0.58333333333333337</v>
      </c>
      <c r="R1647">
        <v>701.94999999999993</v>
      </c>
      <c r="S1647">
        <v>38.410000000000004</v>
      </c>
      <c r="T1647" s="2">
        <v>44835</v>
      </c>
      <c r="U1647" s="1" t="s">
        <v>41</v>
      </c>
      <c r="V1647">
        <v>0</v>
      </c>
      <c r="W1647" s="1" t="s">
        <v>56</v>
      </c>
      <c r="Y1647" s="1" t="s">
        <v>43</v>
      </c>
      <c r="Z1647" s="1" t="s">
        <v>42</v>
      </c>
      <c r="AA1647">
        <v>0.25</v>
      </c>
      <c r="AB1647" s="1" t="s">
        <v>42</v>
      </c>
      <c r="AC1647">
        <v>1</v>
      </c>
      <c r="AD1647" s="2">
        <v>44835</v>
      </c>
      <c r="AE1647" s="1" t="s">
        <v>74</v>
      </c>
      <c r="AF1647" s="1" t="s">
        <v>72</v>
      </c>
      <c r="AG1647" s="1" t="s">
        <v>63</v>
      </c>
      <c r="AH1647" s="1" t="s">
        <v>59</v>
      </c>
      <c r="AI1647">
        <v>4949</v>
      </c>
      <c r="AJ1647">
        <v>-35.350000000000364</v>
      </c>
    </row>
    <row r="1648" spans="1:36" x14ac:dyDescent="0.25">
      <c r="A1648">
        <v>11647</v>
      </c>
      <c r="B1648">
        <v>50</v>
      </c>
      <c r="C1648" s="1" t="s">
        <v>36</v>
      </c>
      <c r="D1648" s="1" t="s">
        <v>73</v>
      </c>
      <c r="E1648" s="2">
        <v>44565</v>
      </c>
      <c r="F1648" s="2">
        <v>44872</v>
      </c>
      <c r="G1648" s="1" t="s">
        <v>38</v>
      </c>
      <c r="H1648">
        <v>1494</v>
      </c>
      <c r="I1648">
        <v>13</v>
      </c>
      <c r="J1648">
        <v>2</v>
      </c>
      <c r="K1648">
        <v>9.39</v>
      </c>
      <c r="L1648">
        <v>10</v>
      </c>
      <c r="M1648" s="1" t="s">
        <v>39</v>
      </c>
      <c r="N1648" s="1" t="s">
        <v>56</v>
      </c>
      <c r="O1648">
        <v>19272.599999999999</v>
      </c>
      <c r="P1648" t="b">
        <v>1</v>
      </c>
      <c r="Q1648">
        <v>1.0833333333333333</v>
      </c>
      <c r="R1648">
        <v>1482.5076923076922</v>
      </c>
      <c r="S1648">
        <v>3.1300000000000003</v>
      </c>
      <c r="T1648" s="2">
        <v>44562</v>
      </c>
      <c r="U1648" s="1" t="s">
        <v>51</v>
      </c>
      <c r="V1648">
        <v>0</v>
      </c>
      <c r="W1648" s="1" t="s">
        <v>40</v>
      </c>
      <c r="X1648">
        <v>307</v>
      </c>
      <c r="Y1648" s="1" t="s">
        <v>42</v>
      </c>
      <c r="Z1648" s="1" t="s">
        <v>42</v>
      </c>
      <c r="AA1648">
        <v>0.14285714285714285</v>
      </c>
      <c r="AB1648" s="1" t="s">
        <v>52</v>
      </c>
      <c r="AC1648">
        <v>1</v>
      </c>
      <c r="AD1648" s="2">
        <v>44562</v>
      </c>
      <c r="AE1648" s="1" t="s">
        <v>53</v>
      </c>
      <c r="AF1648" s="1" t="s">
        <v>72</v>
      </c>
      <c r="AG1648" s="1" t="s">
        <v>77</v>
      </c>
      <c r="AH1648" s="1" t="s">
        <v>47</v>
      </c>
      <c r="AI1648">
        <v>19422</v>
      </c>
      <c r="AJ1648">
        <v>-149.40000000000146</v>
      </c>
    </row>
    <row r="1649" spans="1:36" x14ac:dyDescent="0.25">
      <c r="A1649">
        <v>11648</v>
      </c>
      <c r="B1649">
        <v>23</v>
      </c>
      <c r="C1649" s="1" t="s">
        <v>60</v>
      </c>
      <c r="D1649" s="1" t="s">
        <v>71</v>
      </c>
      <c r="E1649" s="2">
        <v>45062</v>
      </c>
      <c r="F1649" s="2">
        <v>44549</v>
      </c>
      <c r="G1649" s="1" t="s">
        <v>38</v>
      </c>
      <c r="H1649">
        <v>990</v>
      </c>
      <c r="I1649">
        <v>20</v>
      </c>
      <c r="J1649">
        <v>1</v>
      </c>
      <c r="K1649">
        <v>111.59</v>
      </c>
      <c r="L1649">
        <v>0</v>
      </c>
      <c r="M1649" s="1" t="s">
        <v>39</v>
      </c>
      <c r="N1649" s="1" t="s">
        <v>40</v>
      </c>
      <c r="O1649">
        <v>19800</v>
      </c>
      <c r="P1649" t="b">
        <v>0</v>
      </c>
      <c r="Q1649">
        <v>1.6666666666666667</v>
      </c>
      <c r="R1649">
        <v>990</v>
      </c>
      <c r="S1649">
        <v>55.795000000000002</v>
      </c>
      <c r="T1649" s="2">
        <v>45047</v>
      </c>
      <c r="U1649" s="1" t="s">
        <v>66</v>
      </c>
      <c r="V1649">
        <v>1</v>
      </c>
      <c r="W1649" s="1" t="s">
        <v>40</v>
      </c>
      <c r="Y1649" s="1" t="s">
        <v>43</v>
      </c>
      <c r="Z1649" s="1" t="s">
        <v>42</v>
      </c>
      <c r="AA1649">
        <v>4.7619047619047616E-2</v>
      </c>
      <c r="AB1649" s="1" t="s">
        <v>43</v>
      </c>
      <c r="AC1649">
        <v>1</v>
      </c>
      <c r="AD1649" s="2">
        <v>45047</v>
      </c>
      <c r="AE1649" s="1" t="s">
        <v>53</v>
      </c>
      <c r="AF1649" s="1" t="s">
        <v>54</v>
      </c>
      <c r="AG1649" s="1" t="s">
        <v>63</v>
      </c>
      <c r="AH1649" s="1" t="s">
        <v>59</v>
      </c>
      <c r="AI1649">
        <v>19800</v>
      </c>
      <c r="AJ1649">
        <v>0</v>
      </c>
    </row>
    <row r="1650" spans="1:36" x14ac:dyDescent="0.25">
      <c r="A1650">
        <v>11649</v>
      </c>
      <c r="B1650">
        <v>41</v>
      </c>
      <c r="C1650" s="1" t="s">
        <v>36</v>
      </c>
      <c r="D1650" s="1" t="s">
        <v>73</v>
      </c>
      <c r="E1650" s="2">
        <v>44847</v>
      </c>
      <c r="F1650" s="2">
        <v>45088</v>
      </c>
      <c r="G1650" s="1" t="s">
        <v>62</v>
      </c>
      <c r="H1650">
        <v>469</v>
      </c>
      <c r="I1650">
        <v>30</v>
      </c>
      <c r="J1650">
        <v>1</v>
      </c>
      <c r="K1650">
        <v>25.83</v>
      </c>
      <c r="L1650">
        <v>15</v>
      </c>
      <c r="M1650" s="1" t="s">
        <v>50</v>
      </c>
      <c r="N1650" s="1" t="s">
        <v>56</v>
      </c>
      <c r="O1650">
        <v>13999.65</v>
      </c>
      <c r="P1650" t="b">
        <v>1</v>
      </c>
      <c r="Q1650">
        <v>2.5</v>
      </c>
      <c r="R1650">
        <v>466.65499999999997</v>
      </c>
      <c r="S1650">
        <v>12.914999999999999</v>
      </c>
      <c r="T1650" s="2">
        <v>44835</v>
      </c>
      <c r="U1650" s="1" t="s">
        <v>51</v>
      </c>
      <c r="V1650">
        <v>0</v>
      </c>
      <c r="W1650" s="1" t="s">
        <v>40</v>
      </c>
      <c r="X1650">
        <v>241</v>
      </c>
      <c r="Y1650" s="1" t="s">
        <v>52</v>
      </c>
      <c r="Z1650" s="1" t="s">
        <v>42</v>
      </c>
      <c r="AA1650">
        <v>3.2258064516129031E-2</v>
      </c>
      <c r="AB1650" s="1" t="s">
        <v>52</v>
      </c>
      <c r="AC1650">
        <v>2</v>
      </c>
      <c r="AD1650" s="2">
        <v>44835</v>
      </c>
      <c r="AE1650" s="1" t="s">
        <v>44</v>
      </c>
      <c r="AF1650" s="1" t="s">
        <v>54</v>
      </c>
      <c r="AG1650" s="1" t="s">
        <v>70</v>
      </c>
      <c r="AH1650" s="1" t="s">
        <v>68</v>
      </c>
      <c r="AI1650">
        <v>14070</v>
      </c>
      <c r="AJ1650">
        <v>-70.350000000000364</v>
      </c>
    </row>
    <row r="1651" spans="1:36" x14ac:dyDescent="0.25">
      <c r="A1651">
        <v>11650</v>
      </c>
      <c r="B1651">
        <v>36</v>
      </c>
      <c r="C1651" s="1" t="s">
        <v>36</v>
      </c>
      <c r="D1651" s="1" t="s">
        <v>69</v>
      </c>
      <c r="E1651" s="2">
        <v>44992</v>
      </c>
      <c r="F1651" s="2">
        <v>44693</v>
      </c>
      <c r="G1651" s="1" t="s">
        <v>49</v>
      </c>
      <c r="H1651">
        <v>458</v>
      </c>
      <c r="I1651">
        <v>30</v>
      </c>
      <c r="J1651">
        <v>1</v>
      </c>
      <c r="K1651">
        <v>109.93</v>
      </c>
      <c r="L1651">
        <v>10</v>
      </c>
      <c r="M1651" s="1" t="s">
        <v>67</v>
      </c>
      <c r="N1651" s="1" t="s">
        <v>56</v>
      </c>
      <c r="O1651">
        <v>13694.2</v>
      </c>
      <c r="P1651" t="b">
        <v>0</v>
      </c>
      <c r="Q1651">
        <v>2.5</v>
      </c>
      <c r="R1651">
        <v>456.47333333333336</v>
      </c>
      <c r="S1651">
        <v>54.965000000000003</v>
      </c>
      <c r="T1651" s="2">
        <v>44986</v>
      </c>
      <c r="U1651" s="1" t="s">
        <v>51</v>
      </c>
      <c r="V1651">
        <v>0</v>
      </c>
      <c r="W1651" s="1" t="s">
        <v>40</v>
      </c>
      <c r="Y1651" s="1" t="s">
        <v>43</v>
      </c>
      <c r="Z1651" s="1" t="s">
        <v>42</v>
      </c>
      <c r="AA1651">
        <v>3.2258064516129031E-2</v>
      </c>
      <c r="AB1651" s="1" t="s">
        <v>52</v>
      </c>
      <c r="AC1651">
        <v>3</v>
      </c>
      <c r="AD1651" s="2">
        <v>44986</v>
      </c>
      <c r="AE1651" s="1" t="s">
        <v>44</v>
      </c>
      <c r="AF1651" s="1" t="s">
        <v>54</v>
      </c>
      <c r="AG1651" s="1" t="s">
        <v>63</v>
      </c>
      <c r="AH1651" s="1" t="s">
        <v>68</v>
      </c>
      <c r="AI1651">
        <v>13740</v>
      </c>
      <c r="AJ1651">
        <v>-45.799999999999272</v>
      </c>
    </row>
    <row r="1652" spans="1:36" x14ac:dyDescent="0.25">
      <c r="A1652">
        <v>11651</v>
      </c>
      <c r="B1652">
        <v>33</v>
      </c>
      <c r="C1652" s="1" t="s">
        <v>36</v>
      </c>
      <c r="D1652" s="1" t="s">
        <v>61</v>
      </c>
      <c r="E1652" s="2">
        <v>45006</v>
      </c>
      <c r="F1652" s="2">
        <v>44713</v>
      </c>
      <c r="G1652" s="1" t="s">
        <v>62</v>
      </c>
      <c r="H1652">
        <v>746</v>
      </c>
      <c r="I1652">
        <v>11</v>
      </c>
      <c r="J1652">
        <v>1</v>
      </c>
      <c r="K1652">
        <v>11.47</v>
      </c>
      <c r="L1652">
        <v>20</v>
      </c>
      <c r="M1652" s="1" t="s">
        <v>67</v>
      </c>
      <c r="N1652" s="1" t="s">
        <v>40</v>
      </c>
      <c r="O1652">
        <v>8056.8</v>
      </c>
      <c r="P1652" t="b">
        <v>0</v>
      </c>
      <c r="Q1652">
        <v>0.91666666666666663</v>
      </c>
      <c r="R1652">
        <v>732.43636363636369</v>
      </c>
      <c r="S1652">
        <v>5.7350000000000003</v>
      </c>
      <c r="T1652" s="2">
        <v>44986</v>
      </c>
      <c r="U1652" s="1" t="s">
        <v>57</v>
      </c>
      <c r="V1652">
        <v>1</v>
      </c>
      <c r="W1652" s="1" t="s">
        <v>56</v>
      </c>
      <c r="Y1652" s="1" t="s">
        <v>42</v>
      </c>
      <c r="Z1652" s="1" t="s">
        <v>52</v>
      </c>
      <c r="AA1652">
        <v>8.3333333333333329E-2</v>
      </c>
      <c r="AB1652" s="1" t="s">
        <v>42</v>
      </c>
      <c r="AC1652">
        <v>2</v>
      </c>
      <c r="AD1652" s="2">
        <v>44986</v>
      </c>
      <c r="AE1652" s="1" t="s">
        <v>74</v>
      </c>
      <c r="AF1652" s="1" t="s">
        <v>54</v>
      </c>
      <c r="AG1652" s="1" t="s">
        <v>46</v>
      </c>
      <c r="AH1652" s="1" t="s">
        <v>59</v>
      </c>
      <c r="AI1652">
        <v>8206</v>
      </c>
      <c r="AJ1652">
        <v>-149.19999999999982</v>
      </c>
    </row>
    <row r="1653" spans="1:36" x14ac:dyDescent="0.25">
      <c r="A1653">
        <v>11652</v>
      </c>
      <c r="B1653">
        <v>57</v>
      </c>
      <c r="C1653" s="1" t="s">
        <v>36</v>
      </c>
      <c r="D1653" s="1" t="s">
        <v>71</v>
      </c>
      <c r="E1653" s="2">
        <v>44295</v>
      </c>
      <c r="F1653" s="2">
        <v>44795</v>
      </c>
      <c r="G1653" s="1" t="s">
        <v>62</v>
      </c>
      <c r="H1653">
        <v>1317</v>
      </c>
      <c r="I1653">
        <v>31</v>
      </c>
      <c r="J1653">
        <v>2</v>
      </c>
      <c r="K1653">
        <v>114.05</v>
      </c>
      <c r="L1653">
        <v>15</v>
      </c>
      <c r="M1653" s="1" t="s">
        <v>50</v>
      </c>
      <c r="N1653" s="1" t="s">
        <v>56</v>
      </c>
      <c r="O1653">
        <v>40629.449999999997</v>
      </c>
      <c r="P1653" t="b">
        <v>1</v>
      </c>
      <c r="Q1653">
        <v>2.5833333333333335</v>
      </c>
      <c r="R1653">
        <v>1310.6274193548386</v>
      </c>
      <c r="S1653">
        <v>38.016666666666666</v>
      </c>
      <c r="T1653" s="2">
        <v>44287</v>
      </c>
      <c r="U1653" s="1" t="s">
        <v>41</v>
      </c>
      <c r="V1653">
        <v>0</v>
      </c>
      <c r="W1653" s="1" t="s">
        <v>40</v>
      </c>
      <c r="X1653">
        <v>500</v>
      </c>
      <c r="Y1653" s="1" t="s">
        <v>43</v>
      </c>
      <c r="Z1653" s="1" t="s">
        <v>42</v>
      </c>
      <c r="AA1653">
        <v>6.25E-2</v>
      </c>
      <c r="AB1653" s="1" t="s">
        <v>43</v>
      </c>
      <c r="AC1653">
        <v>2</v>
      </c>
      <c r="AD1653" s="2">
        <v>44287</v>
      </c>
      <c r="AE1653" s="1" t="s">
        <v>44</v>
      </c>
      <c r="AF1653" s="1" t="s">
        <v>72</v>
      </c>
      <c r="AG1653" s="1" t="s">
        <v>63</v>
      </c>
      <c r="AH1653" s="1" t="s">
        <v>47</v>
      </c>
      <c r="AI1653">
        <v>40827</v>
      </c>
      <c r="AJ1653">
        <v>-197.55000000000291</v>
      </c>
    </row>
    <row r="1654" spans="1:36" x14ac:dyDescent="0.25">
      <c r="A1654">
        <v>11653</v>
      </c>
      <c r="B1654">
        <v>45</v>
      </c>
      <c r="C1654" s="1" t="s">
        <v>36</v>
      </c>
      <c r="D1654" s="1" t="s">
        <v>37</v>
      </c>
      <c r="E1654" s="2">
        <v>44513</v>
      </c>
      <c r="F1654" s="2">
        <v>44860</v>
      </c>
      <c r="G1654" s="1" t="s">
        <v>38</v>
      </c>
      <c r="H1654">
        <v>1405</v>
      </c>
      <c r="I1654">
        <v>3</v>
      </c>
      <c r="J1654">
        <v>2</v>
      </c>
      <c r="K1654">
        <v>28.09</v>
      </c>
      <c r="L1654">
        <v>0</v>
      </c>
      <c r="M1654" s="1" t="s">
        <v>39</v>
      </c>
      <c r="N1654" s="1" t="s">
        <v>56</v>
      </c>
      <c r="O1654">
        <v>4215</v>
      </c>
      <c r="P1654" t="b">
        <v>1</v>
      </c>
      <c r="Q1654">
        <v>0.25</v>
      </c>
      <c r="R1654">
        <v>1405</v>
      </c>
      <c r="S1654">
        <v>9.3633333333333333</v>
      </c>
      <c r="T1654" s="2">
        <v>44501</v>
      </c>
      <c r="U1654" s="1" t="s">
        <v>51</v>
      </c>
      <c r="V1654">
        <v>0</v>
      </c>
      <c r="W1654" s="1" t="s">
        <v>56</v>
      </c>
      <c r="X1654">
        <v>347</v>
      </c>
      <c r="Y1654" s="1" t="s">
        <v>52</v>
      </c>
      <c r="Z1654" s="1" t="s">
        <v>42</v>
      </c>
      <c r="AA1654">
        <v>0.5</v>
      </c>
      <c r="AB1654" s="1" t="s">
        <v>42</v>
      </c>
      <c r="AC1654">
        <v>1</v>
      </c>
      <c r="AD1654" s="2">
        <v>44501</v>
      </c>
      <c r="AE1654" s="1" t="s">
        <v>58</v>
      </c>
      <c r="AF1654" s="1" t="s">
        <v>72</v>
      </c>
      <c r="AG1654" s="1" t="s">
        <v>70</v>
      </c>
      <c r="AH1654" s="1" t="s">
        <v>47</v>
      </c>
      <c r="AI1654">
        <v>4215</v>
      </c>
      <c r="AJ1654">
        <v>0</v>
      </c>
    </row>
    <row r="1655" spans="1:36" x14ac:dyDescent="0.25">
      <c r="A1655">
        <v>11654</v>
      </c>
      <c r="B1655">
        <v>50</v>
      </c>
      <c r="C1655" s="1" t="s">
        <v>36</v>
      </c>
      <c r="D1655" s="1" t="s">
        <v>48</v>
      </c>
      <c r="E1655" s="2">
        <v>44319</v>
      </c>
      <c r="F1655" s="2">
        <v>44666</v>
      </c>
      <c r="G1655" s="1" t="s">
        <v>62</v>
      </c>
      <c r="H1655">
        <v>1380</v>
      </c>
      <c r="I1655">
        <v>2</v>
      </c>
      <c r="J1655">
        <v>4</v>
      </c>
      <c r="K1655">
        <v>39.81</v>
      </c>
      <c r="L1655">
        <v>15</v>
      </c>
      <c r="M1655" s="1" t="s">
        <v>67</v>
      </c>
      <c r="N1655" s="1" t="s">
        <v>40</v>
      </c>
      <c r="O1655">
        <v>2553</v>
      </c>
      <c r="P1655" t="b">
        <v>1</v>
      </c>
      <c r="Q1655">
        <v>0.16666666666666666</v>
      </c>
      <c r="R1655">
        <v>1276.5</v>
      </c>
      <c r="S1655">
        <v>7.9620000000000006</v>
      </c>
      <c r="T1655" s="2">
        <v>44317</v>
      </c>
      <c r="U1655" s="1" t="s">
        <v>51</v>
      </c>
      <c r="V1655">
        <v>1</v>
      </c>
      <c r="W1655" s="1" t="s">
        <v>56</v>
      </c>
      <c r="X1655">
        <v>347</v>
      </c>
      <c r="Y1655" s="1" t="s">
        <v>52</v>
      </c>
      <c r="Z1655" s="1" t="s">
        <v>42</v>
      </c>
      <c r="AA1655">
        <v>1.3333333333333333</v>
      </c>
      <c r="AB1655" s="1" t="s">
        <v>42</v>
      </c>
      <c r="AC1655">
        <v>2</v>
      </c>
      <c r="AD1655" s="2">
        <v>44317</v>
      </c>
      <c r="AE1655" s="1" t="s">
        <v>58</v>
      </c>
      <c r="AF1655" s="1" t="s">
        <v>45</v>
      </c>
      <c r="AG1655" s="1" t="s">
        <v>55</v>
      </c>
      <c r="AH1655" s="1" t="s">
        <v>47</v>
      </c>
      <c r="AI1655">
        <v>2760</v>
      </c>
      <c r="AJ1655">
        <v>-207</v>
      </c>
    </row>
    <row r="1656" spans="1:36" x14ac:dyDescent="0.25">
      <c r="A1656">
        <v>11655</v>
      </c>
      <c r="B1656">
        <v>58</v>
      </c>
      <c r="C1656" s="1" t="s">
        <v>36</v>
      </c>
      <c r="D1656" s="1" t="s">
        <v>37</v>
      </c>
      <c r="E1656" s="2">
        <v>44516</v>
      </c>
      <c r="F1656" s="2">
        <v>44564</v>
      </c>
      <c r="G1656" s="1" t="s">
        <v>38</v>
      </c>
      <c r="H1656">
        <v>411</v>
      </c>
      <c r="I1656">
        <v>3</v>
      </c>
      <c r="J1656">
        <v>3</v>
      </c>
      <c r="K1656">
        <v>61.46</v>
      </c>
      <c r="L1656">
        <v>15</v>
      </c>
      <c r="M1656" s="1" t="s">
        <v>39</v>
      </c>
      <c r="N1656" s="1" t="s">
        <v>56</v>
      </c>
      <c r="O1656">
        <v>1171.3499999999999</v>
      </c>
      <c r="P1656" t="b">
        <v>1</v>
      </c>
      <c r="Q1656">
        <v>0.25</v>
      </c>
      <c r="R1656">
        <v>390.45</v>
      </c>
      <c r="S1656">
        <v>15.365</v>
      </c>
      <c r="T1656" s="2">
        <v>44501</v>
      </c>
      <c r="U1656" s="1" t="s">
        <v>41</v>
      </c>
      <c r="V1656">
        <v>0</v>
      </c>
      <c r="W1656" s="1" t="s">
        <v>56</v>
      </c>
      <c r="X1656">
        <v>48</v>
      </c>
      <c r="Y1656" s="1" t="s">
        <v>43</v>
      </c>
      <c r="Z1656" s="1" t="s">
        <v>42</v>
      </c>
      <c r="AA1656">
        <v>0.75</v>
      </c>
      <c r="AB1656" s="1" t="s">
        <v>42</v>
      </c>
      <c r="AC1656">
        <v>1</v>
      </c>
      <c r="AD1656" s="2">
        <v>44501</v>
      </c>
      <c r="AE1656" s="1" t="s">
        <v>58</v>
      </c>
      <c r="AF1656" s="1" t="s">
        <v>72</v>
      </c>
      <c r="AG1656" s="1" t="s">
        <v>63</v>
      </c>
      <c r="AH1656" s="1" t="s">
        <v>68</v>
      </c>
      <c r="AI1656">
        <v>1233</v>
      </c>
      <c r="AJ1656">
        <v>-61.650000000000091</v>
      </c>
    </row>
    <row r="1657" spans="1:36" x14ac:dyDescent="0.25">
      <c r="A1657">
        <v>11656</v>
      </c>
      <c r="B1657">
        <v>30</v>
      </c>
      <c r="C1657" s="1" t="s">
        <v>60</v>
      </c>
      <c r="D1657" s="1" t="s">
        <v>48</v>
      </c>
      <c r="E1657" s="2">
        <v>44995</v>
      </c>
      <c r="F1657" s="2">
        <v>44381</v>
      </c>
      <c r="G1657" s="1" t="s">
        <v>62</v>
      </c>
      <c r="H1657">
        <v>347</v>
      </c>
      <c r="I1657">
        <v>15</v>
      </c>
      <c r="J1657">
        <v>4</v>
      </c>
      <c r="K1657">
        <v>48.78</v>
      </c>
      <c r="L1657">
        <v>0</v>
      </c>
      <c r="M1657" s="1" t="s">
        <v>65</v>
      </c>
      <c r="N1657" s="1" t="s">
        <v>56</v>
      </c>
      <c r="O1657">
        <v>5205</v>
      </c>
      <c r="P1657" t="b">
        <v>0</v>
      </c>
      <c r="Q1657">
        <v>1.25</v>
      </c>
      <c r="R1657">
        <v>347</v>
      </c>
      <c r="S1657">
        <v>9.7560000000000002</v>
      </c>
      <c r="T1657" s="2">
        <v>44986</v>
      </c>
      <c r="U1657" s="1" t="s">
        <v>57</v>
      </c>
      <c r="V1657">
        <v>0</v>
      </c>
      <c r="W1657" s="1" t="s">
        <v>56</v>
      </c>
      <c r="Y1657" s="1" t="s">
        <v>52</v>
      </c>
      <c r="Z1657" s="1" t="s">
        <v>42</v>
      </c>
      <c r="AA1657">
        <v>0.25</v>
      </c>
      <c r="AB1657" s="1" t="s">
        <v>42</v>
      </c>
      <c r="AC1657">
        <v>2</v>
      </c>
      <c r="AD1657" s="2">
        <v>44986</v>
      </c>
      <c r="AE1657" s="1" t="s">
        <v>53</v>
      </c>
      <c r="AF1657" s="1" t="s">
        <v>45</v>
      </c>
      <c r="AG1657" s="1" t="s">
        <v>63</v>
      </c>
      <c r="AH1657" s="1" t="s">
        <v>68</v>
      </c>
      <c r="AI1657">
        <v>5205</v>
      </c>
      <c r="AJ1657">
        <v>0</v>
      </c>
    </row>
    <row r="1658" spans="1:36" x14ac:dyDescent="0.25">
      <c r="A1658">
        <v>11657</v>
      </c>
      <c r="B1658">
        <v>60</v>
      </c>
      <c r="C1658" s="1" t="s">
        <v>60</v>
      </c>
      <c r="D1658" s="1" t="s">
        <v>73</v>
      </c>
      <c r="E1658" s="2">
        <v>44789</v>
      </c>
      <c r="F1658" s="2">
        <v>45218</v>
      </c>
      <c r="G1658" s="1" t="s">
        <v>38</v>
      </c>
      <c r="H1658">
        <v>675</v>
      </c>
      <c r="I1658">
        <v>17</v>
      </c>
      <c r="J1658">
        <v>5</v>
      </c>
      <c r="K1658">
        <v>81.77</v>
      </c>
      <c r="L1658">
        <v>10</v>
      </c>
      <c r="M1658" s="1" t="s">
        <v>39</v>
      </c>
      <c r="N1658" s="1" t="s">
        <v>56</v>
      </c>
      <c r="O1658">
        <v>11407.5</v>
      </c>
      <c r="P1658" t="b">
        <v>1</v>
      </c>
      <c r="Q1658">
        <v>1.4166666666666667</v>
      </c>
      <c r="R1658">
        <v>671.02941176470586</v>
      </c>
      <c r="S1658">
        <v>13.628333333333332</v>
      </c>
      <c r="T1658" s="2">
        <v>44774</v>
      </c>
      <c r="U1658" s="1" t="s">
        <v>41</v>
      </c>
      <c r="V1658">
        <v>0</v>
      </c>
      <c r="W1658" s="1" t="s">
        <v>56</v>
      </c>
      <c r="X1658">
        <v>429</v>
      </c>
      <c r="Y1658" s="1" t="s">
        <v>43</v>
      </c>
      <c r="Z1658" s="1" t="s">
        <v>42</v>
      </c>
      <c r="AA1658">
        <v>0.27777777777777779</v>
      </c>
      <c r="AB1658" s="1" t="s">
        <v>52</v>
      </c>
      <c r="AC1658">
        <v>1</v>
      </c>
      <c r="AD1658" s="2">
        <v>44774</v>
      </c>
      <c r="AE1658" s="1" t="s">
        <v>53</v>
      </c>
      <c r="AF1658" s="1" t="s">
        <v>45</v>
      </c>
      <c r="AG1658" s="1" t="s">
        <v>63</v>
      </c>
      <c r="AH1658" s="1" t="s">
        <v>64</v>
      </c>
      <c r="AI1658">
        <v>11475</v>
      </c>
      <c r="AJ1658">
        <v>-67.5</v>
      </c>
    </row>
    <row r="1659" spans="1:36" x14ac:dyDescent="0.25">
      <c r="A1659">
        <v>11658</v>
      </c>
      <c r="B1659">
        <v>62</v>
      </c>
      <c r="C1659" s="1" t="s">
        <v>60</v>
      </c>
      <c r="D1659" s="1" t="s">
        <v>71</v>
      </c>
      <c r="E1659" s="2">
        <v>44691</v>
      </c>
      <c r="F1659" s="2">
        <v>44613</v>
      </c>
      <c r="G1659" s="1" t="s">
        <v>38</v>
      </c>
      <c r="H1659">
        <v>1127</v>
      </c>
      <c r="I1659">
        <v>7</v>
      </c>
      <c r="J1659">
        <v>3</v>
      </c>
      <c r="K1659">
        <v>117.1</v>
      </c>
      <c r="L1659">
        <v>0</v>
      </c>
      <c r="M1659" s="1" t="s">
        <v>39</v>
      </c>
      <c r="N1659" s="1" t="s">
        <v>56</v>
      </c>
      <c r="O1659">
        <v>7889</v>
      </c>
      <c r="P1659" t="b">
        <v>0</v>
      </c>
      <c r="Q1659">
        <v>0.58333333333333337</v>
      </c>
      <c r="R1659">
        <v>1127</v>
      </c>
      <c r="S1659">
        <v>29.274999999999999</v>
      </c>
      <c r="T1659" s="2">
        <v>44682</v>
      </c>
      <c r="U1659" s="1" t="s">
        <v>41</v>
      </c>
      <c r="V1659">
        <v>0</v>
      </c>
      <c r="W1659" s="1" t="s">
        <v>56</v>
      </c>
      <c r="Y1659" s="1" t="s">
        <v>43</v>
      </c>
      <c r="Z1659" s="1" t="s">
        <v>42</v>
      </c>
      <c r="AA1659">
        <v>0.375</v>
      </c>
      <c r="AB1659" s="1" t="s">
        <v>42</v>
      </c>
      <c r="AC1659">
        <v>1</v>
      </c>
      <c r="AD1659" s="2">
        <v>44682</v>
      </c>
      <c r="AE1659" s="1" t="s">
        <v>74</v>
      </c>
      <c r="AF1659" s="1" t="s">
        <v>72</v>
      </c>
      <c r="AG1659" s="1" t="s">
        <v>63</v>
      </c>
      <c r="AH1659" s="1" t="s">
        <v>47</v>
      </c>
      <c r="AI1659">
        <v>7889</v>
      </c>
      <c r="AJ1659">
        <v>0</v>
      </c>
    </row>
    <row r="1660" spans="1:36" x14ac:dyDescent="0.25">
      <c r="A1660">
        <v>11659</v>
      </c>
      <c r="B1660">
        <v>42</v>
      </c>
      <c r="C1660" s="1" t="s">
        <v>36</v>
      </c>
      <c r="D1660" s="1" t="s">
        <v>71</v>
      </c>
      <c r="E1660" s="2">
        <v>44653</v>
      </c>
      <c r="F1660" s="2">
        <v>44987</v>
      </c>
      <c r="G1660" s="1" t="s">
        <v>38</v>
      </c>
      <c r="H1660">
        <v>332</v>
      </c>
      <c r="I1660">
        <v>5</v>
      </c>
      <c r="J1660">
        <v>2</v>
      </c>
      <c r="K1660">
        <v>74.739999999999995</v>
      </c>
      <c r="L1660">
        <v>20</v>
      </c>
      <c r="M1660" s="1" t="s">
        <v>65</v>
      </c>
      <c r="N1660" s="1" t="s">
        <v>40</v>
      </c>
      <c r="O1660">
        <v>1593.6</v>
      </c>
      <c r="P1660" t="b">
        <v>1</v>
      </c>
      <c r="Q1660">
        <v>0.41666666666666669</v>
      </c>
      <c r="R1660">
        <v>318.71999999999997</v>
      </c>
      <c r="S1660">
        <v>24.91333333333333</v>
      </c>
      <c r="T1660" s="2">
        <v>44652</v>
      </c>
      <c r="U1660" s="1" t="s">
        <v>51</v>
      </c>
      <c r="V1660">
        <v>1</v>
      </c>
      <c r="W1660" s="1" t="s">
        <v>56</v>
      </c>
      <c r="X1660">
        <v>334</v>
      </c>
      <c r="Y1660" s="1" t="s">
        <v>43</v>
      </c>
      <c r="Z1660" s="1" t="s">
        <v>52</v>
      </c>
      <c r="AA1660">
        <v>0.33333333333333331</v>
      </c>
      <c r="AB1660" s="1" t="s">
        <v>42</v>
      </c>
      <c r="AC1660">
        <v>1</v>
      </c>
      <c r="AD1660" s="2">
        <v>44652</v>
      </c>
      <c r="AE1660" s="1" t="s">
        <v>58</v>
      </c>
      <c r="AF1660" s="1" t="s">
        <v>72</v>
      </c>
      <c r="AG1660" s="1" t="s">
        <v>63</v>
      </c>
      <c r="AH1660" s="1" t="s">
        <v>68</v>
      </c>
      <c r="AI1660">
        <v>1660</v>
      </c>
      <c r="AJ1660">
        <v>-66.400000000000091</v>
      </c>
    </row>
    <row r="1661" spans="1:36" x14ac:dyDescent="0.25">
      <c r="A1661">
        <v>11660</v>
      </c>
      <c r="B1661">
        <v>59</v>
      </c>
      <c r="C1661" s="1" t="s">
        <v>60</v>
      </c>
      <c r="D1661" s="1" t="s">
        <v>48</v>
      </c>
      <c r="E1661" s="2">
        <v>44718</v>
      </c>
      <c r="F1661" s="2">
        <v>45071</v>
      </c>
      <c r="G1661" s="1" t="s">
        <v>49</v>
      </c>
      <c r="H1661">
        <v>803</v>
      </c>
      <c r="I1661">
        <v>34</v>
      </c>
      <c r="J1661">
        <v>1</v>
      </c>
      <c r="K1661">
        <v>87.97</v>
      </c>
      <c r="L1661">
        <v>0</v>
      </c>
      <c r="M1661" s="1" t="s">
        <v>67</v>
      </c>
      <c r="N1661" s="1" t="s">
        <v>56</v>
      </c>
      <c r="O1661">
        <v>27302</v>
      </c>
      <c r="P1661" t="b">
        <v>1</v>
      </c>
      <c r="Q1661">
        <v>2.8333333333333335</v>
      </c>
      <c r="R1661">
        <v>803</v>
      </c>
      <c r="S1661">
        <v>43.984999999999999</v>
      </c>
      <c r="T1661" s="2">
        <v>44713</v>
      </c>
      <c r="U1661" s="1" t="s">
        <v>41</v>
      </c>
      <c r="V1661">
        <v>0</v>
      </c>
      <c r="W1661" s="1" t="s">
        <v>40</v>
      </c>
      <c r="X1661">
        <v>353</v>
      </c>
      <c r="Y1661" s="1" t="s">
        <v>43</v>
      </c>
      <c r="Z1661" s="1" t="s">
        <v>42</v>
      </c>
      <c r="AA1661">
        <v>2.8571428571428571E-2</v>
      </c>
      <c r="AB1661" s="1" t="s">
        <v>43</v>
      </c>
      <c r="AC1661">
        <v>3</v>
      </c>
      <c r="AD1661" s="2">
        <v>44713</v>
      </c>
      <c r="AE1661" s="1" t="s">
        <v>44</v>
      </c>
      <c r="AF1661" s="1" t="s">
        <v>54</v>
      </c>
      <c r="AG1661" s="1" t="s">
        <v>63</v>
      </c>
      <c r="AH1661" s="1" t="s">
        <v>59</v>
      </c>
      <c r="AI1661">
        <v>27302</v>
      </c>
      <c r="AJ1661">
        <v>0</v>
      </c>
    </row>
    <row r="1662" spans="1:36" x14ac:dyDescent="0.25">
      <c r="A1662">
        <v>11661</v>
      </c>
      <c r="B1662">
        <v>53</v>
      </c>
      <c r="C1662" s="1" t="s">
        <v>36</v>
      </c>
      <c r="D1662" s="1" t="s">
        <v>61</v>
      </c>
      <c r="E1662" s="2">
        <v>44716</v>
      </c>
      <c r="F1662" s="2">
        <v>45122</v>
      </c>
      <c r="G1662" s="1" t="s">
        <v>38</v>
      </c>
      <c r="H1662">
        <v>926</v>
      </c>
      <c r="I1662">
        <v>33</v>
      </c>
      <c r="J1662">
        <v>3</v>
      </c>
      <c r="K1662">
        <v>15.12</v>
      </c>
      <c r="L1662">
        <v>5</v>
      </c>
      <c r="M1662" s="1" t="s">
        <v>67</v>
      </c>
      <c r="N1662" s="1" t="s">
        <v>56</v>
      </c>
      <c r="O1662">
        <v>30511.7</v>
      </c>
      <c r="P1662" t="b">
        <v>1</v>
      </c>
      <c r="Q1662">
        <v>2.75</v>
      </c>
      <c r="R1662">
        <v>924.59696969696972</v>
      </c>
      <c r="S1662">
        <v>3.78</v>
      </c>
      <c r="T1662" s="2">
        <v>44713</v>
      </c>
      <c r="U1662" s="1" t="s">
        <v>41</v>
      </c>
      <c r="V1662">
        <v>0</v>
      </c>
      <c r="W1662" s="1" t="s">
        <v>40</v>
      </c>
      <c r="X1662">
        <v>406</v>
      </c>
      <c r="Y1662" s="1" t="s">
        <v>42</v>
      </c>
      <c r="Z1662" s="1" t="s">
        <v>42</v>
      </c>
      <c r="AA1662">
        <v>8.8235294117647065E-2</v>
      </c>
      <c r="AB1662" s="1" t="s">
        <v>43</v>
      </c>
      <c r="AC1662">
        <v>1</v>
      </c>
      <c r="AD1662" s="2">
        <v>44713</v>
      </c>
      <c r="AE1662" s="1" t="s">
        <v>44</v>
      </c>
      <c r="AF1662" s="1" t="s">
        <v>72</v>
      </c>
      <c r="AG1662" s="1" t="s">
        <v>46</v>
      </c>
      <c r="AH1662" s="1" t="s">
        <v>59</v>
      </c>
      <c r="AI1662">
        <v>30558</v>
      </c>
      <c r="AJ1662">
        <v>-46.299999999999272</v>
      </c>
    </row>
    <row r="1663" spans="1:36" x14ac:dyDescent="0.25">
      <c r="A1663">
        <v>11662</v>
      </c>
      <c r="B1663">
        <v>44</v>
      </c>
      <c r="C1663" s="1" t="s">
        <v>36</v>
      </c>
      <c r="D1663" s="1" t="s">
        <v>69</v>
      </c>
      <c r="E1663" s="2">
        <v>44913</v>
      </c>
      <c r="F1663" s="2">
        <v>45171</v>
      </c>
      <c r="G1663" s="1" t="s">
        <v>62</v>
      </c>
      <c r="H1663">
        <v>1326</v>
      </c>
      <c r="I1663">
        <v>16</v>
      </c>
      <c r="J1663">
        <v>2</v>
      </c>
      <c r="K1663">
        <v>77.2</v>
      </c>
      <c r="L1663">
        <v>5</v>
      </c>
      <c r="M1663" s="1" t="s">
        <v>67</v>
      </c>
      <c r="N1663" s="1" t="s">
        <v>56</v>
      </c>
      <c r="O1663">
        <v>21149.7</v>
      </c>
      <c r="P1663" t="b">
        <v>1</v>
      </c>
      <c r="Q1663">
        <v>1.3333333333333333</v>
      </c>
      <c r="R1663">
        <v>1321.85625</v>
      </c>
      <c r="S1663">
        <v>25.733333333333334</v>
      </c>
      <c r="T1663" s="2">
        <v>44896</v>
      </c>
      <c r="U1663" s="1" t="s">
        <v>51</v>
      </c>
      <c r="V1663">
        <v>0</v>
      </c>
      <c r="W1663" s="1" t="s">
        <v>40</v>
      </c>
      <c r="X1663">
        <v>258</v>
      </c>
      <c r="Y1663" s="1" t="s">
        <v>43</v>
      </c>
      <c r="Z1663" s="1" t="s">
        <v>42</v>
      </c>
      <c r="AA1663">
        <v>0.11764705882352941</v>
      </c>
      <c r="AB1663" s="1" t="s">
        <v>43</v>
      </c>
      <c r="AC1663">
        <v>2</v>
      </c>
      <c r="AD1663" s="2">
        <v>44896</v>
      </c>
      <c r="AE1663" s="1" t="s">
        <v>53</v>
      </c>
      <c r="AF1663" s="1" t="s">
        <v>72</v>
      </c>
      <c r="AG1663" s="1" t="s">
        <v>63</v>
      </c>
      <c r="AH1663" s="1" t="s">
        <v>47</v>
      </c>
      <c r="AI1663">
        <v>21216</v>
      </c>
      <c r="AJ1663">
        <v>-66.299999999999272</v>
      </c>
    </row>
    <row r="1664" spans="1:36" x14ac:dyDescent="0.25">
      <c r="A1664">
        <v>11663</v>
      </c>
      <c r="B1664">
        <v>55</v>
      </c>
      <c r="C1664" s="1" t="s">
        <v>36</v>
      </c>
      <c r="D1664" s="1" t="s">
        <v>37</v>
      </c>
      <c r="E1664" s="2">
        <v>44511</v>
      </c>
      <c r="F1664" s="2">
        <v>44427</v>
      </c>
      <c r="G1664" s="1" t="s">
        <v>38</v>
      </c>
      <c r="H1664">
        <v>341</v>
      </c>
      <c r="I1664">
        <v>3</v>
      </c>
      <c r="J1664">
        <v>0</v>
      </c>
      <c r="K1664">
        <v>57.19</v>
      </c>
      <c r="L1664">
        <v>15</v>
      </c>
      <c r="M1664" s="1" t="s">
        <v>50</v>
      </c>
      <c r="N1664" s="1" t="s">
        <v>40</v>
      </c>
      <c r="O1664">
        <v>971.85</v>
      </c>
      <c r="P1664" t="b">
        <v>0</v>
      </c>
      <c r="Q1664">
        <v>0.25</v>
      </c>
      <c r="R1664">
        <v>323.95</v>
      </c>
      <c r="S1664">
        <v>57.19</v>
      </c>
      <c r="T1664" s="2">
        <v>44501</v>
      </c>
      <c r="U1664" s="1" t="s">
        <v>41</v>
      </c>
      <c r="V1664">
        <v>1</v>
      </c>
      <c r="W1664" s="1" t="s">
        <v>56</v>
      </c>
      <c r="Y1664" s="1" t="s">
        <v>52</v>
      </c>
      <c r="Z1664" s="1" t="s">
        <v>42</v>
      </c>
      <c r="AA1664">
        <v>0</v>
      </c>
      <c r="AB1664" s="1" t="s">
        <v>42</v>
      </c>
      <c r="AC1664">
        <v>1</v>
      </c>
      <c r="AD1664" s="2">
        <v>44501</v>
      </c>
      <c r="AE1664" s="1" t="s">
        <v>58</v>
      </c>
      <c r="AF1664" s="1" t="s">
        <v>54</v>
      </c>
      <c r="AG1664" s="1" t="s">
        <v>63</v>
      </c>
      <c r="AH1664" s="1" t="s">
        <v>68</v>
      </c>
      <c r="AI1664">
        <v>1023</v>
      </c>
      <c r="AJ1664">
        <v>-51.149999999999977</v>
      </c>
    </row>
    <row r="1665" spans="1:36" x14ac:dyDescent="0.25">
      <c r="A1665">
        <v>11664</v>
      </c>
      <c r="B1665">
        <v>24</v>
      </c>
      <c r="C1665" s="1" t="s">
        <v>36</v>
      </c>
      <c r="D1665" s="1" t="s">
        <v>73</v>
      </c>
      <c r="E1665" s="2">
        <v>44905</v>
      </c>
      <c r="F1665" s="2">
        <v>45024</v>
      </c>
      <c r="G1665" s="1" t="s">
        <v>62</v>
      </c>
      <c r="H1665">
        <v>308</v>
      </c>
      <c r="I1665">
        <v>21</v>
      </c>
      <c r="J1665">
        <v>4</v>
      </c>
      <c r="K1665">
        <v>106.86</v>
      </c>
      <c r="L1665">
        <v>10</v>
      </c>
      <c r="M1665" s="1" t="s">
        <v>65</v>
      </c>
      <c r="N1665" s="1" t="s">
        <v>56</v>
      </c>
      <c r="O1665">
        <v>6437.2</v>
      </c>
      <c r="P1665" t="b">
        <v>1</v>
      </c>
      <c r="Q1665">
        <v>1.75</v>
      </c>
      <c r="R1665">
        <v>306.5333333333333</v>
      </c>
      <c r="S1665">
        <v>21.372</v>
      </c>
      <c r="T1665" s="2">
        <v>44896</v>
      </c>
      <c r="U1665" s="1" t="s">
        <v>66</v>
      </c>
      <c r="V1665">
        <v>0</v>
      </c>
      <c r="W1665" s="1" t="s">
        <v>56</v>
      </c>
      <c r="X1665">
        <v>119</v>
      </c>
      <c r="Y1665" s="1" t="s">
        <v>43</v>
      </c>
      <c r="Z1665" s="1" t="s">
        <v>42</v>
      </c>
      <c r="AA1665">
        <v>0.18181818181818182</v>
      </c>
      <c r="AB1665" s="1" t="s">
        <v>42</v>
      </c>
      <c r="AC1665">
        <v>2</v>
      </c>
      <c r="AD1665" s="2">
        <v>44896</v>
      </c>
      <c r="AE1665" s="1" t="s">
        <v>53</v>
      </c>
      <c r="AF1665" s="1" t="s">
        <v>45</v>
      </c>
      <c r="AG1665" s="1" t="s">
        <v>63</v>
      </c>
      <c r="AH1665" s="1" t="s">
        <v>68</v>
      </c>
      <c r="AI1665">
        <v>6468</v>
      </c>
      <c r="AJ1665">
        <v>-30.800000000000182</v>
      </c>
    </row>
    <row r="1666" spans="1:36" x14ac:dyDescent="0.25">
      <c r="A1666">
        <v>11665</v>
      </c>
      <c r="B1666">
        <v>22</v>
      </c>
      <c r="C1666" s="1" t="s">
        <v>60</v>
      </c>
      <c r="D1666" s="1" t="s">
        <v>37</v>
      </c>
      <c r="E1666" s="2">
        <v>44906</v>
      </c>
      <c r="F1666" s="2">
        <v>44760</v>
      </c>
      <c r="G1666" s="1" t="s">
        <v>49</v>
      </c>
      <c r="H1666">
        <v>1299</v>
      </c>
      <c r="I1666">
        <v>8</v>
      </c>
      <c r="J1666">
        <v>3</v>
      </c>
      <c r="K1666">
        <v>49.64</v>
      </c>
      <c r="L1666">
        <v>10</v>
      </c>
      <c r="M1666" s="1" t="s">
        <v>39</v>
      </c>
      <c r="N1666" s="1" t="s">
        <v>56</v>
      </c>
      <c r="O1666">
        <v>10262.1</v>
      </c>
      <c r="P1666" t="b">
        <v>0</v>
      </c>
      <c r="Q1666">
        <v>0.66666666666666663</v>
      </c>
      <c r="R1666">
        <v>1282.7625</v>
      </c>
      <c r="S1666">
        <v>12.41</v>
      </c>
      <c r="T1666" s="2">
        <v>44896</v>
      </c>
      <c r="U1666" s="1" t="s">
        <v>66</v>
      </c>
      <c r="V1666">
        <v>0</v>
      </c>
      <c r="W1666" s="1" t="s">
        <v>56</v>
      </c>
      <c r="Y1666" s="1" t="s">
        <v>52</v>
      </c>
      <c r="Z1666" s="1" t="s">
        <v>42</v>
      </c>
      <c r="AA1666">
        <v>0.33333333333333331</v>
      </c>
      <c r="AB1666" s="1" t="s">
        <v>52</v>
      </c>
      <c r="AC1666">
        <v>3</v>
      </c>
      <c r="AD1666" s="2">
        <v>44896</v>
      </c>
      <c r="AE1666" s="1" t="s">
        <v>74</v>
      </c>
      <c r="AF1666" s="1" t="s">
        <v>72</v>
      </c>
      <c r="AG1666" s="1" t="s">
        <v>63</v>
      </c>
      <c r="AH1666" s="1" t="s">
        <v>47</v>
      </c>
      <c r="AI1666">
        <v>10392</v>
      </c>
      <c r="AJ1666">
        <v>-129.89999999999964</v>
      </c>
    </row>
    <row r="1667" spans="1:36" x14ac:dyDescent="0.25">
      <c r="A1667">
        <v>11666</v>
      </c>
      <c r="B1667">
        <v>60</v>
      </c>
      <c r="C1667" s="1" t="s">
        <v>36</v>
      </c>
      <c r="D1667" s="1" t="s">
        <v>37</v>
      </c>
      <c r="E1667" s="2">
        <v>44738</v>
      </c>
      <c r="F1667" s="2">
        <v>44599</v>
      </c>
      <c r="G1667" s="1" t="s">
        <v>38</v>
      </c>
      <c r="H1667">
        <v>1118</v>
      </c>
      <c r="I1667">
        <v>22</v>
      </c>
      <c r="J1667">
        <v>2</v>
      </c>
      <c r="K1667">
        <v>83.14</v>
      </c>
      <c r="L1667">
        <v>5</v>
      </c>
      <c r="M1667" s="1" t="s">
        <v>65</v>
      </c>
      <c r="N1667" s="1" t="s">
        <v>40</v>
      </c>
      <c r="O1667">
        <v>24540.1</v>
      </c>
      <c r="P1667" t="b">
        <v>0</v>
      </c>
      <c r="Q1667">
        <v>1.8333333333333333</v>
      </c>
      <c r="R1667">
        <v>1115.4590909090909</v>
      </c>
      <c r="S1667">
        <v>27.713333333333335</v>
      </c>
      <c r="T1667" s="2">
        <v>44713</v>
      </c>
      <c r="U1667" s="1" t="s">
        <v>41</v>
      </c>
      <c r="V1667">
        <v>1</v>
      </c>
      <c r="W1667" s="1" t="s">
        <v>40</v>
      </c>
      <c r="Y1667" s="1" t="s">
        <v>43</v>
      </c>
      <c r="Z1667" s="1" t="s">
        <v>42</v>
      </c>
      <c r="AA1667">
        <v>8.6956521739130432E-2</v>
      </c>
      <c r="AB1667" s="1" t="s">
        <v>43</v>
      </c>
      <c r="AC1667">
        <v>1</v>
      </c>
      <c r="AD1667" s="2">
        <v>44713</v>
      </c>
      <c r="AE1667" s="1" t="s">
        <v>53</v>
      </c>
      <c r="AF1667" s="1" t="s">
        <v>72</v>
      </c>
      <c r="AG1667" s="1" t="s">
        <v>63</v>
      </c>
      <c r="AH1667" s="1" t="s">
        <v>47</v>
      </c>
      <c r="AI1667">
        <v>24596</v>
      </c>
      <c r="AJ1667">
        <v>-55.900000000001455</v>
      </c>
    </row>
    <row r="1668" spans="1:36" x14ac:dyDescent="0.25">
      <c r="A1668">
        <v>11667</v>
      </c>
      <c r="B1668">
        <v>41</v>
      </c>
      <c r="C1668" s="1" t="s">
        <v>36</v>
      </c>
      <c r="D1668" s="1" t="s">
        <v>73</v>
      </c>
      <c r="E1668" s="2">
        <v>44675</v>
      </c>
      <c r="F1668" s="2">
        <v>44359</v>
      </c>
      <c r="G1668" s="1" t="s">
        <v>62</v>
      </c>
      <c r="H1668">
        <v>956</v>
      </c>
      <c r="I1668">
        <v>5</v>
      </c>
      <c r="J1668">
        <v>0</v>
      </c>
      <c r="K1668">
        <v>31.24</v>
      </c>
      <c r="L1668">
        <v>20</v>
      </c>
      <c r="M1668" s="1" t="s">
        <v>65</v>
      </c>
      <c r="N1668" s="1" t="s">
        <v>56</v>
      </c>
      <c r="O1668">
        <v>4588.8</v>
      </c>
      <c r="P1668" t="b">
        <v>0</v>
      </c>
      <c r="Q1668">
        <v>0.41666666666666669</v>
      </c>
      <c r="R1668">
        <v>917.76</v>
      </c>
      <c r="S1668">
        <v>31.24</v>
      </c>
      <c r="T1668" s="2">
        <v>44652</v>
      </c>
      <c r="U1668" s="1" t="s">
        <v>51</v>
      </c>
      <c r="V1668">
        <v>0</v>
      </c>
      <c r="W1668" s="1" t="s">
        <v>56</v>
      </c>
      <c r="Y1668" s="1" t="s">
        <v>52</v>
      </c>
      <c r="Z1668" s="1" t="s">
        <v>52</v>
      </c>
      <c r="AA1668">
        <v>0</v>
      </c>
      <c r="AB1668" s="1" t="s">
        <v>42</v>
      </c>
      <c r="AC1668">
        <v>2</v>
      </c>
      <c r="AD1668" s="2">
        <v>44652</v>
      </c>
      <c r="AE1668" s="1" t="s">
        <v>58</v>
      </c>
      <c r="AF1668" s="1" t="s">
        <v>54</v>
      </c>
      <c r="AG1668" s="1" t="s">
        <v>55</v>
      </c>
      <c r="AH1668" s="1" t="s">
        <v>59</v>
      </c>
      <c r="AI1668">
        <v>4780</v>
      </c>
      <c r="AJ1668">
        <v>-191.19999999999982</v>
      </c>
    </row>
    <row r="1669" spans="1:36" x14ac:dyDescent="0.25">
      <c r="A1669">
        <v>11668</v>
      </c>
      <c r="B1669">
        <v>41</v>
      </c>
      <c r="C1669" s="1" t="s">
        <v>60</v>
      </c>
      <c r="D1669" s="1" t="s">
        <v>73</v>
      </c>
      <c r="E1669" s="2">
        <v>44216</v>
      </c>
      <c r="F1669" s="2">
        <v>44748</v>
      </c>
      <c r="G1669" s="1" t="s">
        <v>49</v>
      </c>
      <c r="H1669">
        <v>1465</v>
      </c>
      <c r="I1669">
        <v>17</v>
      </c>
      <c r="J1669">
        <v>1</v>
      </c>
      <c r="K1669">
        <v>34.83</v>
      </c>
      <c r="L1669">
        <v>0</v>
      </c>
      <c r="M1669" s="1" t="s">
        <v>65</v>
      </c>
      <c r="N1669" s="1" t="s">
        <v>56</v>
      </c>
      <c r="O1669">
        <v>24905</v>
      </c>
      <c r="P1669" t="b">
        <v>1</v>
      </c>
      <c r="Q1669">
        <v>1.4166666666666667</v>
      </c>
      <c r="R1669">
        <v>1465</v>
      </c>
      <c r="S1669">
        <v>17.414999999999999</v>
      </c>
      <c r="T1669" s="2">
        <v>44197</v>
      </c>
      <c r="U1669" s="1" t="s">
        <v>51</v>
      </c>
      <c r="V1669">
        <v>0</v>
      </c>
      <c r="W1669" s="1" t="s">
        <v>40</v>
      </c>
      <c r="X1669">
        <v>532</v>
      </c>
      <c r="Y1669" s="1" t="s">
        <v>52</v>
      </c>
      <c r="Z1669" s="1" t="s">
        <v>42</v>
      </c>
      <c r="AA1669">
        <v>5.5555555555555552E-2</v>
      </c>
      <c r="AB1669" s="1" t="s">
        <v>43</v>
      </c>
      <c r="AC1669">
        <v>3</v>
      </c>
      <c r="AD1669" s="2">
        <v>44197</v>
      </c>
      <c r="AE1669" s="1" t="s">
        <v>53</v>
      </c>
      <c r="AF1669" s="1" t="s">
        <v>54</v>
      </c>
      <c r="AG1669" s="1" t="s">
        <v>55</v>
      </c>
      <c r="AH1669" s="1" t="s">
        <v>47</v>
      </c>
      <c r="AI1669">
        <v>24905</v>
      </c>
      <c r="AJ1669">
        <v>0</v>
      </c>
    </row>
    <row r="1670" spans="1:36" x14ac:dyDescent="0.25">
      <c r="A1670">
        <v>11669</v>
      </c>
      <c r="B1670">
        <v>40</v>
      </c>
      <c r="C1670" s="1" t="s">
        <v>60</v>
      </c>
      <c r="D1670" s="1" t="s">
        <v>71</v>
      </c>
      <c r="E1670" s="2">
        <v>44756</v>
      </c>
      <c r="F1670" s="2">
        <v>45163</v>
      </c>
      <c r="G1670" s="1" t="s">
        <v>62</v>
      </c>
      <c r="H1670">
        <v>1089</v>
      </c>
      <c r="I1670">
        <v>14</v>
      </c>
      <c r="J1670">
        <v>6</v>
      </c>
      <c r="K1670">
        <v>48.25</v>
      </c>
      <c r="L1670">
        <v>0</v>
      </c>
      <c r="M1670" s="1" t="s">
        <v>65</v>
      </c>
      <c r="N1670" s="1" t="s">
        <v>56</v>
      </c>
      <c r="O1670">
        <v>15246</v>
      </c>
      <c r="P1670" t="b">
        <v>1</v>
      </c>
      <c r="Q1670">
        <v>1.1666666666666667</v>
      </c>
      <c r="R1670">
        <v>1089</v>
      </c>
      <c r="S1670">
        <v>6.8928571428571432</v>
      </c>
      <c r="T1670" s="2">
        <v>44743</v>
      </c>
      <c r="U1670" s="1" t="s">
        <v>51</v>
      </c>
      <c r="V1670">
        <v>0</v>
      </c>
      <c r="W1670" s="1" t="s">
        <v>40</v>
      </c>
      <c r="X1670">
        <v>407</v>
      </c>
      <c r="Y1670" s="1" t="s">
        <v>52</v>
      </c>
      <c r="Z1670" s="1" t="s">
        <v>42</v>
      </c>
      <c r="AA1670">
        <v>0.4</v>
      </c>
      <c r="AB1670" s="1" t="s">
        <v>52</v>
      </c>
      <c r="AC1670">
        <v>2</v>
      </c>
      <c r="AD1670" s="2">
        <v>44743</v>
      </c>
      <c r="AE1670" s="1" t="s">
        <v>53</v>
      </c>
      <c r="AF1670" s="1" t="s">
        <v>78</v>
      </c>
      <c r="AG1670" s="1" t="s">
        <v>63</v>
      </c>
      <c r="AH1670" s="1" t="s">
        <v>47</v>
      </c>
      <c r="AI1670">
        <v>15246</v>
      </c>
      <c r="AJ1670">
        <v>0</v>
      </c>
    </row>
    <row r="1671" spans="1:36" x14ac:dyDescent="0.25">
      <c r="A1671">
        <v>11670</v>
      </c>
      <c r="B1671">
        <v>59</v>
      </c>
      <c r="C1671" s="1" t="s">
        <v>36</v>
      </c>
      <c r="D1671" s="1" t="s">
        <v>37</v>
      </c>
      <c r="E1671" s="2">
        <v>44326</v>
      </c>
      <c r="F1671" s="2">
        <v>45071</v>
      </c>
      <c r="G1671" s="1" t="s">
        <v>62</v>
      </c>
      <c r="H1671">
        <v>1350</v>
      </c>
      <c r="I1671">
        <v>28</v>
      </c>
      <c r="J1671">
        <v>1</v>
      </c>
      <c r="K1671">
        <v>39.97</v>
      </c>
      <c r="L1671">
        <v>0</v>
      </c>
      <c r="M1671" s="1" t="s">
        <v>65</v>
      </c>
      <c r="N1671" s="1" t="s">
        <v>56</v>
      </c>
      <c r="O1671">
        <v>37800</v>
      </c>
      <c r="P1671" t="b">
        <v>1</v>
      </c>
      <c r="Q1671">
        <v>2.3333333333333335</v>
      </c>
      <c r="R1671">
        <v>1350</v>
      </c>
      <c r="S1671">
        <v>19.984999999999999</v>
      </c>
      <c r="T1671" s="2">
        <v>44317</v>
      </c>
      <c r="U1671" s="1" t="s">
        <v>41</v>
      </c>
      <c r="V1671">
        <v>0</v>
      </c>
      <c r="W1671" s="1" t="s">
        <v>40</v>
      </c>
      <c r="X1671">
        <v>745</v>
      </c>
      <c r="Y1671" s="1" t="s">
        <v>52</v>
      </c>
      <c r="Z1671" s="1" t="s">
        <v>42</v>
      </c>
      <c r="AA1671">
        <v>3.4482758620689655E-2</v>
      </c>
      <c r="AB1671" s="1" t="s">
        <v>43</v>
      </c>
      <c r="AC1671">
        <v>2</v>
      </c>
      <c r="AD1671" s="2">
        <v>44317</v>
      </c>
      <c r="AE1671" s="1" t="s">
        <v>44</v>
      </c>
      <c r="AF1671" s="1" t="s">
        <v>54</v>
      </c>
      <c r="AG1671" s="1" t="s">
        <v>55</v>
      </c>
      <c r="AH1671" s="1" t="s">
        <v>47</v>
      </c>
      <c r="AI1671">
        <v>37800</v>
      </c>
      <c r="AJ1671">
        <v>0</v>
      </c>
    </row>
    <row r="1672" spans="1:36" x14ac:dyDescent="0.25">
      <c r="A1672">
        <v>11671</v>
      </c>
      <c r="B1672">
        <v>27</v>
      </c>
      <c r="C1672" s="1" t="s">
        <v>36</v>
      </c>
      <c r="D1672" s="1" t="s">
        <v>69</v>
      </c>
      <c r="E1672" s="2">
        <v>44489</v>
      </c>
      <c r="F1672" s="2">
        <v>44629</v>
      </c>
      <c r="G1672" s="1" t="s">
        <v>62</v>
      </c>
      <c r="H1672">
        <v>1366</v>
      </c>
      <c r="I1672">
        <v>31</v>
      </c>
      <c r="J1672">
        <v>3</v>
      </c>
      <c r="K1672">
        <v>34.200000000000003</v>
      </c>
      <c r="L1672">
        <v>20</v>
      </c>
      <c r="M1672" s="1" t="s">
        <v>65</v>
      </c>
      <c r="N1672" s="1" t="s">
        <v>56</v>
      </c>
      <c r="O1672">
        <v>42072.800000000003</v>
      </c>
      <c r="P1672" t="b">
        <v>1</v>
      </c>
      <c r="Q1672">
        <v>2.5833333333333335</v>
      </c>
      <c r="R1672">
        <v>1357.1870967741936</v>
      </c>
      <c r="S1672">
        <v>8.5500000000000007</v>
      </c>
      <c r="T1672" s="2">
        <v>44470</v>
      </c>
      <c r="U1672" s="1" t="s">
        <v>57</v>
      </c>
      <c r="V1672">
        <v>0</v>
      </c>
      <c r="W1672" s="1" t="s">
        <v>40</v>
      </c>
      <c r="X1672">
        <v>140</v>
      </c>
      <c r="Y1672" s="1" t="s">
        <v>52</v>
      </c>
      <c r="Z1672" s="1" t="s">
        <v>52</v>
      </c>
      <c r="AA1672">
        <v>9.375E-2</v>
      </c>
      <c r="AB1672" s="1" t="s">
        <v>43</v>
      </c>
      <c r="AC1672">
        <v>2</v>
      </c>
      <c r="AD1672" s="2">
        <v>44470</v>
      </c>
      <c r="AE1672" s="1" t="s">
        <v>44</v>
      </c>
      <c r="AF1672" s="1" t="s">
        <v>72</v>
      </c>
      <c r="AG1672" s="1" t="s">
        <v>55</v>
      </c>
      <c r="AH1672" s="1" t="s">
        <v>47</v>
      </c>
      <c r="AI1672">
        <v>42346</v>
      </c>
      <c r="AJ1672">
        <v>-273.19999999999709</v>
      </c>
    </row>
    <row r="1673" spans="1:36" x14ac:dyDescent="0.25">
      <c r="A1673">
        <v>11672</v>
      </c>
      <c r="B1673">
        <v>49</v>
      </c>
      <c r="C1673" s="1" t="s">
        <v>60</v>
      </c>
      <c r="D1673" s="1" t="s">
        <v>69</v>
      </c>
      <c r="E1673" s="2">
        <v>45093</v>
      </c>
      <c r="F1673" s="2">
        <v>44459</v>
      </c>
      <c r="G1673" s="1" t="s">
        <v>62</v>
      </c>
      <c r="H1673">
        <v>1454</v>
      </c>
      <c r="I1673">
        <v>17</v>
      </c>
      <c r="J1673">
        <v>2</v>
      </c>
      <c r="K1673">
        <v>10.71</v>
      </c>
      <c r="L1673">
        <v>20</v>
      </c>
      <c r="M1673" s="1" t="s">
        <v>50</v>
      </c>
      <c r="N1673" s="1" t="s">
        <v>56</v>
      </c>
      <c r="O1673">
        <v>24427.200000000001</v>
      </c>
      <c r="P1673" t="b">
        <v>0</v>
      </c>
      <c r="Q1673">
        <v>1.4166666666666667</v>
      </c>
      <c r="R1673">
        <v>1436.8941176470589</v>
      </c>
      <c r="S1673">
        <v>3.5700000000000003</v>
      </c>
      <c r="T1673" s="2">
        <v>45078</v>
      </c>
      <c r="U1673" s="1" t="s">
        <v>51</v>
      </c>
      <c r="V1673">
        <v>0</v>
      </c>
      <c r="W1673" s="1" t="s">
        <v>40</v>
      </c>
      <c r="Y1673" s="1" t="s">
        <v>42</v>
      </c>
      <c r="Z1673" s="1" t="s">
        <v>52</v>
      </c>
      <c r="AA1673">
        <v>0.1111111111111111</v>
      </c>
      <c r="AB1673" s="1" t="s">
        <v>43</v>
      </c>
      <c r="AC1673">
        <v>2</v>
      </c>
      <c r="AD1673" s="2">
        <v>45078</v>
      </c>
      <c r="AE1673" s="1" t="s">
        <v>53</v>
      </c>
      <c r="AF1673" s="1" t="s">
        <v>72</v>
      </c>
      <c r="AG1673" s="1" t="s">
        <v>46</v>
      </c>
      <c r="AH1673" s="1" t="s">
        <v>47</v>
      </c>
      <c r="AI1673">
        <v>24718</v>
      </c>
      <c r="AJ1673">
        <v>-290.79999999999927</v>
      </c>
    </row>
    <row r="1674" spans="1:36" x14ac:dyDescent="0.25">
      <c r="A1674">
        <v>11673</v>
      </c>
      <c r="B1674">
        <v>60</v>
      </c>
      <c r="C1674" s="1" t="s">
        <v>36</v>
      </c>
      <c r="D1674" s="1" t="s">
        <v>48</v>
      </c>
      <c r="E1674" s="2">
        <v>44328</v>
      </c>
      <c r="F1674" s="2">
        <v>45070</v>
      </c>
      <c r="G1674" s="1" t="s">
        <v>38</v>
      </c>
      <c r="H1674">
        <v>897</v>
      </c>
      <c r="I1674">
        <v>35</v>
      </c>
      <c r="J1674">
        <v>4</v>
      </c>
      <c r="K1674">
        <v>101.23</v>
      </c>
      <c r="L1674">
        <v>0</v>
      </c>
      <c r="M1674" s="1" t="s">
        <v>65</v>
      </c>
      <c r="N1674" s="1" t="s">
        <v>40</v>
      </c>
      <c r="O1674">
        <v>31395</v>
      </c>
      <c r="P1674" t="b">
        <v>1</v>
      </c>
      <c r="Q1674">
        <v>2.9166666666666665</v>
      </c>
      <c r="R1674">
        <v>897</v>
      </c>
      <c r="S1674">
        <v>20.246000000000002</v>
      </c>
      <c r="T1674" s="2">
        <v>44317</v>
      </c>
      <c r="U1674" s="1" t="s">
        <v>41</v>
      </c>
      <c r="V1674">
        <v>1</v>
      </c>
      <c r="W1674" s="1" t="s">
        <v>40</v>
      </c>
      <c r="X1674">
        <v>742</v>
      </c>
      <c r="Y1674" s="1" t="s">
        <v>43</v>
      </c>
      <c r="Z1674" s="1" t="s">
        <v>42</v>
      </c>
      <c r="AA1674">
        <v>0.1111111111111111</v>
      </c>
      <c r="AB1674" s="1" t="s">
        <v>43</v>
      </c>
      <c r="AC1674">
        <v>1</v>
      </c>
      <c r="AD1674" s="2">
        <v>44317</v>
      </c>
      <c r="AE1674" s="1" t="s">
        <v>44</v>
      </c>
      <c r="AF1674" s="1" t="s">
        <v>45</v>
      </c>
      <c r="AG1674" s="1" t="s">
        <v>63</v>
      </c>
      <c r="AH1674" s="1" t="s">
        <v>59</v>
      </c>
      <c r="AI1674">
        <v>31395</v>
      </c>
      <c r="AJ1674">
        <v>0</v>
      </c>
    </row>
    <row r="1675" spans="1:36" x14ac:dyDescent="0.25">
      <c r="A1675">
        <v>11674</v>
      </c>
      <c r="B1675">
        <v>47</v>
      </c>
      <c r="C1675" s="1" t="s">
        <v>36</v>
      </c>
      <c r="D1675" s="1" t="s">
        <v>73</v>
      </c>
      <c r="E1675" s="2">
        <v>44552</v>
      </c>
      <c r="F1675" s="2">
        <v>44725</v>
      </c>
      <c r="G1675" s="1" t="s">
        <v>49</v>
      </c>
      <c r="H1675">
        <v>1235</v>
      </c>
      <c r="I1675">
        <v>22</v>
      </c>
      <c r="J1675">
        <v>0</v>
      </c>
      <c r="K1675">
        <v>12.39</v>
      </c>
      <c r="L1675">
        <v>0</v>
      </c>
      <c r="M1675" s="1" t="s">
        <v>65</v>
      </c>
      <c r="N1675" s="1" t="s">
        <v>56</v>
      </c>
      <c r="O1675">
        <v>27170</v>
      </c>
      <c r="P1675" t="b">
        <v>1</v>
      </c>
      <c r="Q1675">
        <v>1.8333333333333333</v>
      </c>
      <c r="R1675">
        <v>1235</v>
      </c>
      <c r="S1675">
        <v>12.39</v>
      </c>
      <c r="T1675" s="2">
        <v>44531</v>
      </c>
      <c r="U1675" s="1" t="s">
        <v>51</v>
      </c>
      <c r="V1675">
        <v>0</v>
      </c>
      <c r="W1675" s="1" t="s">
        <v>40</v>
      </c>
      <c r="X1675">
        <v>173</v>
      </c>
      <c r="Y1675" s="1" t="s">
        <v>42</v>
      </c>
      <c r="Z1675" s="1" t="s">
        <v>42</v>
      </c>
      <c r="AA1675">
        <v>0</v>
      </c>
      <c r="AB1675" s="1" t="s">
        <v>43</v>
      </c>
      <c r="AC1675">
        <v>3</v>
      </c>
      <c r="AD1675" s="2">
        <v>44531</v>
      </c>
      <c r="AE1675" s="1" t="s">
        <v>53</v>
      </c>
      <c r="AF1675" s="1" t="s">
        <v>54</v>
      </c>
      <c r="AG1675" s="1" t="s">
        <v>46</v>
      </c>
      <c r="AH1675" s="1" t="s">
        <v>47</v>
      </c>
      <c r="AI1675">
        <v>27170</v>
      </c>
      <c r="AJ1675">
        <v>0</v>
      </c>
    </row>
    <row r="1676" spans="1:36" x14ac:dyDescent="0.25">
      <c r="A1676">
        <v>11675</v>
      </c>
      <c r="B1676">
        <v>56</v>
      </c>
      <c r="C1676" s="1" t="s">
        <v>60</v>
      </c>
      <c r="D1676" s="1" t="s">
        <v>71</v>
      </c>
      <c r="E1676" s="2">
        <v>44250</v>
      </c>
      <c r="F1676" s="2">
        <v>45098</v>
      </c>
      <c r="G1676" s="1" t="s">
        <v>38</v>
      </c>
      <c r="H1676">
        <v>1311</v>
      </c>
      <c r="I1676">
        <v>29</v>
      </c>
      <c r="J1676">
        <v>2</v>
      </c>
      <c r="K1676">
        <v>107.05</v>
      </c>
      <c r="L1676">
        <v>20</v>
      </c>
      <c r="M1676" s="1" t="s">
        <v>67</v>
      </c>
      <c r="N1676" s="1" t="s">
        <v>56</v>
      </c>
      <c r="O1676">
        <v>37756.800000000003</v>
      </c>
      <c r="P1676" t="b">
        <v>1</v>
      </c>
      <c r="Q1676">
        <v>2.4166666666666665</v>
      </c>
      <c r="R1676">
        <v>1301.9586206896552</v>
      </c>
      <c r="S1676">
        <v>35.68333333333333</v>
      </c>
      <c r="T1676" s="2">
        <v>44228</v>
      </c>
      <c r="U1676" s="1" t="s">
        <v>41</v>
      </c>
      <c r="V1676">
        <v>0</v>
      </c>
      <c r="W1676" s="1" t="s">
        <v>40</v>
      </c>
      <c r="X1676">
        <v>848</v>
      </c>
      <c r="Y1676" s="1" t="s">
        <v>43</v>
      </c>
      <c r="Z1676" s="1" t="s">
        <v>52</v>
      </c>
      <c r="AA1676">
        <v>6.6666666666666666E-2</v>
      </c>
      <c r="AB1676" s="1" t="s">
        <v>43</v>
      </c>
      <c r="AC1676">
        <v>1</v>
      </c>
      <c r="AD1676" s="2">
        <v>44228</v>
      </c>
      <c r="AE1676" s="1" t="s">
        <v>44</v>
      </c>
      <c r="AF1676" s="1" t="s">
        <v>72</v>
      </c>
      <c r="AG1676" s="1" t="s">
        <v>63</v>
      </c>
      <c r="AH1676" s="1" t="s">
        <v>47</v>
      </c>
      <c r="AI1676">
        <v>38019</v>
      </c>
      <c r="AJ1676">
        <v>-262.19999999999709</v>
      </c>
    </row>
    <row r="1677" spans="1:36" x14ac:dyDescent="0.25">
      <c r="A1677">
        <v>11676</v>
      </c>
      <c r="B1677">
        <v>48</v>
      </c>
      <c r="C1677" s="1" t="s">
        <v>75</v>
      </c>
      <c r="D1677" s="1" t="s">
        <v>69</v>
      </c>
      <c r="E1677" s="2">
        <v>45086</v>
      </c>
      <c r="F1677" s="2">
        <v>44615</v>
      </c>
      <c r="G1677" s="1" t="s">
        <v>38</v>
      </c>
      <c r="H1677">
        <v>320</v>
      </c>
      <c r="I1677">
        <v>10</v>
      </c>
      <c r="J1677">
        <v>3</v>
      </c>
      <c r="K1677">
        <v>19.43</v>
      </c>
      <c r="L1677">
        <v>10</v>
      </c>
      <c r="M1677" s="1" t="s">
        <v>65</v>
      </c>
      <c r="N1677" s="1" t="s">
        <v>56</v>
      </c>
      <c r="O1677">
        <v>3200</v>
      </c>
      <c r="P1677" t="b">
        <v>0</v>
      </c>
      <c r="Q1677">
        <v>0.83333333333333337</v>
      </c>
      <c r="R1677">
        <v>320</v>
      </c>
      <c r="S1677">
        <v>4.8574999999999999</v>
      </c>
      <c r="T1677" s="2">
        <v>45078</v>
      </c>
      <c r="U1677" s="1" t="s">
        <v>51</v>
      </c>
      <c r="V1677">
        <v>0</v>
      </c>
      <c r="W1677" s="1" t="s">
        <v>56</v>
      </c>
      <c r="Y1677" s="1" t="s">
        <v>42</v>
      </c>
      <c r="Z1677" s="1" t="s">
        <v>42</v>
      </c>
      <c r="AA1677">
        <v>0.27272727272727271</v>
      </c>
      <c r="AB1677" s="1" t="s">
        <v>42</v>
      </c>
      <c r="AC1677">
        <v>1</v>
      </c>
      <c r="AD1677" s="2">
        <v>45078</v>
      </c>
      <c r="AE1677" s="1" t="s">
        <v>74</v>
      </c>
      <c r="AF1677" s="1" t="s">
        <v>72</v>
      </c>
      <c r="AG1677" s="1" t="s">
        <v>46</v>
      </c>
      <c r="AH1677" s="1" t="s">
        <v>68</v>
      </c>
      <c r="AI1677">
        <v>3200</v>
      </c>
      <c r="AJ1677">
        <v>0</v>
      </c>
    </row>
    <row r="1678" spans="1:36" x14ac:dyDescent="0.25">
      <c r="A1678">
        <v>11677</v>
      </c>
      <c r="B1678">
        <v>35</v>
      </c>
      <c r="C1678" s="1" t="s">
        <v>36</v>
      </c>
      <c r="D1678" s="1" t="s">
        <v>61</v>
      </c>
      <c r="E1678" s="2">
        <v>44989</v>
      </c>
      <c r="F1678" s="2">
        <v>44645</v>
      </c>
      <c r="G1678" s="1" t="s">
        <v>62</v>
      </c>
      <c r="H1678">
        <v>1298</v>
      </c>
      <c r="I1678">
        <v>18</v>
      </c>
      <c r="J1678">
        <v>1</v>
      </c>
      <c r="K1678">
        <v>12.51</v>
      </c>
      <c r="L1678">
        <v>20</v>
      </c>
      <c r="M1678" s="1" t="s">
        <v>65</v>
      </c>
      <c r="N1678" s="1" t="s">
        <v>40</v>
      </c>
      <c r="O1678">
        <v>23104.400000000001</v>
      </c>
      <c r="P1678" t="b">
        <v>0</v>
      </c>
      <c r="Q1678">
        <v>1.5</v>
      </c>
      <c r="R1678">
        <v>1283.5777777777778</v>
      </c>
      <c r="S1678">
        <v>6.2549999999999999</v>
      </c>
      <c r="T1678" s="2">
        <v>44986</v>
      </c>
      <c r="U1678" s="1" t="s">
        <v>57</v>
      </c>
      <c r="V1678">
        <v>1</v>
      </c>
      <c r="W1678" s="1" t="s">
        <v>40</v>
      </c>
      <c r="Y1678" s="1" t="s">
        <v>42</v>
      </c>
      <c r="Z1678" s="1" t="s">
        <v>52</v>
      </c>
      <c r="AA1678">
        <v>5.2631578947368418E-2</v>
      </c>
      <c r="AB1678" s="1" t="s">
        <v>43</v>
      </c>
      <c r="AC1678">
        <v>2</v>
      </c>
      <c r="AD1678" s="2">
        <v>44986</v>
      </c>
      <c r="AE1678" s="1" t="s">
        <v>53</v>
      </c>
      <c r="AF1678" s="1" t="s">
        <v>54</v>
      </c>
      <c r="AG1678" s="1" t="s">
        <v>46</v>
      </c>
      <c r="AH1678" s="1" t="s">
        <v>47</v>
      </c>
      <c r="AI1678">
        <v>23364</v>
      </c>
      <c r="AJ1678">
        <v>-259.59999999999854</v>
      </c>
    </row>
    <row r="1679" spans="1:36" x14ac:dyDescent="0.25">
      <c r="A1679">
        <v>11678</v>
      </c>
      <c r="B1679">
        <v>53</v>
      </c>
      <c r="C1679" s="1" t="s">
        <v>36</v>
      </c>
      <c r="D1679" s="1" t="s">
        <v>71</v>
      </c>
      <c r="E1679" s="2">
        <v>44583</v>
      </c>
      <c r="F1679" s="2">
        <v>44664</v>
      </c>
      <c r="G1679" s="1" t="s">
        <v>38</v>
      </c>
      <c r="H1679">
        <v>756</v>
      </c>
      <c r="I1679">
        <v>35</v>
      </c>
      <c r="J1679">
        <v>0</v>
      </c>
      <c r="K1679">
        <v>69.75</v>
      </c>
      <c r="L1679">
        <v>15</v>
      </c>
      <c r="M1679" s="1" t="s">
        <v>67</v>
      </c>
      <c r="N1679" s="1" t="s">
        <v>40</v>
      </c>
      <c r="O1679">
        <v>26346.6</v>
      </c>
      <c r="P1679" t="b">
        <v>1</v>
      </c>
      <c r="Q1679">
        <v>2.9166666666666665</v>
      </c>
      <c r="R1679">
        <v>752.76</v>
      </c>
      <c r="S1679">
        <v>69.75</v>
      </c>
      <c r="T1679" s="2">
        <v>44562</v>
      </c>
      <c r="U1679" s="1" t="s">
        <v>41</v>
      </c>
      <c r="V1679">
        <v>1</v>
      </c>
      <c r="W1679" s="1" t="s">
        <v>40</v>
      </c>
      <c r="X1679">
        <v>81</v>
      </c>
      <c r="Y1679" s="1" t="s">
        <v>43</v>
      </c>
      <c r="Z1679" s="1" t="s">
        <v>42</v>
      </c>
      <c r="AA1679">
        <v>0</v>
      </c>
      <c r="AB1679" s="1" t="s">
        <v>43</v>
      </c>
      <c r="AC1679">
        <v>1</v>
      </c>
      <c r="AD1679" s="2">
        <v>44562</v>
      </c>
      <c r="AE1679" s="1" t="s">
        <v>44</v>
      </c>
      <c r="AF1679" s="1" t="s">
        <v>54</v>
      </c>
      <c r="AG1679" s="1" t="s">
        <v>63</v>
      </c>
      <c r="AH1679" s="1" t="s">
        <v>59</v>
      </c>
      <c r="AI1679">
        <v>26460</v>
      </c>
      <c r="AJ1679">
        <v>-113.40000000000146</v>
      </c>
    </row>
    <row r="1680" spans="1:36" x14ac:dyDescent="0.25">
      <c r="A1680">
        <v>11679</v>
      </c>
      <c r="B1680">
        <v>19</v>
      </c>
      <c r="C1680" s="1" t="s">
        <v>36</v>
      </c>
      <c r="D1680" s="1" t="s">
        <v>71</v>
      </c>
      <c r="E1680" s="2">
        <v>44461</v>
      </c>
      <c r="F1680" s="2">
        <v>44917</v>
      </c>
      <c r="G1680" s="1" t="s">
        <v>38</v>
      </c>
      <c r="H1680">
        <v>1313</v>
      </c>
      <c r="I1680">
        <v>16</v>
      </c>
      <c r="J1680">
        <v>1</v>
      </c>
      <c r="K1680">
        <v>62.78</v>
      </c>
      <c r="L1680">
        <v>5</v>
      </c>
      <c r="M1680" s="1" t="s">
        <v>67</v>
      </c>
      <c r="N1680" s="1" t="s">
        <v>56</v>
      </c>
      <c r="O1680">
        <v>20942.349999999999</v>
      </c>
      <c r="P1680" t="b">
        <v>1</v>
      </c>
      <c r="Q1680">
        <v>1.3333333333333333</v>
      </c>
      <c r="R1680">
        <v>1308.8968749999999</v>
      </c>
      <c r="S1680">
        <v>31.39</v>
      </c>
      <c r="T1680" s="2">
        <v>44440</v>
      </c>
      <c r="U1680" s="1" t="s">
        <v>66</v>
      </c>
      <c r="V1680">
        <v>0</v>
      </c>
      <c r="W1680" s="1" t="s">
        <v>40</v>
      </c>
      <c r="X1680">
        <v>456</v>
      </c>
      <c r="Y1680" s="1" t="s">
        <v>43</v>
      </c>
      <c r="Z1680" s="1" t="s">
        <v>42</v>
      </c>
      <c r="AA1680">
        <v>5.8823529411764705E-2</v>
      </c>
      <c r="AB1680" s="1" t="s">
        <v>43</v>
      </c>
      <c r="AC1680">
        <v>1</v>
      </c>
      <c r="AD1680" s="2">
        <v>44440</v>
      </c>
      <c r="AE1680" s="1" t="s">
        <v>53</v>
      </c>
      <c r="AF1680" s="1" t="s">
        <v>54</v>
      </c>
      <c r="AG1680" s="1" t="s">
        <v>63</v>
      </c>
      <c r="AH1680" s="1" t="s">
        <v>47</v>
      </c>
      <c r="AI1680">
        <v>21008</v>
      </c>
      <c r="AJ1680">
        <v>-65.650000000001455</v>
      </c>
    </row>
    <row r="1681" spans="1:36" x14ac:dyDescent="0.25">
      <c r="A1681">
        <v>11680</v>
      </c>
      <c r="B1681">
        <v>41</v>
      </c>
      <c r="C1681" s="1" t="s">
        <v>60</v>
      </c>
      <c r="D1681" s="1" t="s">
        <v>69</v>
      </c>
      <c r="E1681" s="2">
        <v>44411</v>
      </c>
      <c r="F1681" s="2">
        <v>44856</v>
      </c>
      <c r="G1681" s="1" t="s">
        <v>62</v>
      </c>
      <c r="H1681">
        <v>564</v>
      </c>
      <c r="I1681">
        <v>7</v>
      </c>
      <c r="J1681">
        <v>4</v>
      </c>
      <c r="K1681">
        <v>61.49</v>
      </c>
      <c r="L1681">
        <v>5</v>
      </c>
      <c r="M1681" s="1" t="s">
        <v>67</v>
      </c>
      <c r="N1681" s="1" t="s">
        <v>40</v>
      </c>
      <c r="O1681">
        <v>3919.8</v>
      </c>
      <c r="P1681" t="b">
        <v>1</v>
      </c>
      <c r="Q1681">
        <v>0.58333333333333337</v>
      </c>
      <c r="R1681">
        <v>559.97142857142865</v>
      </c>
      <c r="S1681">
        <v>12.298</v>
      </c>
      <c r="T1681" s="2">
        <v>44409</v>
      </c>
      <c r="U1681" s="1" t="s">
        <v>51</v>
      </c>
      <c r="V1681">
        <v>1</v>
      </c>
      <c r="W1681" s="1" t="s">
        <v>56</v>
      </c>
      <c r="X1681">
        <v>445</v>
      </c>
      <c r="Y1681" s="1" t="s">
        <v>43</v>
      </c>
      <c r="Z1681" s="1" t="s">
        <v>42</v>
      </c>
      <c r="AA1681">
        <v>0.5</v>
      </c>
      <c r="AB1681" s="1" t="s">
        <v>42</v>
      </c>
      <c r="AC1681">
        <v>2</v>
      </c>
      <c r="AD1681" s="2">
        <v>44409</v>
      </c>
      <c r="AE1681" s="1" t="s">
        <v>74</v>
      </c>
      <c r="AF1681" s="1" t="s">
        <v>45</v>
      </c>
      <c r="AG1681" s="1" t="s">
        <v>63</v>
      </c>
      <c r="AH1681" s="1" t="s">
        <v>64</v>
      </c>
      <c r="AI1681">
        <v>3948</v>
      </c>
      <c r="AJ1681">
        <v>-28.199999999999818</v>
      </c>
    </row>
    <row r="1682" spans="1:36" x14ac:dyDescent="0.25">
      <c r="A1682">
        <v>11681</v>
      </c>
      <c r="B1682">
        <v>30</v>
      </c>
      <c r="C1682" s="1" t="s">
        <v>60</v>
      </c>
      <c r="D1682" s="1" t="s">
        <v>61</v>
      </c>
      <c r="E1682" s="2">
        <v>44656</v>
      </c>
      <c r="F1682" s="2">
        <v>44893</v>
      </c>
      <c r="G1682" s="1" t="s">
        <v>49</v>
      </c>
      <c r="H1682">
        <v>483</v>
      </c>
      <c r="I1682">
        <v>30</v>
      </c>
      <c r="J1682">
        <v>2</v>
      </c>
      <c r="K1682">
        <v>71.069999999999993</v>
      </c>
      <c r="L1682">
        <v>20</v>
      </c>
      <c r="M1682" s="1" t="s">
        <v>39</v>
      </c>
      <c r="N1682" s="1" t="s">
        <v>56</v>
      </c>
      <c r="O1682">
        <v>14393.4</v>
      </c>
      <c r="P1682" t="b">
        <v>1</v>
      </c>
      <c r="Q1682">
        <v>2.5</v>
      </c>
      <c r="R1682">
        <v>479.78</v>
      </c>
      <c r="S1682">
        <v>23.689999999999998</v>
      </c>
      <c r="T1682" s="2">
        <v>44652</v>
      </c>
      <c r="U1682" s="1" t="s">
        <v>57</v>
      </c>
      <c r="V1682">
        <v>0</v>
      </c>
      <c r="W1682" s="1" t="s">
        <v>40</v>
      </c>
      <c r="X1682">
        <v>237</v>
      </c>
      <c r="Y1682" s="1" t="s">
        <v>43</v>
      </c>
      <c r="Z1682" s="1" t="s">
        <v>52</v>
      </c>
      <c r="AA1682">
        <v>6.4516129032258063E-2</v>
      </c>
      <c r="AB1682" s="1" t="s">
        <v>52</v>
      </c>
      <c r="AC1682">
        <v>3</v>
      </c>
      <c r="AD1682" s="2">
        <v>44652</v>
      </c>
      <c r="AE1682" s="1" t="s">
        <v>44</v>
      </c>
      <c r="AF1682" s="1" t="s">
        <v>72</v>
      </c>
      <c r="AG1682" s="1" t="s">
        <v>63</v>
      </c>
      <c r="AH1682" s="1" t="s">
        <v>68</v>
      </c>
      <c r="AI1682">
        <v>14490</v>
      </c>
      <c r="AJ1682">
        <v>-96.600000000000364</v>
      </c>
    </row>
    <row r="1683" spans="1:36" x14ac:dyDescent="0.25">
      <c r="A1683">
        <v>11682</v>
      </c>
      <c r="B1683">
        <v>46</v>
      </c>
      <c r="C1683" s="1" t="s">
        <v>60</v>
      </c>
      <c r="D1683" s="1" t="s">
        <v>48</v>
      </c>
      <c r="E1683" s="2">
        <v>44654</v>
      </c>
      <c r="F1683" s="2">
        <v>45122</v>
      </c>
      <c r="G1683" s="1" t="s">
        <v>49</v>
      </c>
      <c r="H1683">
        <v>526</v>
      </c>
      <c r="I1683">
        <v>19</v>
      </c>
      <c r="J1683">
        <v>1</v>
      </c>
      <c r="K1683">
        <v>38.01</v>
      </c>
      <c r="L1683">
        <v>0</v>
      </c>
      <c r="M1683" s="1" t="s">
        <v>65</v>
      </c>
      <c r="N1683" s="1" t="s">
        <v>56</v>
      </c>
      <c r="O1683">
        <v>9994</v>
      </c>
      <c r="P1683" t="b">
        <v>1</v>
      </c>
      <c r="Q1683">
        <v>1.5833333333333333</v>
      </c>
      <c r="R1683">
        <v>526</v>
      </c>
      <c r="S1683">
        <v>19.004999999999999</v>
      </c>
      <c r="T1683" s="2">
        <v>44652</v>
      </c>
      <c r="U1683" s="1" t="s">
        <v>51</v>
      </c>
      <c r="V1683">
        <v>0</v>
      </c>
      <c r="W1683" s="1" t="s">
        <v>56</v>
      </c>
      <c r="X1683">
        <v>468</v>
      </c>
      <c r="Y1683" s="1" t="s">
        <v>52</v>
      </c>
      <c r="Z1683" s="1" t="s">
        <v>42</v>
      </c>
      <c r="AA1683">
        <v>0.05</v>
      </c>
      <c r="AB1683" s="1" t="s">
        <v>52</v>
      </c>
      <c r="AC1683">
        <v>3</v>
      </c>
      <c r="AD1683" s="2">
        <v>44652</v>
      </c>
      <c r="AE1683" s="1" t="s">
        <v>53</v>
      </c>
      <c r="AF1683" s="1" t="s">
        <v>54</v>
      </c>
      <c r="AG1683" s="1" t="s">
        <v>55</v>
      </c>
      <c r="AH1683" s="1" t="s">
        <v>64</v>
      </c>
      <c r="AI1683">
        <v>9994</v>
      </c>
      <c r="AJ1683">
        <v>0</v>
      </c>
    </row>
    <row r="1684" spans="1:36" x14ac:dyDescent="0.25">
      <c r="A1684">
        <v>11683</v>
      </c>
      <c r="B1684">
        <v>29</v>
      </c>
      <c r="C1684" s="1" t="s">
        <v>60</v>
      </c>
      <c r="D1684" s="1" t="s">
        <v>69</v>
      </c>
      <c r="E1684" s="2">
        <v>44998</v>
      </c>
      <c r="F1684" s="2">
        <v>44712</v>
      </c>
      <c r="G1684" s="1" t="s">
        <v>49</v>
      </c>
      <c r="H1684">
        <v>1396</v>
      </c>
      <c r="I1684">
        <v>23</v>
      </c>
      <c r="J1684">
        <v>1</v>
      </c>
      <c r="K1684">
        <v>62.59</v>
      </c>
      <c r="L1684">
        <v>5</v>
      </c>
      <c r="M1684" s="1" t="s">
        <v>65</v>
      </c>
      <c r="N1684" s="1" t="s">
        <v>56</v>
      </c>
      <c r="O1684">
        <v>32038.2</v>
      </c>
      <c r="P1684" t="b">
        <v>0</v>
      </c>
      <c r="Q1684">
        <v>1.9166666666666667</v>
      </c>
      <c r="R1684">
        <v>1392.9652173913043</v>
      </c>
      <c r="S1684">
        <v>31.295000000000002</v>
      </c>
      <c r="T1684" s="2">
        <v>44986</v>
      </c>
      <c r="U1684" s="1" t="s">
        <v>57</v>
      </c>
      <c r="V1684">
        <v>0</v>
      </c>
      <c r="W1684" s="1" t="s">
        <v>40</v>
      </c>
      <c r="Y1684" s="1" t="s">
        <v>43</v>
      </c>
      <c r="Z1684" s="1" t="s">
        <v>42</v>
      </c>
      <c r="AA1684">
        <v>4.1666666666666664E-2</v>
      </c>
      <c r="AB1684" s="1" t="s">
        <v>43</v>
      </c>
      <c r="AC1684">
        <v>3</v>
      </c>
      <c r="AD1684" s="2">
        <v>44986</v>
      </c>
      <c r="AE1684" s="1" t="s">
        <v>53</v>
      </c>
      <c r="AF1684" s="1" t="s">
        <v>54</v>
      </c>
      <c r="AG1684" s="1" t="s">
        <v>63</v>
      </c>
      <c r="AH1684" s="1" t="s">
        <v>47</v>
      </c>
      <c r="AI1684">
        <v>32108</v>
      </c>
      <c r="AJ1684">
        <v>-69.799999999999272</v>
      </c>
    </row>
    <row r="1685" spans="1:36" x14ac:dyDescent="0.25">
      <c r="A1685">
        <v>11684</v>
      </c>
      <c r="B1685">
        <v>56</v>
      </c>
      <c r="C1685" s="1" t="s">
        <v>60</v>
      </c>
      <c r="D1685" s="1" t="s">
        <v>61</v>
      </c>
      <c r="E1685" s="2">
        <v>44239</v>
      </c>
      <c r="F1685" s="2">
        <v>44894</v>
      </c>
      <c r="G1685" s="1" t="s">
        <v>49</v>
      </c>
      <c r="H1685">
        <v>1473</v>
      </c>
      <c r="I1685">
        <v>8</v>
      </c>
      <c r="J1685">
        <v>2</v>
      </c>
      <c r="K1685">
        <v>62.78</v>
      </c>
      <c r="L1685">
        <v>10</v>
      </c>
      <c r="M1685" s="1" t="s">
        <v>65</v>
      </c>
      <c r="N1685" s="1" t="s">
        <v>56</v>
      </c>
      <c r="O1685">
        <v>11636.7</v>
      </c>
      <c r="P1685" t="b">
        <v>1</v>
      </c>
      <c r="Q1685">
        <v>0.66666666666666663</v>
      </c>
      <c r="R1685">
        <v>1454.5875000000001</v>
      </c>
      <c r="S1685">
        <v>20.926666666666666</v>
      </c>
      <c r="T1685" s="2">
        <v>44228</v>
      </c>
      <c r="U1685" s="1" t="s">
        <v>41</v>
      </c>
      <c r="V1685">
        <v>0</v>
      </c>
      <c r="W1685" s="1" t="s">
        <v>56</v>
      </c>
      <c r="X1685">
        <v>655</v>
      </c>
      <c r="Y1685" s="1" t="s">
        <v>43</v>
      </c>
      <c r="Z1685" s="1" t="s">
        <v>42</v>
      </c>
      <c r="AA1685">
        <v>0.22222222222222221</v>
      </c>
      <c r="AB1685" s="1" t="s">
        <v>52</v>
      </c>
      <c r="AC1685">
        <v>3</v>
      </c>
      <c r="AD1685" s="2">
        <v>44228</v>
      </c>
      <c r="AE1685" s="1" t="s">
        <v>74</v>
      </c>
      <c r="AF1685" s="1" t="s">
        <v>72</v>
      </c>
      <c r="AG1685" s="1" t="s">
        <v>63</v>
      </c>
      <c r="AH1685" s="1" t="s">
        <v>47</v>
      </c>
      <c r="AI1685">
        <v>11784</v>
      </c>
      <c r="AJ1685">
        <v>-147.29999999999927</v>
      </c>
    </row>
    <row r="1686" spans="1:36" x14ac:dyDescent="0.25">
      <c r="A1686">
        <v>11685</v>
      </c>
      <c r="B1686">
        <v>19</v>
      </c>
      <c r="C1686" s="1" t="s">
        <v>36</v>
      </c>
      <c r="D1686" s="1" t="s">
        <v>71</v>
      </c>
      <c r="E1686" s="2">
        <v>44782</v>
      </c>
      <c r="F1686" s="2">
        <v>44618</v>
      </c>
      <c r="G1686" s="1" t="s">
        <v>38</v>
      </c>
      <c r="H1686">
        <v>1392</v>
      </c>
      <c r="I1686">
        <v>17</v>
      </c>
      <c r="J1686">
        <v>1</v>
      </c>
      <c r="K1686">
        <v>43.5</v>
      </c>
      <c r="L1686">
        <v>0</v>
      </c>
      <c r="M1686" s="1" t="s">
        <v>67</v>
      </c>
      <c r="N1686" s="1" t="s">
        <v>56</v>
      </c>
      <c r="O1686">
        <v>23664</v>
      </c>
      <c r="P1686" t="b">
        <v>0</v>
      </c>
      <c r="Q1686">
        <v>1.4166666666666667</v>
      </c>
      <c r="R1686">
        <v>1392</v>
      </c>
      <c r="S1686">
        <v>21.75</v>
      </c>
      <c r="T1686" s="2">
        <v>44774</v>
      </c>
      <c r="U1686" s="1" t="s">
        <v>66</v>
      </c>
      <c r="V1686">
        <v>0</v>
      </c>
      <c r="W1686" s="1" t="s">
        <v>40</v>
      </c>
      <c r="Y1686" s="1" t="s">
        <v>52</v>
      </c>
      <c r="Z1686" s="1" t="s">
        <v>42</v>
      </c>
      <c r="AA1686">
        <v>5.5555555555555552E-2</v>
      </c>
      <c r="AB1686" s="1" t="s">
        <v>43</v>
      </c>
      <c r="AC1686">
        <v>1</v>
      </c>
      <c r="AD1686" s="2">
        <v>44774</v>
      </c>
      <c r="AE1686" s="1" t="s">
        <v>53</v>
      </c>
      <c r="AF1686" s="1" t="s">
        <v>54</v>
      </c>
      <c r="AG1686" s="1" t="s">
        <v>55</v>
      </c>
      <c r="AH1686" s="1" t="s">
        <v>47</v>
      </c>
      <c r="AI1686">
        <v>23664</v>
      </c>
      <c r="AJ1686">
        <v>0</v>
      </c>
    </row>
    <row r="1687" spans="1:36" x14ac:dyDescent="0.25">
      <c r="A1687">
        <v>11686</v>
      </c>
      <c r="B1687">
        <v>49</v>
      </c>
      <c r="C1687" s="1" t="s">
        <v>36</v>
      </c>
      <c r="D1687" s="1" t="s">
        <v>61</v>
      </c>
      <c r="E1687" s="2">
        <v>45058</v>
      </c>
      <c r="F1687" s="2">
        <v>44821</v>
      </c>
      <c r="G1687" s="1" t="s">
        <v>38</v>
      </c>
      <c r="H1687">
        <v>1268</v>
      </c>
      <c r="I1687">
        <v>21</v>
      </c>
      <c r="J1687">
        <v>3</v>
      </c>
      <c r="K1687">
        <v>100.05</v>
      </c>
      <c r="L1687">
        <v>20</v>
      </c>
      <c r="M1687" s="1" t="s">
        <v>50</v>
      </c>
      <c r="N1687" s="1" t="s">
        <v>56</v>
      </c>
      <c r="O1687">
        <v>26374.400000000001</v>
      </c>
      <c r="P1687" t="b">
        <v>0</v>
      </c>
      <c r="Q1687">
        <v>1.75</v>
      </c>
      <c r="R1687">
        <v>1255.9238095238095</v>
      </c>
      <c r="S1687">
        <v>25.012499999999999</v>
      </c>
      <c r="T1687" s="2">
        <v>45047</v>
      </c>
      <c r="U1687" s="1" t="s">
        <v>51</v>
      </c>
      <c r="V1687">
        <v>0</v>
      </c>
      <c r="W1687" s="1" t="s">
        <v>40</v>
      </c>
      <c r="Y1687" s="1" t="s">
        <v>43</v>
      </c>
      <c r="Z1687" s="1" t="s">
        <v>52</v>
      </c>
      <c r="AA1687">
        <v>0.13636363636363635</v>
      </c>
      <c r="AB1687" s="1" t="s">
        <v>43</v>
      </c>
      <c r="AC1687">
        <v>1</v>
      </c>
      <c r="AD1687" s="2">
        <v>45047</v>
      </c>
      <c r="AE1687" s="1" t="s">
        <v>53</v>
      </c>
      <c r="AF1687" s="1" t="s">
        <v>72</v>
      </c>
      <c r="AG1687" s="1" t="s">
        <v>63</v>
      </c>
      <c r="AH1687" s="1" t="s">
        <v>47</v>
      </c>
      <c r="AI1687">
        <v>26628</v>
      </c>
      <c r="AJ1687">
        <v>-253.59999999999854</v>
      </c>
    </row>
    <row r="1688" spans="1:36" x14ac:dyDescent="0.25">
      <c r="A1688">
        <v>11687</v>
      </c>
      <c r="B1688">
        <v>30</v>
      </c>
      <c r="C1688" s="1" t="s">
        <v>36</v>
      </c>
      <c r="D1688" s="1" t="s">
        <v>71</v>
      </c>
      <c r="E1688" s="2">
        <v>44474</v>
      </c>
      <c r="F1688" s="2">
        <v>45086</v>
      </c>
      <c r="G1688" s="1" t="s">
        <v>49</v>
      </c>
      <c r="H1688">
        <v>1104</v>
      </c>
      <c r="I1688">
        <v>26</v>
      </c>
      <c r="J1688">
        <v>4</v>
      </c>
      <c r="K1688">
        <v>88.69</v>
      </c>
      <c r="L1688">
        <v>10</v>
      </c>
      <c r="M1688" s="1" t="s">
        <v>65</v>
      </c>
      <c r="N1688" s="1" t="s">
        <v>56</v>
      </c>
      <c r="O1688">
        <v>28593.599999999999</v>
      </c>
      <c r="P1688" t="b">
        <v>1</v>
      </c>
      <c r="Q1688">
        <v>2.1666666666666665</v>
      </c>
      <c r="R1688">
        <v>1099.7538461538461</v>
      </c>
      <c r="S1688">
        <v>17.738</v>
      </c>
      <c r="T1688" s="2">
        <v>44470</v>
      </c>
      <c r="U1688" s="1" t="s">
        <v>57</v>
      </c>
      <c r="V1688">
        <v>0</v>
      </c>
      <c r="W1688" s="1" t="s">
        <v>40</v>
      </c>
      <c r="X1688">
        <v>612</v>
      </c>
      <c r="Y1688" s="1" t="s">
        <v>43</v>
      </c>
      <c r="Z1688" s="1" t="s">
        <v>42</v>
      </c>
      <c r="AA1688">
        <v>0.14814814814814814</v>
      </c>
      <c r="AB1688" s="1" t="s">
        <v>43</v>
      </c>
      <c r="AC1688">
        <v>3</v>
      </c>
      <c r="AD1688" s="2">
        <v>44470</v>
      </c>
      <c r="AE1688" s="1" t="s">
        <v>44</v>
      </c>
      <c r="AF1688" s="1" t="s">
        <v>45</v>
      </c>
      <c r="AG1688" s="1" t="s">
        <v>63</v>
      </c>
      <c r="AH1688" s="1" t="s">
        <v>47</v>
      </c>
      <c r="AI1688">
        <v>28704</v>
      </c>
      <c r="AJ1688">
        <v>-110.40000000000146</v>
      </c>
    </row>
    <row r="1689" spans="1:36" x14ac:dyDescent="0.25">
      <c r="A1689">
        <v>11688</v>
      </c>
      <c r="B1689">
        <v>63</v>
      </c>
      <c r="C1689" s="1" t="s">
        <v>36</v>
      </c>
      <c r="D1689" s="1" t="s">
        <v>69</v>
      </c>
      <c r="E1689" s="2">
        <v>45034</v>
      </c>
      <c r="F1689" s="2">
        <v>44884</v>
      </c>
      <c r="G1689" s="1" t="s">
        <v>38</v>
      </c>
      <c r="H1689">
        <v>1022</v>
      </c>
      <c r="I1689">
        <v>28</v>
      </c>
      <c r="J1689">
        <v>2</v>
      </c>
      <c r="K1689">
        <v>50.27</v>
      </c>
      <c r="L1689">
        <v>20</v>
      </c>
      <c r="M1689" s="1" t="s">
        <v>67</v>
      </c>
      <c r="N1689" s="1" t="s">
        <v>56</v>
      </c>
      <c r="O1689">
        <v>28411.599999999999</v>
      </c>
      <c r="P1689" t="b">
        <v>0</v>
      </c>
      <c r="Q1689">
        <v>2.3333333333333335</v>
      </c>
      <c r="R1689">
        <v>1014.6999999999999</v>
      </c>
      <c r="S1689">
        <v>16.756666666666668</v>
      </c>
      <c r="T1689" s="2">
        <v>45017</v>
      </c>
      <c r="U1689" s="1" t="s">
        <v>41</v>
      </c>
      <c r="V1689">
        <v>0</v>
      </c>
      <c r="W1689" s="1" t="s">
        <v>40</v>
      </c>
      <c r="Y1689" s="1" t="s">
        <v>52</v>
      </c>
      <c r="Z1689" s="1" t="s">
        <v>52</v>
      </c>
      <c r="AA1689">
        <v>6.8965517241379309E-2</v>
      </c>
      <c r="AB1689" s="1" t="s">
        <v>43</v>
      </c>
      <c r="AC1689">
        <v>1</v>
      </c>
      <c r="AD1689" s="2">
        <v>45017</v>
      </c>
      <c r="AE1689" s="1" t="s">
        <v>44</v>
      </c>
      <c r="AF1689" s="1" t="s">
        <v>72</v>
      </c>
      <c r="AG1689" s="1" t="s">
        <v>63</v>
      </c>
      <c r="AH1689" s="1" t="s">
        <v>47</v>
      </c>
      <c r="AI1689">
        <v>28616</v>
      </c>
      <c r="AJ1689">
        <v>-204.40000000000146</v>
      </c>
    </row>
    <row r="1690" spans="1:36" x14ac:dyDescent="0.25">
      <c r="A1690">
        <v>11689</v>
      </c>
      <c r="B1690">
        <v>44</v>
      </c>
      <c r="C1690" s="1" t="s">
        <v>36</v>
      </c>
      <c r="D1690" s="1" t="s">
        <v>73</v>
      </c>
      <c r="E1690" s="2">
        <v>44950</v>
      </c>
      <c r="F1690" s="2">
        <v>44581</v>
      </c>
      <c r="G1690" s="1" t="s">
        <v>62</v>
      </c>
      <c r="H1690">
        <v>1395</v>
      </c>
      <c r="I1690">
        <v>33</v>
      </c>
      <c r="J1690">
        <v>2</v>
      </c>
      <c r="K1690">
        <v>102.48</v>
      </c>
      <c r="L1690">
        <v>0</v>
      </c>
      <c r="M1690" s="1" t="s">
        <v>67</v>
      </c>
      <c r="N1690" s="1" t="s">
        <v>56</v>
      </c>
      <c r="O1690">
        <v>46035</v>
      </c>
      <c r="P1690" t="b">
        <v>0</v>
      </c>
      <c r="Q1690">
        <v>2.75</v>
      </c>
      <c r="R1690">
        <v>1395</v>
      </c>
      <c r="S1690">
        <v>34.160000000000004</v>
      </c>
      <c r="T1690" s="2">
        <v>44927</v>
      </c>
      <c r="U1690" s="1" t="s">
        <v>51</v>
      </c>
      <c r="V1690">
        <v>0</v>
      </c>
      <c r="W1690" s="1" t="s">
        <v>40</v>
      </c>
      <c r="Y1690" s="1" t="s">
        <v>43</v>
      </c>
      <c r="Z1690" s="1" t="s">
        <v>42</v>
      </c>
      <c r="AA1690">
        <v>5.8823529411764705E-2</v>
      </c>
      <c r="AB1690" s="1" t="s">
        <v>43</v>
      </c>
      <c r="AC1690">
        <v>2</v>
      </c>
      <c r="AD1690" s="2">
        <v>44927</v>
      </c>
      <c r="AE1690" s="1" t="s">
        <v>44</v>
      </c>
      <c r="AF1690" s="1" t="s">
        <v>72</v>
      </c>
      <c r="AG1690" s="1" t="s">
        <v>63</v>
      </c>
      <c r="AH1690" s="1" t="s">
        <v>47</v>
      </c>
      <c r="AI1690">
        <v>46035</v>
      </c>
      <c r="AJ1690">
        <v>0</v>
      </c>
    </row>
    <row r="1691" spans="1:36" x14ac:dyDescent="0.25">
      <c r="A1691">
        <v>11690</v>
      </c>
      <c r="B1691">
        <v>58</v>
      </c>
      <c r="C1691" s="1" t="s">
        <v>60</v>
      </c>
      <c r="D1691" s="1" t="s">
        <v>69</v>
      </c>
      <c r="E1691" s="2">
        <v>44326</v>
      </c>
      <c r="F1691" s="2">
        <v>44406</v>
      </c>
      <c r="G1691" s="1" t="s">
        <v>62</v>
      </c>
      <c r="H1691">
        <v>1301</v>
      </c>
      <c r="I1691">
        <v>19</v>
      </c>
      <c r="J1691">
        <v>4</v>
      </c>
      <c r="K1691">
        <v>110.83</v>
      </c>
      <c r="L1691">
        <v>15</v>
      </c>
      <c r="M1691" s="1" t="s">
        <v>67</v>
      </c>
      <c r="N1691" s="1" t="s">
        <v>40</v>
      </c>
      <c r="O1691">
        <v>24523.85</v>
      </c>
      <c r="P1691" t="b">
        <v>1</v>
      </c>
      <c r="Q1691">
        <v>1.5833333333333333</v>
      </c>
      <c r="R1691">
        <v>1290.7289473684209</v>
      </c>
      <c r="S1691">
        <v>22.166</v>
      </c>
      <c r="T1691" s="2">
        <v>44317</v>
      </c>
      <c r="U1691" s="1" t="s">
        <v>41</v>
      </c>
      <c r="V1691">
        <v>1</v>
      </c>
      <c r="W1691" s="1" t="s">
        <v>40</v>
      </c>
      <c r="X1691">
        <v>80</v>
      </c>
      <c r="Y1691" s="1" t="s">
        <v>43</v>
      </c>
      <c r="Z1691" s="1" t="s">
        <v>42</v>
      </c>
      <c r="AA1691">
        <v>0.2</v>
      </c>
      <c r="AB1691" s="1" t="s">
        <v>43</v>
      </c>
      <c r="AC1691">
        <v>2</v>
      </c>
      <c r="AD1691" s="2">
        <v>44317</v>
      </c>
      <c r="AE1691" s="1" t="s">
        <v>53</v>
      </c>
      <c r="AF1691" s="1" t="s">
        <v>45</v>
      </c>
      <c r="AG1691" s="1" t="s">
        <v>63</v>
      </c>
      <c r="AH1691" s="1" t="s">
        <v>47</v>
      </c>
      <c r="AI1691">
        <v>24719</v>
      </c>
      <c r="AJ1691">
        <v>-195.15000000000146</v>
      </c>
    </row>
    <row r="1692" spans="1:36" x14ac:dyDescent="0.25">
      <c r="A1692">
        <v>11691</v>
      </c>
      <c r="B1692">
        <v>34</v>
      </c>
      <c r="C1692" s="1" t="s">
        <v>60</v>
      </c>
      <c r="D1692" s="1" t="s">
        <v>37</v>
      </c>
      <c r="E1692" s="2">
        <v>44546</v>
      </c>
      <c r="F1692" s="2">
        <v>44598</v>
      </c>
      <c r="G1692" s="1" t="s">
        <v>38</v>
      </c>
      <c r="H1692">
        <v>1174</v>
      </c>
      <c r="I1692">
        <v>29</v>
      </c>
      <c r="J1692">
        <v>1</v>
      </c>
      <c r="K1692">
        <v>62.59</v>
      </c>
      <c r="L1692">
        <v>15</v>
      </c>
      <c r="M1692" s="1" t="s">
        <v>39</v>
      </c>
      <c r="N1692" s="1" t="s">
        <v>56</v>
      </c>
      <c r="O1692">
        <v>33869.9</v>
      </c>
      <c r="P1692" t="b">
        <v>1</v>
      </c>
      <c r="Q1692">
        <v>2.4166666666666665</v>
      </c>
      <c r="R1692">
        <v>1167.9275862068966</v>
      </c>
      <c r="S1692">
        <v>31.295000000000002</v>
      </c>
      <c r="T1692" s="2">
        <v>44531</v>
      </c>
      <c r="U1692" s="1" t="s">
        <v>57</v>
      </c>
      <c r="V1692">
        <v>0</v>
      </c>
      <c r="W1692" s="1" t="s">
        <v>40</v>
      </c>
      <c r="X1692">
        <v>52</v>
      </c>
      <c r="Y1692" s="1" t="s">
        <v>43</v>
      </c>
      <c r="Z1692" s="1" t="s">
        <v>42</v>
      </c>
      <c r="AA1692">
        <v>3.3333333333333333E-2</v>
      </c>
      <c r="AB1692" s="1" t="s">
        <v>43</v>
      </c>
      <c r="AC1692">
        <v>1</v>
      </c>
      <c r="AD1692" s="2">
        <v>44531</v>
      </c>
      <c r="AE1692" s="1" t="s">
        <v>44</v>
      </c>
      <c r="AF1692" s="1" t="s">
        <v>54</v>
      </c>
      <c r="AG1692" s="1" t="s">
        <v>63</v>
      </c>
      <c r="AH1692" s="1" t="s">
        <v>47</v>
      </c>
      <c r="AI1692">
        <v>34046</v>
      </c>
      <c r="AJ1692">
        <v>-176.09999999999854</v>
      </c>
    </row>
    <row r="1693" spans="1:36" x14ac:dyDescent="0.25">
      <c r="A1693">
        <v>11692</v>
      </c>
      <c r="B1693">
        <v>57</v>
      </c>
      <c r="C1693" s="1" t="s">
        <v>36</v>
      </c>
      <c r="D1693" s="1" t="s">
        <v>76</v>
      </c>
      <c r="E1693" s="2">
        <v>44902</v>
      </c>
      <c r="F1693" s="2">
        <v>45194</v>
      </c>
      <c r="G1693" s="1" t="s">
        <v>49</v>
      </c>
      <c r="H1693">
        <v>383</v>
      </c>
      <c r="I1693">
        <v>20</v>
      </c>
      <c r="J1693">
        <v>1</v>
      </c>
      <c r="K1693">
        <v>29.72</v>
      </c>
      <c r="L1693">
        <v>15</v>
      </c>
      <c r="M1693" s="1" t="s">
        <v>67</v>
      </c>
      <c r="N1693" s="1" t="s">
        <v>56</v>
      </c>
      <c r="O1693">
        <v>7602.55</v>
      </c>
      <c r="P1693" t="b">
        <v>1</v>
      </c>
      <c r="Q1693">
        <v>1.6666666666666667</v>
      </c>
      <c r="R1693">
        <v>380.1275</v>
      </c>
      <c r="S1693">
        <v>14.86</v>
      </c>
      <c r="T1693" s="2">
        <v>44896</v>
      </c>
      <c r="U1693" s="1" t="s">
        <v>41</v>
      </c>
      <c r="V1693">
        <v>0</v>
      </c>
      <c r="W1693" s="1" t="s">
        <v>56</v>
      </c>
      <c r="X1693">
        <v>292</v>
      </c>
      <c r="Y1693" s="1" t="s">
        <v>52</v>
      </c>
      <c r="Z1693" s="1" t="s">
        <v>42</v>
      </c>
      <c r="AA1693">
        <v>4.7619047619047616E-2</v>
      </c>
      <c r="AB1693" s="1" t="s">
        <v>42</v>
      </c>
      <c r="AC1693">
        <v>3</v>
      </c>
      <c r="AD1693" s="2">
        <v>44896</v>
      </c>
      <c r="AE1693" s="1" t="s">
        <v>53</v>
      </c>
      <c r="AF1693" s="1" t="s">
        <v>54</v>
      </c>
      <c r="AG1693" s="1" t="s">
        <v>70</v>
      </c>
      <c r="AH1693" s="1" t="s">
        <v>68</v>
      </c>
      <c r="AI1693">
        <v>7660</v>
      </c>
      <c r="AJ1693">
        <v>-57.449999999999818</v>
      </c>
    </row>
    <row r="1694" spans="1:36" x14ac:dyDescent="0.25">
      <c r="A1694">
        <v>11693</v>
      </c>
      <c r="B1694">
        <v>48</v>
      </c>
      <c r="C1694" s="1" t="s">
        <v>36</v>
      </c>
      <c r="D1694" s="1" t="s">
        <v>37</v>
      </c>
      <c r="E1694" s="2">
        <v>44740</v>
      </c>
      <c r="F1694" s="2">
        <v>44433</v>
      </c>
      <c r="G1694" s="1" t="s">
        <v>62</v>
      </c>
      <c r="H1694">
        <v>1039</v>
      </c>
      <c r="I1694">
        <v>20</v>
      </c>
      <c r="J1694">
        <v>2</v>
      </c>
      <c r="K1694">
        <v>110.32</v>
      </c>
      <c r="L1694">
        <v>0</v>
      </c>
      <c r="M1694" s="1" t="s">
        <v>50</v>
      </c>
      <c r="N1694" s="1" t="s">
        <v>56</v>
      </c>
      <c r="O1694">
        <v>20780</v>
      </c>
      <c r="P1694" t="b">
        <v>0</v>
      </c>
      <c r="Q1694">
        <v>1.6666666666666667</v>
      </c>
      <c r="R1694">
        <v>1039</v>
      </c>
      <c r="S1694">
        <v>36.773333333333333</v>
      </c>
      <c r="T1694" s="2">
        <v>44713</v>
      </c>
      <c r="U1694" s="1" t="s">
        <v>51</v>
      </c>
      <c r="V1694">
        <v>0</v>
      </c>
      <c r="W1694" s="1" t="s">
        <v>40</v>
      </c>
      <c r="Y1694" s="1" t="s">
        <v>43</v>
      </c>
      <c r="Z1694" s="1" t="s">
        <v>42</v>
      </c>
      <c r="AA1694">
        <v>9.5238095238095233E-2</v>
      </c>
      <c r="AB1694" s="1" t="s">
        <v>43</v>
      </c>
      <c r="AC1694">
        <v>2</v>
      </c>
      <c r="AD1694" s="2">
        <v>44713</v>
      </c>
      <c r="AE1694" s="1" t="s">
        <v>53</v>
      </c>
      <c r="AF1694" s="1" t="s">
        <v>72</v>
      </c>
      <c r="AG1694" s="1" t="s">
        <v>63</v>
      </c>
      <c r="AH1694" s="1" t="s">
        <v>47</v>
      </c>
      <c r="AI1694">
        <v>20780</v>
      </c>
      <c r="AJ1694">
        <v>0</v>
      </c>
    </row>
    <row r="1695" spans="1:36" x14ac:dyDescent="0.25">
      <c r="A1695">
        <v>11694</v>
      </c>
      <c r="B1695">
        <v>41</v>
      </c>
      <c r="C1695" s="1" t="s">
        <v>60</v>
      </c>
      <c r="D1695" s="1" t="s">
        <v>76</v>
      </c>
      <c r="E1695" s="2">
        <v>44302</v>
      </c>
      <c r="F1695" s="2">
        <v>45110</v>
      </c>
      <c r="G1695" s="1" t="s">
        <v>62</v>
      </c>
      <c r="H1695">
        <v>522</v>
      </c>
      <c r="I1695">
        <v>10</v>
      </c>
      <c r="J1695">
        <v>1</v>
      </c>
      <c r="K1695">
        <v>26.79</v>
      </c>
      <c r="L1695">
        <v>0</v>
      </c>
      <c r="M1695" s="1" t="s">
        <v>39</v>
      </c>
      <c r="N1695" s="1" t="s">
        <v>40</v>
      </c>
      <c r="O1695">
        <v>5220</v>
      </c>
      <c r="P1695" t="b">
        <v>1</v>
      </c>
      <c r="Q1695">
        <v>0.83333333333333337</v>
      </c>
      <c r="R1695">
        <v>522</v>
      </c>
      <c r="S1695">
        <v>13.395</v>
      </c>
      <c r="T1695" s="2">
        <v>44287</v>
      </c>
      <c r="U1695" s="1" t="s">
        <v>51</v>
      </c>
      <c r="V1695">
        <v>1</v>
      </c>
      <c r="W1695" s="1" t="s">
        <v>56</v>
      </c>
      <c r="X1695">
        <v>808</v>
      </c>
      <c r="Y1695" s="1" t="s">
        <v>52</v>
      </c>
      <c r="Z1695" s="1" t="s">
        <v>42</v>
      </c>
      <c r="AA1695">
        <v>9.0909090909090912E-2</v>
      </c>
      <c r="AB1695" s="1" t="s">
        <v>42</v>
      </c>
      <c r="AC1695">
        <v>2</v>
      </c>
      <c r="AD1695" s="2">
        <v>44287</v>
      </c>
      <c r="AE1695" s="1" t="s">
        <v>74</v>
      </c>
      <c r="AF1695" s="1" t="s">
        <v>54</v>
      </c>
      <c r="AG1695" s="1" t="s">
        <v>70</v>
      </c>
      <c r="AH1695" s="1" t="s">
        <v>64</v>
      </c>
      <c r="AI1695">
        <v>5220</v>
      </c>
      <c r="AJ1695">
        <v>0</v>
      </c>
    </row>
    <row r="1696" spans="1:36" x14ac:dyDescent="0.25">
      <c r="A1696">
        <v>11695</v>
      </c>
      <c r="B1696">
        <v>41</v>
      </c>
      <c r="C1696" s="1" t="s">
        <v>36</v>
      </c>
      <c r="D1696" s="1" t="s">
        <v>48</v>
      </c>
      <c r="E1696" s="2">
        <v>44912</v>
      </c>
      <c r="F1696" s="2">
        <v>44737</v>
      </c>
      <c r="G1696" s="1" t="s">
        <v>49</v>
      </c>
      <c r="H1696">
        <v>1092</v>
      </c>
      <c r="I1696">
        <v>12</v>
      </c>
      <c r="J1696">
        <v>1</v>
      </c>
      <c r="K1696">
        <v>10.57</v>
      </c>
      <c r="L1696">
        <v>10</v>
      </c>
      <c r="M1696" s="1" t="s">
        <v>67</v>
      </c>
      <c r="N1696" s="1" t="s">
        <v>56</v>
      </c>
      <c r="O1696">
        <v>12994.8</v>
      </c>
      <c r="P1696" t="b">
        <v>0</v>
      </c>
      <c r="Q1696">
        <v>1</v>
      </c>
      <c r="R1696">
        <v>1082.8999999999999</v>
      </c>
      <c r="S1696">
        <v>5.2850000000000001</v>
      </c>
      <c r="T1696" s="2">
        <v>44896</v>
      </c>
      <c r="U1696" s="1" t="s">
        <v>51</v>
      </c>
      <c r="V1696">
        <v>0</v>
      </c>
      <c r="W1696" s="1" t="s">
        <v>56</v>
      </c>
      <c r="Y1696" s="1" t="s">
        <v>42</v>
      </c>
      <c r="Z1696" s="1" t="s">
        <v>42</v>
      </c>
      <c r="AA1696">
        <v>7.6923076923076927E-2</v>
      </c>
      <c r="AB1696" s="1" t="s">
        <v>52</v>
      </c>
      <c r="AC1696">
        <v>3</v>
      </c>
      <c r="AD1696" s="2">
        <v>44896</v>
      </c>
      <c r="AE1696" s="1" t="s">
        <v>74</v>
      </c>
      <c r="AF1696" s="1" t="s">
        <v>54</v>
      </c>
      <c r="AG1696" s="1" t="s">
        <v>46</v>
      </c>
      <c r="AH1696" s="1" t="s">
        <v>47</v>
      </c>
      <c r="AI1696">
        <v>13104</v>
      </c>
      <c r="AJ1696">
        <v>-109.20000000000073</v>
      </c>
    </row>
    <row r="1697" spans="1:36" x14ac:dyDescent="0.25">
      <c r="A1697">
        <v>11696</v>
      </c>
      <c r="B1697">
        <v>62</v>
      </c>
      <c r="C1697" s="1" t="s">
        <v>60</v>
      </c>
      <c r="D1697" s="1" t="s">
        <v>69</v>
      </c>
      <c r="E1697" s="2">
        <v>44197</v>
      </c>
      <c r="F1697" s="2">
        <v>44527</v>
      </c>
      <c r="G1697" s="1" t="s">
        <v>62</v>
      </c>
      <c r="H1697">
        <v>1032</v>
      </c>
      <c r="I1697">
        <v>33</v>
      </c>
      <c r="J1697">
        <v>3</v>
      </c>
      <c r="K1697">
        <v>42.66</v>
      </c>
      <c r="L1697">
        <v>0</v>
      </c>
      <c r="M1697" s="1" t="s">
        <v>50</v>
      </c>
      <c r="N1697" s="1" t="s">
        <v>56</v>
      </c>
      <c r="O1697">
        <v>34056</v>
      </c>
      <c r="P1697" t="b">
        <v>1</v>
      </c>
      <c r="Q1697">
        <v>2.75</v>
      </c>
      <c r="R1697">
        <v>1032</v>
      </c>
      <c r="S1697">
        <v>10.664999999999999</v>
      </c>
      <c r="T1697" s="2">
        <v>44197</v>
      </c>
      <c r="U1697" s="1" t="s">
        <v>41</v>
      </c>
      <c r="V1697">
        <v>0</v>
      </c>
      <c r="W1697" s="1" t="s">
        <v>40</v>
      </c>
      <c r="X1697">
        <v>330</v>
      </c>
      <c r="Y1697" s="1" t="s">
        <v>52</v>
      </c>
      <c r="Z1697" s="1" t="s">
        <v>42</v>
      </c>
      <c r="AA1697">
        <v>8.8235294117647065E-2</v>
      </c>
      <c r="AB1697" s="1" t="s">
        <v>43</v>
      </c>
      <c r="AC1697">
        <v>2</v>
      </c>
      <c r="AD1697" s="2">
        <v>44197</v>
      </c>
      <c r="AE1697" s="1" t="s">
        <v>44</v>
      </c>
      <c r="AF1697" s="1" t="s">
        <v>72</v>
      </c>
      <c r="AG1697" s="1" t="s">
        <v>55</v>
      </c>
      <c r="AH1697" s="1" t="s">
        <v>47</v>
      </c>
      <c r="AI1697">
        <v>34056</v>
      </c>
      <c r="AJ1697">
        <v>0</v>
      </c>
    </row>
    <row r="1698" spans="1:36" x14ac:dyDescent="0.25">
      <c r="A1698">
        <v>11697</v>
      </c>
      <c r="B1698">
        <v>52</v>
      </c>
      <c r="C1698" s="1" t="s">
        <v>36</v>
      </c>
      <c r="D1698" s="1" t="s">
        <v>73</v>
      </c>
      <c r="E1698" s="2">
        <v>44953</v>
      </c>
      <c r="F1698" s="2">
        <v>45066</v>
      </c>
      <c r="G1698" s="1" t="s">
        <v>38</v>
      </c>
      <c r="H1698">
        <v>704</v>
      </c>
      <c r="I1698">
        <v>25</v>
      </c>
      <c r="J1698">
        <v>5</v>
      </c>
      <c r="K1698">
        <v>88.6</v>
      </c>
      <c r="L1698">
        <v>0</v>
      </c>
      <c r="M1698" s="1" t="s">
        <v>50</v>
      </c>
      <c r="N1698" s="1" t="s">
        <v>40</v>
      </c>
      <c r="O1698">
        <v>17600</v>
      </c>
      <c r="P1698" t="b">
        <v>1</v>
      </c>
      <c r="Q1698">
        <v>2.0833333333333335</v>
      </c>
      <c r="R1698">
        <v>704</v>
      </c>
      <c r="S1698">
        <v>14.766666666666666</v>
      </c>
      <c r="T1698" s="2">
        <v>44927</v>
      </c>
      <c r="U1698" s="1" t="s">
        <v>41</v>
      </c>
      <c r="V1698">
        <v>1</v>
      </c>
      <c r="W1698" s="1" t="s">
        <v>40</v>
      </c>
      <c r="X1698">
        <v>113</v>
      </c>
      <c r="Y1698" s="1" t="s">
        <v>43</v>
      </c>
      <c r="Z1698" s="1" t="s">
        <v>42</v>
      </c>
      <c r="AA1698">
        <v>0.19230769230769232</v>
      </c>
      <c r="AB1698" s="1" t="s">
        <v>52</v>
      </c>
      <c r="AC1698">
        <v>1</v>
      </c>
      <c r="AD1698" s="2">
        <v>44927</v>
      </c>
      <c r="AE1698" s="1" t="s">
        <v>44</v>
      </c>
      <c r="AF1698" s="1" t="s">
        <v>45</v>
      </c>
      <c r="AG1698" s="1" t="s">
        <v>63</v>
      </c>
      <c r="AH1698" s="1" t="s">
        <v>59</v>
      </c>
      <c r="AI1698">
        <v>17600</v>
      </c>
      <c r="AJ1698">
        <v>0</v>
      </c>
    </row>
    <row r="1699" spans="1:36" x14ac:dyDescent="0.25">
      <c r="A1699">
        <v>11698</v>
      </c>
      <c r="B1699">
        <v>23</v>
      </c>
      <c r="C1699" s="1" t="s">
        <v>36</v>
      </c>
      <c r="D1699" s="1" t="s">
        <v>61</v>
      </c>
      <c r="E1699" s="2">
        <v>44780</v>
      </c>
      <c r="F1699" s="2">
        <v>45203</v>
      </c>
      <c r="G1699" s="1" t="s">
        <v>62</v>
      </c>
      <c r="H1699">
        <v>1492</v>
      </c>
      <c r="I1699">
        <v>25</v>
      </c>
      <c r="J1699">
        <v>3</v>
      </c>
      <c r="K1699">
        <v>111.18</v>
      </c>
      <c r="L1699">
        <v>10</v>
      </c>
      <c r="M1699" s="1" t="s">
        <v>65</v>
      </c>
      <c r="N1699" s="1" t="s">
        <v>56</v>
      </c>
      <c r="O1699">
        <v>37150.800000000003</v>
      </c>
      <c r="P1699" t="b">
        <v>1</v>
      </c>
      <c r="Q1699">
        <v>2.0833333333333335</v>
      </c>
      <c r="R1699">
        <v>1486.0320000000002</v>
      </c>
      <c r="S1699">
        <v>27.795000000000002</v>
      </c>
      <c r="T1699" s="2">
        <v>44774</v>
      </c>
      <c r="U1699" s="1" t="s">
        <v>66</v>
      </c>
      <c r="V1699">
        <v>0</v>
      </c>
      <c r="W1699" s="1" t="s">
        <v>40</v>
      </c>
      <c r="X1699">
        <v>423</v>
      </c>
      <c r="Y1699" s="1" t="s">
        <v>43</v>
      </c>
      <c r="Z1699" s="1" t="s">
        <v>42</v>
      </c>
      <c r="AA1699">
        <v>0.11538461538461539</v>
      </c>
      <c r="AB1699" s="1" t="s">
        <v>43</v>
      </c>
      <c r="AC1699">
        <v>2</v>
      </c>
      <c r="AD1699" s="2">
        <v>44774</v>
      </c>
      <c r="AE1699" s="1" t="s">
        <v>44</v>
      </c>
      <c r="AF1699" s="1" t="s">
        <v>72</v>
      </c>
      <c r="AG1699" s="1" t="s">
        <v>63</v>
      </c>
      <c r="AH1699" s="1" t="s">
        <v>47</v>
      </c>
      <c r="AI1699">
        <v>37300</v>
      </c>
      <c r="AJ1699">
        <v>-149.19999999999709</v>
      </c>
    </row>
    <row r="1700" spans="1:36" x14ac:dyDescent="0.25">
      <c r="A1700">
        <v>11699</v>
      </c>
      <c r="B1700">
        <v>36</v>
      </c>
      <c r="C1700" s="1" t="s">
        <v>36</v>
      </c>
      <c r="D1700" s="1" t="s">
        <v>69</v>
      </c>
      <c r="E1700" s="2">
        <v>44628</v>
      </c>
      <c r="F1700" s="2">
        <v>44496</v>
      </c>
      <c r="G1700" s="1" t="s">
        <v>49</v>
      </c>
      <c r="H1700">
        <v>628</v>
      </c>
      <c r="I1700">
        <v>4</v>
      </c>
      <c r="J1700">
        <v>1</v>
      </c>
      <c r="K1700">
        <v>78.290000000000006</v>
      </c>
      <c r="L1700">
        <v>10</v>
      </c>
      <c r="M1700" s="1" t="s">
        <v>67</v>
      </c>
      <c r="N1700" s="1" t="s">
        <v>56</v>
      </c>
      <c r="O1700">
        <v>2449.1999999999998</v>
      </c>
      <c r="P1700" t="b">
        <v>0</v>
      </c>
      <c r="Q1700">
        <v>0.33333333333333331</v>
      </c>
      <c r="R1700">
        <v>612.29999999999995</v>
      </c>
      <c r="S1700">
        <v>39.145000000000003</v>
      </c>
      <c r="T1700" s="2">
        <v>44621</v>
      </c>
      <c r="U1700" s="1" t="s">
        <v>51</v>
      </c>
      <c r="V1700">
        <v>0</v>
      </c>
      <c r="W1700" s="1" t="s">
        <v>56</v>
      </c>
      <c r="Y1700" s="1" t="s">
        <v>43</v>
      </c>
      <c r="Z1700" s="1" t="s">
        <v>42</v>
      </c>
      <c r="AA1700">
        <v>0.2</v>
      </c>
      <c r="AB1700" s="1" t="s">
        <v>42</v>
      </c>
      <c r="AC1700">
        <v>3</v>
      </c>
      <c r="AD1700" s="2">
        <v>44621</v>
      </c>
      <c r="AE1700" s="1" t="s">
        <v>58</v>
      </c>
      <c r="AF1700" s="1" t="s">
        <v>54</v>
      </c>
      <c r="AG1700" s="1" t="s">
        <v>63</v>
      </c>
      <c r="AH1700" s="1" t="s">
        <v>64</v>
      </c>
      <c r="AI1700">
        <v>2512</v>
      </c>
      <c r="AJ1700">
        <v>-62.800000000000182</v>
      </c>
    </row>
    <row r="1701" spans="1:36" x14ac:dyDescent="0.25">
      <c r="A1701">
        <v>11700</v>
      </c>
      <c r="B1701">
        <v>47</v>
      </c>
      <c r="C1701" s="1" t="s">
        <v>75</v>
      </c>
      <c r="D1701" s="1" t="s">
        <v>69</v>
      </c>
      <c r="E1701" s="2">
        <v>44502</v>
      </c>
      <c r="F1701" s="2">
        <v>44930</v>
      </c>
      <c r="G1701" s="1" t="s">
        <v>62</v>
      </c>
      <c r="H1701">
        <v>725</v>
      </c>
      <c r="I1701">
        <v>4</v>
      </c>
      <c r="J1701">
        <v>2</v>
      </c>
      <c r="K1701">
        <v>114.46</v>
      </c>
      <c r="L1701">
        <v>20</v>
      </c>
      <c r="M1701" s="1" t="s">
        <v>67</v>
      </c>
      <c r="N1701" s="1" t="s">
        <v>40</v>
      </c>
      <c r="O1701">
        <v>2755</v>
      </c>
      <c r="P1701" t="b">
        <v>1</v>
      </c>
      <c r="Q1701">
        <v>0.33333333333333331</v>
      </c>
      <c r="R1701">
        <v>688.75</v>
      </c>
      <c r="S1701">
        <v>38.153333333333329</v>
      </c>
      <c r="T1701" s="2">
        <v>44501</v>
      </c>
      <c r="U1701" s="1" t="s">
        <v>51</v>
      </c>
      <c r="V1701">
        <v>1</v>
      </c>
      <c r="W1701" s="1" t="s">
        <v>56</v>
      </c>
      <c r="X1701">
        <v>428</v>
      </c>
      <c r="Y1701" s="1" t="s">
        <v>43</v>
      </c>
      <c r="Z1701" s="1" t="s">
        <v>52</v>
      </c>
      <c r="AA1701">
        <v>0.4</v>
      </c>
      <c r="AB1701" s="1" t="s">
        <v>42</v>
      </c>
      <c r="AC1701">
        <v>2</v>
      </c>
      <c r="AD1701" s="2">
        <v>44501</v>
      </c>
      <c r="AE1701" s="1" t="s">
        <v>58</v>
      </c>
      <c r="AF1701" s="1" t="s">
        <v>72</v>
      </c>
      <c r="AG1701" s="1" t="s">
        <v>63</v>
      </c>
      <c r="AH1701" s="1" t="s">
        <v>59</v>
      </c>
      <c r="AI1701">
        <v>2900</v>
      </c>
      <c r="AJ1701">
        <v>-145</v>
      </c>
    </row>
    <row r="1702" spans="1:36" x14ac:dyDescent="0.25">
      <c r="A1702">
        <v>11701</v>
      </c>
      <c r="B1702">
        <v>24</v>
      </c>
      <c r="C1702" s="1" t="s">
        <v>36</v>
      </c>
      <c r="D1702" s="1" t="s">
        <v>71</v>
      </c>
      <c r="E1702" s="2">
        <v>44723</v>
      </c>
      <c r="F1702" s="2">
        <v>44468</v>
      </c>
      <c r="G1702" s="1" t="s">
        <v>62</v>
      </c>
      <c r="H1702">
        <v>1069</v>
      </c>
      <c r="I1702">
        <v>9</v>
      </c>
      <c r="J1702">
        <v>6</v>
      </c>
      <c r="K1702">
        <v>15.62</v>
      </c>
      <c r="L1702">
        <v>5</v>
      </c>
      <c r="M1702" s="1" t="s">
        <v>65</v>
      </c>
      <c r="N1702" s="1" t="s">
        <v>56</v>
      </c>
      <c r="O1702">
        <v>9567.5499999999993</v>
      </c>
      <c r="P1702" t="b">
        <v>0</v>
      </c>
      <c r="Q1702">
        <v>0.75</v>
      </c>
      <c r="R1702">
        <v>1063.0611111111111</v>
      </c>
      <c r="S1702">
        <v>2.2314285714285713</v>
      </c>
      <c r="T1702" s="2">
        <v>44713</v>
      </c>
      <c r="U1702" s="1" t="s">
        <v>66</v>
      </c>
      <c r="V1702">
        <v>0</v>
      </c>
      <c r="W1702" s="1" t="s">
        <v>56</v>
      </c>
      <c r="Y1702" s="1" t="s">
        <v>42</v>
      </c>
      <c r="Z1702" s="1" t="s">
        <v>42</v>
      </c>
      <c r="AA1702">
        <v>0.6</v>
      </c>
      <c r="AB1702" s="1" t="s">
        <v>52</v>
      </c>
      <c r="AC1702">
        <v>2</v>
      </c>
      <c r="AD1702" s="2">
        <v>44713</v>
      </c>
      <c r="AE1702" s="1" t="s">
        <v>74</v>
      </c>
      <c r="AF1702" s="1" t="s">
        <v>78</v>
      </c>
      <c r="AG1702" s="1" t="s">
        <v>46</v>
      </c>
      <c r="AH1702" s="1" t="s">
        <v>47</v>
      </c>
      <c r="AI1702">
        <v>9621</v>
      </c>
      <c r="AJ1702">
        <v>-53.450000000000728</v>
      </c>
    </row>
    <row r="1703" spans="1:36" x14ac:dyDescent="0.25">
      <c r="A1703">
        <v>11702</v>
      </c>
      <c r="B1703">
        <v>27</v>
      </c>
      <c r="C1703" s="1" t="s">
        <v>36</v>
      </c>
      <c r="D1703" s="1" t="s">
        <v>71</v>
      </c>
      <c r="E1703" s="2">
        <v>44249</v>
      </c>
      <c r="F1703" s="2">
        <v>45112</v>
      </c>
      <c r="G1703" s="1" t="s">
        <v>62</v>
      </c>
      <c r="H1703">
        <v>907</v>
      </c>
      <c r="I1703">
        <v>15</v>
      </c>
      <c r="J1703">
        <v>1</v>
      </c>
      <c r="K1703">
        <v>11.99</v>
      </c>
      <c r="L1703">
        <v>5</v>
      </c>
      <c r="M1703" s="1" t="s">
        <v>50</v>
      </c>
      <c r="N1703" s="1" t="s">
        <v>56</v>
      </c>
      <c r="O1703">
        <v>13559.65</v>
      </c>
      <c r="P1703" t="b">
        <v>1</v>
      </c>
      <c r="Q1703">
        <v>1.25</v>
      </c>
      <c r="R1703">
        <v>903.97666666666669</v>
      </c>
      <c r="S1703">
        <v>5.9950000000000001</v>
      </c>
      <c r="T1703" s="2">
        <v>44228</v>
      </c>
      <c r="U1703" s="1" t="s">
        <v>57</v>
      </c>
      <c r="V1703">
        <v>0</v>
      </c>
      <c r="W1703" s="1" t="s">
        <v>40</v>
      </c>
      <c r="X1703">
        <v>863</v>
      </c>
      <c r="Y1703" s="1" t="s">
        <v>42</v>
      </c>
      <c r="Z1703" s="1" t="s">
        <v>42</v>
      </c>
      <c r="AA1703">
        <v>6.25E-2</v>
      </c>
      <c r="AB1703" s="1" t="s">
        <v>52</v>
      </c>
      <c r="AC1703">
        <v>2</v>
      </c>
      <c r="AD1703" s="2">
        <v>44228</v>
      </c>
      <c r="AE1703" s="1" t="s">
        <v>53</v>
      </c>
      <c r="AF1703" s="1" t="s">
        <v>54</v>
      </c>
      <c r="AG1703" s="1" t="s">
        <v>46</v>
      </c>
      <c r="AH1703" s="1" t="s">
        <v>59</v>
      </c>
      <c r="AI1703">
        <v>13605</v>
      </c>
      <c r="AJ1703">
        <v>-45.350000000000364</v>
      </c>
    </row>
    <row r="1704" spans="1:36" x14ac:dyDescent="0.25">
      <c r="A1704">
        <v>11703</v>
      </c>
      <c r="B1704">
        <v>58</v>
      </c>
      <c r="C1704" s="1" t="s">
        <v>36</v>
      </c>
      <c r="D1704" s="1" t="s">
        <v>71</v>
      </c>
      <c r="E1704" s="2">
        <v>44716</v>
      </c>
      <c r="F1704" s="2">
        <v>44952</v>
      </c>
      <c r="G1704" s="1" t="s">
        <v>38</v>
      </c>
      <c r="H1704">
        <v>825</v>
      </c>
      <c r="I1704">
        <v>26</v>
      </c>
      <c r="J1704">
        <v>2</v>
      </c>
      <c r="K1704">
        <v>74.48</v>
      </c>
      <c r="L1704">
        <v>20</v>
      </c>
      <c r="M1704" s="1" t="s">
        <v>67</v>
      </c>
      <c r="N1704" s="1" t="s">
        <v>40</v>
      </c>
      <c r="O1704">
        <v>21285</v>
      </c>
      <c r="P1704" t="b">
        <v>1</v>
      </c>
      <c r="Q1704">
        <v>2.1666666666666665</v>
      </c>
      <c r="R1704">
        <v>818.65384615384619</v>
      </c>
      <c r="S1704">
        <v>24.826666666666668</v>
      </c>
      <c r="T1704" s="2">
        <v>44713</v>
      </c>
      <c r="U1704" s="1" t="s">
        <v>41</v>
      </c>
      <c r="V1704">
        <v>1</v>
      </c>
      <c r="W1704" s="1" t="s">
        <v>40</v>
      </c>
      <c r="X1704">
        <v>236</v>
      </c>
      <c r="Y1704" s="1" t="s">
        <v>43</v>
      </c>
      <c r="Z1704" s="1" t="s">
        <v>52</v>
      </c>
      <c r="AA1704">
        <v>7.407407407407407E-2</v>
      </c>
      <c r="AB1704" s="1" t="s">
        <v>43</v>
      </c>
      <c r="AC1704">
        <v>1</v>
      </c>
      <c r="AD1704" s="2">
        <v>44713</v>
      </c>
      <c r="AE1704" s="1" t="s">
        <v>44</v>
      </c>
      <c r="AF1704" s="1" t="s">
        <v>72</v>
      </c>
      <c r="AG1704" s="1" t="s">
        <v>63</v>
      </c>
      <c r="AH1704" s="1" t="s">
        <v>59</v>
      </c>
      <c r="AI1704">
        <v>21450</v>
      </c>
      <c r="AJ1704">
        <v>-165</v>
      </c>
    </row>
    <row r="1705" spans="1:36" x14ac:dyDescent="0.25">
      <c r="A1705">
        <v>11704</v>
      </c>
      <c r="B1705">
        <v>49</v>
      </c>
      <c r="C1705" s="1" t="s">
        <v>36</v>
      </c>
      <c r="D1705" s="1" t="s">
        <v>69</v>
      </c>
      <c r="E1705" s="2">
        <v>44526</v>
      </c>
      <c r="F1705" s="2">
        <v>44603</v>
      </c>
      <c r="G1705" s="1" t="s">
        <v>49</v>
      </c>
      <c r="H1705">
        <v>924</v>
      </c>
      <c r="I1705">
        <v>15</v>
      </c>
      <c r="J1705">
        <v>4</v>
      </c>
      <c r="K1705">
        <v>116.1</v>
      </c>
      <c r="L1705">
        <v>15</v>
      </c>
      <c r="M1705" s="1" t="s">
        <v>65</v>
      </c>
      <c r="N1705" s="1" t="s">
        <v>56</v>
      </c>
      <c r="O1705">
        <v>13721.4</v>
      </c>
      <c r="P1705" t="b">
        <v>1</v>
      </c>
      <c r="Q1705">
        <v>1.25</v>
      </c>
      <c r="R1705">
        <v>914.76</v>
      </c>
      <c r="S1705">
        <v>23.22</v>
      </c>
      <c r="T1705" s="2">
        <v>44501</v>
      </c>
      <c r="U1705" s="1" t="s">
        <v>51</v>
      </c>
      <c r="V1705">
        <v>0</v>
      </c>
      <c r="W1705" s="1" t="s">
        <v>40</v>
      </c>
      <c r="X1705">
        <v>77</v>
      </c>
      <c r="Y1705" s="1" t="s">
        <v>43</v>
      </c>
      <c r="Z1705" s="1" t="s">
        <v>42</v>
      </c>
      <c r="AA1705">
        <v>0.25</v>
      </c>
      <c r="AB1705" s="1" t="s">
        <v>52</v>
      </c>
      <c r="AC1705">
        <v>3</v>
      </c>
      <c r="AD1705" s="2">
        <v>44501</v>
      </c>
      <c r="AE1705" s="1" t="s">
        <v>53</v>
      </c>
      <c r="AF1705" s="1" t="s">
        <v>45</v>
      </c>
      <c r="AG1705" s="1" t="s">
        <v>63</v>
      </c>
      <c r="AH1705" s="1" t="s">
        <v>59</v>
      </c>
      <c r="AI1705">
        <v>13860</v>
      </c>
      <c r="AJ1705">
        <v>-138.60000000000036</v>
      </c>
    </row>
    <row r="1706" spans="1:36" x14ac:dyDescent="0.25">
      <c r="A1706">
        <v>11705</v>
      </c>
      <c r="B1706">
        <v>51</v>
      </c>
      <c r="C1706" s="1" t="s">
        <v>36</v>
      </c>
      <c r="D1706" s="1" t="s">
        <v>48</v>
      </c>
      <c r="E1706" s="2">
        <v>44754</v>
      </c>
      <c r="F1706" s="2">
        <v>45113</v>
      </c>
      <c r="G1706" s="1" t="s">
        <v>49</v>
      </c>
      <c r="H1706">
        <v>376</v>
      </c>
      <c r="I1706">
        <v>26</v>
      </c>
      <c r="J1706">
        <v>3</v>
      </c>
      <c r="K1706">
        <v>62.81</v>
      </c>
      <c r="L1706">
        <v>0</v>
      </c>
      <c r="M1706" s="1" t="s">
        <v>65</v>
      </c>
      <c r="N1706" s="1" t="s">
        <v>56</v>
      </c>
      <c r="O1706">
        <v>9776</v>
      </c>
      <c r="P1706" t="b">
        <v>1</v>
      </c>
      <c r="Q1706">
        <v>2.1666666666666665</v>
      </c>
      <c r="R1706">
        <v>376</v>
      </c>
      <c r="S1706">
        <v>15.702500000000001</v>
      </c>
      <c r="T1706" s="2">
        <v>44743</v>
      </c>
      <c r="U1706" s="1" t="s">
        <v>41</v>
      </c>
      <c r="V1706">
        <v>0</v>
      </c>
      <c r="W1706" s="1" t="s">
        <v>56</v>
      </c>
      <c r="X1706">
        <v>359</v>
      </c>
      <c r="Y1706" s="1" t="s">
        <v>43</v>
      </c>
      <c r="Z1706" s="1" t="s">
        <v>42</v>
      </c>
      <c r="AA1706">
        <v>0.1111111111111111</v>
      </c>
      <c r="AB1706" s="1" t="s">
        <v>52</v>
      </c>
      <c r="AC1706">
        <v>3</v>
      </c>
      <c r="AD1706" s="2">
        <v>44743</v>
      </c>
      <c r="AE1706" s="1" t="s">
        <v>44</v>
      </c>
      <c r="AF1706" s="1" t="s">
        <v>72</v>
      </c>
      <c r="AG1706" s="1" t="s">
        <v>63</v>
      </c>
      <c r="AH1706" s="1" t="s">
        <v>68</v>
      </c>
      <c r="AI1706">
        <v>9776</v>
      </c>
      <c r="AJ1706">
        <v>0</v>
      </c>
    </row>
    <row r="1707" spans="1:36" x14ac:dyDescent="0.25">
      <c r="A1707">
        <v>11706</v>
      </c>
      <c r="B1707">
        <v>45</v>
      </c>
      <c r="C1707" s="1" t="s">
        <v>60</v>
      </c>
      <c r="D1707" s="1" t="s">
        <v>61</v>
      </c>
      <c r="E1707" s="2">
        <v>44521</v>
      </c>
      <c r="F1707" s="2">
        <v>45211</v>
      </c>
      <c r="G1707" s="1" t="s">
        <v>38</v>
      </c>
      <c r="H1707">
        <v>1219</v>
      </c>
      <c r="I1707">
        <v>28</v>
      </c>
      <c r="J1707">
        <v>2</v>
      </c>
      <c r="K1707">
        <v>10.92</v>
      </c>
      <c r="L1707">
        <v>10</v>
      </c>
      <c r="M1707" s="1" t="s">
        <v>50</v>
      </c>
      <c r="N1707" s="1" t="s">
        <v>56</v>
      </c>
      <c r="O1707">
        <v>34010.1</v>
      </c>
      <c r="P1707" t="b">
        <v>1</v>
      </c>
      <c r="Q1707">
        <v>2.3333333333333335</v>
      </c>
      <c r="R1707">
        <v>1214.6464285714285</v>
      </c>
      <c r="S1707">
        <v>3.64</v>
      </c>
      <c r="T1707" s="2">
        <v>44501</v>
      </c>
      <c r="U1707" s="1" t="s">
        <v>51</v>
      </c>
      <c r="V1707">
        <v>0</v>
      </c>
      <c r="W1707" s="1" t="s">
        <v>40</v>
      </c>
      <c r="X1707">
        <v>690</v>
      </c>
      <c r="Y1707" s="1" t="s">
        <v>42</v>
      </c>
      <c r="Z1707" s="1" t="s">
        <v>42</v>
      </c>
      <c r="AA1707">
        <v>6.8965517241379309E-2</v>
      </c>
      <c r="AB1707" s="1" t="s">
        <v>43</v>
      </c>
      <c r="AC1707">
        <v>1</v>
      </c>
      <c r="AD1707" s="2">
        <v>44501</v>
      </c>
      <c r="AE1707" s="1" t="s">
        <v>44</v>
      </c>
      <c r="AF1707" s="1" t="s">
        <v>72</v>
      </c>
      <c r="AG1707" s="1" t="s">
        <v>46</v>
      </c>
      <c r="AH1707" s="1" t="s">
        <v>47</v>
      </c>
      <c r="AI1707">
        <v>34132</v>
      </c>
      <c r="AJ1707">
        <v>-121.90000000000146</v>
      </c>
    </row>
    <row r="1708" spans="1:36" x14ac:dyDescent="0.25">
      <c r="A1708">
        <v>11707</v>
      </c>
      <c r="B1708">
        <v>32</v>
      </c>
      <c r="C1708" s="1" t="s">
        <v>60</v>
      </c>
      <c r="D1708" s="1" t="s">
        <v>61</v>
      </c>
      <c r="E1708" s="2">
        <v>44310</v>
      </c>
      <c r="F1708" s="2">
        <v>45147</v>
      </c>
      <c r="G1708" s="1" t="s">
        <v>38</v>
      </c>
      <c r="H1708">
        <v>1245</v>
      </c>
      <c r="I1708">
        <v>7</v>
      </c>
      <c r="J1708">
        <v>0</v>
      </c>
      <c r="K1708">
        <v>62.59</v>
      </c>
      <c r="L1708">
        <v>10</v>
      </c>
      <c r="M1708" s="1" t="s">
        <v>50</v>
      </c>
      <c r="N1708" s="1" t="s">
        <v>40</v>
      </c>
      <c r="O1708">
        <v>8590.5</v>
      </c>
      <c r="P1708" t="b">
        <v>1</v>
      </c>
      <c r="Q1708">
        <v>0.58333333333333337</v>
      </c>
      <c r="R1708">
        <v>1227.2142857142858</v>
      </c>
      <c r="S1708">
        <v>62.59</v>
      </c>
      <c r="T1708" s="2">
        <v>44287</v>
      </c>
      <c r="U1708" s="1" t="s">
        <v>57</v>
      </c>
      <c r="V1708">
        <v>1</v>
      </c>
      <c r="W1708" s="1" t="s">
        <v>56</v>
      </c>
      <c r="X1708">
        <v>837</v>
      </c>
      <c r="Y1708" s="1" t="s">
        <v>43</v>
      </c>
      <c r="Z1708" s="1" t="s">
        <v>42</v>
      </c>
      <c r="AA1708">
        <v>0</v>
      </c>
      <c r="AB1708" s="1" t="s">
        <v>42</v>
      </c>
      <c r="AC1708">
        <v>1</v>
      </c>
      <c r="AD1708" s="2">
        <v>44287</v>
      </c>
      <c r="AE1708" s="1" t="s">
        <v>74</v>
      </c>
      <c r="AF1708" s="1" t="s">
        <v>54</v>
      </c>
      <c r="AG1708" s="1" t="s">
        <v>63</v>
      </c>
      <c r="AH1708" s="1" t="s">
        <v>47</v>
      </c>
      <c r="AI1708">
        <v>8715</v>
      </c>
      <c r="AJ1708">
        <v>-124.5</v>
      </c>
    </row>
    <row r="1709" spans="1:36" x14ac:dyDescent="0.25">
      <c r="A1709">
        <v>11708</v>
      </c>
      <c r="B1709">
        <v>47</v>
      </c>
      <c r="C1709" s="1" t="s">
        <v>36</v>
      </c>
      <c r="D1709" s="1" t="s">
        <v>73</v>
      </c>
      <c r="E1709" s="2">
        <v>44343</v>
      </c>
      <c r="F1709" s="2">
        <v>44656</v>
      </c>
      <c r="G1709" s="1" t="s">
        <v>49</v>
      </c>
      <c r="H1709">
        <v>765</v>
      </c>
      <c r="I1709">
        <v>32</v>
      </c>
      <c r="J1709">
        <v>5</v>
      </c>
      <c r="K1709">
        <v>33.15</v>
      </c>
      <c r="L1709">
        <v>15</v>
      </c>
      <c r="M1709" s="1" t="s">
        <v>67</v>
      </c>
      <c r="N1709" s="1" t="s">
        <v>40</v>
      </c>
      <c r="O1709">
        <v>24365.25</v>
      </c>
      <c r="P1709" t="b">
        <v>1</v>
      </c>
      <c r="Q1709">
        <v>2.6666666666666665</v>
      </c>
      <c r="R1709">
        <v>761.4140625</v>
      </c>
      <c r="S1709">
        <v>5.5249999999999995</v>
      </c>
      <c r="T1709" s="2">
        <v>44317</v>
      </c>
      <c r="U1709" s="1" t="s">
        <v>51</v>
      </c>
      <c r="V1709">
        <v>1</v>
      </c>
      <c r="W1709" s="1" t="s">
        <v>40</v>
      </c>
      <c r="X1709">
        <v>313</v>
      </c>
      <c r="Y1709" s="1" t="s">
        <v>52</v>
      </c>
      <c r="Z1709" s="1" t="s">
        <v>42</v>
      </c>
      <c r="AA1709">
        <v>0.15151515151515152</v>
      </c>
      <c r="AB1709" s="1" t="s">
        <v>43</v>
      </c>
      <c r="AC1709">
        <v>3</v>
      </c>
      <c r="AD1709" s="2">
        <v>44317</v>
      </c>
      <c r="AE1709" s="1" t="s">
        <v>44</v>
      </c>
      <c r="AF1709" s="1" t="s">
        <v>45</v>
      </c>
      <c r="AG1709" s="1" t="s">
        <v>55</v>
      </c>
      <c r="AH1709" s="1" t="s">
        <v>59</v>
      </c>
      <c r="AI1709">
        <v>24480</v>
      </c>
      <c r="AJ1709">
        <v>-114.75</v>
      </c>
    </row>
    <row r="1710" spans="1:36" x14ac:dyDescent="0.25">
      <c r="A1710">
        <v>11709</v>
      </c>
      <c r="B1710">
        <v>54</v>
      </c>
      <c r="C1710" s="1" t="s">
        <v>60</v>
      </c>
      <c r="D1710" s="1" t="s">
        <v>48</v>
      </c>
      <c r="E1710" s="2">
        <v>44362</v>
      </c>
      <c r="F1710" s="2">
        <v>44406</v>
      </c>
      <c r="G1710" s="1" t="s">
        <v>49</v>
      </c>
      <c r="H1710">
        <v>1483</v>
      </c>
      <c r="I1710">
        <v>12</v>
      </c>
      <c r="J1710">
        <v>0</v>
      </c>
      <c r="K1710">
        <v>43.85</v>
      </c>
      <c r="L1710">
        <v>10</v>
      </c>
      <c r="M1710" s="1" t="s">
        <v>67</v>
      </c>
      <c r="N1710" s="1" t="s">
        <v>56</v>
      </c>
      <c r="O1710">
        <v>17647.7</v>
      </c>
      <c r="P1710" t="b">
        <v>1</v>
      </c>
      <c r="Q1710">
        <v>1</v>
      </c>
      <c r="R1710">
        <v>1470.6416666666667</v>
      </c>
      <c r="S1710">
        <v>43.85</v>
      </c>
      <c r="T1710" s="2">
        <v>44348</v>
      </c>
      <c r="U1710" s="1" t="s">
        <v>41</v>
      </c>
      <c r="V1710">
        <v>0</v>
      </c>
      <c r="W1710" s="1" t="s">
        <v>40</v>
      </c>
      <c r="X1710">
        <v>44</v>
      </c>
      <c r="Y1710" s="1" t="s">
        <v>52</v>
      </c>
      <c r="Z1710" s="1" t="s">
        <v>42</v>
      </c>
      <c r="AA1710">
        <v>0</v>
      </c>
      <c r="AB1710" s="1" t="s">
        <v>52</v>
      </c>
      <c r="AC1710">
        <v>3</v>
      </c>
      <c r="AD1710" s="2">
        <v>44348</v>
      </c>
      <c r="AE1710" s="1" t="s">
        <v>74</v>
      </c>
      <c r="AF1710" s="1" t="s">
        <v>54</v>
      </c>
      <c r="AG1710" s="1" t="s">
        <v>55</v>
      </c>
      <c r="AH1710" s="1" t="s">
        <v>47</v>
      </c>
      <c r="AI1710">
        <v>17796</v>
      </c>
      <c r="AJ1710">
        <v>-148.29999999999927</v>
      </c>
    </row>
    <row r="1711" spans="1:36" x14ac:dyDescent="0.25">
      <c r="A1711">
        <v>11710</v>
      </c>
      <c r="B1711">
        <v>46</v>
      </c>
      <c r="C1711" s="1" t="s">
        <v>60</v>
      </c>
      <c r="D1711" s="1" t="s">
        <v>48</v>
      </c>
      <c r="E1711" s="2">
        <v>44575</v>
      </c>
      <c r="F1711" s="2">
        <v>44416</v>
      </c>
      <c r="G1711" s="1" t="s">
        <v>49</v>
      </c>
      <c r="H1711">
        <v>791</v>
      </c>
      <c r="I1711">
        <v>35</v>
      </c>
      <c r="J1711">
        <v>1</v>
      </c>
      <c r="K1711">
        <v>10.01</v>
      </c>
      <c r="L1711">
        <v>15</v>
      </c>
      <c r="M1711" s="1" t="s">
        <v>39</v>
      </c>
      <c r="N1711" s="1" t="s">
        <v>56</v>
      </c>
      <c r="O1711">
        <v>27566.35</v>
      </c>
      <c r="P1711" t="b">
        <v>0</v>
      </c>
      <c r="Q1711">
        <v>2.9166666666666665</v>
      </c>
      <c r="R1711">
        <v>787.61</v>
      </c>
      <c r="S1711">
        <v>5.0049999999999999</v>
      </c>
      <c r="T1711" s="2">
        <v>44562</v>
      </c>
      <c r="U1711" s="1" t="s">
        <v>51</v>
      </c>
      <c r="V1711">
        <v>0</v>
      </c>
      <c r="W1711" s="1" t="s">
        <v>40</v>
      </c>
      <c r="Y1711" s="1" t="s">
        <v>42</v>
      </c>
      <c r="Z1711" s="1" t="s">
        <v>42</v>
      </c>
      <c r="AA1711">
        <v>2.7777777777777776E-2</v>
      </c>
      <c r="AB1711" s="1" t="s">
        <v>43</v>
      </c>
      <c r="AC1711">
        <v>3</v>
      </c>
      <c r="AD1711" s="2">
        <v>44562</v>
      </c>
      <c r="AE1711" s="1" t="s">
        <v>44</v>
      </c>
      <c r="AF1711" s="1" t="s">
        <v>54</v>
      </c>
      <c r="AG1711" s="1" t="s">
        <v>46</v>
      </c>
      <c r="AH1711" s="1" t="s">
        <v>59</v>
      </c>
      <c r="AI1711">
        <v>27685</v>
      </c>
      <c r="AJ1711">
        <v>-118.65000000000146</v>
      </c>
    </row>
    <row r="1712" spans="1:36" x14ac:dyDescent="0.25">
      <c r="A1712">
        <v>11711</v>
      </c>
      <c r="B1712">
        <v>39</v>
      </c>
      <c r="C1712" s="1" t="s">
        <v>75</v>
      </c>
      <c r="D1712" s="1" t="s">
        <v>61</v>
      </c>
      <c r="E1712" s="2">
        <v>44335</v>
      </c>
      <c r="F1712" s="2">
        <v>44793</v>
      </c>
      <c r="G1712" s="1" t="s">
        <v>49</v>
      </c>
      <c r="H1712">
        <v>612</v>
      </c>
      <c r="I1712">
        <v>32</v>
      </c>
      <c r="J1712">
        <v>2</v>
      </c>
      <c r="K1712">
        <v>109.06</v>
      </c>
      <c r="L1712">
        <v>20</v>
      </c>
      <c r="M1712" s="1" t="s">
        <v>50</v>
      </c>
      <c r="N1712" s="1" t="s">
        <v>56</v>
      </c>
      <c r="O1712">
        <v>19461.599999999999</v>
      </c>
      <c r="P1712" t="b">
        <v>1</v>
      </c>
      <c r="Q1712">
        <v>2.6666666666666665</v>
      </c>
      <c r="R1712">
        <v>608.17499999999995</v>
      </c>
      <c r="S1712">
        <v>36.353333333333332</v>
      </c>
      <c r="T1712" s="2">
        <v>44317</v>
      </c>
      <c r="U1712" s="1" t="s">
        <v>51</v>
      </c>
      <c r="V1712">
        <v>0</v>
      </c>
      <c r="W1712" s="1" t="s">
        <v>40</v>
      </c>
      <c r="X1712">
        <v>458</v>
      </c>
      <c r="Y1712" s="1" t="s">
        <v>43</v>
      </c>
      <c r="Z1712" s="1" t="s">
        <v>52</v>
      </c>
      <c r="AA1712">
        <v>6.0606060606060608E-2</v>
      </c>
      <c r="AB1712" s="1" t="s">
        <v>43</v>
      </c>
      <c r="AC1712">
        <v>3</v>
      </c>
      <c r="AD1712" s="2">
        <v>44317</v>
      </c>
      <c r="AE1712" s="1" t="s">
        <v>44</v>
      </c>
      <c r="AF1712" s="1" t="s">
        <v>72</v>
      </c>
      <c r="AG1712" s="1" t="s">
        <v>63</v>
      </c>
      <c r="AH1712" s="1" t="s">
        <v>64</v>
      </c>
      <c r="AI1712">
        <v>19584</v>
      </c>
      <c r="AJ1712">
        <v>-122.40000000000146</v>
      </c>
    </row>
    <row r="1713" spans="1:36" x14ac:dyDescent="0.25">
      <c r="A1713">
        <v>11712</v>
      </c>
      <c r="B1713">
        <v>21</v>
      </c>
      <c r="C1713" s="1" t="s">
        <v>36</v>
      </c>
      <c r="D1713" s="1" t="s">
        <v>37</v>
      </c>
      <c r="E1713" s="2">
        <v>44825</v>
      </c>
      <c r="F1713" s="2">
        <v>44735</v>
      </c>
      <c r="G1713" s="1" t="s">
        <v>62</v>
      </c>
      <c r="H1713">
        <v>1484</v>
      </c>
      <c r="I1713">
        <v>9</v>
      </c>
      <c r="J1713">
        <v>2</v>
      </c>
      <c r="K1713">
        <v>64.290000000000006</v>
      </c>
      <c r="L1713">
        <v>15</v>
      </c>
      <c r="M1713" s="1" t="s">
        <v>39</v>
      </c>
      <c r="N1713" s="1" t="s">
        <v>56</v>
      </c>
      <c r="O1713">
        <v>13133.4</v>
      </c>
      <c r="P1713" t="b">
        <v>0</v>
      </c>
      <c r="Q1713">
        <v>0.75</v>
      </c>
      <c r="R1713">
        <v>1459.2666666666667</v>
      </c>
      <c r="S1713">
        <v>21.430000000000003</v>
      </c>
      <c r="T1713" s="2">
        <v>44805</v>
      </c>
      <c r="U1713" s="1" t="s">
        <v>66</v>
      </c>
      <c r="V1713">
        <v>0</v>
      </c>
      <c r="W1713" s="1" t="s">
        <v>56</v>
      </c>
      <c r="Y1713" s="1" t="s">
        <v>43</v>
      </c>
      <c r="Z1713" s="1" t="s">
        <v>42</v>
      </c>
      <c r="AA1713">
        <v>0.2</v>
      </c>
      <c r="AB1713" s="1" t="s">
        <v>52</v>
      </c>
      <c r="AC1713">
        <v>2</v>
      </c>
      <c r="AD1713" s="2">
        <v>44805</v>
      </c>
      <c r="AE1713" s="1" t="s">
        <v>74</v>
      </c>
      <c r="AF1713" s="1" t="s">
        <v>72</v>
      </c>
      <c r="AG1713" s="1" t="s">
        <v>63</v>
      </c>
      <c r="AH1713" s="1" t="s">
        <v>47</v>
      </c>
      <c r="AI1713">
        <v>13356</v>
      </c>
      <c r="AJ1713">
        <v>-222.60000000000036</v>
      </c>
    </row>
    <row r="1714" spans="1:36" x14ac:dyDescent="0.25">
      <c r="A1714">
        <v>11713</v>
      </c>
      <c r="B1714">
        <v>37</v>
      </c>
      <c r="C1714" s="1" t="s">
        <v>36</v>
      </c>
      <c r="D1714" s="1" t="s">
        <v>71</v>
      </c>
      <c r="E1714" s="2">
        <v>44495</v>
      </c>
      <c r="F1714" s="2">
        <v>44433</v>
      </c>
      <c r="G1714" s="1" t="s">
        <v>62</v>
      </c>
      <c r="H1714">
        <v>607</v>
      </c>
      <c r="I1714">
        <v>14</v>
      </c>
      <c r="J1714">
        <v>4</v>
      </c>
      <c r="K1714">
        <v>82.16</v>
      </c>
      <c r="L1714">
        <v>5</v>
      </c>
      <c r="M1714" s="1" t="s">
        <v>39</v>
      </c>
      <c r="N1714" s="1" t="s">
        <v>40</v>
      </c>
      <c r="O1714">
        <v>8467.65</v>
      </c>
      <c r="P1714" t="b">
        <v>0</v>
      </c>
      <c r="Q1714">
        <v>1.1666666666666667</v>
      </c>
      <c r="R1714">
        <v>604.8321428571428</v>
      </c>
      <c r="S1714">
        <v>16.431999999999999</v>
      </c>
      <c r="T1714" s="2">
        <v>44470</v>
      </c>
      <c r="U1714" s="1" t="s">
        <v>51</v>
      </c>
      <c r="V1714">
        <v>1</v>
      </c>
      <c r="W1714" s="1" t="s">
        <v>56</v>
      </c>
      <c r="Y1714" s="1" t="s">
        <v>43</v>
      </c>
      <c r="Z1714" s="1" t="s">
        <v>42</v>
      </c>
      <c r="AA1714">
        <v>0.26666666666666666</v>
      </c>
      <c r="AB1714" s="1" t="s">
        <v>42</v>
      </c>
      <c r="AC1714">
        <v>2</v>
      </c>
      <c r="AD1714" s="2">
        <v>44470</v>
      </c>
      <c r="AE1714" s="1" t="s">
        <v>53</v>
      </c>
      <c r="AF1714" s="1" t="s">
        <v>45</v>
      </c>
      <c r="AG1714" s="1" t="s">
        <v>63</v>
      </c>
      <c r="AH1714" s="1" t="s">
        <v>64</v>
      </c>
      <c r="AI1714">
        <v>8498</v>
      </c>
      <c r="AJ1714">
        <v>-30.350000000000364</v>
      </c>
    </row>
    <row r="1715" spans="1:36" x14ac:dyDescent="0.25">
      <c r="A1715">
        <v>11714</v>
      </c>
      <c r="B1715">
        <v>49</v>
      </c>
      <c r="C1715" s="1" t="s">
        <v>60</v>
      </c>
      <c r="D1715" s="1" t="s">
        <v>71</v>
      </c>
      <c r="E1715" s="2">
        <v>44472</v>
      </c>
      <c r="F1715" s="2">
        <v>45133</v>
      </c>
      <c r="G1715" s="1" t="s">
        <v>62</v>
      </c>
      <c r="H1715">
        <v>1469</v>
      </c>
      <c r="I1715">
        <v>13</v>
      </c>
      <c r="J1715">
        <v>3</v>
      </c>
      <c r="K1715">
        <v>12.72</v>
      </c>
      <c r="L1715">
        <v>15</v>
      </c>
      <c r="M1715" s="1" t="s">
        <v>65</v>
      </c>
      <c r="N1715" s="1" t="s">
        <v>56</v>
      </c>
      <c r="O1715">
        <v>18876.650000000001</v>
      </c>
      <c r="P1715" t="b">
        <v>1</v>
      </c>
      <c r="Q1715">
        <v>1.0833333333333333</v>
      </c>
      <c r="R1715">
        <v>1452.0500000000002</v>
      </c>
      <c r="S1715">
        <v>3.18</v>
      </c>
      <c r="T1715" s="2">
        <v>44470</v>
      </c>
      <c r="U1715" s="1" t="s">
        <v>51</v>
      </c>
      <c r="V1715">
        <v>0</v>
      </c>
      <c r="W1715" s="1" t="s">
        <v>40</v>
      </c>
      <c r="X1715">
        <v>661</v>
      </c>
      <c r="Y1715" s="1" t="s">
        <v>42</v>
      </c>
      <c r="Z1715" s="1" t="s">
        <v>42</v>
      </c>
      <c r="AA1715">
        <v>0.21428571428571427</v>
      </c>
      <c r="AB1715" s="1" t="s">
        <v>52</v>
      </c>
      <c r="AC1715">
        <v>2</v>
      </c>
      <c r="AD1715" s="2">
        <v>44470</v>
      </c>
      <c r="AE1715" s="1" t="s">
        <v>53</v>
      </c>
      <c r="AF1715" s="1" t="s">
        <v>72</v>
      </c>
      <c r="AG1715" s="1" t="s">
        <v>46</v>
      </c>
      <c r="AH1715" s="1" t="s">
        <v>47</v>
      </c>
      <c r="AI1715">
        <v>19097</v>
      </c>
      <c r="AJ1715">
        <v>-220.34999999999854</v>
      </c>
    </row>
    <row r="1716" spans="1:36" x14ac:dyDescent="0.25">
      <c r="A1716">
        <v>11715</v>
      </c>
      <c r="B1716">
        <v>53</v>
      </c>
      <c r="C1716" s="1" t="s">
        <v>60</v>
      </c>
      <c r="D1716" s="1" t="s">
        <v>61</v>
      </c>
      <c r="E1716" s="2">
        <v>44985</v>
      </c>
      <c r="F1716" s="2">
        <v>44574</v>
      </c>
      <c r="G1716" s="1" t="s">
        <v>38</v>
      </c>
      <c r="H1716">
        <v>990</v>
      </c>
      <c r="I1716">
        <v>33</v>
      </c>
      <c r="J1716">
        <v>2</v>
      </c>
      <c r="K1716">
        <v>11.22</v>
      </c>
      <c r="L1716">
        <v>20</v>
      </c>
      <c r="M1716" s="1" t="s">
        <v>65</v>
      </c>
      <c r="N1716" s="1" t="s">
        <v>40</v>
      </c>
      <c r="O1716">
        <v>32472</v>
      </c>
      <c r="P1716" t="b">
        <v>0</v>
      </c>
      <c r="Q1716">
        <v>2.75</v>
      </c>
      <c r="R1716">
        <v>984</v>
      </c>
      <c r="S1716">
        <v>3.74</v>
      </c>
      <c r="T1716" s="2">
        <v>44958</v>
      </c>
      <c r="U1716" s="1" t="s">
        <v>41</v>
      </c>
      <c r="V1716">
        <v>1</v>
      </c>
      <c r="W1716" s="1" t="s">
        <v>40</v>
      </c>
      <c r="Y1716" s="1" t="s">
        <v>42</v>
      </c>
      <c r="Z1716" s="1" t="s">
        <v>52</v>
      </c>
      <c r="AA1716">
        <v>5.8823529411764705E-2</v>
      </c>
      <c r="AB1716" s="1" t="s">
        <v>43</v>
      </c>
      <c r="AC1716">
        <v>1</v>
      </c>
      <c r="AD1716" s="2">
        <v>44958</v>
      </c>
      <c r="AE1716" s="1" t="s">
        <v>44</v>
      </c>
      <c r="AF1716" s="1" t="s">
        <v>72</v>
      </c>
      <c r="AG1716" s="1" t="s">
        <v>46</v>
      </c>
      <c r="AH1716" s="1" t="s">
        <v>59</v>
      </c>
      <c r="AI1716">
        <v>32670</v>
      </c>
      <c r="AJ1716">
        <v>-198</v>
      </c>
    </row>
    <row r="1717" spans="1:36" x14ac:dyDescent="0.25">
      <c r="A1717">
        <v>11716</v>
      </c>
      <c r="B1717">
        <v>21</v>
      </c>
      <c r="C1717" s="1" t="s">
        <v>60</v>
      </c>
      <c r="D1717" s="1" t="s">
        <v>48</v>
      </c>
      <c r="E1717" s="2">
        <v>45046</v>
      </c>
      <c r="F1717" s="2">
        <v>44940</v>
      </c>
      <c r="G1717" s="1" t="s">
        <v>62</v>
      </c>
      <c r="H1717">
        <v>388</v>
      </c>
      <c r="I1717">
        <v>32</v>
      </c>
      <c r="J1717">
        <v>2</v>
      </c>
      <c r="K1717">
        <v>72.44</v>
      </c>
      <c r="L1717">
        <v>15</v>
      </c>
      <c r="M1717" s="1" t="s">
        <v>67</v>
      </c>
      <c r="N1717" s="1" t="s">
        <v>40</v>
      </c>
      <c r="O1717">
        <v>12357.8</v>
      </c>
      <c r="P1717" t="b">
        <v>0</v>
      </c>
      <c r="Q1717">
        <v>2.6666666666666665</v>
      </c>
      <c r="R1717">
        <v>386.18124999999998</v>
      </c>
      <c r="S1717">
        <v>24.146666666666665</v>
      </c>
      <c r="T1717" s="2">
        <v>45017</v>
      </c>
      <c r="U1717" s="1" t="s">
        <v>66</v>
      </c>
      <c r="V1717">
        <v>1</v>
      </c>
      <c r="W1717" s="1" t="s">
        <v>56</v>
      </c>
      <c r="Y1717" s="1" t="s">
        <v>43</v>
      </c>
      <c r="Z1717" s="1" t="s">
        <v>42</v>
      </c>
      <c r="AA1717">
        <v>6.0606060606060608E-2</v>
      </c>
      <c r="AB1717" s="1" t="s">
        <v>52</v>
      </c>
      <c r="AC1717">
        <v>2</v>
      </c>
      <c r="AD1717" s="2">
        <v>45017</v>
      </c>
      <c r="AE1717" s="1" t="s">
        <v>44</v>
      </c>
      <c r="AF1717" s="1" t="s">
        <v>72</v>
      </c>
      <c r="AG1717" s="1" t="s">
        <v>63</v>
      </c>
      <c r="AH1717" s="1" t="s">
        <v>68</v>
      </c>
      <c r="AI1717">
        <v>12416</v>
      </c>
      <c r="AJ1717">
        <v>-58.200000000000728</v>
      </c>
    </row>
    <row r="1718" spans="1:36" x14ac:dyDescent="0.25">
      <c r="A1718">
        <v>11717</v>
      </c>
      <c r="B1718">
        <v>44</v>
      </c>
      <c r="C1718" s="1" t="s">
        <v>60</v>
      </c>
      <c r="D1718" s="1" t="s">
        <v>73</v>
      </c>
      <c r="E1718" s="2">
        <v>45021</v>
      </c>
      <c r="F1718" s="2">
        <v>44973</v>
      </c>
      <c r="G1718" s="1" t="s">
        <v>62</v>
      </c>
      <c r="H1718">
        <v>1034</v>
      </c>
      <c r="I1718">
        <v>19</v>
      </c>
      <c r="J1718">
        <v>1</v>
      </c>
      <c r="K1718">
        <v>107.04</v>
      </c>
      <c r="L1718">
        <v>20</v>
      </c>
      <c r="M1718" s="1" t="s">
        <v>50</v>
      </c>
      <c r="N1718" s="1" t="s">
        <v>56</v>
      </c>
      <c r="O1718">
        <v>19439.2</v>
      </c>
      <c r="P1718" t="b">
        <v>0</v>
      </c>
      <c r="Q1718">
        <v>1.5833333333333333</v>
      </c>
      <c r="R1718">
        <v>1023.1157894736842</v>
      </c>
      <c r="S1718">
        <v>53.52</v>
      </c>
      <c r="T1718" s="2">
        <v>45017</v>
      </c>
      <c r="U1718" s="1" t="s">
        <v>51</v>
      </c>
      <c r="V1718">
        <v>0</v>
      </c>
      <c r="W1718" s="1" t="s">
        <v>40</v>
      </c>
      <c r="Y1718" s="1" t="s">
        <v>43</v>
      </c>
      <c r="Z1718" s="1" t="s">
        <v>52</v>
      </c>
      <c r="AA1718">
        <v>0.05</v>
      </c>
      <c r="AB1718" s="1" t="s">
        <v>43</v>
      </c>
      <c r="AC1718">
        <v>2</v>
      </c>
      <c r="AD1718" s="2">
        <v>45017</v>
      </c>
      <c r="AE1718" s="1" t="s">
        <v>53</v>
      </c>
      <c r="AF1718" s="1" t="s">
        <v>54</v>
      </c>
      <c r="AG1718" s="1" t="s">
        <v>63</v>
      </c>
      <c r="AH1718" s="1" t="s">
        <v>47</v>
      </c>
      <c r="AI1718">
        <v>19646</v>
      </c>
      <c r="AJ1718">
        <v>-206.79999999999927</v>
      </c>
    </row>
    <row r="1719" spans="1:36" x14ac:dyDescent="0.25">
      <c r="A1719">
        <v>11718</v>
      </c>
      <c r="B1719">
        <v>34</v>
      </c>
      <c r="C1719" s="1" t="s">
        <v>60</v>
      </c>
      <c r="D1719" s="1" t="s">
        <v>37</v>
      </c>
      <c r="E1719" s="2">
        <v>44374</v>
      </c>
      <c r="F1719" s="2">
        <v>44531</v>
      </c>
      <c r="G1719" s="1" t="s">
        <v>62</v>
      </c>
      <c r="H1719">
        <v>1077</v>
      </c>
      <c r="I1719">
        <v>30</v>
      </c>
      <c r="J1719">
        <v>1</v>
      </c>
      <c r="K1719">
        <v>65.78</v>
      </c>
      <c r="L1719">
        <v>5</v>
      </c>
      <c r="M1719" s="1" t="s">
        <v>50</v>
      </c>
      <c r="N1719" s="1" t="s">
        <v>56</v>
      </c>
      <c r="O1719">
        <v>32256.15</v>
      </c>
      <c r="P1719" t="b">
        <v>1</v>
      </c>
      <c r="Q1719">
        <v>2.5</v>
      </c>
      <c r="R1719">
        <v>1075.2050000000002</v>
      </c>
      <c r="S1719">
        <v>32.89</v>
      </c>
      <c r="T1719" s="2">
        <v>44348</v>
      </c>
      <c r="U1719" s="1" t="s">
        <v>57</v>
      </c>
      <c r="V1719">
        <v>0</v>
      </c>
      <c r="W1719" s="1" t="s">
        <v>40</v>
      </c>
      <c r="X1719">
        <v>157</v>
      </c>
      <c r="Y1719" s="1" t="s">
        <v>43</v>
      </c>
      <c r="Z1719" s="1" t="s">
        <v>42</v>
      </c>
      <c r="AA1719">
        <v>3.2258064516129031E-2</v>
      </c>
      <c r="AB1719" s="1" t="s">
        <v>43</v>
      </c>
      <c r="AC1719">
        <v>2</v>
      </c>
      <c r="AD1719" s="2">
        <v>44348</v>
      </c>
      <c r="AE1719" s="1" t="s">
        <v>44</v>
      </c>
      <c r="AF1719" s="1" t="s">
        <v>54</v>
      </c>
      <c r="AG1719" s="1" t="s">
        <v>63</v>
      </c>
      <c r="AH1719" s="1" t="s">
        <v>47</v>
      </c>
      <c r="AI1719">
        <v>32310</v>
      </c>
      <c r="AJ1719">
        <v>-53.849999999998545</v>
      </c>
    </row>
    <row r="1720" spans="1:36" x14ac:dyDescent="0.25">
      <c r="A1720">
        <v>11719</v>
      </c>
      <c r="B1720">
        <v>29</v>
      </c>
      <c r="C1720" s="1" t="s">
        <v>60</v>
      </c>
      <c r="D1720" s="1" t="s">
        <v>61</v>
      </c>
      <c r="E1720" s="2">
        <v>45038</v>
      </c>
      <c r="F1720" s="2">
        <v>45139</v>
      </c>
      <c r="G1720" s="1" t="s">
        <v>62</v>
      </c>
      <c r="H1720">
        <v>1050</v>
      </c>
      <c r="I1720">
        <v>16</v>
      </c>
      <c r="J1720">
        <v>1</v>
      </c>
      <c r="K1720">
        <v>105.95</v>
      </c>
      <c r="L1720">
        <v>0</v>
      </c>
      <c r="M1720" s="1" t="s">
        <v>39</v>
      </c>
      <c r="N1720" s="1" t="s">
        <v>56</v>
      </c>
      <c r="O1720">
        <v>16800</v>
      </c>
      <c r="P1720" t="b">
        <v>1</v>
      </c>
      <c r="Q1720">
        <v>1.3333333333333333</v>
      </c>
      <c r="R1720">
        <v>1050</v>
      </c>
      <c r="S1720">
        <v>52.975000000000001</v>
      </c>
      <c r="T1720" s="2">
        <v>45017</v>
      </c>
      <c r="U1720" s="1" t="s">
        <v>57</v>
      </c>
      <c r="V1720">
        <v>0</v>
      </c>
      <c r="W1720" s="1" t="s">
        <v>40</v>
      </c>
      <c r="X1720">
        <v>101</v>
      </c>
      <c r="Y1720" s="1" t="s">
        <v>43</v>
      </c>
      <c r="Z1720" s="1" t="s">
        <v>42</v>
      </c>
      <c r="AA1720">
        <v>5.8823529411764705E-2</v>
      </c>
      <c r="AB1720" s="1" t="s">
        <v>52</v>
      </c>
      <c r="AC1720">
        <v>2</v>
      </c>
      <c r="AD1720" s="2">
        <v>45017</v>
      </c>
      <c r="AE1720" s="1" t="s">
        <v>53</v>
      </c>
      <c r="AF1720" s="1" t="s">
        <v>54</v>
      </c>
      <c r="AG1720" s="1" t="s">
        <v>63</v>
      </c>
      <c r="AH1720" s="1" t="s">
        <v>47</v>
      </c>
      <c r="AI1720">
        <v>16800</v>
      </c>
      <c r="AJ1720">
        <v>0</v>
      </c>
    </row>
    <row r="1721" spans="1:36" x14ac:dyDescent="0.25">
      <c r="A1721">
        <v>11720</v>
      </c>
      <c r="B1721">
        <v>39</v>
      </c>
      <c r="C1721" s="1" t="s">
        <v>36</v>
      </c>
      <c r="D1721" s="1" t="s">
        <v>71</v>
      </c>
      <c r="E1721" s="2">
        <v>44550</v>
      </c>
      <c r="F1721" s="2">
        <v>44669</v>
      </c>
      <c r="G1721" s="1" t="s">
        <v>62</v>
      </c>
      <c r="H1721">
        <v>670</v>
      </c>
      <c r="I1721">
        <v>12</v>
      </c>
      <c r="J1721">
        <v>6</v>
      </c>
      <c r="K1721">
        <v>98.26</v>
      </c>
      <c r="L1721">
        <v>20</v>
      </c>
      <c r="M1721" s="1" t="s">
        <v>39</v>
      </c>
      <c r="N1721" s="1" t="s">
        <v>56</v>
      </c>
      <c r="O1721">
        <v>7906</v>
      </c>
      <c r="P1721" t="b">
        <v>1</v>
      </c>
      <c r="Q1721">
        <v>1</v>
      </c>
      <c r="R1721">
        <v>658.83333333333337</v>
      </c>
      <c r="S1721">
        <v>14.037142857142857</v>
      </c>
      <c r="T1721" s="2">
        <v>44531</v>
      </c>
      <c r="U1721" s="1" t="s">
        <v>51</v>
      </c>
      <c r="V1721">
        <v>0</v>
      </c>
      <c r="W1721" s="1" t="s">
        <v>56</v>
      </c>
      <c r="X1721">
        <v>119</v>
      </c>
      <c r="Y1721" s="1" t="s">
        <v>43</v>
      </c>
      <c r="Z1721" s="1" t="s">
        <v>52</v>
      </c>
      <c r="AA1721">
        <v>0.46153846153846156</v>
      </c>
      <c r="AB1721" s="1" t="s">
        <v>42</v>
      </c>
      <c r="AC1721">
        <v>2</v>
      </c>
      <c r="AD1721" s="2">
        <v>44531</v>
      </c>
      <c r="AE1721" s="1" t="s">
        <v>74</v>
      </c>
      <c r="AF1721" s="1" t="s">
        <v>78</v>
      </c>
      <c r="AG1721" s="1" t="s">
        <v>63</v>
      </c>
      <c r="AH1721" s="1" t="s">
        <v>64</v>
      </c>
      <c r="AI1721">
        <v>8040</v>
      </c>
      <c r="AJ1721">
        <v>-134</v>
      </c>
    </row>
    <row r="1722" spans="1:36" x14ac:dyDescent="0.25">
      <c r="A1722">
        <v>11721</v>
      </c>
      <c r="B1722">
        <v>34</v>
      </c>
      <c r="C1722" s="1" t="s">
        <v>36</v>
      </c>
      <c r="D1722" s="1" t="s">
        <v>69</v>
      </c>
      <c r="E1722" s="2">
        <v>44350</v>
      </c>
      <c r="F1722" s="2">
        <v>44665</v>
      </c>
      <c r="G1722" s="1" t="s">
        <v>38</v>
      </c>
      <c r="H1722">
        <v>750</v>
      </c>
      <c r="I1722">
        <v>10</v>
      </c>
      <c r="J1722">
        <v>0</v>
      </c>
      <c r="K1722">
        <v>62.59</v>
      </c>
      <c r="L1722">
        <v>0</v>
      </c>
      <c r="M1722" s="1" t="s">
        <v>67</v>
      </c>
      <c r="N1722" s="1" t="s">
        <v>40</v>
      </c>
      <c r="O1722">
        <v>7500</v>
      </c>
      <c r="P1722" t="b">
        <v>1</v>
      </c>
      <c r="Q1722">
        <v>0.83333333333333337</v>
      </c>
      <c r="R1722">
        <v>750</v>
      </c>
      <c r="S1722">
        <v>62.59</v>
      </c>
      <c r="T1722" s="2">
        <v>44348</v>
      </c>
      <c r="U1722" s="1" t="s">
        <v>57</v>
      </c>
      <c r="V1722">
        <v>1</v>
      </c>
      <c r="W1722" s="1" t="s">
        <v>56</v>
      </c>
      <c r="X1722">
        <v>315</v>
      </c>
      <c r="Y1722" s="1" t="s">
        <v>43</v>
      </c>
      <c r="Z1722" s="1" t="s">
        <v>42</v>
      </c>
      <c r="AA1722">
        <v>0</v>
      </c>
      <c r="AB1722" s="1" t="s">
        <v>42</v>
      </c>
      <c r="AC1722">
        <v>1</v>
      </c>
      <c r="AD1722" s="2">
        <v>44348</v>
      </c>
      <c r="AE1722" s="1" t="s">
        <v>74</v>
      </c>
      <c r="AF1722" s="1" t="s">
        <v>54</v>
      </c>
      <c r="AG1722" s="1" t="s">
        <v>63</v>
      </c>
      <c r="AH1722" s="1" t="s">
        <v>59</v>
      </c>
      <c r="AI1722">
        <v>7500</v>
      </c>
      <c r="AJ1722">
        <v>0</v>
      </c>
    </row>
    <row r="1723" spans="1:36" x14ac:dyDescent="0.25">
      <c r="A1723">
        <v>11722</v>
      </c>
      <c r="B1723">
        <v>27</v>
      </c>
      <c r="C1723" s="1" t="s">
        <v>60</v>
      </c>
      <c r="D1723" s="1" t="s">
        <v>48</v>
      </c>
      <c r="E1723" s="2">
        <v>44397</v>
      </c>
      <c r="F1723" s="2">
        <v>44913</v>
      </c>
      <c r="G1723" s="1" t="s">
        <v>38</v>
      </c>
      <c r="H1723">
        <v>466</v>
      </c>
      <c r="I1723">
        <v>2</v>
      </c>
      <c r="J1723">
        <v>3</v>
      </c>
      <c r="K1723">
        <v>28.23</v>
      </c>
      <c r="L1723">
        <v>20</v>
      </c>
      <c r="M1723" s="1" t="s">
        <v>65</v>
      </c>
      <c r="N1723" s="1" t="s">
        <v>56</v>
      </c>
      <c r="O1723">
        <v>838.8</v>
      </c>
      <c r="P1723" t="b">
        <v>1</v>
      </c>
      <c r="Q1723">
        <v>0.16666666666666666</v>
      </c>
      <c r="R1723">
        <v>419.4</v>
      </c>
      <c r="S1723">
        <v>7.0575000000000001</v>
      </c>
      <c r="T1723" s="2">
        <v>44378</v>
      </c>
      <c r="U1723" s="1" t="s">
        <v>57</v>
      </c>
      <c r="V1723">
        <v>0</v>
      </c>
      <c r="W1723" s="1" t="s">
        <v>56</v>
      </c>
      <c r="X1723">
        <v>516</v>
      </c>
      <c r="Y1723" s="1" t="s">
        <v>52</v>
      </c>
      <c r="Z1723" s="1" t="s">
        <v>52</v>
      </c>
      <c r="AA1723">
        <v>1</v>
      </c>
      <c r="AB1723" s="1" t="s">
        <v>42</v>
      </c>
      <c r="AC1723">
        <v>1</v>
      </c>
      <c r="AD1723" s="2">
        <v>44378</v>
      </c>
      <c r="AE1723" s="1" t="s">
        <v>58</v>
      </c>
      <c r="AF1723" s="1" t="s">
        <v>72</v>
      </c>
      <c r="AG1723" s="1" t="s">
        <v>70</v>
      </c>
      <c r="AH1723" s="1" t="s">
        <v>68</v>
      </c>
      <c r="AI1723">
        <v>932</v>
      </c>
      <c r="AJ1723">
        <v>-93.200000000000045</v>
      </c>
    </row>
    <row r="1724" spans="1:36" x14ac:dyDescent="0.25">
      <c r="A1724">
        <v>11723</v>
      </c>
      <c r="B1724">
        <v>18</v>
      </c>
      <c r="C1724" s="1" t="s">
        <v>60</v>
      </c>
      <c r="D1724" s="1" t="s">
        <v>69</v>
      </c>
      <c r="E1724" s="2">
        <v>45074</v>
      </c>
      <c r="F1724" s="2">
        <v>44746</v>
      </c>
      <c r="G1724" s="1" t="s">
        <v>38</v>
      </c>
      <c r="H1724">
        <v>691</v>
      </c>
      <c r="I1724">
        <v>18</v>
      </c>
      <c r="J1724">
        <v>4</v>
      </c>
      <c r="K1724">
        <v>80.64</v>
      </c>
      <c r="L1724">
        <v>15</v>
      </c>
      <c r="M1724" s="1" t="s">
        <v>50</v>
      </c>
      <c r="N1724" s="1" t="s">
        <v>56</v>
      </c>
      <c r="O1724">
        <v>12334.35</v>
      </c>
      <c r="P1724" t="b">
        <v>0</v>
      </c>
      <c r="Q1724">
        <v>1.5</v>
      </c>
      <c r="R1724">
        <v>685.24166666666667</v>
      </c>
      <c r="S1724">
        <v>16.128</v>
      </c>
      <c r="T1724" s="2">
        <v>45047</v>
      </c>
      <c r="U1724" s="1" t="s">
        <v>66</v>
      </c>
      <c r="V1724">
        <v>0</v>
      </c>
      <c r="W1724" s="1" t="s">
        <v>56</v>
      </c>
      <c r="Y1724" s="1" t="s">
        <v>43</v>
      </c>
      <c r="Z1724" s="1" t="s">
        <v>42</v>
      </c>
      <c r="AA1724">
        <v>0.21052631578947367</v>
      </c>
      <c r="AB1724" s="1" t="s">
        <v>52</v>
      </c>
      <c r="AC1724">
        <v>1</v>
      </c>
      <c r="AD1724" s="2">
        <v>45047</v>
      </c>
      <c r="AE1724" s="1" t="s">
        <v>53</v>
      </c>
      <c r="AF1724" s="1" t="s">
        <v>45</v>
      </c>
      <c r="AG1724" s="1" t="s">
        <v>63</v>
      </c>
      <c r="AH1724" s="1" t="s">
        <v>64</v>
      </c>
      <c r="AI1724">
        <v>12438</v>
      </c>
      <c r="AJ1724">
        <v>-103.64999999999964</v>
      </c>
    </row>
    <row r="1725" spans="1:36" x14ac:dyDescent="0.25">
      <c r="A1725">
        <v>11724</v>
      </c>
      <c r="B1725">
        <v>39</v>
      </c>
      <c r="C1725" s="1" t="s">
        <v>36</v>
      </c>
      <c r="D1725" s="1" t="s">
        <v>73</v>
      </c>
      <c r="E1725" s="2">
        <v>44311</v>
      </c>
      <c r="F1725" s="2">
        <v>45056</v>
      </c>
      <c r="G1725" s="1" t="s">
        <v>38</v>
      </c>
      <c r="H1725">
        <v>1035</v>
      </c>
      <c r="I1725">
        <v>13</v>
      </c>
      <c r="J1725">
        <v>3</v>
      </c>
      <c r="K1725">
        <v>56</v>
      </c>
      <c r="L1725">
        <v>0</v>
      </c>
      <c r="M1725" s="1" t="s">
        <v>50</v>
      </c>
      <c r="N1725" s="1" t="s">
        <v>56</v>
      </c>
      <c r="O1725">
        <v>13455</v>
      </c>
      <c r="P1725" t="b">
        <v>1</v>
      </c>
      <c r="Q1725">
        <v>1.0833333333333333</v>
      </c>
      <c r="R1725">
        <v>1035</v>
      </c>
      <c r="S1725">
        <v>14</v>
      </c>
      <c r="T1725" s="2">
        <v>44287</v>
      </c>
      <c r="U1725" s="1" t="s">
        <v>51</v>
      </c>
      <c r="V1725">
        <v>0</v>
      </c>
      <c r="W1725" s="1" t="s">
        <v>56</v>
      </c>
      <c r="X1725">
        <v>745</v>
      </c>
      <c r="Y1725" s="1" t="s">
        <v>52</v>
      </c>
      <c r="Z1725" s="1" t="s">
        <v>42</v>
      </c>
      <c r="AA1725">
        <v>0.21428571428571427</v>
      </c>
      <c r="AB1725" s="1" t="s">
        <v>52</v>
      </c>
      <c r="AC1725">
        <v>1</v>
      </c>
      <c r="AD1725" s="2">
        <v>44287</v>
      </c>
      <c r="AE1725" s="1" t="s">
        <v>53</v>
      </c>
      <c r="AF1725" s="1" t="s">
        <v>72</v>
      </c>
      <c r="AG1725" s="1" t="s">
        <v>63</v>
      </c>
      <c r="AH1725" s="1" t="s">
        <v>47</v>
      </c>
      <c r="AI1725">
        <v>13455</v>
      </c>
      <c r="AJ1725">
        <v>0</v>
      </c>
    </row>
    <row r="1726" spans="1:36" x14ac:dyDescent="0.25">
      <c r="A1726">
        <v>11725</v>
      </c>
      <c r="B1726">
        <v>43</v>
      </c>
      <c r="C1726" s="1" t="s">
        <v>60</v>
      </c>
      <c r="D1726" s="1" t="s">
        <v>61</v>
      </c>
      <c r="E1726" s="2">
        <v>44867</v>
      </c>
      <c r="F1726" s="2">
        <v>45246</v>
      </c>
      <c r="G1726" s="1" t="s">
        <v>49</v>
      </c>
      <c r="H1726">
        <v>790</v>
      </c>
      <c r="I1726">
        <v>29</v>
      </c>
      <c r="J1726">
        <v>3</v>
      </c>
      <c r="K1726">
        <v>38.43</v>
      </c>
      <c r="L1726">
        <v>20</v>
      </c>
      <c r="M1726" s="1" t="s">
        <v>50</v>
      </c>
      <c r="N1726" s="1" t="s">
        <v>56</v>
      </c>
      <c r="O1726">
        <v>22752</v>
      </c>
      <c r="P1726" t="b">
        <v>1</v>
      </c>
      <c r="Q1726">
        <v>2.4166666666666665</v>
      </c>
      <c r="R1726">
        <v>784.55172413793105</v>
      </c>
      <c r="S1726">
        <v>9.6074999999999999</v>
      </c>
      <c r="T1726" s="2">
        <v>44866</v>
      </c>
      <c r="U1726" s="1" t="s">
        <v>51</v>
      </c>
      <c r="V1726">
        <v>0</v>
      </c>
      <c r="W1726" s="1" t="s">
        <v>40</v>
      </c>
      <c r="X1726">
        <v>379</v>
      </c>
      <c r="Y1726" s="1" t="s">
        <v>52</v>
      </c>
      <c r="Z1726" s="1" t="s">
        <v>52</v>
      </c>
      <c r="AA1726">
        <v>0.1</v>
      </c>
      <c r="AB1726" s="1" t="s">
        <v>43</v>
      </c>
      <c r="AC1726">
        <v>3</v>
      </c>
      <c r="AD1726" s="2">
        <v>44866</v>
      </c>
      <c r="AE1726" s="1" t="s">
        <v>44</v>
      </c>
      <c r="AF1726" s="1" t="s">
        <v>72</v>
      </c>
      <c r="AG1726" s="1" t="s">
        <v>55</v>
      </c>
      <c r="AH1726" s="1" t="s">
        <v>59</v>
      </c>
      <c r="AI1726">
        <v>22910</v>
      </c>
      <c r="AJ1726">
        <v>-158</v>
      </c>
    </row>
    <row r="1727" spans="1:36" x14ac:dyDescent="0.25">
      <c r="A1727">
        <v>11726</v>
      </c>
      <c r="B1727">
        <v>35</v>
      </c>
      <c r="C1727" s="1" t="s">
        <v>36</v>
      </c>
      <c r="D1727" s="1" t="s">
        <v>71</v>
      </c>
      <c r="E1727" s="2">
        <v>44750</v>
      </c>
      <c r="F1727" s="2">
        <v>44640</v>
      </c>
      <c r="G1727" s="1" t="s">
        <v>38</v>
      </c>
      <c r="H1727">
        <v>1224</v>
      </c>
      <c r="I1727">
        <v>24</v>
      </c>
      <c r="J1727">
        <v>0</v>
      </c>
      <c r="K1727">
        <v>53.14</v>
      </c>
      <c r="L1727">
        <v>20</v>
      </c>
      <c r="M1727" s="1" t="s">
        <v>50</v>
      </c>
      <c r="N1727" s="1" t="s">
        <v>40</v>
      </c>
      <c r="O1727">
        <v>29131.200000000001</v>
      </c>
      <c r="P1727" t="b">
        <v>0</v>
      </c>
      <c r="Q1727">
        <v>2</v>
      </c>
      <c r="R1727">
        <v>1213.8</v>
      </c>
      <c r="S1727">
        <v>53.14</v>
      </c>
      <c r="T1727" s="2">
        <v>44743</v>
      </c>
      <c r="U1727" s="1" t="s">
        <v>57</v>
      </c>
      <c r="V1727">
        <v>1</v>
      </c>
      <c r="W1727" s="1" t="s">
        <v>40</v>
      </c>
      <c r="Y1727" s="1" t="s">
        <v>52</v>
      </c>
      <c r="Z1727" s="1" t="s">
        <v>52</v>
      </c>
      <c r="AA1727">
        <v>0</v>
      </c>
      <c r="AB1727" s="1" t="s">
        <v>43</v>
      </c>
      <c r="AC1727">
        <v>1</v>
      </c>
      <c r="AD1727" s="2">
        <v>44743</v>
      </c>
      <c r="AE1727" s="1" t="s">
        <v>53</v>
      </c>
      <c r="AF1727" s="1" t="s">
        <v>54</v>
      </c>
      <c r="AG1727" s="1" t="s">
        <v>63</v>
      </c>
      <c r="AH1727" s="1" t="s">
        <v>47</v>
      </c>
      <c r="AI1727">
        <v>29376</v>
      </c>
      <c r="AJ1727">
        <v>-244.79999999999927</v>
      </c>
    </row>
    <row r="1728" spans="1:36" x14ac:dyDescent="0.25">
      <c r="A1728">
        <v>11727</v>
      </c>
      <c r="B1728">
        <v>31</v>
      </c>
      <c r="C1728" s="1" t="s">
        <v>60</v>
      </c>
      <c r="D1728" s="1" t="s">
        <v>37</v>
      </c>
      <c r="E1728" s="2">
        <v>44955</v>
      </c>
      <c r="F1728" s="2">
        <v>44640</v>
      </c>
      <c r="G1728" s="1" t="s">
        <v>38</v>
      </c>
      <c r="H1728">
        <v>1473</v>
      </c>
      <c r="I1728">
        <v>12</v>
      </c>
      <c r="J1728">
        <v>0</v>
      </c>
      <c r="K1728">
        <v>56.2</v>
      </c>
      <c r="L1728">
        <v>0</v>
      </c>
      <c r="M1728" s="1" t="s">
        <v>65</v>
      </c>
      <c r="N1728" s="1" t="s">
        <v>56</v>
      </c>
      <c r="O1728">
        <v>17676</v>
      </c>
      <c r="P1728" t="b">
        <v>0</v>
      </c>
      <c r="Q1728">
        <v>1</v>
      </c>
      <c r="R1728">
        <v>1473</v>
      </c>
      <c r="S1728">
        <v>56.2</v>
      </c>
      <c r="T1728" s="2">
        <v>44927</v>
      </c>
      <c r="U1728" s="1" t="s">
        <v>57</v>
      </c>
      <c r="V1728">
        <v>0</v>
      </c>
      <c r="W1728" s="1" t="s">
        <v>40</v>
      </c>
      <c r="Y1728" s="1" t="s">
        <v>52</v>
      </c>
      <c r="Z1728" s="1" t="s">
        <v>42</v>
      </c>
      <c r="AA1728">
        <v>0</v>
      </c>
      <c r="AB1728" s="1" t="s">
        <v>52</v>
      </c>
      <c r="AC1728">
        <v>1</v>
      </c>
      <c r="AD1728" s="2">
        <v>44927</v>
      </c>
      <c r="AE1728" s="1" t="s">
        <v>74</v>
      </c>
      <c r="AF1728" s="1" t="s">
        <v>54</v>
      </c>
      <c r="AG1728" s="1" t="s">
        <v>63</v>
      </c>
      <c r="AH1728" s="1" t="s">
        <v>47</v>
      </c>
      <c r="AI1728">
        <v>17676</v>
      </c>
      <c r="AJ1728">
        <v>0</v>
      </c>
    </row>
    <row r="1729" spans="1:36" x14ac:dyDescent="0.25">
      <c r="A1729">
        <v>11728</v>
      </c>
      <c r="B1729">
        <v>41</v>
      </c>
      <c r="C1729" s="1" t="s">
        <v>60</v>
      </c>
      <c r="D1729" s="1" t="s">
        <v>76</v>
      </c>
      <c r="E1729" s="2">
        <v>44264</v>
      </c>
      <c r="F1729" s="2">
        <v>44832</v>
      </c>
      <c r="G1729" s="1" t="s">
        <v>62</v>
      </c>
      <c r="H1729">
        <v>1366</v>
      </c>
      <c r="I1729">
        <v>29</v>
      </c>
      <c r="J1729">
        <v>2</v>
      </c>
      <c r="K1729">
        <v>109.71</v>
      </c>
      <c r="L1729">
        <v>20</v>
      </c>
      <c r="M1729" s="1" t="s">
        <v>67</v>
      </c>
      <c r="N1729" s="1" t="s">
        <v>56</v>
      </c>
      <c r="O1729">
        <v>39340.800000000003</v>
      </c>
      <c r="P1729" t="b">
        <v>1</v>
      </c>
      <c r="Q1729">
        <v>2.4166666666666665</v>
      </c>
      <c r="R1729">
        <v>1356.5793103448277</v>
      </c>
      <c r="S1729">
        <v>36.57</v>
      </c>
      <c r="T1729" s="2">
        <v>44256</v>
      </c>
      <c r="U1729" s="1" t="s">
        <v>51</v>
      </c>
      <c r="V1729">
        <v>0</v>
      </c>
      <c r="W1729" s="1" t="s">
        <v>40</v>
      </c>
      <c r="X1729">
        <v>568</v>
      </c>
      <c r="Y1729" s="1" t="s">
        <v>43</v>
      </c>
      <c r="Z1729" s="1" t="s">
        <v>52</v>
      </c>
      <c r="AA1729">
        <v>6.6666666666666666E-2</v>
      </c>
      <c r="AB1729" s="1" t="s">
        <v>43</v>
      </c>
      <c r="AC1729">
        <v>2</v>
      </c>
      <c r="AD1729" s="2">
        <v>44256</v>
      </c>
      <c r="AE1729" s="1" t="s">
        <v>44</v>
      </c>
      <c r="AF1729" s="1" t="s">
        <v>72</v>
      </c>
      <c r="AG1729" s="1" t="s">
        <v>63</v>
      </c>
      <c r="AH1729" s="1" t="s">
        <v>47</v>
      </c>
      <c r="AI1729">
        <v>39614</v>
      </c>
      <c r="AJ1729">
        <v>-273.19999999999709</v>
      </c>
    </row>
    <row r="1730" spans="1:36" x14ac:dyDescent="0.25">
      <c r="A1730">
        <v>11729</v>
      </c>
      <c r="B1730">
        <v>46</v>
      </c>
      <c r="C1730" s="1" t="s">
        <v>60</v>
      </c>
      <c r="D1730" s="1" t="s">
        <v>37</v>
      </c>
      <c r="E1730" s="2">
        <v>44641</v>
      </c>
      <c r="F1730" s="2">
        <v>45246</v>
      </c>
      <c r="G1730" s="1" t="s">
        <v>62</v>
      </c>
      <c r="H1730">
        <v>1244</v>
      </c>
      <c r="I1730">
        <v>22</v>
      </c>
      <c r="J1730">
        <v>2</v>
      </c>
      <c r="K1730">
        <v>16.899999999999999</v>
      </c>
      <c r="L1730">
        <v>0</v>
      </c>
      <c r="M1730" s="1" t="s">
        <v>67</v>
      </c>
      <c r="N1730" s="1" t="s">
        <v>56</v>
      </c>
      <c r="O1730">
        <v>27368</v>
      </c>
      <c r="P1730" t="b">
        <v>1</v>
      </c>
      <c r="Q1730">
        <v>1.8333333333333333</v>
      </c>
      <c r="R1730">
        <v>1244</v>
      </c>
      <c r="S1730">
        <v>5.6333333333333329</v>
      </c>
      <c r="T1730" s="2">
        <v>44621</v>
      </c>
      <c r="U1730" s="1" t="s">
        <v>51</v>
      </c>
      <c r="V1730">
        <v>0</v>
      </c>
      <c r="W1730" s="1" t="s">
        <v>40</v>
      </c>
      <c r="X1730">
        <v>605</v>
      </c>
      <c r="Y1730" s="1" t="s">
        <v>42</v>
      </c>
      <c r="Z1730" s="1" t="s">
        <v>42</v>
      </c>
      <c r="AA1730">
        <v>8.6956521739130432E-2</v>
      </c>
      <c r="AB1730" s="1" t="s">
        <v>43</v>
      </c>
      <c r="AC1730">
        <v>2</v>
      </c>
      <c r="AD1730" s="2">
        <v>44621</v>
      </c>
      <c r="AE1730" s="1" t="s">
        <v>53</v>
      </c>
      <c r="AF1730" s="1" t="s">
        <v>72</v>
      </c>
      <c r="AG1730" s="1" t="s">
        <v>46</v>
      </c>
      <c r="AH1730" s="1" t="s">
        <v>47</v>
      </c>
      <c r="AI1730">
        <v>27368</v>
      </c>
      <c r="AJ1730">
        <v>0</v>
      </c>
    </row>
    <row r="1731" spans="1:36" x14ac:dyDescent="0.25">
      <c r="A1731">
        <v>11730</v>
      </c>
      <c r="B1731">
        <v>29</v>
      </c>
      <c r="C1731" s="1" t="s">
        <v>60</v>
      </c>
      <c r="D1731" s="1" t="s">
        <v>76</v>
      </c>
      <c r="E1731" s="2">
        <v>44641</v>
      </c>
      <c r="F1731" s="2">
        <v>44794</v>
      </c>
      <c r="G1731" s="1" t="s">
        <v>38</v>
      </c>
      <c r="H1731">
        <v>328</v>
      </c>
      <c r="I1731">
        <v>1</v>
      </c>
      <c r="J1731">
        <v>0</v>
      </c>
      <c r="K1731">
        <v>37.17</v>
      </c>
      <c r="L1731">
        <v>5</v>
      </c>
      <c r="M1731" s="1" t="s">
        <v>65</v>
      </c>
      <c r="N1731" s="1" t="s">
        <v>56</v>
      </c>
      <c r="O1731">
        <v>311.60000000000002</v>
      </c>
      <c r="P1731" t="b">
        <v>1</v>
      </c>
      <c r="Q1731">
        <v>8.3333333333333329E-2</v>
      </c>
      <c r="R1731">
        <v>311.60000000000002</v>
      </c>
      <c r="S1731">
        <v>37.17</v>
      </c>
      <c r="T1731" s="2">
        <v>44621</v>
      </c>
      <c r="U1731" s="1" t="s">
        <v>57</v>
      </c>
      <c r="V1731">
        <v>0</v>
      </c>
      <c r="W1731" s="1" t="s">
        <v>56</v>
      </c>
      <c r="X1731">
        <v>153</v>
      </c>
      <c r="Y1731" s="1" t="s">
        <v>52</v>
      </c>
      <c r="Z1731" s="1" t="s">
        <v>42</v>
      </c>
      <c r="AA1731">
        <v>0</v>
      </c>
      <c r="AB1731" s="1" t="s">
        <v>42</v>
      </c>
      <c r="AC1731">
        <v>1</v>
      </c>
      <c r="AD1731" s="2">
        <v>44621</v>
      </c>
      <c r="AE1731" s="1" t="s">
        <v>58</v>
      </c>
      <c r="AF1731" s="1" t="s">
        <v>54</v>
      </c>
      <c r="AG1731" s="1" t="s">
        <v>55</v>
      </c>
      <c r="AH1731" s="1" t="s">
        <v>68</v>
      </c>
      <c r="AI1731">
        <v>328</v>
      </c>
      <c r="AJ1731">
        <v>-16.399999999999977</v>
      </c>
    </row>
    <row r="1732" spans="1:36" x14ac:dyDescent="0.25">
      <c r="A1732">
        <v>11731</v>
      </c>
      <c r="B1732">
        <v>53</v>
      </c>
      <c r="C1732" s="1" t="s">
        <v>36</v>
      </c>
      <c r="D1732" s="1" t="s">
        <v>71</v>
      </c>
      <c r="E1732" s="2">
        <v>44522</v>
      </c>
      <c r="F1732" s="2">
        <v>45150</v>
      </c>
      <c r="G1732" s="1" t="s">
        <v>62</v>
      </c>
      <c r="H1732">
        <v>1354</v>
      </c>
      <c r="I1732">
        <v>34</v>
      </c>
      <c r="J1732">
        <v>1</v>
      </c>
      <c r="K1732">
        <v>66.819999999999993</v>
      </c>
      <c r="L1732">
        <v>10</v>
      </c>
      <c r="M1732" s="1" t="s">
        <v>67</v>
      </c>
      <c r="N1732" s="1" t="s">
        <v>56</v>
      </c>
      <c r="O1732">
        <v>45900.6</v>
      </c>
      <c r="P1732" t="b">
        <v>1</v>
      </c>
      <c r="Q1732">
        <v>2.8333333333333335</v>
      </c>
      <c r="R1732">
        <v>1350.0176470588235</v>
      </c>
      <c r="S1732">
        <v>33.409999999999997</v>
      </c>
      <c r="T1732" s="2">
        <v>44501</v>
      </c>
      <c r="U1732" s="1" t="s">
        <v>41</v>
      </c>
      <c r="V1732">
        <v>0</v>
      </c>
      <c r="W1732" s="1" t="s">
        <v>40</v>
      </c>
      <c r="X1732">
        <v>628</v>
      </c>
      <c r="Y1732" s="1" t="s">
        <v>43</v>
      </c>
      <c r="Z1732" s="1" t="s">
        <v>42</v>
      </c>
      <c r="AA1732">
        <v>2.8571428571428571E-2</v>
      </c>
      <c r="AB1732" s="1" t="s">
        <v>43</v>
      </c>
      <c r="AC1732">
        <v>2</v>
      </c>
      <c r="AD1732" s="2">
        <v>44501</v>
      </c>
      <c r="AE1732" s="1" t="s">
        <v>44</v>
      </c>
      <c r="AF1732" s="1" t="s">
        <v>54</v>
      </c>
      <c r="AG1732" s="1" t="s">
        <v>63</v>
      </c>
      <c r="AH1732" s="1" t="s">
        <v>47</v>
      </c>
      <c r="AI1732">
        <v>46036</v>
      </c>
      <c r="AJ1732">
        <v>-135.40000000000146</v>
      </c>
    </row>
    <row r="1733" spans="1:36" x14ac:dyDescent="0.25">
      <c r="A1733">
        <v>11732</v>
      </c>
      <c r="B1733">
        <v>52</v>
      </c>
      <c r="C1733" s="1" t="s">
        <v>36</v>
      </c>
      <c r="D1733" s="1" t="s">
        <v>69</v>
      </c>
      <c r="E1733" s="2">
        <v>45042</v>
      </c>
      <c r="F1733" s="2">
        <v>45039</v>
      </c>
      <c r="G1733" s="1" t="s">
        <v>62</v>
      </c>
      <c r="H1733">
        <v>992</v>
      </c>
      <c r="I1733">
        <v>34</v>
      </c>
      <c r="J1733">
        <v>0</v>
      </c>
      <c r="K1733">
        <v>85.3</v>
      </c>
      <c r="L1733">
        <v>10</v>
      </c>
      <c r="M1733" s="1" t="s">
        <v>67</v>
      </c>
      <c r="N1733" s="1" t="s">
        <v>56</v>
      </c>
      <c r="O1733">
        <v>33678.400000000001</v>
      </c>
      <c r="P1733" t="b">
        <v>0</v>
      </c>
      <c r="Q1733">
        <v>2.8333333333333335</v>
      </c>
      <c r="R1733">
        <v>990.54117647058831</v>
      </c>
      <c r="S1733">
        <v>85.3</v>
      </c>
      <c r="T1733" s="2">
        <v>45017</v>
      </c>
      <c r="U1733" s="1" t="s">
        <v>41</v>
      </c>
      <c r="V1733">
        <v>0</v>
      </c>
      <c r="W1733" s="1" t="s">
        <v>40</v>
      </c>
      <c r="Y1733" s="1" t="s">
        <v>43</v>
      </c>
      <c r="Z1733" s="1" t="s">
        <v>42</v>
      </c>
      <c r="AA1733">
        <v>0</v>
      </c>
      <c r="AB1733" s="1" t="s">
        <v>43</v>
      </c>
      <c r="AC1733">
        <v>2</v>
      </c>
      <c r="AD1733" s="2">
        <v>45017</v>
      </c>
      <c r="AE1733" s="1" t="s">
        <v>44</v>
      </c>
      <c r="AF1733" s="1" t="s">
        <v>54</v>
      </c>
      <c r="AG1733" s="1" t="s">
        <v>63</v>
      </c>
      <c r="AH1733" s="1" t="s">
        <v>59</v>
      </c>
      <c r="AI1733">
        <v>33728</v>
      </c>
      <c r="AJ1733">
        <v>-49.599999999998545</v>
      </c>
    </row>
    <row r="1734" spans="1:36" x14ac:dyDescent="0.25">
      <c r="A1734">
        <v>11733</v>
      </c>
      <c r="B1734">
        <v>29</v>
      </c>
      <c r="C1734" s="1" t="s">
        <v>36</v>
      </c>
      <c r="D1734" s="1" t="s">
        <v>73</v>
      </c>
      <c r="E1734" s="2">
        <v>44904</v>
      </c>
      <c r="F1734" s="2">
        <v>45239</v>
      </c>
      <c r="G1734" s="1" t="s">
        <v>38</v>
      </c>
      <c r="H1734">
        <v>427</v>
      </c>
      <c r="I1734">
        <v>33</v>
      </c>
      <c r="J1734">
        <v>6</v>
      </c>
      <c r="K1734">
        <v>77.52</v>
      </c>
      <c r="L1734">
        <v>0</v>
      </c>
      <c r="M1734" s="1" t="s">
        <v>39</v>
      </c>
      <c r="N1734" s="1" t="s">
        <v>40</v>
      </c>
      <c r="O1734">
        <v>14091</v>
      </c>
      <c r="P1734" t="b">
        <v>1</v>
      </c>
      <c r="Q1734">
        <v>2.75</v>
      </c>
      <c r="R1734">
        <v>427</v>
      </c>
      <c r="S1734">
        <v>11.074285714285713</v>
      </c>
      <c r="T1734" s="2">
        <v>44896</v>
      </c>
      <c r="U1734" s="1" t="s">
        <v>57</v>
      </c>
      <c r="V1734">
        <v>1</v>
      </c>
      <c r="W1734" s="1" t="s">
        <v>40</v>
      </c>
      <c r="X1734">
        <v>335</v>
      </c>
      <c r="Y1734" s="1" t="s">
        <v>43</v>
      </c>
      <c r="Z1734" s="1" t="s">
        <v>42</v>
      </c>
      <c r="AA1734">
        <v>0.17647058823529413</v>
      </c>
      <c r="AB1734" s="1" t="s">
        <v>52</v>
      </c>
      <c r="AC1734">
        <v>1</v>
      </c>
      <c r="AD1734" s="2">
        <v>44896</v>
      </c>
      <c r="AE1734" s="1" t="s">
        <v>44</v>
      </c>
      <c r="AF1734" s="1" t="s">
        <v>78</v>
      </c>
      <c r="AG1734" s="1" t="s">
        <v>63</v>
      </c>
      <c r="AH1734" s="1" t="s">
        <v>68</v>
      </c>
      <c r="AI1734">
        <v>14091</v>
      </c>
      <c r="AJ1734">
        <v>0</v>
      </c>
    </row>
    <row r="1735" spans="1:36" x14ac:dyDescent="0.25">
      <c r="A1735">
        <v>11734</v>
      </c>
      <c r="B1735">
        <v>24</v>
      </c>
      <c r="C1735" s="1" t="s">
        <v>60</v>
      </c>
      <c r="D1735" s="1" t="s">
        <v>37</v>
      </c>
      <c r="E1735" s="2">
        <v>44798</v>
      </c>
      <c r="F1735" s="2">
        <v>44759</v>
      </c>
      <c r="G1735" s="1" t="s">
        <v>38</v>
      </c>
      <c r="H1735">
        <v>1066</v>
      </c>
      <c r="I1735">
        <v>4</v>
      </c>
      <c r="J1735">
        <v>2</v>
      </c>
      <c r="K1735">
        <v>113.29</v>
      </c>
      <c r="L1735">
        <v>15</v>
      </c>
      <c r="M1735" s="1" t="s">
        <v>65</v>
      </c>
      <c r="N1735" s="1" t="s">
        <v>40</v>
      </c>
      <c r="O1735">
        <v>4104.1000000000004</v>
      </c>
      <c r="P1735" t="b">
        <v>0</v>
      </c>
      <c r="Q1735">
        <v>0.33333333333333331</v>
      </c>
      <c r="R1735">
        <v>1026.0250000000001</v>
      </c>
      <c r="S1735">
        <v>37.763333333333335</v>
      </c>
      <c r="T1735" s="2">
        <v>44774</v>
      </c>
      <c r="U1735" s="1" t="s">
        <v>66</v>
      </c>
      <c r="V1735">
        <v>1</v>
      </c>
      <c r="W1735" s="1" t="s">
        <v>56</v>
      </c>
      <c r="Y1735" s="1" t="s">
        <v>43</v>
      </c>
      <c r="Z1735" s="1" t="s">
        <v>42</v>
      </c>
      <c r="AA1735">
        <v>0.4</v>
      </c>
      <c r="AB1735" s="1" t="s">
        <v>42</v>
      </c>
      <c r="AC1735">
        <v>1</v>
      </c>
      <c r="AD1735" s="2">
        <v>44774</v>
      </c>
      <c r="AE1735" s="1" t="s">
        <v>58</v>
      </c>
      <c r="AF1735" s="1" t="s">
        <v>72</v>
      </c>
      <c r="AG1735" s="1" t="s">
        <v>63</v>
      </c>
      <c r="AH1735" s="1" t="s">
        <v>47</v>
      </c>
      <c r="AI1735">
        <v>4264</v>
      </c>
      <c r="AJ1735">
        <v>-159.89999999999964</v>
      </c>
    </row>
    <row r="1736" spans="1:36" x14ac:dyDescent="0.25">
      <c r="A1736">
        <v>11735</v>
      </c>
      <c r="B1736">
        <v>46</v>
      </c>
      <c r="C1736" s="1" t="s">
        <v>36</v>
      </c>
      <c r="D1736" s="1" t="s">
        <v>37</v>
      </c>
      <c r="E1736" s="2">
        <v>44819</v>
      </c>
      <c r="F1736" s="2">
        <v>44855</v>
      </c>
      <c r="G1736" s="1" t="s">
        <v>49</v>
      </c>
      <c r="H1736">
        <v>740</v>
      </c>
      <c r="I1736">
        <v>30</v>
      </c>
      <c r="J1736">
        <v>5</v>
      </c>
      <c r="K1736">
        <v>96.5</v>
      </c>
      <c r="L1736">
        <v>15</v>
      </c>
      <c r="M1736" s="1" t="s">
        <v>67</v>
      </c>
      <c r="N1736" s="1" t="s">
        <v>56</v>
      </c>
      <c r="O1736">
        <v>22089</v>
      </c>
      <c r="P1736" t="b">
        <v>1</v>
      </c>
      <c r="Q1736">
        <v>2.5</v>
      </c>
      <c r="R1736">
        <v>736.3</v>
      </c>
      <c r="S1736">
        <v>16.083333333333332</v>
      </c>
      <c r="T1736" s="2">
        <v>44805</v>
      </c>
      <c r="U1736" s="1" t="s">
        <v>51</v>
      </c>
      <c r="V1736">
        <v>0</v>
      </c>
      <c r="W1736" s="1" t="s">
        <v>40</v>
      </c>
      <c r="X1736">
        <v>36</v>
      </c>
      <c r="Y1736" s="1" t="s">
        <v>43</v>
      </c>
      <c r="Z1736" s="1" t="s">
        <v>42</v>
      </c>
      <c r="AA1736">
        <v>0.16129032258064516</v>
      </c>
      <c r="AB1736" s="1" t="s">
        <v>43</v>
      </c>
      <c r="AC1736">
        <v>3</v>
      </c>
      <c r="AD1736" s="2">
        <v>44805</v>
      </c>
      <c r="AE1736" s="1" t="s">
        <v>44</v>
      </c>
      <c r="AF1736" s="1" t="s">
        <v>45</v>
      </c>
      <c r="AG1736" s="1" t="s">
        <v>63</v>
      </c>
      <c r="AH1736" s="1" t="s">
        <v>59</v>
      </c>
      <c r="AI1736">
        <v>22200</v>
      </c>
      <c r="AJ1736">
        <v>-111</v>
      </c>
    </row>
    <row r="1737" spans="1:36" x14ac:dyDescent="0.25">
      <c r="A1737">
        <v>11736</v>
      </c>
      <c r="B1737">
        <v>28</v>
      </c>
      <c r="C1737" s="1" t="s">
        <v>36</v>
      </c>
      <c r="D1737" s="1" t="s">
        <v>69</v>
      </c>
      <c r="E1737" s="2">
        <v>45076</v>
      </c>
      <c r="F1737" s="2">
        <v>45081</v>
      </c>
      <c r="G1737" s="1" t="s">
        <v>49</v>
      </c>
      <c r="H1737">
        <v>1168</v>
      </c>
      <c r="I1737">
        <v>20</v>
      </c>
      <c r="J1737">
        <v>4</v>
      </c>
      <c r="K1737">
        <v>69.06</v>
      </c>
      <c r="L1737">
        <v>10</v>
      </c>
      <c r="M1737" s="1" t="s">
        <v>39</v>
      </c>
      <c r="N1737" s="1" t="s">
        <v>40</v>
      </c>
      <c r="O1737">
        <v>23243.200000000001</v>
      </c>
      <c r="P1737" t="b">
        <v>1</v>
      </c>
      <c r="Q1737">
        <v>1.6666666666666667</v>
      </c>
      <c r="R1737">
        <v>1162.1600000000001</v>
      </c>
      <c r="S1737">
        <v>13.812000000000001</v>
      </c>
      <c r="T1737" s="2">
        <v>45047</v>
      </c>
      <c r="U1737" s="1" t="s">
        <v>57</v>
      </c>
      <c r="V1737">
        <v>1</v>
      </c>
      <c r="W1737" s="1" t="s">
        <v>40</v>
      </c>
      <c r="X1737">
        <v>5</v>
      </c>
      <c r="Y1737" s="1" t="s">
        <v>43</v>
      </c>
      <c r="Z1737" s="1" t="s">
        <v>42</v>
      </c>
      <c r="AA1737">
        <v>0.19047619047619047</v>
      </c>
      <c r="AB1737" s="1" t="s">
        <v>43</v>
      </c>
      <c r="AC1737">
        <v>3</v>
      </c>
      <c r="AD1737" s="2">
        <v>45047</v>
      </c>
      <c r="AE1737" s="1" t="s">
        <v>53</v>
      </c>
      <c r="AF1737" s="1" t="s">
        <v>45</v>
      </c>
      <c r="AG1737" s="1" t="s">
        <v>63</v>
      </c>
      <c r="AH1737" s="1" t="s">
        <v>47</v>
      </c>
      <c r="AI1737">
        <v>23360</v>
      </c>
      <c r="AJ1737">
        <v>-116.79999999999927</v>
      </c>
    </row>
    <row r="1738" spans="1:36" x14ac:dyDescent="0.25">
      <c r="A1738">
        <v>11737</v>
      </c>
      <c r="B1738">
        <v>50</v>
      </c>
      <c r="C1738" s="1" t="s">
        <v>36</v>
      </c>
      <c r="D1738" s="1" t="s">
        <v>71</v>
      </c>
      <c r="E1738" s="2">
        <v>44555</v>
      </c>
      <c r="F1738" s="2">
        <v>45133</v>
      </c>
      <c r="G1738" s="1" t="s">
        <v>62</v>
      </c>
      <c r="H1738">
        <v>823</v>
      </c>
      <c r="I1738">
        <v>26</v>
      </c>
      <c r="J1738">
        <v>1</v>
      </c>
      <c r="K1738">
        <v>29.69</v>
      </c>
      <c r="L1738">
        <v>0</v>
      </c>
      <c r="M1738" s="1" t="s">
        <v>65</v>
      </c>
      <c r="N1738" s="1" t="s">
        <v>56</v>
      </c>
      <c r="O1738">
        <v>21398</v>
      </c>
      <c r="P1738" t="b">
        <v>1</v>
      </c>
      <c r="Q1738">
        <v>2.1666666666666665</v>
      </c>
      <c r="R1738">
        <v>823</v>
      </c>
      <c r="S1738">
        <v>14.845000000000001</v>
      </c>
      <c r="T1738" s="2">
        <v>44531</v>
      </c>
      <c r="U1738" s="1" t="s">
        <v>51</v>
      </c>
      <c r="V1738">
        <v>0</v>
      </c>
      <c r="W1738" s="1" t="s">
        <v>40</v>
      </c>
      <c r="X1738">
        <v>578</v>
      </c>
      <c r="Y1738" s="1" t="s">
        <v>52</v>
      </c>
      <c r="Z1738" s="1" t="s">
        <v>42</v>
      </c>
      <c r="AA1738">
        <v>3.7037037037037035E-2</v>
      </c>
      <c r="AB1738" s="1" t="s">
        <v>43</v>
      </c>
      <c r="AC1738">
        <v>2</v>
      </c>
      <c r="AD1738" s="2">
        <v>44531</v>
      </c>
      <c r="AE1738" s="1" t="s">
        <v>44</v>
      </c>
      <c r="AF1738" s="1" t="s">
        <v>54</v>
      </c>
      <c r="AG1738" s="1" t="s">
        <v>70</v>
      </c>
      <c r="AH1738" s="1" t="s">
        <v>59</v>
      </c>
      <c r="AI1738">
        <v>21398</v>
      </c>
      <c r="AJ1738">
        <v>0</v>
      </c>
    </row>
    <row r="1739" spans="1:36" x14ac:dyDescent="0.25">
      <c r="A1739">
        <v>11738</v>
      </c>
      <c r="B1739">
        <v>23</v>
      </c>
      <c r="C1739" s="1" t="s">
        <v>60</v>
      </c>
      <c r="D1739" s="1" t="s">
        <v>37</v>
      </c>
      <c r="E1739" s="2">
        <v>44341</v>
      </c>
      <c r="F1739" s="2">
        <v>45237</v>
      </c>
      <c r="G1739" s="1" t="s">
        <v>38</v>
      </c>
      <c r="H1739">
        <v>1059</v>
      </c>
      <c r="I1739">
        <v>15</v>
      </c>
      <c r="J1739">
        <v>4</v>
      </c>
      <c r="K1739">
        <v>56.85</v>
      </c>
      <c r="L1739">
        <v>20</v>
      </c>
      <c r="M1739" s="1" t="s">
        <v>65</v>
      </c>
      <c r="N1739" s="1" t="s">
        <v>56</v>
      </c>
      <c r="O1739">
        <v>15673.2</v>
      </c>
      <c r="P1739" t="b">
        <v>1</v>
      </c>
      <c r="Q1739">
        <v>1.25</v>
      </c>
      <c r="R1739">
        <v>1044.8800000000001</v>
      </c>
      <c r="S1739">
        <v>11.370000000000001</v>
      </c>
      <c r="T1739" s="2">
        <v>44317</v>
      </c>
      <c r="U1739" s="1" t="s">
        <v>66</v>
      </c>
      <c r="V1739">
        <v>0</v>
      </c>
      <c r="W1739" s="1" t="s">
        <v>40</v>
      </c>
      <c r="X1739">
        <v>896</v>
      </c>
      <c r="Y1739" s="1" t="s">
        <v>52</v>
      </c>
      <c r="Z1739" s="1" t="s">
        <v>52</v>
      </c>
      <c r="AA1739">
        <v>0.25</v>
      </c>
      <c r="AB1739" s="1" t="s">
        <v>52</v>
      </c>
      <c r="AC1739">
        <v>1</v>
      </c>
      <c r="AD1739" s="2">
        <v>44317</v>
      </c>
      <c r="AE1739" s="1" t="s">
        <v>53</v>
      </c>
      <c r="AF1739" s="1" t="s">
        <v>45</v>
      </c>
      <c r="AG1739" s="1" t="s">
        <v>63</v>
      </c>
      <c r="AH1739" s="1" t="s">
        <v>47</v>
      </c>
      <c r="AI1739">
        <v>15885</v>
      </c>
      <c r="AJ1739">
        <v>-211.79999999999927</v>
      </c>
    </row>
    <row r="1740" spans="1:36" x14ac:dyDescent="0.25">
      <c r="A1740">
        <v>11739</v>
      </c>
      <c r="B1740">
        <v>64</v>
      </c>
      <c r="C1740" s="1" t="s">
        <v>60</v>
      </c>
      <c r="D1740" s="1" t="s">
        <v>76</v>
      </c>
      <c r="E1740" s="2">
        <v>44471</v>
      </c>
      <c r="F1740" s="2">
        <v>44591</v>
      </c>
      <c r="G1740" s="1" t="s">
        <v>38</v>
      </c>
      <c r="H1740">
        <v>409</v>
      </c>
      <c r="I1740">
        <v>7</v>
      </c>
      <c r="J1740">
        <v>4</v>
      </c>
      <c r="K1740">
        <v>84.74</v>
      </c>
      <c r="L1740">
        <v>5</v>
      </c>
      <c r="M1740" s="1" t="s">
        <v>50</v>
      </c>
      <c r="N1740" s="1" t="s">
        <v>56</v>
      </c>
      <c r="O1740">
        <v>2842.55</v>
      </c>
      <c r="P1740" t="b">
        <v>1</v>
      </c>
      <c r="Q1740">
        <v>0.58333333333333337</v>
      </c>
      <c r="R1740">
        <v>406.07857142857148</v>
      </c>
      <c r="S1740">
        <v>16.948</v>
      </c>
      <c r="T1740" s="2">
        <v>44470</v>
      </c>
      <c r="U1740" s="1" t="s">
        <v>41</v>
      </c>
      <c r="V1740">
        <v>0</v>
      </c>
      <c r="W1740" s="1" t="s">
        <v>56</v>
      </c>
      <c r="X1740">
        <v>120</v>
      </c>
      <c r="Y1740" s="1" t="s">
        <v>43</v>
      </c>
      <c r="Z1740" s="1" t="s">
        <v>42</v>
      </c>
      <c r="AA1740">
        <v>0.5</v>
      </c>
      <c r="AB1740" s="1" t="s">
        <v>42</v>
      </c>
      <c r="AC1740">
        <v>1</v>
      </c>
      <c r="AD1740" s="2">
        <v>44470</v>
      </c>
      <c r="AE1740" s="1" t="s">
        <v>74</v>
      </c>
      <c r="AF1740" s="1" t="s">
        <v>45</v>
      </c>
      <c r="AG1740" s="1" t="s">
        <v>63</v>
      </c>
      <c r="AH1740" s="1" t="s">
        <v>68</v>
      </c>
      <c r="AI1740">
        <v>2863</v>
      </c>
      <c r="AJ1740">
        <v>-20.449999999999818</v>
      </c>
    </row>
    <row r="1741" spans="1:36" x14ac:dyDescent="0.25">
      <c r="A1741">
        <v>11740</v>
      </c>
      <c r="B1741">
        <v>32</v>
      </c>
      <c r="C1741" s="1" t="s">
        <v>36</v>
      </c>
      <c r="D1741" s="1" t="s">
        <v>73</v>
      </c>
      <c r="E1741" s="2">
        <v>44705</v>
      </c>
      <c r="F1741" s="2">
        <v>44767</v>
      </c>
      <c r="G1741" s="1" t="s">
        <v>62</v>
      </c>
      <c r="H1741">
        <v>462</v>
      </c>
      <c r="I1741">
        <v>7</v>
      </c>
      <c r="J1741">
        <v>2</v>
      </c>
      <c r="K1741">
        <v>101.37</v>
      </c>
      <c r="L1741">
        <v>5</v>
      </c>
      <c r="M1741" s="1" t="s">
        <v>39</v>
      </c>
      <c r="N1741" s="1" t="s">
        <v>56</v>
      </c>
      <c r="O1741">
        <v>3210.9</v>
      </c>
      <c r="P1741" t="b">
        <v>1</v>
      </c>
      <c r="Q1741">
        <v>0.58333333333333337</v>
      </c>
      <c r="R1741">
        <v>458.7</v>
      </c>
      <c r="S1741">
        <v>33.79</v>
      </c>
      <c r="T1741" s="2">
        <v>44682</v>
      </c>
      <c r="U1741" s="1" t="s">
        <v>57</v>
      </c>
      <c r="V1741">
        <v>0</v>
      </c>
      <c r="W1741" s="1" t="s">
        <v>56</v>
      </c>
      <c r="X1741">
        <v>62</v>
      </c>
      <c r="Y1741" s="1" t="s">
        <v>43</v>
      </c>
      <c r="Z1741" s="1" t="s">
        <v>42</v>
      </c>
      <c r="AA1741">
        <v>0.25</v>
      </c>
      <c r="AB1741" s="1" t="s">
        <v>42</v>
      </c>
      <c r="AC1741">
        <v>2</v>
      </c>
      <c r="AD1741" s="2">
        <v>44682</v>
      </c>
      <c r="AE1741" s="1" t="s">
        <v>74</v>
      </c>
      <c r="AF1741" s="1" t="s">
        <v>72</v>
      </c>
      <c r="AG1741" s="1" t="s">
        <v>63</v>
      </c>
      <c r="AH1741" s="1" t="s">
        <v>68</v>
      </c>
      <c r="AI1741">
        <v>3234</v>
      </c>
      <c r="AJ1741">
        <v>-23.099999999999909</v>
      </c>
    </row>
    <row r="1742" spans="1:36" x14ac:dyDescent="0.25">
      <c r="A1742">
        <v>11741</v>
      </c>
      <c r="B1742">
        <v>49</v>
      </c>
      <c r="C1742" s="1" t="s">
        <v>36</v>
      </c>
      <c r="D1742" s="1" t="s">
        <v>69</v>
      </c>
      <c r="E1742" s="2">
        <v>44375</v>
      </c>
      <c r="F1742" s="2">
        <v>44501</v>
      </c>
      <c r="G1742" s="1" t="s">
        <v>38</v>
      </c>
      <c r="H1742">
        <v>859</v>
      </c>
      <c r="I1742">
        <v>29</v>
      </c>
      <c r="J1742">
        <v>1</v>
      </c>
      <c r="K1742">
        <v>115.37</v>
      </c>
      <c r="L1742">
        <v>10</v>
      </c>
      <c r="M1742" s="1" t="s">
        <v>39</v>
      </c>
      <c r="N1742" s="1" t="s">
        <v>56</v>
      </c>
      <c r="O1742">
        <v>24825.1</v>
      </c>
      <c r="P1742" t="b">
        <v>1</v>
      </c>
      <c r="Q1742">
        <v>2.4166666666666665</v>
      </c>
      <c r="R1742">
        <v>856.03793103448265</v>
      </c>
      <c r="S1742">
        <v>57.685000000000002</v>
      </c>
      <c r="T1742" s="2">
        <v>44348</v>
      </c>
      <c r="U1742" s="1" t="s">
        <v>51</v>
      </c>
      <c r="V1742">
        <v>0</v>
      </c>
      <c r="W1742" s="1" t="s">
        <v>40</v>
      </c>
      <c r="X1742">
        <v>126</v>
      </c>
      <c r="Y1742" s="1" t="s">
        <v>43</v>
      </c>
      <c r="Z1742" s="1" t="s">
        <v>42</v>
      </c>
      <c r="AA1742">
        <v>3.3333333333333333E-2</v>
      </c>
      <c r="AB1742" s="1" t="s">
        <v>43</v>
      </c>
      <c r="AC1742">
        <v>1</v>
      </c>
      <c r="AD1742" s="2">
        <v>44348</v>
      </c>
      <c r="AE1742" s="1" t="s">
        <v>44</v>
      </c>
      <c r="AF1742" s="1" t="s">
        <v>54</v>
      </c>
      <c r="AG1742" s="1" t="s">
        <v>63</v>
      </c>
      <c r="AH1742" s="1" t="s">
        <v>59</v>
      </c>
      <c r="AI1742">
        <v>24911</v>
      </c>
      <c r="AJ1742">
        <v>-85.900000000001455</v>
      </c>
    </row>
    <row r="1743" spans="1:36" x14ac:dyDescent="0.25">
      <c r="A1743">
        <v>11742</v>
      </c>
      <c r="B1743">
        <v>28</v>
      </c>
      <c r="C1743" s="1" t="s">
        <v>60</v>
      </c>
      <c r="D1743" s="1" t="s">
        <v>48</v>
      </c>
      <c r="E1743" s="2">
        <v>44949</v>
      </c>
      <c r="F1743" s="2">
        <v>45163</v>
      </c>
      <c r="G1743" s="1" t="s">
        <v>38</v>
      </c>
      <c r="H1743">
        <v>698</v>
      </c>
      <c r="I1743">
        <v>23</v>
      </c>
      <c r="J1743">
        <v>2</v>
      </c>
      <c r="K1743">
        <v>74.63</v>
      </c>
      <c r="L1743">
        <v>10</v>
      </c>
      <c r="M1743" s="1" t="s">
        <v>39</v>
      </c>
      <c r="N1743" s="1" t="s">
        <v>56</v>
      </c>
      <c r="O1743">
        <v>15984.2</v>
      </c>
      <c r="P1743" t="b">
        <v>1</v>
      </c>
      <c r="Q1743">
        <v>1.9166666666666667</v>
      </c>
      <c r="R1743">
        <v>694.96521739130435</v>
      </c>
      <c r="S1743">
        <v>24.876666666666665</v>
      </c>
      <c r="T1743" s="2">
        <v>44927</v>
      </c>
      <c r="U1743" s="1" t="s">
        <v>57</v>
      </c>
      <c r="V1743">
        <v>0</v>
      </c>
      <c r="W1743" s="1" t="s">
        <v>40</v>
      </c>
      <c r="X1743">
        <v>214</v>
      </c>
      <c r="Y1743" s="1" t="s">
        <v>43</v>
      </c>
      <c r="Z1743" s="1" t="s">
        <v>42</v>
      </c>
      <c r="AA1743">
        <v>8.3333333333333329E-2</v>
      </c>
      <c r="AB1743" s="1" t="s">
        <v>52</v>
      </c>
      <c r="AC1743">
        <v>1</v>
      </c>
      <c r="AD1743" s="2">
        <v>44927</v>
      </c>
      <c r="AE1743" s="1" t="s">
        <v>53</v>
      </c>
      <c r="AF1743" s="1" t="s">
        <v>72</v>
      </c>
      <c r="AG1743" s="1" t="s">
        <v>63</v>
      </c>
      <c r="AH1743" s="1" t="s">
        <v>64</v>
      </c>
      <c r="AI1743">
        <v>16054</v>
      </c>
      <c r="AJ1743">
        <v>-69.799999999999272</v>
      </c>
    </row>
    <row r="1744" spans="1:36" x14ac:dyDescent="0.25">
      <c r="A1744">
        <v>11743</v>
      </c>
      <c r="B1744">
        <v>40</v>
      </c>
      <c r="C1744" s="1" t="s">
        <v>60</v>
      </c>
      <c r="D1744" s="1" t="s">
        <v>48</v>
      </c>
      <c r="E1744" s="2">
        <v>45034</v>
      </c>
      <c r="F1744" s="2">
        <v>44771</v>
      </c>
      <c r="G1744" s="1" t="s">
        <v>62</v>
      </c>
      <c r="H1744">
        <v>882</v>
      </c>
      <c r="I1744">
        <v>34</v>
      </c>
      <c r="J1744">
        <v>2</v>
      </c>
      <c r="K1744">
        <v>65.599999999999994</v>
      </c>
      <c r="L1744">
        <v>10</v>
      </c>
      <c r="M1744" s="1" t="s">
        <v>65</v>
      </c>
      <c r="N1744" s="1" t="s">
        <v>56</v>
      </c>
      <c r="O1744">
        <v>29899.8</v>
      </c>
      <c r="P1744" t="b">
        <v>0</v>
      </c>
      <c r="Q1744">
        <v>2.8333333333333335</v>
      </c>
      <c r="R1744">
        <v>879.40588235294115</v>
      </c>
      <c r="S1744">
        <v>21.866666666666664</v>
      </c>
      <c r="T1744" s="2">
        <v>45017</v>
      </c>
      <c r="U1744" s="1" t="s">
        <v>51</v>
      </c>
      <c r="V1744">
        <v>0</v>
      </c>
      <c r="W1744" s="1" t="s">
        <v>40</v>
      </c>
      <c r="Y1744" s="1" t="s">
        <v>43</v>
      </c>
      <c r="Z1744" s="1" t="s">
        <v>42</v>
      </c>
      <c r="AA1744">
        <v>5.7142857142857141E-2</v>
      </c>
      <c r="AB1744" s="1" t="s">
        <v>43</v>
      </c>
      <c r="AC1744">
        <v>2</v>
      </c>
      <c r="AD1744" s="2">
        <v>45017</v>
      </c>
      <c r="AE1744" s="1" t="s">
        <v>44</v>
      </c>
      <c r="AF1744" s="1" t="s">
        <v>72</v>
      </c>
      <c r="AG1744" s="1" t="s">
        <v>63</v>
      </c>
      <c r="AH1744" s="1" t="s">
        <v>59</v>
      </c>
      <c r="AI1744">
        <v>29988</v>
      </c>
      <c r="AJ1744">
        <v>-88.200000000000728</v>
      </c>
    </row>
    <row r="1745" spans="1:36" x14ac:dyDescent="0.25">
      <c r="A1745">
        <v>11744</v>
      </c>
      <c r="B1745">
        <v>43</v>
      </c>
      <c r="C1745" s="1" t="s">
        <v>36</v>
      </c>
      <c r="D1745" s="1" t="s">
        <v>71</v>
      </c>
      <c r="E1745" s="2">
        <v>45027</v>
      </c>
      <c r="F1745" s="2">
        <v>44620</v>
      </c>
      <c r="G1745" s="1" t="s">
        <v>38</v>
      </c>
      <c r="H1745">
        <v>698</v>
      </c>
      <c r="I1745">
        <v>20</v>
      </c>
      <c r="J1745">
        <v>2</v>
      </c>
      <c r="K1745">
        <v>7.03</v>
      </c>
      <c r="L1745">
        <v>10</v>
      </c>
      <c r="M1745" s="1" t="s">
        <v>50</v>
      </c>
      <c r="N1745" s="1" t="s">
        <v>56</v>
      </c>
      <c r="O1745">
        <v>13890.2</v>
      </c>
      <c r="P1745" t="b">
        <v>0</v>
      </c>
      <c r="Q1745">
        <v>1.6666666666666667</v>
      </c>
      <c r="R1745">
        <v>694.51</v>
      </c>
      <c r="S1745">
        <v>2.3433333333333333</v>
      </c>
      <c r="T1745" s="2">
        <v>45017</v>
      </c>
      <c r="U1745" s="1" t="s">
        <v>51</v>
      </c>
      <c r="V1745">
        <v>0</v>
      </c>
      <c r="W1745" s="1" t="s">
        <v>40</v>
      </c>
      <c r="Y1745" s="1" t="s">
        <v>42</v>
      </c>
      <c r="Z1745" s="1" t="s">
        <v>42</v>
      </c>
      <c r="AA1745">
        <v>9.5238095238095233E-2</v>
      </c>
      <c r="AB1745" s="1" t="s">
        <v>52</v>
      </c>
      <c r="AC1745">
        <v>1</v>
      </c>
      <c r="AD1745" s="2">
        <v>45017</v>
      </c>
      <c r="AE1745" s="1" t="s">
        <v>53</v>
      </c>
      <c r="AF1745" s="1" t="s">
        <v>72</v>
      </c>
      <c r="AG1745" s="1" t="s">
        <v>77</v>
      </c>
      <c r="AH1745" s="1" t="s">
        <v>64</v>
      </c>
      <c r="AI1745">
        <v>13960</v>
      </c>
      <c r="AJ1745">
        <v>-69.799999999999272</v>
      </c>
    </row>
    <row r="1746" spans="1:36" x14ac:dyDescent="0.25">
      <c r="A1746">
        <v>11745</v>
      </c>
      <c r="B1746">
        <v>51</v>
      </c>
      <c r="C1746" s="1" t="s">
        <v>36</v>
      </c>
      <c r="D1746" s="1" t="s">
        <v>61</v>
      </c>
      <c r="E1746" s="2">
        <v>44673</v>
      </c>
      <c r="F1746" s="2">
        <v>44994</v>
      </c>
      <c r="G1746" s="1" t="s">
        <v>62</v>
      </c>
      <c r="H1746">
        <v>538</v>
      </c>
      <c r="I1746">
        <v>15</v>
      </c>
      <c r="J1746">
        <v>4</v>
      </c>
      <c r="K1746">
        <v>13.29</v>
      </c>
      <c r="L1746">
        <v>10</v>
      </c>
      <c r="M1746" s="1" t="s">
        <v>65</v>
      </c>
      <c r="N1746" s="1" t="s">
        <v>56</v>
      </c>
      <c r="O1746">
        <v>8016.2</v>
      </c>
      <c r="P1746" t="b">
        <v>1</v>
      </c>
      <c r="Q1746">
        <v>1.25</v>
      </c>
      <c r="R1746">
        <v>534.4133333333333</v>
      </c>
      <c r="S1746">
        <v>2.6579999999999999</v>
      </c>
      <c r="T1746" s="2">
        <v>44652</v>
      </c>
      <c r="U1746" s="1" t="s">
        <v>41</v>
      </c>
      <c r="V1746">
        <v>0</v>
      </c>
      <c r="W1746" s="1" t="s">
        <v>56</v>
      </c>
      <c r="X1746">
        <v>321</v>
      </c>
      <c r="Y1746" s="1" t="s">
        <v>42</v>
      </c>
      <c r="Z1746" s="1" t="s">
        <v>42</v>
      </c>
      <c r="AA1746">
        <v>0.25</v>
      </c>
      <c r="AB1746" s="1" t="s">
        <v>42</v>
      </c>
      <c r="AC1746">
        <v>2</v>
      </c>
      <c r="AD1746" s="2">
        <v>44652</v>
      </c>
      <c r="AE1746" s="1" t="s">
        <v>53</v>
      </c>
      <c r="AF1746" s="1" t="s">
        <v>45</v>
      </c>
      <c r="AG1746" s="1" t="s">
        <v>46</v>
      </c>
      <c r="AH1746" s="1" t="s">
        <v>64</v>
      </c>
      <c r="AI1746">
        <v>8070</v>
      </c>
      <c r="AJ1746">
        <v>-53.800000000000182</v>
      </c>
    </row>
    <row r="1747" spans="1:36" x14ac:dyDescent="0.25">
      <c r="A1747">
        <v>11746</v>
      </c>
      <c r="B1747">
        <v>63</v>
      </c>
      <c r="C1747" s="1" t="s">
        <v>60</v>
      </c>
      <c r="D1747" s="1" t="s">
        <v>37</v>
      </c>
      <c r="E1747" s="2">
        <v>45039</v>
      </c>
      <c r="F1747" s="2">
        <v>45172</v>
      </c>
      <c r="G1747" s="1" t="s">
        <v>49</v>
      </c>
      <c r="H1747">
        <v>1355</v>
      </c>
      <c r="I1747">
        <v>33</v>
      </c>
      <c r="J1747">
        <v>0</v>
      </c>
      <c r="K1747">
        <v>22.95</v>
      </c>
      <c r="L1747">
        <v>10</v>
      </c>
      <c r="M1747" s="1" t="s">
        <v>67</v>
      </c>
      <c r="N1747" s="1" t="s">
        <v>56</v>
      </c>
      <c r="O1747">
        <v>44579.5</v>
      </c>
      <c r="P1747" t="b">
        <v>1</v>
      </c>
      <c r="Q1747">
        <v>2.75</v>
      </c>
      <c r="R1747">
        <v>1350.8939393939395</v>
      </c>
      <c r="S1747">
        <v>22.95</v>
      </c>
      <c r="T1747" s="2">
        <v>45017</v>
      </c>
      <c r="U1747" s="1" t="s">
        <v>41</v>
      </c>
      <c r="V1747">
        <v>0</v>
      </c>
      <c r="W1747" s="1" t="s">
        <v>40</v>
      </c>
      <c r="X1747">
        <v>133</v>
      </c>
      <c r="Y1747" s="1" t="s">
        <v>52</v>
      </c>
      <c r="Z1747" s="1" t="s">
        <v>42</v>
      </c>
      <c r="AA1747">
        <v>0</v>
      </c>
      <c r="AB1747" s="1" t="s">
        <v>43</v>
      </c>
      <c r="AC1747">
        <v>3</v>
      </c>
      <c r="AD1747" s="2">
        <v>45017</v>
      </c>
      <c r="AE1747" s="1" t="s">
        <v>44</v>
      </c>
      <c r="AF1747" s="1" t="s">
        <v>54</v>
      </c>
      <c r="AG1747" s="1" t="s">
        <v>70</v>
      </c>
      <c r="AH1747" s="1" t="s">
        <v>47</v>
      </c>
      <c r="AI1747">
        <v>44715</v>
      </c>
      <c r="AJ1747">
        <v>-135.5</v>
      </c>
    </row>
    <row r="1748" spans="1:36" x14ac:dyDescent="0.25">
      <c r="A1748">
        <v>11747</v>
      </c>
      <c r="B1748">
        <v>51</v>
      </c>
      <c r="C1748" s="1" t="s">
        <v>36</v>
      </c>
      <c r="D1748" s="1" t="s">
        <v>48</v>
      </c>
      <c r="E1748" s="2">
        <v>44610</v>
      </c>
      <c r="F1748" s="2">
        <v>44867</v>
      </c>
      <c r="G1748" s="1" t="s">
        <v>38</v>
      </c>
      <c r="H1748">
        <v>1446</v>
      </c>
      <c r="I1748">
        <v>17</v>
      </c>
      <c r="J1748">
        <v>1</v>
      </c>
      <c r="K1748">
        <v>11.3</v>
      </c>
      <c r="L1748">
        <v>20</v>
      </c>
      <c r="M1748" s="1" t="s">
        <v>67</v>
      </c>
      <c r="N1748" s="1" t="s">
        <v>40</v>
      </c>
      <c r="O1748">
        <v>24292.799999999999</v>
      </c>
      <c r="P1748" t="b">
        <v>1</v>
      </c>
      <c r="Q1748">
        <v>1.4166666666666667</v>
      </c>
      <c r="R1748">
        <v>1428.9882352941177</v>
      </c>
      <c r="S1748">
        <v>5.65</v>
      </c>
      <c r="T1748" s="2">
        <v>44593</v>
      </c>
      <c r="U1748" s="1" t="s">
        <v>41</v>
      </c>
      <c r="V1748">
        <v>1</v>
      </c>
      <c r="W1748" s="1" t="s">
        <v>40</v>
      </c>
      <c r="X1748">
        <v>257</v>
      </c>
      <c r="Y1748" s="1" t="s">
        <v>42</v>
      </c>
      <c r="Z1748" s="1" t="s">
        <v>52</v>
      </c>
      <c r="AA1748">
        <v>5.5555555555555552E-2</v>
      </c>
      <c r="AB1748" s="1" t="s">
        <v>43</v>
      </c>
      <c r="AC1748">
        <v>1</v>
      </c>
      <c r="AD1748" s="2">
        <v>44593</v>
      </c>
      <c r="AE1748" s="1" t="s">
        <v>53</v>
      </c>
      <c r="AF1748" s="1" t="s">
        <v>54</v>
      </c>
      <c r="AG1748" s="1" t="s">
        <v>46</v>
      </c>
      <c r="AH1748" s="1" t="s">
        <v>47</v>
      </c>
      <c r="AI1748">
        <v>24582</v>
      </c>
      <c r="AJ1748">
        <v>-289.20000000000073</v>
      </c>
    </row>
    <row r="1749" spans="1:36" x14ac:dyDescent="0.25">
      <c r="A1749">
        <v>11748</v>
      </c>
      <c r="B1749">
        <v>46</v>
      </c>
      <c r="C1749" s="1" t="s">
        <v>36</v>
      </c>
      <c r="D1749" s="1" t="s">
        <v>71</v>
      </c>
      <c r="E1749" s="2">
        <v>44349</v>
      </c>
      <c r="F1749" s="2">
        <v>44475</v>
      </c>
      <c r="G1749" s="1" t="s">
        <v>49</v>
      </c>
      <c r="H1749">
        <v>409</v>
      </c>
      <c r="I1749">
        <v>20</v>
      </c>
      <c r="J1749">
        <v>1</v>
      </c>
      <c r="K1749">
        <v>51.1</v>
      </c>
      <c r="L1749">
        <v>20</v>
      </c>
      <c r="M1749" s="1" t="s">
        <v>67</v>
      </c>
      <c r="N1749" s="1" t="s">
        <v>40</v>
      </c>
      <c r="O1749">
        <v>8098.2</v>
      </c>
      <c r="P1749" t="b">
        <v>1</v>
      </c>
      <c r="Q1749">
        <v>1.6666666666666667</v>
      </c>
      <c r="R1749">
        <v>404.90999999999997</v>
      </c>
      <c r="S1749">
        <v>25.55</v>
      </c>
      <c r="T1749" s="2">
        <v>44348</v>
      </c>
      <c r="U1749" s="1" t="s">
        <v>51</v>
      </c>
      <c r="V1749">
        <v>1</v>
      </c>
      <c r="W1749" s="1" t="s">
        <v>56</v>
      </c>
      <c r="X1749">
        <v>126</v>
      </c>
      <c r="Y1749" s="1" t="s">
        <v>52</v>
      </c>
      <c r="Z1749" s="1" t="s">
        <v>52</v>
      </c>
      <c r="AA1749">
        <v>4.7619047619047616E-2</v>
      </c>
      <c r="AB1749" s="1" t="s">
        <v>42</v>
      </c>
      <c r="AC1749">
        <v>3</v>
      </c>
      <c r="AD1749" s="2">
        <v>44348</v>
      </c>
      <c r="AE1749" s="1" t="s">
        <v>53</v>
      </c>
      <c r="AF1749" s="1" t="s">
        <v>54</v>
      </c>
      <c r="AG1749" s="1" t="s">
        <v>63</v>
      </c>
      <c r="AH1749" s="1" t="s">
        <v>68</v>
      </c>
      <c r="AI1749">
        <v>8180</v>
      </c>
      <c r="AJ1749">
        <v>-81.800000000000182</v>
      </c>
    </row>
    <row r="1750" spans="1:36" x14ac:dyDescent="0.25">
      <c r="A1750">
        <v>11749</v>
      </c>
      <c r="B1750">
        <v>21</v>
      </c>
      <c r="C1750" s="1" t="s">
        <v>36</v>
      </c>
      <c r="D1750" s="1" t="s">
        <v>73</v>
      </c>
      <c r="E1750" s="2">
        <v>44300</v>
      </c>
      <c r="F1750" s="2">
        <v>44720</v>
      </c>
      <c r="G1750" s="1" t="s">
        <v>38</v>
      </c>
      <c r="H1750">
        <v>599</v>
      </c>
      <c r="I1750">
        <v>13</v>
      </c>
      <c r="J1750">
        <v>2</v>
      </c>
      <c r="K1750">
        <v>43.74</v>
      </c>
      <c r="L1750">
        <v>5</v>
      </c>
      <c r="M1750" s="1" t="s">
        <v>50</v>
      </c>
      <c r="N1750" s="1" t="s">
        <v>56</v>
      </c>
      <c r="O1750">
        <v>7757.05</v>
      </c>
      <c r="P1750" t="b">
        <v>1</v>
      </c>
      <c r="Q1750">
        <v>1.0833333333333333</v>
      </c>
      <c r="R1750">
        <v>596.69615384615383</v>
      </c>
      <c r="S1750">
        <v>14.58</v>
      </c>
      <c r="T1750" s="2">
        <v>44287</v>
      </c>
      <c r="U1750" s="1" t="s">
        <v>66</v>
      </c>
      <c r="V1750">
        <v>0</v>
      </c>
      <c r="W1750" s="1" t="s">
        <v>56</v>
      </c>
      <c r="X1750">
        <v>420</v>
      </c>
      <c r="Y1750" s="1" t="s">
        <v>52</v>
      </c>
      <c r="Z1750" s="1" t="s">
        <v>42</v>
      </c>
      <c r="AA1750">
        <v>0.14285714285714285</v>
      </c>
      <c r="AB1750" s="1" t="s">
        <v>42</v>
      </c>
      <c r="AC1750">
        <v>1</v>
      </c>
      <c r="AD1750" s="2">
        <v>44287</v>
      </c>
      <c r="AE1750" s="1" t="s">
        <v>53</v>
      </c>
      <c r="AF1750" s="1" t="s">
        <v>72</v>
      </c>
      <c r="AG1750" s="1" t="s">
        <v>55</v>
      </c>
      <c r="AH1750" s="1" t="s">
        <v>64</v>
      </c>
      <c r="AI1750">
        <v>7787</v>
      </c>
      <c r="AJ1750">
        <v>-29.949999999999818</v>
      </c>
    </row>
    <row r="1751" spans="1:36" x14ac:dyDescent="0.25">
      <c r="A1751">
        <v>11750</v>
      </c>
      <c r="B1751">
        <v>34</v>
      </c>
      <c r="C1751" s="1" t="s">
        <v>36</v>
      </c>
      <c r="D1751" s="1" t="s">
        <v>61</v>
      </c>
      <c r="E1751" s="2">
        <v>44271</v>
      </c>
      <c r="F1751" s="2">
        <v>44915</v>
      </c>
      <c r="G1751" s="1" t="s">
        <v>49</v>
      </c>
      <c r="H1751">
        <v>1301</v>
      </c>
      <c r="I1751">
        <v>24</v>
      </c>
      <c r="J1751">
        <v>3</v>
      </c>
      <c r="K1751">
        <v>78.3</v>
      </c>
      <c r="L1751">
        <v>5</v>
      </c>
      <c r="M1751" s="1" t="s">
        <v>65</v>
      </c>
      <c r="N1751" s="1" t="s">
        <v>56</v>
      </c>
      <c r="O1751">
        <v>31158.95</v>
      </c>
      <c r="P1751" t="b">
        <v>1</v>
      </c>
      <c r="Q1751">
        <v>2</v>
      </c>
      <c r="R1751">
        <v>1298.2895833333334</v>
      </c>
      <c r="S1751">
        <v>19.574999999999999</v>
      </c>
      <c r="T1751" s="2">
        <v>44256</v>
      </c>
      <c r="U1751" s="1" t="s">
        <v>57</v>
      </c>
      <c r="V1751">
        <v>0</v>
      </c>
      <c r="W1751" s="1" t="s">
        <v>40</v>
      </c>
      <c r="X1751">
        <v>644</v>
      </c>
      <c r="Y1751" s="1" t="s">
        <v>43</v>
      </c>
      <c r="Z1751" s="1" t="s">
        <v>42</v>
      </c>
      <c r="AA1751">
        <v>0.12</v>
      </c>
      <c r="AB1751" s="1" t="s">
        <v>43</v>
      </c>
      <c r="AC1751">
        <v>3</v>
      </c>
      <c r="AD1751" s="2">
        <v>44256</v>
      </c>
      <c r="AE1751" s="1" t="s">
        <v>53</v>
      </c>
      <c r="AF1751" s="1" t="s">
        <v>72</v>
      </c>
      <c r="AG1751" s="1" t="s">
        <v>63</v>
      </c>
      <c r="AH1751" s="1" t="s">
        <v>47</v>
      </c>
      <c r="AI1751">
        <v>31224</v>
      </c>
      <c r="AJ1751">
        <v>-65.049999999999272</v>
      </c>
    </row>
    <row r="1752" spans="1:36" x14ac:dyDescent="0.25">
      <c r="A1752">
        <v>11751</v>
      </c>
      <c r="B1752">
        <v>52</v>
      </c>
      <c r="C1752" s="1" t="s">
        <v>60</v>
      </c>
      <c r="D1752" s="1" t="s">
        <v>61</v>
      </c>
      <c r="E1752" s="2">
        <v>44324</v>
      </c>
      <c r="F1752" s="2">
        <v>44985</v>
      </c>
      <c r="G1752" s="1" t="s">
        <v>38</v>
      </c>
      <c r="H1752">
        <v>1063</v>
      </c>
      <c r="I1752">
        <v>7</v>
      </c>
      <c r="J1752">
        <v>0</v>
      </c>
      <c r="K1752">
        <v>66.599999999999994</v>
      </c>
      <c r="L1752">
        <v>10</v>
      </c>
      <c r="M1752" s="1" t="s">
        <v>39</v>
      </c>
      <c r="N1752" s="1" t="s">
        <v>56</v>
      </c>
      <c r="O1752">
        <v>7334.7</v>
      </c>
      <c r="P1752" t="b">
        <v>1</v>
      </c>
      <c r="Q1752">
        <v>0.58333333333333337</v>
      </c>
      <c r="R1752">
        <v>1047.8142857142857</v>
      </c>
      <c r="S1752">
        <v>66.599999999999994</v>
      </c>
      <c r="T1752" s="2">
        <v>44317</v>
      </c>
      <c r="U1752" s="1" t="s">
        <v>41</v>
      </c>
      <c r="V1752">
        <v>0</v>
      </c>
      <c r="W1752" s="1" t="s">
        <v>56</v>
      </c>
      <c r="X1752">
        <v>661</v>
      </c>
      <c r="Y1752" s="1" t="s">
        <v>43</v>
      </c>
      <c r="Z1752" s="1" t="s">
        <v>42</v>
      </c>
      <c r="AA1752">
        <v>0</v>
      </c>
      <c r="AB1752" s="1" t="s">
        <v>42</v>
      </c>
      <c r="AC1752">
        <v>1</v>
      </c>
      <c r="AD1752" s="2">
        <v>44317</v>
      </c>
      <c r="AE1752" s="1" t="s">
        <v>74</v>
      </c>
      <c r="AF1752" s="1" t="s">
        <v>54</v>
      </c>
      <c r="AG1752" s="1" t="s">
        <v>63</v>
      </c>
      <c r="AH1752" s="1" t="s">
        <v>47</v>
      </c>
      <c r="AI1752">
        <v>7441</v>
      </c>
      <c r="AJ1752">
        <v>-106.30000000000018</v>
      </c>
    </row>
    <row r="1753" spans="1:36" x14ac:dyDescent="0.25">
      <c r="A1753">
        <v>11752</v>
      </c>
      <c r="B1753">
        <v>30</v>
      </c>
      <c r="C1753" s="1" t="s">
        <v>36</v>
      </c>
      <c r="D1753" s="1" t="s">
        <v>71</v>
      </c>
      <c r="E1753" s="2">
        <v>44907</v>
      </c>
      <c r="F1753" s="2">
        <v>44506</v>
      </c>
      <c r="G1753" s="1" t="s">
        <v>38</v>
      </c>
      <c r="H1753">
        <v>548</v>
      </c>
      <c r="I1753">
        <v>8</v>
      </c>
      <c r="J1753">
        <v>1</v>
      </c>
      <c r="K1753">
        <v>73.540000000000006</v>
      </c>
      <c r="L1753">
        <v>5</v>
      </c>
      <c r="M1753" s="1" t="s">
        <v>67</v>
      </c>
      <c r="N1753" s="1" t="s">
        <v>40</v>
      </c>
      <c r="O1753">
        <v>4356.6000000000004</v>
      </c>
      <c r="P1753" t="b">
        <v>0</v>
      </c>
      <c r="Q1753">
        <v>0.66666666666666663</v>
      </c>
      <c r="R1753">
        <v>544.57500000000005</v>
      </c>
      <c r="S1753">
        <v>36.770000000000003</v>
      </c>
      <c r="T1753" s="2">
        <v>44896</v>
      </c>
      <c r="U1753" s="1" t="s">
        <v>57</v>
      </c>
      <c r="V1753">
        <v>1</v>
      </c>
      <c r="W1753" s="1" t="s">
        <v>56</v>
      </c>
      <c r="Y1753" s="1" t="s">
        <v>43</v>
      </c>
      <c r="Z1753" s="1" t="s">
        <v>42</v>
      </c>
      <c r="AA1753">
        <v>0.1111111111111111</v>
      </c>
      <c r="AB1753" s="1" t="s">
        <v>42</v>
      </c>
      <c r="AC1753">
        <v>1</v>
      </c>
      <c r="AD1753" s="2">
        <v>44896</v>
      </c>
      <c r="AE1753" s="1" t="s">
        <v>74</v>
      </c>
      <c r="AF1753" s="1" t="s">
        <v>54</v>
      </c>
      <c r="AG1753" s="1" t="s">
        <v>63</v>
      </c>
      <c r="AH1753" s="1" t="s">
        <v>64</v>
      </c>
      <c r="AI1753">
        <v>4384</v>
      </c>
      <c r="AJ1753">
        <v>-27.399999999999636</v>
      </c>
    </row>
    <row r="1754" spans="1:36" x14ac:dyDescent="0.25">
      <c r="A1754">
        <v>11753</v>
      </c>
      <c r="B1754">
        <v>58</v>
      </c>
      <c r="C1754" s="1" t="s">
        <v>60</v>
      </c>
      <c r="D1754" s="1" t="s">
        <v>71</v>
      </c>
      <c r="E1754" s="2">
        <v>44862</v>
      </c>
      <c r="F1754" s="2">
        <v>44918</v>
      </c>
      <c r="G1754" s="1" t="s">
        <v>62</v>
      </c>
      <c r="H1754">
        <v>820</v>
      </c>
      <c r="I1754">
        <v>23</v>
      </c>
      <c r="J1754">
        <v>1</v>
      </c>
      <c r="K1754">
        <v>59.28</v>
      </c>
      <c r="L1754">
        <v>10</v>
      </c>
      <c r="M1754" s="1" t="s">
        <v>67</v>
      </c>
      <c r="N1754" s="1" t="s">
        <v>56</v>
      </c>
      <c r="O1754">
        <v>18778</v>
      </c>
      <c r="P1754" t="b">
        <v>1</v>
      </c>
      <c r="Q1754">
        <v>1.9166666666666667</v>
      </c>
      <c r="R1754">
        <v>816.43478260869563</v>
      </c>
      <c r="S1754">
        <v>29.64</v>
      </c>
      <c r="T1754" s="2">
        <v>44835</v>
      </c>
      <c r="U1754" s="1" t="s">
        <v>41</v>
      </c>
      <c r="V1754">
        <v>0</v>
      </c>
      <c r="W1754" s="1" t="s">
        <v>40</v>
      </c>
      <c r="X1754">
        <v>56</v>
      </c>
      <c r="Y1754" s="1" t="s">
        <v>52</v>
      </c>
      <c r="Z1754" s="1" t="s">
        <v>42</v>
      </c>
      <c r="AA1754">
        <v>4.1666666666666664E-2</v>
      </c>
      <c r="AB1754" s="1" t="s">
        <v>52</v>
      </c>
      <c r="AC1754">
        <v>2</v>
      </c>
      <c r="AD1754" s="2">
        <v>44835</v>
      </c>
      <c r="AE1754" s="1" t="s">
        <v>53</v>
      </c>
      <c r="AF1754" s="1" t="s">
        <v>54</v>
      </c>
      <c r="AG1754" s="1" t="s">
        <v>63</v>
      </c>
      <c r="AH1754" s="1" t="s">
        <v>59</v>
      </c>
      <c r="AI1754">
        <v>18860</v>
      </c>
      <c r="AJ1754">
        <v>-82</v>
      </c>
    </row>
    <row r="1755" spans="1:36" x14ac:dyDescent="0.25">
      <c r="A1755">
        <v>11754</v>
      </c>
      <c r="B1755">
        <v>56</v>
      </c>
      <c r="C1755" s="1" t="s">
        <v>36</v>
      </c>
      <c r="D1755" s="1" t="s">
        <v>37</v>
      </c>
      <c r="E1755" s="2">
        <v>44764</v>
      </c>
      <c r="F1755" s="2">
        <v>44917</v>
      </c>
      <c r="G1755" s="1" t="s">
        <v>62</v>
      </c>
      <c r="H1755">
        <v>333</v>
      </c>
      <c r="I1755">
        <v>14</v>
      </c>
      <c r="J1755">
        <v>0</v>
      </c>
      <c r="K1755">
        <v>36.94</v>
      </c>
      <c r="L1755">
        <v>20</v>
      </c>
      <c r="M1755" s="1" t="s">
        <v>65</v>
      </c>
      <c r="N1755" s="1" t="s">
        <v>56</v>
      </c>
      <c r="O1755">
        <v>4595.3999999999996</v>
      </c>
      <c r="P1755" t="b">
        <v>1</v>
      </c>
      <c r="Q1755">
        <v>1.1666666666666667</v>
      </c>
      <c r="R1755">
        <v>328.24285714285713</v>
      </c>
      <c r="S1755">
        <v>36.94</v>
      </c>
      <c r="T1755" s="2">
        <v>44743</v>
      </c>
      <c r="U1755" s="1" t="s">
        <v>41</v>
      </c>
      <c r="V1755">
        <v>0</v>
      </c>
      <c r="W1755" s="1" t="s">
        <v>56</v>
      </c>
      <c r="X1755">
        <v>153</v>
      </c>
      <c r="Y1755" s="1" t="s">
        <v>52</v>
      </c>
      <c r="Z1755" s="1" t="s">
        <v>52</v>
      </c>
      <c r="AA1755">
        <v>0</v>
      </c>
      <c r="AB1755" s="1" t="s">
        <v>42</v>
      </c>
      <c r="AC1755">
        <v>2</v>
      </c>
      <c r="AD1755" s="2">
        <v>44743</v>
      </c>
      <c r="AE1755" s="1" t="s">
        <v>53</v>
      </c>
      <c r="AF1755" s="1" t="s">
        <v>54</v>
      </c>
      <c r="AG1755" s="1" t="s">
        <v>55</v>
      </c>
      <c r="AH1755" s="1" t="s">
        <v>68</v>
      </c>
      <c r="AI1755">
        <v>4662</v>
      </c>
      <c r="AJ1755">
        <v>-66.600000000000364</v>
      </c>
    </row>
    <row r="1756" spans="1:36" x14ac:dyDescent="0.25">
      <c r="A1756">
        <v>11755</v>
      </c>
      <c r="B1756">
        <v>32</v>
      </c>
      <c r="C1756" s="1" t="s">
        <v>36</v>
      </c>
      <c r="D1756" s="1" t="s">
        <v>71</v>
      </c>
      <c r="E1756" s="2">
        <v>44986</v>
      </c>
      <c r="F1756" s="2">
        <v>44999</v>
      </c>
      <c r="G1756" s="1" t="s">
        <v>49</v>
      </c>
      <c r="H1756">
        <v>527</v>
      </c>
      <c r="I1756">
        <v>4</v>
      </c>
      <c r="J1756">
        <v>1</v>
      </c>
      <c r="K1756">
        <v>114.57</v>
      </c>
      <c r="L1756">
        <v>15</v>
      </c>
      <c r="M1756" s="1" t="s">
        <v>39</v>
      </c>
      <c r="N1756" s="1" t="s">
        <v>56</v>
      </c>
      <c r="O1756">
        <v>2028.95</v>
      </c>
      <c r="P1756" t="b">
        <v>1</v>
      </c>
      <c r="Q1756">
        <v>0.33333333333333331</v>
      </c>
      <c r="R1756">
        <v>507.23750000000001</v>
      </c>
      <c r="S1756">
        <v>57.284999999999997</v>
      </c>
      <c r="T1756" s="2">
        <v>44986</v>
      </c>
      <c r="U1756" s="1" t="s">
        <v>57</v>
      </c>
      <c r="V1756">
        <v>0</v>
      </c>
      <c r="W1756" s="1" t="s">
        <v>56</v>
      </c>
      <c r="X1756">
        <v>13</v>
      </c>
      <c r="Y1756" s="1" t="s">
        <v>43</v>
      </c>
      <c r="Z1756" s="1" t="s">
        <v>42</v>
      </c>
      <c r="AA1756">
        <v>0.2</v>
      </c>
      <c r="AB1756" s="1" t="s">
        <v>42</v>
      </c>
      <c r="AC1756">
        <v>3</v>
      </c>
      <c r="AD1756" s="2">
        <v>44986</v>
      </c>
      <c r="AE1756" s="1" t="s">
        <v>58</v>
      </c>
      <c r="AF1756" s="1" t="s">
        <v>54</v>
      </c>
      <c r="AG1756" s="1" t="s">
        <v>63</v>
      </c>
      <c r="AH1756" s="1" t="s">
        <v>64</v>
      </c>
      <c r="AI1756">
        <v>2108</v>
      </c>
      <c r="AJ1756">
        <v>-79.049999999999955</v>
      </c>
    </row>
    <row r="1757" spans="1:36" x14ac:dyDescent="0.25">
      <c r="A1757">
        <v>11756</v>
      </c>
      <c r="B1757">
        <v>46</v>
      </c>
      <c r="C1757" s="1" t="s">
        <v>60</v>
      </c>
      <c r="D1757" s="1" t="s">
        <v>37</v>
      </c>
      <c r="E1757" s="2">
        <v>44541</v>
      </c>
      <c r="F1757" s="2">
        <v>44523</v>
      </c>
      <c r="G1757" s="1" t="s">
        <v>38</v>
      </c>
      <c r="H1757">
        <v>884</v>
      </c>
      <c r="I1757">
        <v>21</v>
      </c>
      <c r="J1757">
        <v>2</v>
      </c>
      <c r="K1757">
        <v>14.94</v>
      </c>
      <c r="L1757">
        <v>20</v>
      </c>
      <c r="M1757" s="1" t="s">
        <v>50</v>
      </c>
      <c r="N1757" s="1" t="s">
        <v>56</v>
      </c>
      <c r="O1757">
        <v>18387.2</v>
      </c>
      <c r="P1757" t="b">
        <v>0</v>
      </c>
      <c r="Q1757">
        <v>1.75</v>
      </c>
      <c r="R1757">
        <v>875.58095238095245</v>
      </c>
      <c r="S1757">
        <v>4.9799999999999995</v>
      </c>
      <c r="T1757" s="2">
        <v>44531</v>
      </c>
      <c r="U1757" s="1" t="s">
        <v>51</v>
      </c>
      <c r="V1757">
        <v>0</v>
      </c>
      <c r="W1757" s="1" t="s">
        <v>40</v>
      </c>
      <c r="Y1757" s="1" t="s">
        <v>42</v>
      </c>
      <c r="Z1757" s="1" t="s">
        <v>52</v>
      </c>
      <c r="AA1757">
        <v>9.0909090909090912E-2</v>
      </c>
      <c r="AB1757" s="1" t="s">
        <v>52</v>
      </c>
      <c r="AC1757">
        <v>1</v>
      </c>
      <c r="AD1757" s="2">
        <v>44531</v>
      </c>
      <c r="AE1757" s="1" t="s">
        <v>53</v>
      </c>
      <c r="AF1757" s="1" t="s">
        <v>72</v>
      </c>
      <c r="AG1757" s="1" t="s">
        <v>46</v>
      </c>
      <c r="AH1757" s="1" t="s">
        <v>59</v>
      </c>
      <c r="AI1757">
        <v>18564</v>
      </c>
      <c r="AJ1757">
        <v>-176.79999999999927</v>
      </c>
    </row>
    <row r="1758" spans="1:36" x14ac:dyDescent="0.25">
      <c r="A1758">
        <v>11757</v>
      </c>
      <c r="B1758">
        <v>46</v>
      </c>
      <c r="C1758" s="1" t="s">
        <v>36</v>
      </c>
      <c r="D1758" s="1" t="s">
        <v>37</v>
      </c>
      <c r="E1758" s="2">
        <v>44727</v>
      </c>
      <c r="F1758" s="2">
        <v>44967</v>
      </c>
      <c r="G1758" s="1" t="s">
        <v>38</v>
      </c>
      <c r="H1758">
        <v>1257</v>
      </c>
      <c r="I1758">
        <v>10</v>
      </c>
      <c r="J1758">
        <v>1</v>
      </c>
      <c r="K1758">
        <v>112.97</v>
      </c>
      <c r="L1758">
        <v>0</v>
      </c>
      <c r="M1758" s="1" t="s">
        <v>67</v>
      </c>
      <c r="N1758" s="1" t="s">
        <v>40</v>
      </c>
      <c r="O1758">
        <v>12570</v>
      </c>
      <c r="P1758" t="b">
        <v>1</v>
      </c>
      <c r="Q1758">
        <v>0.83333333333333337</v>
      </c>
      <c r="R1758">
        <v>1257</v>
      </c>
      <c r="S1758">
        <v>56.484999999999999</v>
      </c>
      <c r="T1758" s="2">
        <v>44713</v>
      </c>
      <c r="U1758" s="1" t="s">
        <v>51</v>
      </c>
      <c r="V1758">
        <v>1</v>
      </c>
      <c r="W1758" s="1" t="s">
        <v>56</v>
      </c>
      <c r="X1758">
        <v>240</v>
      </c>
      <c r="Y1758" s="1" t="s">
        <v>43</v>
      </c>
      <c r="Z1758" s="1" t="s">
        <v>42</v>
      </c>
      <c r="AA1758">
        <v>9.0909090909090912E-2</v>
      </c>
      <c r="AB1758" s="1" t="s">
        <v>52</v>
      </c>
      <c r="AC1758">
        <v>1</v>
      </c>
      <c r="AD1758" s="2">
        <v>44713</v>
      </c>
      <c r="AE1758" s="1" t="s">
        <v>74</v>
      </c>
      <c r="AF1758" s="1" t="s">
        <v>54</v>
      </c>
      <c r="AG1758" s="1" t="s">
        <v>63</v>
      </c>
      <c r="AH1758" s="1" t="s">
        <v>47</v>
      </c>
      <c r="AI1758">
        <v>12570</v>
      </c>
      <c r="AJ1758">
        <v>0</v>
      </c>
    </row>
    <row r="1759" spans="1:36" x14ac:dyDescent="0.25">
      <c r="A1759">
        <v>11758</v>
      </c>
      <c r="B1759">
        <v>28</v>
      </c>
      <c r="C1759" s="1" t="s">
        <v>75</v>
      </c>
      <c r="D1759" s="1" t="s">
        <v>69</v>
      </c>
      <c r="E1759" s="2">
        <v>44355</v>
      </c>
      <c r="F1759" s="2">
        <v>44558</v>
      </c>
      <c r="G1759" s="1" t="s">
        <v>62</v>
      </c>
      <c r="H1759">
        <v>1112</v>
      </c>
      <c r="I1759">
        <v>22</v>
      </c>
      <c r="J1759">
        <v>2</v>
      </c>
      <c r="K1759">
        <v>40.79</v>
      </c>
      <c r="L1759">
        <v>20</v>
      </c>
      <c r="M1759" s="1" t="s">
        <v>67</v>
      </c>
      <c r="N1759" s="1" t="s">
        <v>56</v>
      </c>
      <c r="O1759">
        <v>24241.599999999999</v>
      </c>
      <c r="P1759" t="b">
        <v>1</v>
      </c>
      <c r="Q1759">
        <v>1.8333333333333333</v>
      </c>
      <c r="R1759">
        <v>1101.890909090909</v>
      </c>
      <c r="S1759">
        <v>13.596666666666666</v>
      </c>
      <c r="T1759" s="2">
        <v>44348</v>
      </c>
      <c r="U1759" s="1" t="s">
        <v>57</v>
      </c>
      <c r="V1759">
        <v>0</v>
      </c>
      <c r="W1759" s="1" t="s">
        <v>40</v>
      </c>
      <c r="X1759">
        <v>203</v>
      </c>
      <c r="Y1759" s="1" t="s">
        <v>52</v>
      </c>
      <c r="Z1759" s="1" t="s">
        <v>52</v>
      </c>
      <c r="AA1759">
        <v>8.6956521739130432E-2</v>
      </c>
      <c r="AB1759" s="1" t="s">
        <v>43</v>
      </c>
      <c r="AC1759">
        <v>2</v>
      </c>
      <c r="AD1759" s="2">
        <v>44348</v>
      </c>
      <c r="AE1759" s="1" t="s">
        <v>53</v>
      </c>
      <c r="AF1759" s="1" t="s">
        <v>72</v>
      </c>
      <c r="AG1759" s="1" t="s">
        <v>55</v>
      </c>
      <c r="AH1759" s="1" t="s">
        <v>47</v>
      </c>
      <c r="AI1759">
        <v>24464</v>
      </c>
      <c r="AJ1759">
        <v>-222.40000000000146</v>
      </c>
    </row>
    <row r="1760" spans="1:36" x14ac:dyDescent="0.25">
      <c r="A1760">
        <v>11759</v>
      </c>
      <c r="B1760">
        <v>49</v>
      </c>
      <c r="C1760" s="1" t="s">
        <v>60</v>
      </c>
      <c r="D1760" s="1" t="s">
        <v>61</v>
      </c>
      <c r="E1760" s="2">
        <v>44734</v>
      </c>
      <c r="F1760" s="2">
        <v>44794</v>
      </c>
      <c r="G1760" s="1" t="s">
        <v>62</v>
      </c>
      <c r="H1760">
        <v>1023</v>
      </c>
      <c r="I1760">
        <v>30</v>
      </c>
      <c r="J1760">
        <v>3</v>
      </c>
      <c r="K1760">
        <v>63.96</v>
      </c>
      <c r="L1760">
        <v>0</v>
      </c>
      <c r="M1760" s="1" t="s">
        <v>67</v>
      </c>
      <c r="N1760" s="1" t="s">
        <v>56</v>
      </c>
      <c r="O1760">
        <v>30690</v>
      </c>
      <c r="P1760" t="b">
        <v>1</v>
      </c>
      <c r="Q1760">
        <v>2.5</v>
      </c>
      <c r="R1760">
        <v>1023</v>
      </c>
      <c r="S1760">
        <v>15.99</v>
      </c>
      <c r="T1760" s="2">
        <v>44713</v>
      </c>
      <c r="U1760" s="1" t="s">
        <v>51</v>
      </c>
      <c r="V1760">
        <v>0</v>
      </c>
      <c r="W1760" s="1" t="s">
        <v>40</v>
      </c>
      <c r="X1760">
        <v>60</v>
      </c>
      <c r="Y1760" s="1" t="s">
        <v>43</v>
      </c>
      <c r="Z1760" s="1" t="s">
        <v>42</v>
      </c>
      <c r="AA1760">
        <v>9.6774193548387094E-2</v>
      </c>
      <c r="AB1760" s="1" t="s">
        <v>43</v>
      </c>
      <c r="AC1760">
        <v>2</v>
      </c>
      <c r="AD1760" s="2">
        <v>44713</v>
      </c>
      <c r="AE1760" s="1" t="s">
        <v>44</v>
      </c>
      <c r="AF1760" s="1" t="s">
        <v>72</v>
      </c>
      <c r="AG1760" s="1" t="s">
        <v>63</v>
      </c>
      <c r="AH1760" s="1" t="s">
        <v>47</v>
      </c>
      <c r="AI1760">
        <v>30690</v>
      </c>
      <c r="AJ1760">
        <v>0</v>
      </c>
    </row>
    <row r="1761" spans="1:36" x14ac:dyDescent="0.25">
      <c r="A1761">
        <v>11760</v>
      </c>
      <c r="B1761">
        <v>19</v>
      </c>
      <c r="C1761" s="1" t="s">
        <v>36</v>
      </c>
      <c r="D1761" s="1" t="s">
        <v>73</v>
      </c>
      <c r="E1761" s="2">
        <v>44622</v>
      </c>
      <c r="F1761" s="2">
        <v>44933</v>
      </c>
      <c r="G1761" s="1" t="s">
        <v>38</v>
      </c>
      <c r="H1761">
        <v>883</v>
      </c>
      <c r="I1761">
        <v>30</v>
      </c>
      <c r="J1761">
        <v>3</v>
      </c>
      <c r="K1761">
        <v>17.52</v>
      </c>
      <c r="L1761">
        <v>5</v>
      </c>
      <c r="M1761" s="1" t="s">
        <v>39</v>
      </c>
      <c r="N1761" s="1" t="s">
        <v>56</v>
      </c>
      <c r="O1761">
        <v>26445.85</v>
      </c>
      <c r="P1761" t="b">
        <v>1</v>
      </c>
      <c r="Q1761">
        <v>2.5</v>
      </c>
      <c r="R1761">
        <v>881.52833333333331</v>
      </c>
      <c r="S1761">
        <v>4.38</v>
      </c>
      <c r="T1761" s="2">
        <v>44621</v>
      </c>
      <c r="U1761" s="1" t="s">
        <v>66</v>
      </c>
      <c r="V1761">
        <v>0</v>
      </c>
      <c r="W1761" s="1" t="s">
        <v>40</v>
      </c>
      <c r="X1761">
        <v>311</v>
      </c>
      <c r="Y1761" s="1" t="s">
        <v>42</v>
      </c>
      <c r="Z1761" s="1" t="s">
        <v>42</v>
      </c>
      <c r="AA1761">
        <v>9.6774193548387094E-2</v>
      </c>
      <c r="AB1761" s="1" t="s">
        <v>43</v>
      </c>
      <c r="AC1761">
        <v>1</v>
      </c>
      <c r="AD1761" s="2">
        <v>44621</v>
      </c>
      <c r="AE1761" s="1" t="s">
        <v>44</v>
      </c>
      <c r="AF1761" s="1" t="s">
        <v>72</v>
      </c>
      <c r="AG1761" s="1" t="s">
        <v>46</v>
      </c>
      <c r="AH1761" s="1" t="s">
        <v>59</v>
      </c>
      <c r="AI1761">
        <v>26490</v>
      </c>
      <c r="AJ1761">
        <v>-44.150000000001455</v>
      </c>
    </row>
    <row r="1762" spans="1:36" x14ac:dyDescent="0.25">
      <c r="A1762">
        <v>11761</v>
      </c>
      <c r="B1762">
        <v>64</v>
      </c>
      <c r="C1762" s="1" t="s">
        <v>36</v>
      </c>
      <c r="D1762" s="1" t="s">
        <v>61</v>
      </c>
      <c r="E1762" s="2">
        <v>44877</v>
      </c>
      <c r="F1762" s="2">
        <v>44514</v>
      </c>
      <c r="G1762" s="1" t="s">
        <v>62</v>
      </c>
      <c r="H1762">
        <v>869</v>
      </c>
      <c r="I1762">
        <v>16</v>
      </c>
      <c r="J1762">
        <v>2</v>
      </c>
      <c r="K1762">
        <v>13.16</v>
      </c>
      <c r="L1762">
        <v>20</v>
      </c>
      <c r="M1762" s="1" t="s">
        <v>67</v>
      </c>
      <c r="N1762" s="1" t="s">
        <v>40</v>
      </c>
      <c r="O1762">
        <v>13730.2</v>
      </c>
      <c r="P1762" t="b">
        <v>0</v>
      </c>
      <c r="Q1762">
        <v>1.3333333333333333</v>
      </c>
      <c r="R1762">
        <v>858.13750000000005</v>
      </c>
      <c r="S1762">
        <v>4.3866666666666667</v>
      </c>
      <c r="T1762" s="2">
        <v>44866</v>
      </c>
      <c r="U1762" s="1" t="s">
        <v>41</v>
      </c>
      <c r="V1762">
        <v>1</v>
      </c>
      <c r="W1762" s="1" t="s">
        <v>40</v>
      </c>
      <c r="Y1762" s="1" t="s">
        <v>42</v>
      </c>
      <c r="Z1762" s="1" t="s">
        <v>52</v>
      </c>
      <c r="AA1762">
        <v>0.11764705882352941</v>
      </c>
      <c r="AB1762" s="1" t="s">
        <v>52</v>
      </c>
      <c r="AC1762">
        <v>2</v>
      </c>
      <c r="AD1762" s="2">
        <v>44866</v>
      </c>
      <c r="AE1762" s="1" t="s">
        <v>53</v>
      </c>
      <c r="AF1762" s="1" t="s">
        <v>72</v>
      </c>
      <c r="AG1762" s="1" t="s">
        <v>46</v>
      </c>
      <c r="AH1762" s="1" t="s">
        <v>59</v>
      </c>
      <c r="AI1762">
        <v>13904</v>
      </c>
      <c r="AJ1762">
        <v>-173.79999999999927</v>
      </c>
    </row>
    <row r="1763" spans="1:36" x14ac:dyDescent="0.25">
      <c r="A1763">
        <v>11762</v>
      </c>
      <c r="B1763">
        <v>31</v>
      </c>
      <c r="C1763" s="1" t="s">
        <v>36</v>
      </c>
      <c r="D1763" s="1" t="s">
        <v>61</v>
      </c>
      <c r="E1763" s="2">
        <v>44219</v>
      </c>
      <c r="F1763" s="2">
        <v>44807</v>
      </c>
      <c r="G1763" s="1" t="s">
        <v>62</v>
      </c>
      <c r="H1763">
        <v>519</v>
      </c>
      <c r="I1763">
        <v>11</v>
      </c>
      <c r="J1763">
        <v>2</v>
      </c>
      <c r="K1763">
        <v>54.4</v>
      </c>
      <c r="L1763">
        <v>15</v>
      </c>
      <c r="M1763" s="1" t="s">
        <v>39</v>
      </c>
      <c r="N1763" s="1" t="s">
        <v>56</v>
      </c>
      <c r="O1763">
        <v>5631.15</v>
      </c>
      <c r="P1763" t="b">
        <v>1</v>
      </c>
      <c r="Q1763">
        <v>0.91666666666666663</v>
      </c>
      <c r="R1763">
        <v>511.92272727272723</v>
      </c>
      <c r="S1763">
        <v>18.133333333333333</v>
      </c>
      <c r="T1763" s="2">
        <v>44197</v>
      </c>
      <c r="U1763" s="1" t="s">
        <v>57</v>
      </c>
      <c r="V1763">
        <v>0</v>
      </c>
      <c r="W1763" s="1" t="s">
        <v>56</v>
      </c>
      <c r="X1763">
        <v>588</v>
      </c>
      <c r="Y1763" s="1" t="s">
        <v>52</v>
      </c>
      <c r="Z1763" s="1" t="s">
        <v>42</v>
      </c>
      <c r="AA1763">
        <v>0.16666666666666666</v>
      </c>
      <c r="AB1763" s="1" t="s">
        <v>42</v>
      </c>
      <c r="AC1763">
        <v>2</v>
      </c>
      <c r="AD1763" s="2">
        <v>44197</v>
      </c>
      <c r="AE1763" s="1" t="s">
        <v>74</v>
      </c>
      <c r="AF1763" s="1" t="s">
        <v>72</v>
      </c>
      <c r="AG1763" s="1" t="s">
        <v>63</v>
      </c>
      <c r="AH1763" s="1" t="s">
        <v>64</v>
      </c>
      <c r="AI1763">
        <v>5709</v>
      </c>
      <c r="AJ1763">
        <v>-77.850000000000364</v>
      </c>
    </row>
    <row r="1764" spans="1:36" x14ac:dyDescent="0.25">
      <c r="A1764">
        <v>11763</v>
      </c>
      <c r="B1764">
        <v>37</v>
      </c>
      <c r="C1764" s="1" t="s">
        <v>60</v>
      </c>
      <c r="D1764" s="1" t="s">
        <v>69</v>
      </c>
      <c r="E1764" s="2">
        <v>44243</v>
      </c>
      <c r="F1764" s="2">
        <v>44704</v>
      </c>
      <c r="G1764" s="1" t="s">
        <v>49</v>
      </c>
      <c r="H1764">
        <v>1086</v>
      </c>
      <c r="I1764">
        <v>22</v>
      </c>
      <c r="J1764">
        <v>0</v>
      </c>
      <c r="K1764">
        <v>90.3</v>
      </c>
      <c r="L1764">
        <v>20</v>
      </c>
      <c r="M1764" s="1" t="s">
        <v>67</v>
      </c>
      <c r="N1764" s="1" t="s">
        <v>40</v>
      </c>
      <c r="O1764">
        <v>23674.799999999999</v>
      </c>
      <c r="P1764" t="b">
        <v>1</v>
      </c>
      <c r="Q1764">
        <v>1.8333333333333333</v>
      </c>
      <c r="R1764">
        <v>1076.1272727272726</v>
      </c>
      <c r="S1764">
        <v>90.3</v>
      </c>
      <c r="T1764" s="2">
        <v>44228</v>
      </c>
      <c r="U1764" s="1" t="s">
        <v>51</v>
      </c>
      <c r="V1764">
        <v>1</v>
      </c>
      <c r="W1764" s="1" t="s">
        <v>40</v>
      </c>
      <c r="X1764">
        <v>461</v>
      </c>
      <c r="Y1764" s="1" t="s">
        <v>43</v>
      </c>
      <c r="Z1764" s="1" t="s">
        <v>52</v>
      </c>
      <c r="AA1764">
        <v>0</v>
      </c>
      <c r="AB1764" s="1" t="s">
        <v>43</v>
      </c>
      <c r="AC1764">
        <v>3</v>
      </c>
      <c r="AD1764" s="2">
        <v>44228</v>
      </c>
      <c r="AE1764" s="1" t="s">
        <v>53</v>
      </c>
      <c r="AF1764" s="1" t="s">
        <v>54</v>
      </c>
      <c r="AG1764" s="1" t="s">
        <v>63</v>
      </c>
      <c r="AH1764" s="1" t="s">
        <v>47</v>
      </c>
      <c r="AI1764">
        <v>23892</v>
      </c>
      <c r="AJ1764">
        <v>-217.20000000000073</v>
      </c>
    </row>
    <row r="1765" spans="1:36" x14ac:dyDescent="0.25">
      <c r="A1765">
        <v>11764</v>
      </c>
      <c r="B1765">
        <v>39</v>
      </c>
      <c r="C1765" s="1" t="s">
        <v>60</v>
      </c>
      <c r="D1765" s="1" t="s">
        <v>37</v>
      </c>
      <c r="E1765" s="2">
        <v>44721</v>
      </c>
      <c r="F1765" s="2">
        <v>44651</v>
      </c>
      <c r="G1765" s="1" t="s">
        <v>49</v>
      </c>
      <c r="H1765">
        <v>827</v>
      </c>
      <c r="I1765">
        <v>29</v>
      </c>
      <c r="J1765">
        <v>1</v>
      </c>
      <c r="K1765">
        <v>35.979999999999997</v>
      </c>
      <c r="L1765">
        <v>20</v>
      </c>
      <c r="M1765" s="1" t="s">
        <v>67</v>
      </c>
      <c r="N1765" s="1" t="s">
        <v>56</v>
      </c>
      <c r="O1765">
        <v>23817.599999999999</v>
      </c>
      <c r="P1765" t="b">
        <v>0</v>
      </c>
      <c r="Q1765">
        <v>2.4166666666666665</v>
      </c>
      <c r="R1765">
        <v>821.29655172413788</v>
      </c>
      <c r="S1765">
        <v>17.989999999999998</v>
      </c>
      <c r="T1765" s="2">
        <v>44713</v>
      </c>
      <c r="U1765" s="1" t="s">
        <v>51</v>
      </c>
      <c r="V1765">
        <v>0</v>
      </c>
      <c r="W1765" s="1" t="s">
        <v>40</v>
      </c>
      <c r="Y1765" s="1" t="s">
        <v>52</v>
      </c>
      <c r="Z1765" s="1" t="s">
        <v>52</v>
      </c>
      <c r="AA1765">
        <v>3.3333333333333333E-2</v>
      </c>
      <c r="AB1765" s="1" t="s">
        <v>43</v>
      </c>
      <c r="AC1765">
        <v>3</v>
      </c>
      <c r="AD1765" s="2">
        <v>44713</v>
      </c>
      <c r="AE1765" s="1" t="s">
        <v>44</v>
      </c>
      <c r="AF1765" s="1" t="s">
        <v>54</v>
      </c>
      <c r="AG1765" s="1" t="s">
        <v>55</v>
      </c>
      <c r="AH1765" s="1" t="s">
        <v>59</v>
      </c>
      <c r="AI1765">
        <v>23983</v>
      </c>
      <c r="AJ1765">
        <v>-165.40000000000146</v>
      </c>
    </row>
    <row r="1766" spans="1:36" x14ac:dyDescent="0.25">
      <c r="A1766">
        <v>11765</v>
      </c>
      <c r="B1766">
        <v>28</v>
      </c>
      <c r="C1766" s="1" t="s">
        <v>60</v>
      </c>
      <c r="D1766" s="1" t="s">
        <v>37</v>
      </c>
      <c r="E1766" s="2">
        <v>44925</v>
      </c>
      <c r="F1766" s="2">
        <v>44580</v>
      </c>
      <c r="G1766" s="1" t="s">
        <v>38</v>
      </c>
      <c r="H1766">
        <v>374</v>
      </c>
      <c r="I1766">
        <v>25</v>
      </c>
      <c r="J1766">
        <v>1</v>
      </c>
      <c r="K1766">
        <v>69.67</v>
      </c>
      <c r="L1766">
        <v>20</v>
      </c>
      <c r="M1766" s="1" t="s">
        <v>39</v>
      </c>
      <c r="N1766" s="1" t="s">
        <v>40</v>
      </c>
      <c r="O1766">
        <v>9275.2000000000007</v>
      </c>
      <c r="P1766" t="b">
        <v>0</v>
      </c>
      <c r="Q1766">
        <v>2.0833333333333335</v>
      </c>
      <c r="R1766">
        <v>371.00800000000004</v>
      </c>
      <c r="S1766">
        <v>34.835000000000001</v>
      </c>
      <c r="T1766" s="2">
        <v>44896</v>
      </c>
      <c r="U1766" s="1" t="s">
        <v>57</v>
      </c>
      <c r="V1766">
        <v>1</v>
      </c>
      <c r="W1766" s="1" t="s">
        <v>56</v>
      </c>
      <c r="Y1766" s="1" t="s">
        <v>43</v>
      </c>
      <c r="Z1766" s="1" t="s">
        <v>52</v>
      </c>
      <c r="AA1766">
        <v>3.8461538461538464E-2</v>
      </c>
      <c r="AB1766" s="1" t="s">
        <v>52</v>
      </c>
      <c r="AC1766">
        <v>1</v>
      </c>
      <c r="AD1766" s="2">
        <v>44896</v>
      </c>
      <c r="AE1766" s="1" t="s">
        <v>44</v>
      </c>
      <c r="AF1766" s="1" t="s">
        <v>54</v>
      </c>
      <c r="AG1766" s="1" t="s">
        <v>63</v>
      </c>
      <c r="AH1766" s="1" t="s">
        <v>68</v>
      </c>
      <c r="AI1766">
        <v>9350</v>
      </c>
      <c r="AJ1766">
        <v>-74.799999999999272</v>
      </c>
    </row>
    <row r="1767" spans="1:36" x14ac:dyDescent="0.25">
      <c r="A1767">
        <v>11766</v>
      </c>
      <c r="B1767">
        <v>44</v>
      </c>
      <c r="C1767" s="1" t="s">
        <v>36</v>
      </c>
      <c r="D1767" s="1" t="s">
        <v>76</v>
      </c>
      <c r="E1767" s="2">
        <v>45030</v>
      </c>
      <c r="F1767" s="2">
        <v>44674</v>
      </c>
      <c r="G1767" s="1" t="s">
        <v>62</v>
      </c>
      <c r="H1767">
        <v>435</v>
      </c>
      <c r="I1767">
        <v>14</v>
      </c>
      <c r="J1767">
        <v>2</v>
      </c>
      <c r="K1767">
        <v>37.04</v>
      </c>
      <c r="L1767">
        <v>10</v>
      </c>
      <c r="M1767" s="1" t="s">
        <v>39</v>
      </c>
      <c r="N1767" s="1" t="s">
        <v>56</v>
      </c>
      <c r="O1767">
        <v>6046.5</v>
      </c>
      <c r="P1767" t="b">
        <v>0</v>
      </c>
      <c r="Q1767">
        <v>1.1666666666666667</v>
      </c>
      <c r="R1767">
        <v>431.89285714285717</v>
      </c>
      <c r="S1767">
        <v>12.346666666666666</v>
      </c>
      <c r="T1767" s="2">
        <v>45017</v>
      </c>
      <c r="U1767" s="1" t="s">
        <v>51</v>
      </c>
      <c r="V1767">
        <v>0</v>
      </c>
      <c r="W1767" s="1" t="s">
        <v>56</v>
      </c>
      <c r="Y1767" s="1" t="s">
        <v>52</v>
      </c>
      <c r="Z1767" s="1" t="s">
        <v>42</v>
      </c>
      <c r="AA1767">
        <v>0.13333333333333333</v>
      </c>
      <c r="AB1767" s="1" t="s">
        <v>42</v>
      </c>
      <c r="AC1767">
        <v>2</v>
      </c>
      <c r="AD1767" s="2">
        <v>45017</v>
      </c>
      <c r="AE1767" s="1" t="s">
        <v>53</v>
      </c>
      <c r="AF1767" s="1" t="s">
        <v>72</v>
      </c>
      <c r="AG1767" s="1" t="s">
        <v>55</v>
      </c>
      <c r="AH1767" s="1" t="s">
        <v>68</v>
      </c>
      <c r="AI1767">
        <v>6090</v>
      </c>
      <c r="AJ1767">
        <v>-43.5</v>
      </c>
    </row>
    <row r="1768" spans="1:36" x14ac:dyDescent="0.25">
      <c r="A1768">
        <v>11767</v>
      </c>
      <c r="B1768">
        <v>20</v>
      </c>
      <c r="C1768" s="1" t="s">
        <v>60</v>
      </c>
      <c r="D1768" s="1" t="s">
        <v>69</v>
      </c>
      <c r="E1768" s="2">
        <v>44902</v>
      </c>
      <c r="F1768" s="2">
        <v>45231</v>
      </c>
      <c r="G1768" s="1" t="s">
        <v>38</v>
      </c>
      <c r="H1768">
        <v>373</v>
      </c>
      <c r="I1768">
        <v>14</v>
      </c>
      <c r="J1768">
        <v>6</v>
      </c>
      <c r="K1768">
        <v>49.69</v>
      </c>
      <c r="L1768">
        <v>20</v>
      </c>
      <c r="M1768" s="1" t="s">
        <v>50</v>
      </c>
      <c r="N1768" s="1" t="s">
        <v>56</v>
      </c>
      <c r="O1768">
        <v>5147.3999999999996</v>
      </c>
      <c r="P1768" t="b">
        <v>1</v>
      </c>
      <c r="Q1768">
        <v>1.1666666666666667</v>
      </c>
      <c r="R1768">
        <v>367.67142857142852</v>
      </c>
      <c r="S1768">
        <v>7.0985714285714279</v>
      </c>
      <c r="T1768" s="2">
        <v>44896</v>
      </c>
      <c r="U1768" s="1" t="s">
        <v>66</v>
      </c>
      <c r="V1768">
        <v>0</v>
      </c>
      <c r="W1768" s="1" t="s">
        <v>56</v>
      </c>
      <c r="X1768">
        <v>329</v>
      </c>
      <c r="Y1768" s="1" t="s">
        <v>52</v>
      </c>
      <c r="Z1768" s="1" t="s">
        <v>52</v>
      </c>
      <c r="AA1768">
        <v>0.4</v>
      </c>
      <c r="AB1768" s="1" t="s">
        <v>42</v>
      </c>
      <c r="AC1768">
        <v>1</v>
      </c>
      <c r="AD1768" s="2">
        <v>44896</v>
      </c>
      <c r="AE1768" s="1" t="s">
        <v>53</v>
      </c>
      <c r="AF1768" s="1" t="s">
        <v>78</v>
      </c>
      <c r="AG1768" s="1" t="s">
        <v>63</v>
      </c>
      <c r="AH1768" s="1" t="s">
        <v>68</v>
      </c>
      <c r="AI1768">
        <v>5222</v>
      </c>
      <c r="AJ1768">
        <v>-74.600000000000364</v>
      </c>
    </row>
    <row r="1769" spans="1:36" x14ac:dyDescent="0.25">
      <c r="A1769">
        <v>11768</v>
      </c>
      <c r="B1769">
        <v>34</v>
      </c>
      <c r="C1769" s="1" t="s">
        <v>36</v>
      </c>
      <c r="D1769" s="1" t="s">
        <v>71</v>
      </c>
      <c r="E1769" s="2">
        <v>44340</v>
      </c>
      <c r="F1769" s="2">
        <v>44529</v>
      </c>
      <c r="G1769" s="1" t="s">
        <v>62</v>
      </c>
      <c r="H1769">
        <v>553</v>
      </c>
      <c r="I1769">
        <v>2</v>
      </c>
      <c r="J1769">
        <v>1</v>
      </c>
      <c r="K1769">
        <v>62.59</v>
      </c>
      <c r="L1769">
        <v>20</v>
      </c>
      <c r="M1769" s="1" t="s">
        <v>65</v>
      </c>
      <c r="N1769" s="1" t="s">
        <v>56</v>
      </c>
      <c r="O1769">
        <v>995.4</v>
      </c>
      <c r="P1769" t="b">
        <v>1</v>
      </c>
      <c r="Q1769">
        <v>0.16666666666666666</v>
      </c>
      <c r="R1769">
        <v>497.7</v>
      </c>
      <c r="S1769">
        <v>31.295000000000002</v>
      </c>
      <c r="T1769" s="2">
        <v>44317</v>
      </c>
      <c r="U1769" s="1" t="s">
        <v>57</v>
      </c>
      <c r="V1769">
        <v>0</v>
      </c>
      <c r="W1769" s="1" t="s">
        <v>56</v>
      </c>
      <c r="X1769">
        <v>189</v>
      </c>
      <c r="Y1769" s="1" t="s">
        <v>43</v>
      </c>
      <c r="Z1769" s="1" t="s">
        <v>52</v>
      </c>
      <c r="AA1769">
        <v>0.33333333333333331</v>
      </c>
      <c r="AB1769" s="1" t="s">
        <v>42</v>
      </c>
      <c r="AC1769">
        <v>2</v>
      </c>
      <c r="AD1769" s="2">
        <v>44317</v>
      </c>
      <c r="AE1769" s="1" t="s">
        <v>58</v>
      </c>
      <c r="AF1769" s="1" t="s">
        <v>54</v>
      </c>
      <c r="AG1769" s="1" t="s">
        <v>63</v>
      </c>
      <c r="AH1769" s="1" t="s">
        <v>64</v>
      </c>
      <c r="AI1769">
        <v>1106</v>
      </c>
      <c r="AJ1769">
        <v>-110.60000000000002</v>
      </c>
    </row>
    <row r="1770" spans="1:36" x14ac:dyDescent="0.25">
      <c r="A1770">
        <v>11769</v>
      </c>
      <c r="B1770">
        <v>61</v>
      </c>
      <c r="C1770" s="1" t="s">
        <v>60</v>
      </c>
      <c r="D1770" s="1" t="s">
        <v>69</v>
      </c>
      <c r="E1770" s="2">
        <v>44781</v>
      </c>
      <c r="F1770" s="2">
        <v>44981</v>
      </c>
      <c r="G1770" s="1" t="s">
        <v>62</v>
      </c>
      <c r="H1770">
        <v>1341</v>
      </c>
      <c r="I1770">
        <v>13</v>
      </c>
      <c r="J1770">
        <v>1</v>
      </c>
      <c r="K1770">
        <v>103.42</v>
      </c>
      <c r="L1770">
        <v>15</v>
      </c>
      <c r="M1770" s="1" t="s">
        <v>67</v>
      </c>
      <c r="N1770" s="1" t="s">
        <v>56</v>
      </c>
      <c r="O1770">
        <v>17231.849999999999</v>
      </c>
      <c r="P1770" t="b">
        <v>1</v>
      </c>
      <c r="Q1770">
        <v>1.0833333333333333</v>
      </c>
      <c r="R1770">
        <v>1325.5269230769229</v>
      </c>
      <c r="S1770">
        <v>51.71</v>
      </c>
      <c r="T1770" s="2">
        <v>44774</v>
      </c>
      <c r="U1770" s="1" t="s">
        <v>41</v>
      </c>
      <c r="V1770">
        <v>0</v>
      </c>
      <c r="W1770" s="1" t="s">
        <v>40</v>
      </c>
      <c r="X1770">
        <v>200</v>
      </c>
      <c r="Y1770" s="1" t="s">
        <v>43</v>
      </c>
      <c r="Z1770" s="1" t="s">
        <v>42</v>
      </c>
      <c r="AA1770">
        <v>7.1428571428571425E-2</v>
      </c>
      <c r="AB1770" s="1" t="s">
        <v>52</v>
      </c>
      <c r="AC1770">
        <v>2</v>
      </c>
      <c r="AD1770" s="2">
        <v>44774</v>
      </c>
      <c r="AE1770" s="1" t="s">
        <v>53</v>
      </c>
      <c r="AF1770" s="1" t="s">
        <v>54</v>
      </c>
      <c r="AG1770" s="1" t="s">
        <v>63</v>
      </c>
      <c r="AH1770" s="1" t="s">
        <v>47</v>
      </c>
      <c r="AI1770">
        <v>17433</v>
      </c>
      <c r="AJ1770">
        <v>-201.15000000000146</v>
      </c>
    </row>
    <row r="1771" spans="1:36" x14ac:dyDescent="0.25">
      <c r="A1771">
        <v>11770</v>
      </c>
      <c r="B1771">
        <v>45</v>
      </c>
      <c r="C1771" s="1" t="s">
        <v>36</v>
      </c>
      <c r="D1771" s="1" t="s">
        <v>71</v>
      </c>
      <c r="E1771" s="2">
        <v>44864</v>
      </c>
      <c r="F1771" s="2">
        <v>44681</v>
      </c>
      <c r="G1771" s="1" t="s">
        <v>49</v>
      </c>
      <c r="H1771">
        <v>1321</v>
      </c>
      <c r="I1771">
        <v>3</v>
      </c>
      <c r="J1771">
        <v>3</v>
      </c>
      <c r="K1771">
        <v>64.34</v>
      </c>
      <c r="L1771">
        <v>0</v>
      </c>
      <c r="M1771" s="1" t="s">
        <v>67</v>
      </c>
      <c r="N1771" s="1" t="s">
        <v>56</v>
      </c>
      <c r="O1771">
        <v>3963</v>
      </c>
      <c r="P1771" t="b">
        <v>0</v>
      </c>
      <c r="Q1771">
        <v>0.25</v>
      </c>
      <c r="R1771">
        <v>1321</v>
      </c>
      <c r="S1771">
        <v>16.085000000000001</v>
      </c>
      <c r="T1771" s="2">
        <v>44835</v>
      </c>
      <c r="U1771" s="1" t="s">
        <v>51</v>
      </c>
      <c r="V1771">
        <v>0</v>
      </c>
      <c r="W1771" s="1" t="s">
        <v>56</v>
      </c>
      <c r="Y1771" s="1" t="s">
        <v>43</v>
      </c>
      <c r="Z1771" s="1" t="s">
        <v>42</v>
      </c>
      <c r="AA1771">
        <v>0.75</v>
      </c>
      <c r="AB1771" s="1" t="s">
        <v>42</v>
      </c>
      <c r="AC1771">
        <v>3</v>
      </c>
      <c r="AD1771" s="2">
        <v>44835</v>
      </c>
      <c r="AE1771" s="1" t="s">
        <v>58</v>
      </c>
      <c r="AF1771" s="1" t="s">
        <v>72</v>
      </c>
      <c r="AG1771" s="1" t="s">
        <v>63</v>
      </c>
      <c r="AH1771" s="1" t="s">
        <v>47</v>
      </c>
      <c r="AI1771">
        <v>3963</v>
      </c>
      <c r="AJ1771">
        <v>0</v>
      </c>
    </row>
    <row r="1772" spans="1:36" x14ac:dyDescent="0.25">
      <c r="A1772">
        <v>11771</v>
      </c>
      <c r="B1772">
        <v>46</v>
      </c>
      <c r="C1772" s="1" t="s">
        <v>60</v>
      </c>
      <c r="D1772" s="1" t="s">
        <v>48</v>
      </c>
      <c r="E1772" s="2">
        <v>44785</v>
      </c>
      <c r="F1772" s="2">
        <v>45062</v>
      </c>
      <c r="G1772" s="1" t="s">
        <v>62</v>
      </c>
      <c r="H1772">
        <v>1366</v>
      </c>
      <c r="I1772">
        <v>30</v>
      </c>
      <c r="J1772">
        <v>4</v>
      </c>
      <c r="K1772">
        <v>32.380000000000003</v>
      </c>
      <c r="L1772">
        <v>0</v>
      </c>
      <c r="M1772" s="1" t="s">
        <v>65</v>
      </c>
      <c r="N1772" s="1" t="s">
        <v>40</v>
      </c>
      <c r="O1772">
        <v>40980</v>
      </c>
      <c r="P1772" t="b">
        <v>1</v>
      </c>
      <c r="Q1772">
        <v>2.5</v>
      </c>
      <c r="R1772">
        <v>1366</v>
      </c>
      <c r="S1772">
        <v>6.4760000000000009</v>
      </c>
      <c r="T1772" s="2">
        <v>44774</v>
      </c>
      <c r="U1772" s="1" t="s">
        <v>51</v>
      </c>
      <c r="V1772">
        <v>1</v>
      </c>
      <c r="W1772" s="1" t="s">
        <v>40</v>
      </c>
      <c r="X1772">
        <v>277</v>
      </c>
      <c r="Y1772" s="1" t="s">
        <v>52</v>
      </c>
      <c r="Z1772" s="1" t="s">
        <v>42</v>
      </c>
      <c r="AA1772">
        <v>0.12903225806451613</v>
      </c>
      <c r="AB1772" s="1" t="s">
        <v>43</v>
      </c>
      <c r="AC1772">
        <v>2</v>
      </c>
      <c r="AD1772" s="2">
        <v>44774</v>
      </c>
      <c r="AE1772" s="1" t="s">
        <v>44</v>
      </c>
      <c r="AF1772" s="1" t="s">
        <v>45</v>
      </c>
      <c r="AG1772" s="1" t="s">
        <v>55</v>
      </c>
      <c r="AH1772" s="1" t="s">
        <v>47</v>
      </c>
      <c r="AI1772">
        <v>40980</v>
      </c>
      <c r="AJ1772">
        <v>0</v>
      </c>
    </row>
    <row r="1773" spans="1:36" x14ac:dyDescent="0.25">
      <c r="A1773">
        <v>11772</v>
      </c>
      <c r="B1773">
        <v>38</v>
      </c>
      <c r="C1773" s="1" t="s">
        <v>60</v>
      </c>
      <c r="D1773" s="1" t="s">
        <v>61</v>
      </c>
      <c r="E1773" s="2">
        <v>44615</v>
      </c>
      <c r="F1773" s="2">
        <v>44376</v>
      </c>
      <c r="G1773" s="1" t="s">
        <v>49</v>
      </c>
      <c r="H1773">
        <v>349</v>
      </c>
      <c r="I1773">
        <v>18</v>
      </c>
      <c r="J1773">
        <v>1</v>
      </c>
      <c r="K1773">
        <v>27.22</v>
      </c>
      <c r="L1773">
        <v>10</v>
      </c>
      <c r="M1773" s="1" t="s">
        <v>65</v>
      </c>
      <c r="N1773" s="1" t="s">
        <v>40</v>
      </c>
      <c r="O1773">
        <v>6229.65</v>
      </c>
      <c r="P1773" t="b">
        <v>0</v>
      </c>
      <c r="Q1773">
        <v>1.5</v>
      </c>
      <c r="R1773">
        <v>346.09166666666664</v>
      </c>
      <c r="S1773">
        <v>13.61</v>
      </c>
      <c r="T1773" s="2">
        <v>44593</v>
      </c>
      <c r="U1773" s="1" t="s">
        <v>51</v>
      </c>
      <c r="V1773">
        <v>1</v>
      </c>
      <c r="W1773" s="1" t="s">
        <v>56</v>
      </c>
      <c r="Y1773" s="1" t="s">
        <v>52</v>
      </c>
      <c r="Z1773" s="1" t="s">
        <v>42</v>
      </c>
      <c r="AA1773">
        <v>5.2631578947368418E-2</v>
      </c>
      <c r="AB1773" s="1" t="s">
        <v>42</v>
      </c>
      <c r="AC1773">
        <v>3</v>
      </c>
      <c r="AD1773" s="2">
        <v>44593</v>
      </c>
      <c r="AE1773" s="1" t="s">
        <v>53</v>
      </c>
      <c r="AF1773" s="1" t="s">
        <v>54</v>
      </c>
      <c r="AG1773" s="1" t="s">
        <v>70</v>
      </c>
      <c r="AH1773" s="1" t="s">
        <v>68</v>
      </c>
      <c r="AI1773">
        <v>6282</v>
      </c>
      <c r="AJ1773">
        <v>-52.350000000000364</v>
      </c>
    </row>
    <row r="1774" spans="1:36" x14ac:dyDescent="0.25">
      <c r="A1774">
        <v>11773</v>
      </c>
      <c r="B1774">
        <v>64</v>
      </c>
      <c r="C1774" s="1" t="s">
        <v>60</v>
      </c>
      <c r="D1774" s="1" t="s">
        <v>61</v>
      </c>
      <c r="E1774" s="2">
        <v>44877</v>
      </c>
      <c r="F1774" s="2">
        <v>45061</v>
      </c>
      <c r="G1774" s="1" t="s">
        <v>49</v>
      </c>
      <c r="H1774">
        <v>814</v>
      </c>
      <c r="I1774">
        <v>21</v>
      </c>
      <c r="J1774">
        <v>2</v>
      </c>
      <c r="K1774">
        <v>114.72</v>
      </c>
      <c r="L1774">
        <v>5</v>
      </c>
      <c r="M1774" s="1" t="s">
        <v>65</v>
      </c>
      <c r="N1774" s="1" t="s">
        <v>40</v>
      </c>
      <c r="O1774">
        <v>17053.3</v>
      </c>
      <c r="P1774" t="b">
        <v>1</v>
      </c>
      <c r="Q1774">
        <v>1.75</v>
      </c>
      <c r="R1774">
        <v>812.06190476190477</v>
      </c>
      <c r="S1774">
        <v>38.24</v>
      </c>
      <c r="T1774" s="2">
        <v>44866</v>
      </c>
      <c r="U1774" s="1" t="s">
        <v>41</v>
      </c>
      <c r="V1774">
        <v>1</v>
      </c>
      <c r="W1774" s="1" t="s">
        <v>40</v>
      </c>
      <c r="X1774">
        <v>184</v>
      </c>
      <c r="Y1774" s="1" t="s">
        <v>43</v>
      </c>
      <c r="Z1774" s="1" t="s">
        <v>42</v>
      </c>
      <c r="AA1774">
        <v>9.0909090909090912E-2</v>
      </c>
      <c r="AB1774" s="1" t="s">
        <v>52</v>
      </c>
      <c r="AC1774">
        <v>3</v>
      </c>
      <c r="AD1774" s="2">
        <v>44866</v>
      </c>
      <c r="AE1774" s="1" t="s">
        <v>53</v>
      </c>
      <c r="AF1774" s="1" t="s">
        <v>72</v>
      </c>
      <c r="AG1774" s="1" t="s">
        <v>63</v>
      </c>
      <c r="AH1774" s="1" t="s">
        <v>59</v>
      </c>
      <c r="AI1774">
        <v>17094</v>
      </c>
      <c r="AJ1774">
        <v>-40.700000000000728</v>
      </c>
    </row>
    <row r="1775" spans="1:36" x14ac:dyDescent="0.25">
      <c r="A1775">
        <v>11774</v>
      </c>
      <c r="B1775">
        <v>33</v>
      </c>
      <c r="C1775" s="1" t="s">
        <v>60</v>
      </c>
      <c r="D1775" s="1" t="s">
        <v>73</v>
      </c>
      <c r="E1775" s="2">
        <v>44995</v>
      </c>
      <c r="F1775" s="2">
        <v>44440</v>
      </c>
      <c r="G1775" s="1" t="s">
        <v>49</v>
      </c>
      <c r="H1775">
        <v>1043</v>
      </c>
      <c r="I1775">
        <v>19</v>
      </c>
      <c r="J1775">
        <v>2</v>
      </c>
      <c r="K1775">
        <v>28.31</v>
      </c>
      <c r="L1775">
        <v>20</v>
      </c>
      <c r="M1775" s="1" t="s">
        <v>67</v>
      </c>
      <c r="N1775" s="1" t="s">
        <v>56</v>
      </c>
      <c r="O1775">
        <v>19608.400000000001</v>
      </c>
      <c r="P1775" t="b">
        <v>0</v>
      </c>
      <c r="Q1775">
        <v>1.5833333333333333</v>
      </c>
      <c r="R1775">
        <v>1032.0210526315791</v>
      </c>
      <c r="S1775">
        <v>9.4366666666666656</v>
      </c>
      <c r="T1775" s="2">
        <v>44986</v>
      </c>
      <c r="U1775" s="1" t="s">
        <v>57</v>
      </c>
      <c r="V1775">
        <v>0</v>
      </c>
      <c r="W1775" s="1" t="s">
        <v>40</v>
      </c>
      <c r="Y1775" s="1" t="s">
        <v>52</v>
      </c>
      <c r="Z1775" s="1" t="s">
        <v>52</v>
      </c>
      <c r="AA1775">
        <v>0.1</v>
      </c>
      <c r="AB1775" s="1" t="s">
        <v>43</v>
      </c>
      <c r="AC1775">
        <v>3</v>
      </c>
      <c r="AD1775" s="2">
        <v>44986</v>
      </c>
      <c r="AE1775" s="1" t="s">
        <v>53</v>
      </c>
      <c r="AF1775" s="1" t="s">
        <v>72</v>
      </c>
      <c r="AG1775" s="1" t="s">
        <v>70</v>
      </c>
      <c r="AH1775" s="1" t="s">
        <v>47</v>
      </c>
      <c r="AI1775">
        <v>19817</v>
      </c>
      <c r="AJ1775">
        <v>-208.59999999999854</v>
      </c>
    </row>
    <row r="1776" spans="1:36" x14ac:dyDescent="0.25">
      <c r="A1776">
        <v>11775</v>
      </c>
      <c r="B1776">
        <v>54</v>
      </c>
      <c r="C1776" s="1" t="s">
        <v>36</v>
      </c>
      <c r="D1776" s="1" t="s">
        <v>37</v>
      </c>
      <c r="E1776" s="2">
        <v>44281</v>
      </c>
      <c r="F1776" s="2">
        <v>45188</v>
      </c>
      <c r="G1776" s="1" t="s">
        <v>49</v>
      </c>
      <c r="H1776">
        <v>1030</v>
      </c>
      <c r="I1776">
        <v>16</v>
      </c>
      <c r="J1776">
        <v>1</v>
      </c>
      <c r="K1776">
        <v>97.94</v>
      </c>
      <c r="L1776">
        <v>5</v>
      </c>
      <c r="M1776" s="1" t="s">
        <v>67</v>
      </c>
      <c r="N1776" s="1" t="s">
        <v>56</v>
      </c>
      <c r="O1776">
        <v>16428.5</v>
      </c>
      <c r="P1776" t="b">
        <v>1</v>
      </c>
      <c r="Q1776">
        <v>1.3333333333333333</v>
      </c>
      <c r="R1776">
        <v>1026.78125</v>
      </c>
      <c r="S1776">
        <v>48.97</v>
      </c>
      <c r="T1776" s="2">
        <v>44256</v>
      </c>
      <c r="U1776" s="1" t="s">
        <v>41</v>
      </c>
      <c r="V1776">
        <v>0</v>
      </c>
      <c r="W1776" s="1" t="s">
        <v>40</v>
      </c>
      <c r="X1776">
        <v>907</v>
      </c>
      <c r="Y1776" s="1" t="s">
        <v>43</v>
      </c>
      <c r="Z1776" s="1" t="s">
        <v>42</v>
      </c>
      <c r="AA1776">
        <v>5.8823529411764705E-2</v>
      </c>
      <c r="AB1776" s="1" t="s">
        <v>52</v>
      </c>
      <c r="AC1776">
        <v>3</v>
      </c>
      <c r="AD1776" s="2">
        <v>44256</v>
      </c>
      <c r="AE1776" s="1" t="s">
        <v>53</v>
      </c>
      <c r="AF1776" s="1" t="s">
        <v>54</v>
      </c>
      <c r="AG1776" s="1" t="s">
        <v>63</v>
      </c>
      <c r="AH1776" s="1" t="s">
        <v>47</v>
      </c>
      <c r="AI1776">
        <v>16480</v>
      </c>
      <c r="AJ1776">
        <v>-51.5</v>
      </c>
    </row>
    <row r="1777" spans="1:36" x14ac:dyDescent="0.25">
      <c r="A1777">
        <v>11776</v>
      </c>
      <c r="B1777">
        <v>37</v>
      </c>
      <c r="C1777" s="1" t="s">
        <v>36</v>
      </c>
      <c r="D1777" s="1" t="s">
        <v>73</v>
      </c>
      <c r="E1777" s="2">
        <v>44612</v>
      </c>
      <c r="F1777" s="2">
        <v>45215</v>
      </c>
      <c r="G1777" s="1" t="s">
        <v>62</v>
      </c>
      <c r="H1777">
        <v>870</v>
      </c>
      <c r="I1777">
        <v>28</v>
      </c>
      <c r="J1777">
        <v>1</v>
      </c>
      <c r="K1777">
        <v>47.43</v>
      </c>
      <c r="L1777">
        <v>15</v>
      </c>
      <c r="M1777" s="1" t="s">
        <v>67</v>
      </c>
      <c r="N1777" s="1" t="s">
        <v>56</v>
      </c>
      <c r="O1777">
        <v>24229.5</v>
      </c>
      <c r="P1777" t="b">
        <v>1</v>
      </c>
      <c r="Q1777">
        <v>2.3333333333333335</v>
      </c>
      <c r="R1777">
        <v>865.33928571428567</v>
      </c>
      <c r="S1777">
        <v>23.715</v>
      </c>
      <c r="T1777" s="2">
        <v>44593</v>
      </c>
      <c r="U1777" s="1" t="s">
        <v>51</v>
      </c>
      <c r="V1777">
        <v>0</v>
      </c>
      <c r="W1777" s="1" t="s">
        <v>40</v>
      </c>
      <c r="X1777">
        <v>603</v>
      </c>
      <c r="Y1777" s="1" t="s">
        <v>52</v>
      </c>
      <c r="Z1777" s="1" t="s">
        <v>42</v>
      </c>
      <c r="AA1777">
        <v>3.4482758620689655E-2</v>
      </c>
      <c r="AB1777" s="1" t="s">
        <v>43</v>
      </c>
      <c r="AC1777">
        <v>2</v>
      </c>
      <c r="AD1777" s="2">
        <v>44593</v>
      </c>
      <c r="AE1777" s="1" t="s">
        <v>44</v>
      </c>
      <c r="AF1777" s="1" t="s">
        <v>54</v>
      </c>
      <c r="AG1777" s="1" t="s">
        <v>63</v>
      </c>
      <c r="AH1777" s="1" t="s">
        <v>59</v>
      </c>
      <c r="AI1777">
        <v>24360</v>
      </c>
      <c r="AJ1777">
        <v>-130.5</v>
      </c>
    </row>
    <row r="1778" spans="1:36" x14ac:dyDescent="0.25">
      <c r="A1778">
        <v>11777</v>
      </c>
      <c r="B1778">
        <v>23</v>
      </c>
      <c r="C1778" s="1" t="s">
        <v>36</v>
      </c>
      <c r="D1778" s="1" t="s">
        <v>48</v>
      </c>
      <c r="E1778" s="2">
        <v>44890</v>
      </c>
      <c r="F1778" s="2">
        <v>45035</v>
      </c>
      <c r="G1778" s="1" t="s">
        <v>38</v>
      </c>
      <c r="H1778">
        <v>875</v>
      </c>
      <c r="I1778">
        <v>4</v>
      </c>
      <c r="J1778">
        <v>0</v>
      </c>
      <c r="K1778">
        <v>118.35</v>
      </c>
      <c r="L1778">
        <v>5</v>
      </c>
      <c r="M1778" s="1" t="s">
        <v>39</v>
      </c>
      <c r="N1778" s="1" t="s">
        <v>40</v>
      </c>
      <c r="O1778">
        <v>3456.25</v>
      </c>
      <c r="P1778" t="b">
        <v>1</v>
      </c>
      <c r="Q1778">
        <v>0.33333333333333331</v>
      </c>
      <c r="R1778">
        <v>864.0625</v>
      </c>
      <c r="S1778">
        <v>118.35</v>
      </c>
      <c r="T1778" s="2">
        <v>44866</v>
      </c>
      <c r="U1778" s="1" t="s">
        <v>66</v>
      </c>
      <c r="V1778">
        <v>1</v>
      </c>
      <c r="W1778" s="1" t="s">
        <v>56</v>
      </c>
      <c r="X1778">
        <v>145</v>
      </c>
      <c r="Y1778" s="1" t="s">
        <v>43</v>
      </c>
      <c r="Z1778" s="1" t="s">
        <v>42</v>
      </c>
      <c r="AA1778">
        <v>0</v>
      </c>
      <c r="AB1778" s="1" t="s">
        <v>42</v>
      </c>
      <c r="AC1778">
        <v>1</v>
      </c>
      <c r="AD1778" s="2">
        <v>44866</v>
      </c>
      <c r="AE1778" s="1" t="s">
        <v>58</v>
      </c>
      <c r="AF1778" s="1" t="s">
        <v>54</v>
      </c>
      <c r="AG1778" s="1" t="s">
        <v>63</v>
      </c>
      <c r="AH1778" s="1" t="s">
        <v>59</v>
      </c>
      <c r="AI1778">
        <v>3500</v>
      </c>
      <c r="AJ1778">
        <v>-43.75</v>
      </c>
    </row>
    <row r="1779" spans="1:36" x14ac:dyDescent="0.25">
      <c r="A1779">
        <v>11778</v>
      </c>
      <c r="B1779">
        <v>36</v>
      </c>
      <c r="C1779" s="1" t="s">
        <v>36</v>
      </c>
      <c r="D1779" s="1" t="s">
        <v>73</v>
      </c>
      <c r="E1779" s="2">
        <v>44678</v>
      </c>
      <c r="F1779" s="2">
        <v>44677</v>
      </c>
      <c r="G1779" s="1" t="s">
        <v>38</v>
      </c>
      <c r="H1779">
        <v>1465</v>
      </c>
      <c r="I1779">
        <v>15</v>
      </c>
      <c r="J1779">
        <v>1</v>
      </c>
      <c r="K1779">
        <v>47.34</v>
      </c>
      <c r="L1779">
        <v>0</v>
      </c>
      <c r="M1779" s="1" t="s">
        <v>50</v>
      </c>
      <c r="N1779" s="1" t="s">
        <v>56</v>
      </c>
      <c r="O1779">
        <v>21975</v>
      </c>
      <c r="P1779" t="b">
        <v>0</v>
      </c>
      <c r="Q1779">
        <v>1.25</v>
      </c>
      <c r="R1779">
        <v>1465</v>
      </c>
      <c r="S1779">
        <v>23.67</v>
      </c>
      <c r="T1779" s="2">
        <v>44652</v>
      </c>
      <c r="U1779" s="1" t="s">
        <v>51</v>
      </c>
      <c r="V1779">
        <v>0</v>
      </c>
      <c r="W1779" s="1" t="s">
        <v>40</v>
      </c>
      <c r="Y1779" s="1" t="s">
        <v>52</v>
      </c>
      <c r="Z1779" s="1" t="s">
        <v>42</v>
      </c>
      <c r="AA1779">
        <v>6.25E-2</v>
      </c>
      <c r="AB1779" s="1" t="s">
        <v>43</v>
      </c>
      <c r="AC1779">
        <v>1</v>
      </c>
      <c r="AD1779" s="2">
        <v>44652</v>
      </c>
      <c r="AE1779" s="1" t="s">
        <v>53</v>
      </c>
      <c r="AF1779" s="1" t="s">
        <v>54</v>
      </c>
      <c r="AG1779" s="1" t="s">
        <v>63</v>
      </c>
      <c r="AH1779" s="1" t="s">
        <v>47</v>
      </c>
      <c r="AI1779">
        <v>21975</v>
      </c>
      <c r="AJ1779">
        <v>0</v>
      </c>
    </row>
    <row r="1780" spans="1:36" x14ac:dyDescent="0.25">
      <c r="A1780">
        <v>11779</v>
      </c>
      <c r="B1780">
        <v>22</v>
      </c>
      <c r="C1780" s="1" t="s">
        <v>36</v>
      </c>
      <c r="D1780" s="1" t="s">
        <v>61</v>
      </c>
      <c r="E1780" s="2">
        <v>44652</v>
      </c>
      <c r="F1780" s="2">
        <v>45070</v>
      </c>
      <c r="G1780" s="1" t="s">
        <v>38</v>
      </c>
      <c r="H1780">
        <v>1202</v>
      </c>
      <c r="I1780">
        <v>1</v>
      </c>
      <c r="J1780">
        <v>2</v>
      </c>
      <c r="K1780">
        <v>45.42</v>
      </c>
      <c r="L1780">
        <v>10</v>
      </c>
      <c r="M1780" s="1" t="s">
        <v>50</v>
      </c>
      <c r="N1780" s="1" t="s">
        <v>40</v>
      </c>
      <c r="O1780">
        <v>1081.8</v>
      </c>
      <c r="P1780" t="b">
        <v>1</v>
      </c>
      <c r="Q1780">
        <v>8.3333333333333329E-2</v>
      </c>
      <c r="R1780">
        <v>1081.8</v>
      </c>
      <c r="S1780">
        <v>15.14</v>
      </c>
      <c r="T1780" s="2">
        <v>44652</v>
      </c>
      <c r="U1780" s="1" t="s">
        <v>66</v>
      </c>
      <c r="V1780">
        <v>1</v>
      </c>
      <c r="W1780" s="1" t="s">
        <v>56</v>
      </c>
      <c r="X1780">
        <v>418</v>
      </c>
      <c r="Y1780" s="1" t="s">
        <v>52</v>
      </c>
      <c r="Z1780" s="1" t="s">
        <v>42</v>
      </c>
      <c r="AA1780">
        <v>1</v>
      </c>
      <c r="AB1780" s="1" t="s">
        <v>42</v>
      </c>
      <c r="AC1780">
        <v>1</v>
      </c>
      <c r="AD1780" s="2">
        <v>44652</v>
      </c>
      <c r="AE1780" s="1" t="s">
        <v>58</v>
      </c>
      <c r="AF1780" s="1" t="s">
        <v>72</v>
      </c>
      <c r="AG1780" s="1" t="s">
        <v>63</v>
      </c>
      <c r="AH1780" s="1" t="s">
        <v>47</v>
      </c>
      <c r="AI1780">
        <v>1202</v>
      </c>
      <c r="AJ1780">
        <v>-120.20000000000005</v>
      </c>
    </row>
    <row r="1781" spans="1:36" x14ac:dyDescent="0.25">
      <c r="A1781">
        <v>11780</v>
      </c>
      <c r="B1781">
        <v>20</v>
      </c>
      <c r="C1781" s="1" t="s">
        <v>36</v>
      </c>
      <c r="D1781" s="1" t="s">
        <v>37</v>
      </c>
      <c r="E1781" s="2">
        <v>45023</v>
      </c>
      <c r="F1781" s="2">
        <v>44531</v>
      </c>
      <c r="G1781" s="1" t="s">
        <v>62</v>
      </c>
      <c r="H1781">
        <v>501</v>
      </c>
      <c r="I1781">
        <v>16</v>
      </c>
      <c r="J1781">
        <v>3</v>
      </c>
      <c r="K1781">
        <v>78.31</v>
      </c>
      <c r="L1781">
        <v>5</v>
      </c>
      <c r="M1781" s="1" t="s">
        <v>65</v>
      </c>
      <c r="N1781" s="1" t="s">
        <v>56</v>
      </c>
      <c r="O1781">
        <v>7990.95</v>
      </c>
      <c r="P1781" t="b">
        <v>0</v>
      </c>
      <c r="Q1781">
        <v>1.3333333333333333</v>
      </c>
      <c r="R1781">
        <v>499.43437499999999</v>
      </c>
      <c r="S1781">
        <v>19.577500000000001</v>
      </c>
      <c r="T1781" s="2">
        <v>45017</v>
      </c>
      <c r="U1781" s="1" t="s">
        <v>66</v>
      </c>
      <c r="V1781">
        <v>0</v>
      </c>
      <c r="W1781" s="1" t="s">
        <v>56</v>
      </c>
      <c r="Y1781" s="1" t="s">
        <v>43</v>
      </c>
      <c r="Z1781" s="1" t="s">
        <v>42</v>
      </c>
      <c r="AA1781">
        <v>0.17647058823529413</v>
      </c>
      <c r="AB1781" s="1" t="s">
        <v>42</v>
      </c>
      <c r="AC1781">
        <v>2</v>
      </c>
      <c r="AD1781" s="2">
        <v>45017</v>
      </c>
      <c r="AE1781" s="1" t="s">
        <v>53</v>
      </c>
      <c r="AF1781" s="1" t="s">
        <v>72</v>
      </c>
      <c r="AG1781" s="1" t="s">
        <v>63</v>
      </c>
      <c r="AH1781" s="1" t="s">
        <v>64</v>
      </c>
      <c r="AI1781">
        <v>8016</v>
      </c>
      <c r="AJ1781">
        <v>-25.050000000000182</v>
      </c>
    </row>
    <row r="1782" spans="1:36" x14ac:dyDescent="0.25">
      <c r="A1782">
        <v>11781</v>
      </c>
      <c r="B1782">
        <v>18</v>
      </c>
      <c r="C1782" s="1" t="s">
        <v>36</v>
      </c>
      <c r="D1782" s="1" t="s">
        <v>48</v>
      </c>
      <c r="E1782" s="2">
        <v>44493</v>
      </c>
      <c r="F1782" s="2">
        <v>44442</v>
      </c>
      <c r="G1782" s="1" t="s">
        <v>62</v>
      </c>
      <c r="H1782">
        <v>506</v>
      </c>
      <c r="I1782">
        <v>20</v>
      </c>
      <c r="J1782">
        <v>2</v>
      </c>
      <c r="K1782">
        <v>115.57</v>
      </c>
      <c r="L1782">
        <v>10</v>
      </c>
      <c r="M1782" s="1" t="s">
        <v>65</v>
      </c>
      <c r="N1782" s="1" t="s">
        <v>40</v>
      </c>
      <c r="O1782">
        <v>10069.4</v>
      </c>
      <c r="P1782" t="b">
        <v>0</v>
      </c>
      <c r="Q1782">
        <v>1.6666666666666667</v>
      </c>
      <c r="R1782">
        <v>503.46999999999997</v>
      </c>
      <c r="S1782">
        <v>38.523333333333333</v>
      </c>
      <c r="T1782" s="2">
        <v>44470</v>
      </c>
      <c r="U1782" s="1" t="s">
        <v>66</v>
      </c>
      <c r="V1782">
        <v>1</v>
      </c>
      <c r="W1782" s="1" t="s">
        <v>56</v>
      </c>
      <c r="Y1782" s="1" t="s">
        <v>43</v>
      </c>
      <c r="Z1782" s="1" t="s">
        <v>42</v>
      </c>
      <c r="AA1782">
        <v>9.5238095238095233E-2</v>
      </c>
      <c r="AB1782" s="1" t="s">
        <v>52</v>
      </c>
      <c r="AC1782">
        <v>2</v>
      </c>
      <c r="AD1782" s="2">
        <v>44470</v>
      </c>
      <c r="AE1782" s="1" t="s">
        <v>53</v>
      </c>
      <c r="AF1782" s="1" t="s">
        <v>72</v>
      </c>
      <c r="AG1782" s="1" t="s">
        <v>63</v>
      </c>
      <c r="AH1782" s="1" t="s">
        <v>64</v>
      </c>
      <c r="AI1782">
        <v>10120</v>
      </c>
      <c r="AJ1782">
        <v>-50.600000000000364</v>
      </c>
    </row>
    <row r="1783" spans="1:36" x14ac:dyDescent="0.25">
      <c r="A1783">
        <v>11782</v>
      </c>
      <c r="B1783">
        <v>55</v>
      </c>
      <c r="C1783" s="1" t="s">
        <v>36</v>
      </c>
      <c r="D1783" s="1" t="s">
        <v>61</v>
      </c>
      <c r="E1783" s="2">
        <v>44308</v>
      </c>
      <c r="F1783" s="2">
        <v>45132</v>
      </c>
      <c r="G1783" s="1" t="s">
        <v>62</v>
      </c>
      <c r="H1783">
        <v>714</v>
      </c>
      <c r="I1783">
        <v>33</v>
      </c>
      <c r="J1783">
        <v>5</v>
      </c>
      <c r="K1783">
        <v>117.26</v>
      </c>
      <c r="L1783">
        <v>5</v>
      </c>
      <c r="M1783" s="1" t="s">
        <v>67</v>
      </c>
      <c r="N1783" s="1" t="s">
        <v>56</v>
      </c>
      <c r="O1783">
        <v>23526.3</v>
      </c>
      <c r="P1783" t="b">
        <v>1</v>
      </c>
      <c r="Q1783">
        <v>2.75</v>
      </c>
      <c r="R1783">
        <v>712.91818181818178</v>
      </c>
      <c r="S1783">
        <v>19.543333333333333</v>
      </c>
      <c r="T1783" s="2">
        <v>44287</v>
      </c>
      <c r="U1783" s="1" t="s">
        <v>41</v>
      </c>
      <c r="V1783">
        <v>0</v>
      </c>
      <c r="W1783" s="1" t="s">
        <v>40</v>
      </c>
      <c r="X1783">
        <v>824</v>
      </c>
      <c r="Y1783" s="1" t="s">
        <v>43</v>
      </c>
      <c r="Z1783" s="1" t="s">
        <v>42</v>
      </c>
      <c r="AA1783">
        <v>0.14705882352941177</v>
      </c>
      <c r="AB1783" s="1" t="s">
        <v>43</v>
      </c>
      <c r="AC1783">
        <v>2</v>
      </c>
      <c r="AD1783" s="2">
        <v>44287</v>
      </c>
      <c r="AE1783" s="1" t="s">
        <v>44</v>
      </c>
      <c r="AF1783" s="1" t="s">
        <v>45</v>
      </c>
      <c r="AG1783" s="1" t="s">
        <v>63</v>
      </c>
      <c r="AH1783" s="1" t="s">
        <v>59</v>
      </c>
      <c r="AI1783">
        <v>23562</v>
      </c>
      <c r="AJ1783">
        <v>-35.700000000000728</v>
      </c>
    </row>
    <row r="1784" spans="1:36" x14ac:dyDescent="0.25">
      <c r="A1784">
        <v>11783</v>
      </c>
      <c r="B1784">
        <v>32</v>
      </c>
      <c r="C1784" s="1" t="s">
        <v>60</v>
      </c>
      <c r="D1784" s="1" t="s">
        <v>71</v>
      </c>
      <c r="E1784" s="2">
        <v>44426</v>
      </c>
      <c r="F1784" s="2">
        <v>44996</v>
      </c>
      <c r="G1784" s="1" t="s">
        <v>49</v>
      </c>
      <c r="H1784">
        <v>520</v>
      </c>
      <c r="I1784">
        <v>17</v>
      </c>
      <c r="J1784">
        <v>1</v>
      </c>
      <c r="K1784">
        <v>62.59</v>
      </c>
      <c r="L1784">
        <v>10</v>
      </c>
      <c r="M1784" s="1" t="s">
        <v>50</v>
      </c>
      <c r="N1784" s="1" t="s">
        <v>40</v>
      </c>
      <c r="O1784">
        <v>8762</v>
      </c>
      <c r="P1784" t="b">
        <v>1</v>
      </c>
      <c r="Q1784">
        <v>1.4166666666666667</v>
      </c>
      <c r="R1784">
        <v>515.41176470588232</v>
      </c>
      <c r="S1784">
        <v>31.295000000000002</v>
      </c>
      <c r="T1784" s="2">
        <v>44409</v>
      </c>
      <c r="U1784" s="1" t="s">
        <v>57</v>
      </c>
      <c r="V1784">
        <v>1</v>
      </c>
      <c r="W1784" s="1" t="s">
        <v>56</v>
      </c>
      <c r="X1784">
        <v>570</v>
      </c>
      <c r="Y1784" s="1" t="s">
        <v>43</v>
      </c>
      <c r="Z1784" s="1" t="s">
        <v>42</v>
      </c>
      <c r="AA1784">
        <v>5.5555555555555552E-2</v>
      </c>
      <c r="AB1784" s="1" t="s">
        <v>42</v>
      </c>
      <c r="AC1784">
        <v>3</v>
      </c>
      <c r="AD1784" s="2">
        <v>44409</v>
      </c>
      <c r="AE1784" s="1" t="s">
        <v>53</v>
      </c>
      <c r="AF1784" s="1" t="s">
        <v>54</v>
      </c>
      <c r="AG1784" s="1" t="s">
        <v>63</v>
      </c>
      <c r="AH1784" s="1" t="s">
        <v>64</v>
      </c>
      <c r="AI1784">
        <v>8840</v>
      </c>
      <c r="AJ1784">
        <v>-78</v>
      </c>
    </row>
    <row r="1785" spans="1:36" x14ac:dyDescent="0.25">
      <c r="A1785">
        <v>11784</v>
      </c>
      <c r="B1785">
        <v>51</v>
      </c>
      <c r="C1785" s="1" t="s">
        <v>36</v>
      </c>
      <c r="D1785" s="1" t="s">
        <v>69</v>
      </c>
      <c r="E1785" s="2">
        <v>44292</v>
      </c>
      <c r="F1785" s="2">
        <v>45096</v>
      </c>
      <c r="G1785" s="1" t="s">
        <v>49</v>
      </c>
      <c r="H1785">
        <v>1057</v>
      </c>
      <c r="I1785">
        <v>5</v>
      </c>
      <c r="J1785">
        <v>1</v>
      </c>
      <c r="K1785">
        <v>91.78</v>
      </c>
      <c r="L1785">
        <v>10</v>
      </c>
      <c r="M1785" s="1" t="s">
        <v>50</v>
      </c>
      <c r="N1785" s="1" t="s">
        <v>56</v>
      </c>
      <c r="O1785">
        <v>5179.3</v>
      </c>
      <c r="P1785" t="b">
        <v>1</v>
      </c>
      <c r="Q1785">
        <v>0.41666666666666669</v>
      </c>
      <c r="R1785">
        <v>1035.8600000000001</v>
      </c>
      <c r="S1785">
        <v>45.89</v>
      </c>
      <c r="T1785" s="2">
        <v>44287</v>
      </c>
      <c r="U1785" s="1" t="s">
        <v>41</v>
      </c>
      <c r="V1785">
        <v>0</v>
      </c>
      <c r="W1785" s="1" t="s">
        <v>56</v>
      </c>
      <c r="X1785">
        <v>804</v>
      </c>
      <c r="Y1785" s="1" t="s">
        <v>43</v>
      </c>
      <c r="Z1785" s="1" t="s">
        <v>42</v>
      </c>
      <c r="AA1785">
        <v>0.16666666666666666</v>
      </c>
      <c r="AB1785" s="1" t="s">
        <v>42</v>
      </c>
      <c r="AC1785">
        <v>3</v>
      </c>
      <c r="AD1785" s="2">
        <v>44287</v>
      </c>
      <c r="AE1785" s="1" t="s">
        <v>58</v>
      </c>
      <c r="AF1785" s="1" t="s">
        <v>54</v>
      </c>
      <c r="AG1785" s="1" t="s">
        <v>63</v>
      </c>
      <c r="AH1785" s="1" t="s">
        <v>47</v>
      </c>
      <c r="AI1785">
        <v>5285</v>
      </c>
      <c r="AJ1785">
        <v>-105.69999999999982</v>
      </c>
    </row>
    <row r="1786" spans="1:36" x14ac:dyDescent="0.25">
      <c r="A1786">
        <v>11785</v>
      </c>
      <c r="B1786">
        <v>52</v>
      </c>
      <c r="C1786" s="1" t="s">
        <v>60</v>
      </c>
      <c r="D1786" s="1" t="s">
        <v>48</v>
      </c>
      <c r="E1786" s="2">
        <v>44876</v>
      </c>
      <c r="F1786" s="2">
        <v>44700</v>
      </c>
      <c r="G1786" s="1" t="s">
        <v>38</v>
      </c>
      <c r="H1786">
        <v>1404</v>
      </c>
      <c r="I1786">
        <v>5</v>
      </c>
      <c r="J1786">
        <v>1</v>
      </c>
      <c r="K1786">
        <v>69.790000000000006</v>
      </c>
      <c r="L1786">
        <v>5</v>
      </c>
      <c r="M1786" s="1" t="s">
        <v>39</v>
      </c>
      <c r="N1786" s="1" t="s">
        <v>40</v>
      </c>
      <c r="O1786">
        <v>6949.8</v>
      </c>
      <c r="P1786" t="b">
        <v>0</v>
      </c>
      <c r="Q1786">
        <v>0.41666666666666669</v>
      </c>
      <c r="R1786">
        <v>1389.96</v>
      </c>
      <c r="S1786">
        <v>34.895000000000003</v>
      </c>
      <c r="T1786" s="2">
        <v>44866</v>
      </c>
      <c r="U1786" s="1" t="s">
        <v>41</v>
      </c>
      <c r="V1786">
        <v>1</v>
      </c>
      <c r="W1786" s="1" t="s">
        <v>56</v>
      </c>
      <c r="Y1786" s="1" t="s">
        <v>43</v>
      </c>
      <c r="Z1786" s="1" t="s">
        <v>42</v>
      </c>
      <c r="AA1786">
        <v>0.16666666666666666</v>
      </c>
      <c r="AB1786" s="1" t="s">
        <v>42</v>
      </c>
      <c r="AC1786">
        <v>1</v>
      </c>
      <c r="AD1786" s="2">
        <v>44866</v>
      </c>
      <c r="AE1786" s="1" t="s">
        <v>58</v>
      </c>
      <c r="AF1786" s="1" t="s">
        <v>54</v>
      </c>
      <c r="AG1786" s="1" t="s">
        <v>63</v>
      </c>
      <c r="AH1786" s="1" t="s">
        <v>47</v>
      </c>
      <c r="AI1786">
        <v>7020</v>
      </c>
      <c r="AJ1786">
        <v>-70.199999999999818</v>
      </c>
    </row>
    <row r="1787" spans="1:36" x14ac:dyDescent="0.25">
      <c r="A1787">
        <v>11786</v>
      </c>
      <c r="B1787">
        <v>42</v>
      </c>
      <c r="C1787" s="1" t="s">
        <v>36</v>
      </c>
      <c r="D1787" s="1" t="s">
        <v>37</v>
      </c>
      <c r="E1787" s="2">
        <v>44574</v>
      </c>
      <c r="F1787" s="2">
        <v>44612</v>
      </c>
      <c r="G1787" s="1" t="s">
        <v>38</v>
      </c>
      <c r="H1787">
        <v>1062</v>
      </c>
      <c r="I1787">
        <v>13</v>
      </c>
      <c r="J1787">
        <v>3</v>
      </c>
      <c r="K1787">
        <v>91.91</v>
      </c>
      <c r="L1787">
        <v>15</v>
      </c>
      <c r="M1787" s="1" t="s">
        <v>67</v>
      </c>
      <c r="N1787" s="1" t="s">
        <v>56</v>
      </c>
      <c r="O1787">
        <v>13646.7</v>
      </c>
      <c r="P1787" t="b">
        <v>1</v>
      </c>
      <c r="Q1787">
        <v>1.0833333333333333</v>
      </c>
      <c r="R1787">
        <v>1049.7461538461539</v>
      </c>
      <c r="S1787">
        <v>22.977499999999999</v>
      </c>
      <c r="T1787" s="2">
        <v>44562</v>
      </c>
      <c r="U1787" s="1" t="s">
        <v>51</v>
      </c>
      <c r="V1787">
        <v>0</v>
      </c>
      <c r="W1787" s="1" t="s">
        <v>40</v>
      </c>
      <c r="X1787">
        <v>38</v>
      </c>
      <c r="Y1787" s="1" t="s">
        <v>43</v>
      </c>
      <c r="Z1787" s="1" t="s">
        <v>42</v>
      </c>
      <c r="AA1787">
        <v>0.21428571428571427</v>
      </c>
      <c r="AB1787" s="1" t="s">
        <v>52</v>
      </c>
      <c r="AC1787">
        <v>1</v>
      </c>
      <c r="AD1787" s="2">
        <v>44562</v>
      </c>
      <c r="AE1787" s="1" t="s">
        <v>53</v>
      </c>
      <c r="AF1787" s="1" t="s">
        <v>72</v>
      </c>
      <c r="AG1787" s="1" t="s">
        <v>63</v>
      </c>
      <c r="AH1787" s="1" t="s">
        <v>47</v>
      </c>
      <c r="AI1787">
        <v>13806</v>
      </c>
      <c r="AJ1787">
        <v>-159.29999999999927</v>
      </c>
    </row>
    <row r="1788" spans="1:36" x14ac:dyDescent="0.25">
      <c r="A1788">
        <v>11787</v>
      </c>
      <c r="B1788">
        <v>41</v>
      </c>
      <c r="C1788" s="1" t="s">
        <v>36</v>
      </c>
      <c r="D1788" s="1" t="s">
        <v>76</v>
      </c>
      <c r="E1788" s="2">
        <v>44352</v>
      </c>
      <c r="F1788" s="2">
        <v>44994</v>
      </c>
      <c r="G1788" s="1" t="s">
        <v>38</v>
      </c>
      <c r="H1788">
        <v>862</v>
      </c>
      <c r="I1788">
        <v>30</v>
      </c>
      <c r="J1788">
        <v>2</v>
      </c>
      <c r="K1788">
        <v>103.87</v>
      </c>
      <c r="L1788">
        <v>0</v>
      </c>
      <c r="M1788" s="1" t="s">
        <v>67</v>
      </c>
      <c r="N1788" s="1" t="s">
        <v>56</v>
      </c>
      <c r="O1788">
        <v>25860</v>
      </c>
      <c r="P1788" t="b">
        <v>1</v>
      </c>
      <c r="Q1788">
        <v>2.5</v>
      </c>
      <c r="R1788">
        <v>862</v>
      </c>
      <c r="S1788">
        <v>34.623333333333335</v>
      </c>
      <c r="T1788" s="2">
        <v>44348</v>
      </c>
      <c r="U1788" s="1" t="s">
        <v>51</v>
      </c>
      <c r="V1788">
        <v>0</v>
      </c>
      <c r="W1788" s="1" t="s">
        <v>40</v>
      </c>
      <c r="X1788">
        <v>642</v>
      </c>
      <c r="Y1788" s="1" t="s">
        <v>43</v>
      </c>
      <c r="Z1788" s="1" t="s">
        <v>42</v>
      </c>
      <c r="AA1788">
        <v>6.4516129032258063E-2</v>
      </c>
      <c r="AB1788" s="1" t="s">
        <v>43</v>
      </c>
      <c r="AC1788">
        <v>1</v>
      </c>
      <c r="AD1788" s="2">
        <v>44348</v>
      </c>
      <c r="AE1788" s="1" t="s">
        <v>44</v>
      </c>
      <c r="AF1788" s="1" t="s">
        <v>72</v>
      </c>
      <c r="AG1788" s="1" t="s">
        <v>63</v>
      </c>
      <c r="AH1788" s="1" t="s">
        <v>59</v>
      </c>
      <c r="AI1788">
        <v>25860</v>
      </c>
      <c r="AJ1788">
        <v>0</v>
      </c>
    </row>
    <row r="1789" spans="1:36" x14ac:dyDescent="0.25">
      <c r="A1789">
        <v>11788</v>
      </c>
      <c r="B1789">
        <v>29</v>
      </c>
      <c r="C1789" s="1" t="s">
        <v>60</v>
      </c>
      <c r="D1789" s="1" t="s">
        <v>73</v>
      </c>
      <c r="E1789" s="2">
        <v>44617</v>
      </c>
      <c r="F1789" s="2">
        <v>45003</v>
      </c>
      <c r="G1789" s="1" t="s">
        <v>38</v>
      </c>
      <c r="H1789">
        <v>668</v>
      </c>
      <c r="I1789">
        <v>4</v>
      </c>
      <c r="J1789">
        <v>0</v>
      </c>
      <c r="K1789">
        <v>60.9</v>
      </c>
      <c r="L1789">
        <v>20</v>
      </c>
      <c r="M1789" s="1" t="s">
        <v>50</v>
      </c>
      <c r="N1789" s="1" t="s">
        <v>40</v>
      </c>
      <c r="O1789">
        <v>2538.4</v>
      </c>
      <c r="P1789" t="b">
        <v>1</v>
      </c>
      <c r="Q1789">
        <v>0.33333333333333331</v>
      </c>
      <c r="R1789">
        <v>634.6</v>
      </c>
      <c r="S1789">
        <v>60.9</v>
      </c>
      <c r="T1789" s="2">
        <v>44593</v>
      </c>
      <c r="U1789" s="1" t="s">
        <v>57</v>
      </c>
      <c r="V1789">
        <v>1</v>
      </c>
      <c r="W1789" s="1" t="s">
        <v>56</v>
      </c>
      <c r="X1789">
        <v>386</v>
      </c>
      <c r="Y1789" s="1" t="s">
        <v>43</v>
      </c>
      <c r="Z1789" s="1" t="s">
        <v>52</v>
      </c>
      <c r="AA1789">
        <v>0</v>
      </c>
      <c r="AB1789" s="1" t="s">
        <v>42</v>
      </c>
      <c r="AC1789">
        <v>1</v>
      </c>
      <c r="AD1789" s="2">
        <v>44593</v>
      </c>
      <c r="AE1789" s="1" t="s">
        <v>58</v>
      </c>
      <c r="AF1789" s="1" t="s">
        <v>54</v>
      </c>
      <c r="AG1789" s="1" t="s">
        <v>63</v>
      </c>
      <c r="AH1789" s="1" t="s">
        <v>64</v>
      </c>
      <c r="AI1789">
        <v>2672</v>
      </c>
      <c r="AJ1789">
        <v>-133.59999999999991</v>
      </c>
    </row>
    <row r="1790" spans="1:36" x14ac:dyDescent="0.25">
      <c r="A1790">
        <v>11789</v>
      </c>
      <c r="B1790">
        <v>35</v>
      </c>
      <c r="C1790" s="1" t="s">
        <v>60</v>
      </c>
      <c r="D1790" s="1" t="s">
        <v>48</v>
      </c>
      <c r="E1790" s="2">
        <v>44301</v>
      </c>
      <c r="F1790" s="2">
        <v>44366</v>
      </c>
      <c r="G1790" s="1" t="s">
        <v>62</v>
      </c>
      <c r="H1790">
        <v>1195</v>
      </c>
      <c r="I1790">
        <v>23</v>
      </c>
      <c r="J1790">
        <v>2</v>
      </c>
      <c r="K1790">
        <v>76.28</v>
      </c>
      <c r="L1790">
        <v>15</v>
      </c>
      <c r="M1790" s="1" t="s">
        <v>50</v>
      </c>
      <c r="N1790" s="1" t="s">
        <v>56</v>
      </c>
      <c r="O1790">
        <v>27305.75</v>
      </c>
      <c r="P1790" t="b">
        <v>1</v>
      </c>
      <c r="Q1790">
        <v>1.9166666666666667</v>
      </c>
      <c r="R1790">
        <v>1187.2065217391305</v>
      </c>
      <c r="S1790">
        <v>25.426666666666666</v>
      </c>
      <c r="T1790" s="2">
        <v>44287</v>
      </c>
      <c r="U1790" s="1" t="s">
        <v>57</v>
      </c>
      <c r="V1790">
        <v>0</v>
      </c>
      <c r="W1790" s="1" t="s">
        <v>40</v>
      </c>
      <c r="X1790">
        <v>65</v>
      </c>
      <c r="Y1790" s="1" t="s">
        <v>43</v>
      </c>
      <c r="Z1790" s="1" t="s">
        <v>42</v>
      </c>
      <c r="AA1790">
        <v>8.3333333333333329E-2</v>
      </c>
      <c r="AB1790" s="1" t="s">
        <v>43</v>
      </c>
      <c r="AC1790">
        <v>2</v>
      </c>
      <c r="AD1790" s="2">
        <v>44287</v>
      </c>
      <c r="AE1790" s="1" t="s">
        <v>53</v>
      </c>
      <c r="AF1790" s="1" t="s">
        <v>72</v>
      </c>
      <c r="AG1790" s="1" t="s">
        <v>63</v>
      </c>
      <c r="AH1790" s="1" t="s">
        <v>47</v>
      </c>
      <c r="AI1790">
        <v>27485</v>
      </c>
      <c r="AJ1790">
        <v>-179.25</v>
      </c>
    </row>
    <row r="1791" spans="1:36" x14ac:dyDescent="0.25">
      <c r="A1791">
        <v>11790</v>
      </c>
      <c r="B1791">
        <v>32</v>
      </c>
      <c r="C1791" s="1" t="s">
        <v>36</v>
      </c>
      <c r="D1791" s="1" t="s">
        <v>37</v>
      </c>
      <c r="E1791" s="2">
        <v>44901</v>
      </c>
      <c r="F1791" s="2">
        <v>45090</v>
      </c>
      <c r="G1791" s="1" t="s">
        <v>62</v>
      </c>
      <c r="H1791">
        <v>503</v>
      </c>
      <c r="I1791">
        <v>21</v>
      </c>
      <c r="J1791">
        <v>2</v>
      </c>
      <c r="K1791">
        <v>66.790000000000006</v>
      </c>
      <c r="L1791">
        <v>15</v>
      </c>
      <c r="M1791" s="1" t="s">
        <v>39</v>
      </c>
      <c r="N1791" s="1" t="s">
        <v>56</v>
      </c>
      <c r="O1791">
        <v>10487.55</v>
      </c>
      <c r="P1791" t="b">
        <v>1</v>
      </c>
      <c r="Q1791">
        <v>1.75</v>
      </c>
      <c r="R1791">
        <v>499.40714285714284</v>
      </c>
      <c r="S1791">
        <v>22.263333333333335</v>
      </c>
      <c r="T1791" s="2">
        <v>44896</v>
      </c>
      <c r="U1791" s="1" t="s">
        <v>57</v>
      </c>
      <c r="V1791">
        <v>0</v>
      </c>
      <c r="W1791" s="1" t="s">
        <v>56</v>
      </c>
      <c r="X1791">
        <v>189</v>
      </c>
      <c r="Y1791" s="1" t="s">
        <v>43</v>
      </c>
      <c r="Z1791" s="1" t="s">
        <v>42</v>
      </c>
      <c r="AA1791">
        <v>9.0909090909090912E-2</v>
      </c>
      <c r="AB1791" s="1" t="s">
        <v>52</v>
      </c>
      <c r="AC1791">
        <v>2</v>
      </c>
      <c r="AD1791" s="2">
        <v>44896</v>
      </c>
      <c r="AE1791" s="1" t="s">
        <v>53</v>
      </c>
      <c r="AF1791" s="1" t="s">
        <v>72</v>
      </c>
      <c r="AG1791" s="1" t="s">
        <v>63</v>
      </c>
      <c r="AH1791" s="1" t="s">
        <v>64</v>
      </c>
      <c r="AI1791">
        <v>10563</v>
      </c>
      <c r="AJ1791">
        <v>-75.450000000000728</v>
      </c>
    </row>
    <row r="1792" spans="1:36" x14ac:dyDescent="0.25">
      <c r="A1792">
        <v>11791</v>
      </c>
      <c r="B1792">
        <v>61</v>
      </c>
      <c r="C1792" s="1" t="s">
        <v>36</v>
      </c>
      <c r="D1792" s="1" t="s">
        <v>48</v>
      </c>
      <c r="E1792" s="2">
        <v>44526</v>
      </c>
      <c r="F1792" s="2">
        <v>44993</v>
      </c>
      <c r="G1792" s="1" t="s">
        <v>62</v>
      </c>
      <c r="H1792">
        <v>1348</v>
      </c>
      <c r="I1792">
        <v>21</v>
      </c>
      <c r="J1792">
        <v>1</v>
      </c>
      <c r="K1792">
        <v>69.680000000000007</v>
      </c>
      <c r="L1792">
        <v>0</v>
      </c>
      <c r="M1792" s="1" t="s">
        <v>39</v>
      </c>
      <c r="N1792" s="1" t="s">
        <v>56</v>
      </c>
      <c r="O1792">
        <v>28308</v>
      </c>
      <c r="P1792" t="b">
        <v>1</v>
      </c>
      <c r="Q1792">
        <v>1.75</v>
      </c>
      <c r="R1792">
        <v>1348</v>
      </c>
      <c r="S1792">
        <v>34.840000000000003</v>
      </c>
      <c r="T1792" s="2">
        <v>44501</v>
      </c>
      <c r="U1792" s="1" t="s">
        <v>41</v>
      </c>
      <c r="V1792">
        <v>0</v>
      </c>
      <c r="W1792" s="1" t="s">
        <v>40</v>
      </c>
      <c r="X1792">
        <v>467</v>
      </c>
      <c r="Y1792" s="1" t="s">
        <v>43</v>
      </c>
      <c r="Z1792" s="1" t="s">
        <v>42</v>
      </c>
      <c r="AA1792">
        <v>4.5454545454545456E-2</v>
      </c>
      <c r="AB1792" s="1" t="s">
        <v>43</v>
      </c>
      <c r="AC1792">
        <v>2</v>
      </c>
      <c r="AD1792" s="2">
        <v>44501</v>
      </c>
      <c r="AE1792" s="1" t="s">
        <v>53</v>
      </c>
      <c r="AF1792" s="1" t="s">
        <v>54</v>
      </c>
      <c r="AG1792" s="1" t="s">
        <v>63</v>
      </c>
      <c r="AH1792" s="1" t="s">
        <v>47</v>
      </c>
      <c r="AI1792">
        <v>28308</v>
      </c>
      <c r="AJ1792">
        <v>0</v>
      </c>
    </row>
    <row r="1793" spans="1:36" x14ac:dyDescent="0.25">
      <c r="A1793">
        <v>11792</v>
      </c>
      <c r="B1793">
        <v>33</v>
      </c>
      <c r="C1793" s="1" t="s">
        <v>60</v>
      </c>
      <c r="D1793" s="1" t="s">
        <v>37</v>
      </c>
      <c r="E1793" s="2">
        <v>44635</v>
      </c>
      <c r="F1793" s="2">
        <v>44973</v>
      </c>
      <c r="G1793" s="1" t="s">
        <v>49</v>
      </c>
      <c r="H1793">
        <v>1256</v>
      </c>
      <c r="I1793">
        <v>6</v>
      </c>
      <c r="J1793">
        <v>0</v>
      </c>
      <c r="K1793">
        <v>107.36</v>
      </c>
      <c r="L1793">
        <v>10</v>
      </c>
      <c r="M1793" s="1" t="s">
        <v>67</v>
      </c>
      <c r="N1793" s="1" t="s">
        <v>40</v>
      </c>
      <c r="O1793">
        <v>7410.4</v>
      </c>
      <c r="P1793" t="b">
        <v>1</v>
      </c>
      <c r="Q1793">
        <v>0.5</v>
      </c>
      <c r="R1793">
        <v>1235.0666666666666</v>
      </c>
      <c r="S1793">
        <v>107.36</v>
      </c>
      <c r="T1793" s="2">
        <v>44621</v>
      </c>
      <c r="U1793" s="1" t="s">
        <v>57</v>
      </c>
      <c r="V1793">
        <v>1</v>
      </c>
      <c r="W1793" s="1" t="s">
        <v>56</v>
      </c>
      <c r="X1793">
        <v>338</v>
      </c>
      <c r="Y1793" s="1" t="s">
        <v>43</v>
      </c>
      <c r="Z1793" s="1" t="s">
        <v>42</v>
      </c>
      <c r="AA1793">
        <v>0</v>
      </c>
      <c r="AB1793" s="1" t="s">
        <v>42</v>
      </c>
      <c r="AC1793">
        <v>3</v>
      </c>
      <c r="AD1793" s="2">
        <v>44621</v>
      </c>
      <c r="AE1793" s="1" t="s">
        <v>58</v>
      </c>
      <c r="AF1793" s="1" t="s">
        <v>54</v>
      </c>
      <c r="AG1793" s="1" t="s">
        <v>63</v>
      </c>
      <c r="AH1793" s="1" t="s">
        <v>47</v>
      </c>
      <c r="AI1793">
        <v>7536</v>
      </c>
      <c r="AJ1793">
        <v>-125.60000000000036</v>
      </c>
    </row>
    <row r="1794" spans="1:36" x14ac:dyDescent="0.25">
      <c r="A1794">
        <v>11793</v>
      </c>
      <c r="B1794">
        <v>44</v>
      </c>
      <c r="C1794" s="1" t="s">
        <v>36</v>
      </c>
      <c r="D1794" s="1" t="s">
        <v>73</v>
      </c>
      <c r="E1794" s="2">
        <v>44328</v>
      </c>
      <c r="F1794" s="2">
        <v>44846</v>
      </c>
      <c r="G1794" s="1" t="s">
        <v>49</v>
      </c>
      <c r="H1794">
        <v>368</v>
      </c>
      <c r="I1794">
        <v>24</v>
      </c>
      <c r="J1794">
        <v>1</v>
      </c>
      <c r="K1794">
        <v>45.9</v>
      </c>
      <c r="L1794">
        <v>5</v>
      </c>
      <c r="M1794" s="1" t="s">
        <v>39</v>
      </c>
      <c r="N1794" s="1" t="s">
        <v>56</v>
      </c>
      <c r="O1794">
        <v>8813.6</v>
      </c>
      <c r="P1794" t="b">
        <v>1</v>
      </c>
      <c r="Q1794">
        <v>2</v>
      </c>
      <c r="R1794">
        <v>367.23333333333335</v>
      </c>
      <c r="S1794">
        <v>22.95</v>
      </c>
      <c r="T1794" s="2">
        <v>44317</v>
      </c>
      <c r="U1794" s="1" t="s">
        <v>51</v>
      </c>
      <c r="V1794">
        <v>0</v>
      </c>
      <c r="W1794" s="1" t="s">
        <v>56</v>
      </c>
      <c r="X1794">
        <v>518</v>
      </c>
      <c r="Y1794" s="1" t="s">
        <v>52</v>
      </c>
      <c r="Z1794" s="1" t="s">
        <v>42</v>
      </c>
      <c r="AA1794">
        <v>0.04</v>
      </c>
      <c r="AB1794" s="1" t="s">
        <v>42</v>
      </c>
      <c r="AC1794">
        <v>3</v>
      </c>
      <c r="AD1794" s="2">
        <v>44317</v>
      </c>
      <c r="AE1794" s="1" t="s">
        <v>53</v>
      </c>
      <c r="AF1794" s="1" t="s">
        <v>54</v>
      </c>
      <c r="AG1794" s="1" t="s">
        <v>63</v>
      </c>
      <c r="AH1794" s="1" t="s">
        <v>68</v>
      </c>
      <c r="AI1794">
        <v>8832</v>
      </c>
      <c r="AJ1794">
        <v>-18.399999999999636</v>
      </c>
    </row>
    <row r="1795" spans="1:36" x14ac:dyDescent="0.25">
      <c r="A1795">
        <v>11794</v>
      </c>
      <c r="B1795">
        <v>25</v>
      </c>
      <c r="C1795" s="1" t="s">
        <v>36</v>
      </c>
      <c r="D1795" s="1" t="s">
        <v>61</v>
      </c>
      <c r="E1795" s="2">
        <v>45063</v>
      </c>
      <c r="F1795" s="2">
        <v>44486</v>
      </c>
      <c r="G1795" s="1" t="s">
        <v>38</v>
      </c>
      <c r="H1795">
        <v>815</v>
      </c>
      <c r="I1795">
        <v>31</v>
      </c>
      <c r="J1795">
        <v>3</v>
      </c>
      <c r="K1795">
        <v>28.94</v>
      </c>
      <c r="L1795">
        <v>10</v>
      </c>
      <c r="M1795" s="1" t="s">
        <v>50</v>
      </c>
      <c r="N1795" s="1" t="s">
        <v>56</v>
      </c>
      <c r="O1795">
        <v>25183.5</v>
      </c>
      <c r="P1795" t="b">
        <v>0</v>
      </c>
      <c r="Q1795">
        <v>2.5833333333333335</v>
      </c>
      <c r="R1795">
        <v>812.37096774193549</v>
      </c>
      <c r="S1795">
        <v>7.2350000000000003</v>
      </c>
      <c r="T1795" s="2">
        <v>45047</v>
      </c>
      <c r="U1795" s="1" t="s">
        <v>66</v>
      </c>
      <c r="V1795">
        <v>0</v>
      </c>
      <c r="W1795" s="1" t="s">
        <v>40</v>
      </c>
      <c r="Y1795" s="1" t="s">
        <v>52</v>
      </c>
      <c r="Z1795" s="1" t="s">
        <v>42</v>
      </c>
      <c r="AA1795">
        <v>9.375E-2</v>
      </c>
      <c r="AB1795" s="1" t="s">
        <v>43</v>
      </c>
      <c r="AC1795">
        <v>1</v>
      </c>
      <c r="AD1795" s="2">
        <v>45047</v>
      </c>
      <c r="AE1795" s="1" t="s">
        <v>44</v>
      </c>
      <c r="AF1795" s="1" t="s">
        <v>72</v>
      </c>
      <c r="AG1795" s="1" t="s">
        <v>70</v>
      </c>
      <c r="AH1795" s="1" t="s">
        <v>59</v>
      </c>
      <c r="AI1795">
        <v>25265</v>
      </c>
      <c r="AJ1795">
        <v>-81.5</v>
      </c>
    </row>
    <row r="1796" spans="1:36" x14ac:dyDescent="0.25">
      <c r="A1796">
        <v>11795</v>
      </c>
      <c r="B1796">
        <v>63</v>
      </c>
      <c r="C1796" s="1" t="s">
        <v>36</v>
      </c>
      <c r="D1796" s="1" t="s">
        <v>71</v>
      </c>
      <c r="E1796" s="2">
        <v>44578</v>
      </c>
      <c r="F1796" s="2">
        <v>44984</v>
      </c>
      <c r="G1796" s="1" t="s">
        <v>62</v>
      </c>
      <c r="H1796">
        <v>539</v>
      </c>
      <c r="I1796">
        <v>19</v>
      </c>
      <c r="J1796">
        <v>1</v>
      </c>
      <c r="K1796">
        <v>57.47</v>
      </c>
      <c r="L1796">
        <v>15</v>
      </c>
      <c r="M1796" s="1" t="s">
        <v>67</v>
      </c>
      <c r="N1796" s="1" t="s">
        <v>40</v>
      </c>
      <c r="O1796">
        <v>10160.15</v>
      </c>
      <c r="P1796" t="b">
        <v>1</v>
      </c>
      <c r="Q1796">
        <v>1.5833333333333333</v>
      </c>
      <c r="R1796">
        <v>534.74473684210523</v>
      </c>
      <c r="S1796">
        <v>28.734999999999999</v>
      </c>
      <c r="T1796" s="2">
        <v>44562</v>
      </c>
      <c r="U1796" s="1" t="s">
        <v>41</v>
      </c>
      <c r="V1796">
        <v>1</v>
      </c>
      <c r="W1796" s="1" t="s">
        <v>56</v>
      </c>
      <c r="X1796">
        <v>406</v>
      </c>
      <c r="Y1796" s="1" t="s">
        <v>52</v>
      </c>
      <c r="Z1796" s="1" t="s">
        <v>42</v>
      </c>
      <c r="AA1796">
        <v>0.05</v>
      </c>
      <c r="AB1796" s="1" t="s">
        <v>52</v>
      </c>
      <c r="AC1796">
        <v>2</v>
      </c>
      <c r="AD1796" s="2">
        <v>44562</v>
      </c>
      <c r="AE1796" s="1" t="s">
        <v>53</v>
      </c>
      <c r="AF1796" s="1" t="s">
        <v>54</v>
      </c>
      <c r="AG1796" s="1" t="s">
        <v>63</v>
      </c>
      <c r="AH1796" s="1" t="s">
        <v>64</v>
      </c>
      <c r="AI1796">
        <v>10241</v>
      </c>
      <c r="AJ1796">
        <v>-80.850000000000364</v>
      </c>
    </row>
    <row r="1797" spans="1:36" x14ac:dyDescent="0.25">
      <c r="A1797">
        <v>11796</v>
      </c>
      <c r="B1797">
        <v>42</v>
      </c>
      <c r="C1797" s="1" t="s">
        <v>75</v>
      </c>
      <c r="D1797" s="1" t="s">
        <v>61</v>
      </c>
      <c r="E1797" s="2">
        <v>44334</v>
      </c>
      <c r="F1797" s="2">
        <v>45063</v>
      </c>
      <c r="G1797" s="1" t="s">
        <v>38</v>
      </c>
      <c r="H1797">
        <v>660</v>
      </c>
      <c r="I1797">
        <v>12</v>
      </c>
      <c r="J1797">
        <v>5</v>
      </c>
      <c r="K1797">
        <v>28.93</v>
      </c>
      <c r="L1797">
        <v>5</v>
      </c>
      <c r="M1797" s="1" t="s">
        <v>50</v>
      </c>
      <c r="N1797" s="1" t="s">
        <v>56</v>
      </c>
      <c r="O1797">
        <v>7887</v>
      </c>
      <c r="P1797" t="b">
        <v>1</v>
      </c>
      <c r="Q1797">
        <v>1</v>
      </c>
      <c r="R1797">
        <v>657.25</v>
      </c>
      <c r="S1797">
        <v>4.8216666666666663</v>
      </c>
      <c r="T1797" s="2">
        <v>44317</v>
      </c>
      <c r="U1797" s="1" t="s">
        <v>51</v>
      </c>
      <c r="V1797">
        <v>0</v>
      </c>
      <c r="W1797" s="1" t="s">
        <v>56</v>
      </c>
      <c r="X1797">
        <v>729</v>
      </c>
      <c r="Y1797" s="1" t="s">
        <v>52</v>
      </c>
      <c r="Z1797" s="1" t="s">
        <v>42</v>
      </c>
      <c r="AA1797">
        <v>0.38461538461538464</v>
      </c>
      <c r="AB1797" s="1" t="s">
        <v>42</v>
      </c>
      <c r="AC1797">
        <v>1</v>
      </c>
      <c r="AD1797" s="2">
        <v>44317</v>
      </c>
      <c r="AE1797" s="1" t="s">
        <v>74</v>
      </c>
      <c r="AF1797" s="1" t="s">
        <v>45</v>
      </c>
      <c r="AG1797" s="1" t="s">
        <v>70</v>
      </c>
      <c r="AH1797" s="1" t="s">
        <v>64</v>
      </c>
      <c r="AI1797">
        <v>7920</v>
      </c>
      <c r="AJ1797">
        <v>-33</v>
      </c>
    </row>
    <row r="1798" spans="1:36" x14ac:dyDescent="0.25">
      <c r="A1798">
        <v>11797</v>
      </c>
      <c r="B1798">
        <v>41</v>
      </c>
      <c r="C1798" s="1" t="s">
        <v>36</v>
      </c>
      <c r="D1798" s="1" t="s">
        <v>71</v>
      </c>
      <c r="E1798" s="2">
        <v>45039</v>
      </c>
      <c r="F1798" s="2">
        <v>44920</v>
      </c>
      <c r="G1798" s="1" t="s">
        <v>38</v>
      </c>
      <c r="H1798">
        <v>1354</v>
      </c>
      <c r="I1798">
        <v>14</v>
      </c>
      <c r="J1798">
        <v>2</v>
      </c>
      <c r="K1798">
        <v>62.32</v>
      </c>
      <c r="L1798">
        <v>20</v>
      </c>
      <c r="M1798" s="1" t="s">
        <v>67</v>
      </c>
      <c r="N1798" s="1" t="s">
        <v>40</v>
      </c>
      <c r="O1798">
        <v>18685.2</v>
      </c>
      <c r="P1798" t="b">
        <v>0</v>
      </c>
      <c r="Q1798">
        <v>1.1666666666666667</v>
      </c>
      <c r="R1798">
        <v>1334.6571428571428</v>
      </c>
      <c r="S1798">
        <v>20.773333333333333</v>
      </c>
      <c r="T1798" s="2">
        <v>45017</v>
      </c>
      <c r="U1798" s="1" t="s">
        <v>51</v>
      </c>
      <c r="V1798">
        <v>1</v>
      </c>
      <c r="W1798" s="1" t="s">
        <v>40</v>
      </c>
      <c r="Y1798" s="1" t="s">
        <v>43</v>
      </c>
      <c r="Z1798" s="1" t="s">
        <v>52</v>
      </c>
      <c r="AA1798">
        <v>0.13333333333333333</v>
      </c>
      <c r="AB1798" s="1" t="s">
        <v>52</v>
      </c>
      <c r="AC1798">
        <v>1</v>
      </c>
      <c r="AD1798" s="2">
        <v>45017</v>
      </c>
      <c r="AE1798" s="1" t="s">
        <v>53</v>
      </c>
      <c r="AF1798" s="1" t="s">
        <v>72</v>
      </c>
      <c r="AG1798" s="1" t="s">
        <v>63</v>
      </c>
      <c r="AH1798" s="1" t="s">
        <v>47</v>
      </c>
      <c r="AI1798">
        <v>18956</v>
      </c>
      <c r="AJ1798">
        <v>-270.79999999999927</v>
      </c>
    </row>
    <row r="1799" spans="1:36" x14ac:dyDescent="0.25">
      <c r="A1799">
        <v>11798</v>
      </c>
      <c r="B1799">
        <v>46</v>
      </c>
      <c r="C1799" s="1" t="s">
        <v>60</v>
      </c>
      <c r="D1799" s="1" t="s">
        <v>73</v>
      </c>
      <c r="E1799" s="2">
        <v>44466</v>
      </c>
      <c r="F1799" s="2">
        <v>45109</v>
      </c>
      <c r="G1799" s="1" t="s">
        <v>38</v>
      </c>
      <c r="H1799">
        <v>1006</v>
      </c>
      <c r="I1799">
        <v>12</v>
      </c>
      <c r="J1799">
        <v>3</v>
      </c>
      <c r="K1799">
        <v>108.9</v>
      </c>
      <c r="L1799">
        <v>10</v>
      </c>
      <c r="M1799" s="1" t="s">
        <v>67</v>
      </c>
      <c r="N1799" s="1" t="s">
        <v>56</v>
      </c>
      <c r="O1799">
        <v>11870.8</v>
      </c>
      <c r="P1799" t="b">
        <v>1</v>
      </c>
      <c r="Q1799">
        <v>1</v>
      </c>
      <c r="R1799">
        <v>989.23333333333323</v>
      </c>
      <c r="S1799">
        <v>27.225000000000001</v>
      </c>
      <c r="T1799" s="2">
        <v>44440</v>
      </c>
      <c r="U1799" s="1" t="s">
        <v>51</v>
      </c>
      <c r="V1799">
        <v>0</v>
      </c>
      <c r="W1799" s="1" t="s">
        <v>56</v>
      </c>
      <c r="X1799">
        <v>643</v>
      </c>
      <c r="Y1799" s="1" t="s">
        <v>43</v>
      </c>
      <c r="Z1799" s="1" t="s">
        <v>42</v>
      </c>
      <c r="AA1799">
        <v>0.23076923076923078</v>
      </c>
      <c r="AB1799" s="1" t="s">
        <v>52</v>
      </c>
      <c r="AC1799">
        <v>1</v>
      </c>
      <c r="AD1799" s="2">
        <v>44440</v>
      </c>
      <c r="AE1799" s="1" t="s">
        <v>74</v>
      </c>
      <c r="AF1799" s="1" t="s">
        <v>72</v>
      </c>
      <c r="AG1799" s="1" t="s">
        <v>63</v>
      </c>
      <c r="AH1799" s="1" t="s">
        <v>47</v>
      </c>
      <c r="AI1799">
        <v>12072</v>
      </c>
      <c r="AJ1799">
        <v>-201.20000000000073</v>
      </c>
    </row>
    <row r="1800" spans="1:36" x14ac:dyDescent="0.25">
      <c r="A1800">
        <v>11799</v>
      </c>
      <c r="B1800">
        <v>25</v>
      </c>
      <c r="C1800" s="1" t="s">
        <v>36</v>
      </c>
      <c r="D1800" s="1" t="s">
        <v>61</v>
      </c>
      <c r="E1800" s="2">
        <v>44746</v>
      </c>
      <c r="F1800" s="2">
        <v>45157</v>
      </c>
      <c r="G1800" s="1" t="s">
        <v>62</v>
      </c>
      <c r="H1800">
        <v>989</v>
      </c>
      <c r="I1800">
        <v>15</v>
      </c>
      <c r="J1800">
        <v>2</v>
      </c>
      <c r="K1800">
        <v>76</v>
      </c>
      <c r="L1800">
        <v>5</v>
      </c>
      <c r="M1800" s="1" t="s">
        <v>50</v>
      </c>
      <c r="N1800" s="1" t="s">
        <v>56</v>
      </c>
      <c r="O1800">
        <v>14785.55</v>
      </c>
      <c r="P1800" t="b">
        <v>1</v>
      </c>
      <c r="Q1800">
        <v>1.25</v>
      </c>
      <c r="R1800">
        <v>985.70333333333326</v>
      </c>
      <c r="S1800">
        <v>25.333333333333332</v>
      </c>
      <c r="T1800" s="2">
        <v>44743</v>
      </c>
      <c r="U1800" s="1" t="s">
        <v>66</v>
      </c>
      <c r="V1800">
        <v>0</v>
      </c>
      <c r="W1800" s="1" t="s">
        <v>40</v>
      </c>
      <c r="X1800">
        <v>411</v>
      </c>
      <c r="Y1800" s="1" t="s">
        <v>43</v>
      </c>
      <c r="Z1800" s="1" t="s">
        <v>42</v>
      </c>
      <c r="AA1800">
        <v>0.125</v>
      </c>
      <c r="AB1800" s="1" t="s">
        <v>52</v>
      </c>
      <c r="AC1800">
        <v>2</v>
      </c>
      <c r="AD1800" s="2">
        <v>44743</v>
      </c>
      <c r="AE1800" s="1" t="s">
        <v>53</v>
      </c>
      <c r="AF1800" s="1" t="s">
        <v>72</v>
      </c>
      <c r="AG1800" s="1" t="s">
        <v>63</v>
      </c>
      <c r="AH1800" s="1" t="s">
        <v>59</v>
      </c>
      <c r="AI1800">
        <v>14835</v>
      </c>
      <c r="AJ1800">
        <v>-49.450000000000728</v>
      </c>
    </row>
    <row r="1801" spans="1:36" x14ac:dyDescent="0.25">
      <c r="A1801">
        <v>11800</v>
      </c>
      <c r="B1801">
        <v>32</v>
      </c>
      <c r="C1801" s="1" t="s">
        <v>36</v>
      </c>
      <c r="D1801" s="1" t="s">
        <v>61</v>
      </c>
      <c r="E1801" s="2">
        <v>44592</v>
      </c>
      <c r="F1801" s="2">
        <v>44872</v>
      </c>
      <c r="G1801" s="1" t="s">
        <v>38</v>
      </c>
      <c r="H1801">
        <v>956</v>
      </c>
      <c r="I1801">
        <v>19</v>
      </c>
      <c r="J1801">
        <v>0</v>
      </c>
      <c r="K1801">
        <v>103.37</v>
      </c>
      <c r="L1801">
        <v>15</v>
      </c>
      <c r="M1801" s="1" t="s">
        <v>67</v>
      </c>
      <c r="N1801" s="1" t="s">
        <v>56</v>
      </c>
      <c r="O1801">
        <v>18020.599999999999</v>
      </c>
      <c r="P1801" t="b">
        <v>1</v>
      </c>
      <c r="Q1801">
        <v>1.5833333333333333</v>
      </c>
      <c r="R1801">
        <v>948.45263157894726</v>
      </c>
      <c r="S1801">
        <v>103.37</v>
      </c>
      <c r="T1801" s="2">
        <v>44562</v>
      </c>
      <c r="U1801" s="1" t="s">
        <v>57</v>
      </c>
      <c r="V1801">
        <v>0</v>
      </c>
      <c r="W1801" s="1" t="s">
        <v>40</v>
      </c>
      <c r="X1801">
        <v>280</v>
      </c>
      <c r="Y1801" s="1" t="s">
        <v>43</v>
      </c>
      <c r="Z1801" s="1" t="s">
        <v>42</v>
      </c>
      <c r="AA1801">
        <v>0</v>
      </c>
      <c r="AB1801" s="1" t="s">
        <v>52</v>
      </c>
      <c r="AC1801">
        <v>1</v>
      </c>
      <c r="AD1801" s="2">
        <v>44562</v>
      </c>
      <c r="AE1801" s="1" t="s">
        <v>53</v>
      </c>
      <c r="AF1801" s="1" t="s">
        <v>54</v>
      </c>
      <c r="AG1801" s="1" t="s">
        <v>63</v>
      </c>
      <c r="AH1801" s="1" t="s">
        <v>59</v>
      </c>
      <c r="AI1801">
        <v>18164</v>
      </c>
      <c r="AJ1801">
        <v>-143.40000000000146</v>
      </c>
    </row>
    <row r="1802" spans="1:36" x14ac:dyDescent="0.25">
      <c r="A1802">
        <v>11801</v>
      </c>
      <c r="B1802">
        <v>44</v>
      </c>
      <c r="C1802" s="1" t="s">
        <v>60</v>
      </c>
      <c r="D1802" s="1" t="s">
        <v>48</v>
      </c>
      <c r="E1802" s="2">
        <v>44753</v>
      </c>
      <c r="F1802" s="2">
        <v>44602</v>
      </c>
      <c r="G1802" s="1" t="s">
        <v>38</v>
      </c>
      <c r="H1802">
        <v>643</v>
      </c>
      <c r="I1802">
        <v>28</v>
      </c>
      <c r="J1802">
        <v>1</v>
      </c>
      <c r="K1802">
        <v>24.11</v>
      </c>
      <c r="L1802">
        <v>0</v>
      </c>
      <c r="M1802" s="1" t="s">
        <v>67</v>
      </c>
      <c r="N1802" s="1" t="s">
        <v>40</v>
      </c>
      <c r="O1802">
        <v>18004</v>
      </c>
      <c r="P1802" t="b">
        <v>0</v>
      </c>
      <c r="Q1802">
        <v>2.3333333333333335</v>
      </c>
      <c r="R1802">
        <v>643</v>
      </c>
      <c r="S1802">
        <v>12.055</v>
      </c>
      <c r="T1802" s="2">
        <v>44743</v>
      </c>
      <c r="U1802" s="1" t="s">
        <v>51</v>
      </c>
      <c r="V1802">
        <v>1</v>
      </c>
      <c r="W1802" s="1" t="s">
        <v>40</v>
      </c>
      <c r="Y1802" s="1" t="s">
        <v>52</v>
      </c>
      <c r="Z1802" s="1" t="s">
        <v>42</v>
      </c>
      <c r="AA1802">
        <v>3.4482758620689655E-2</v>
      </c>
      <c r="AB1802" s="1" t="s">
        <v>52</v>
      </c>
      <c r="AC1802">
        <v>1</v>
      </c>
      <c r="AD1802" s="2">
        <v>44743</v>
      </c>
      <c r="AE1802" s="1" t="s">
        <v>44</v>
      </c>
      <c r="AF1802" s="1" t="s">
        <v>54</v>
      </c>
      <c r="AG1802" s="1" t="s">
        <v>70</v>
      </c>
      <c r="AH1802" s="1" t="s">
        <v>64</v>
      </c>
      <c r="AI1802">
        <v>18004</v>
      </c>
      <c r="AJ1802">
        <v>0</v>
      </c>
    </row>
    <row r="1803" spans="1:36" x14ac:dyDescent="0.25">
      <c r="A1803">
        <v>11802</v>
      </c>
      <c r="B1803">
        <v>63</v>
      </c>
      <c r="C1803" s="1" t="s">
        <v>60</v>
      </c>
      <c r="D1803" s="1" t="s">
        <v>69</v>
      </c>
      <c r="E1803" s="2">
        <v>44660</v>
      </c>
      <c r="F1803" s="2">
        <v>44432</v>
      </c>
      <c r="G1803" s="1" t="s">
        <v>62</v>
      </c>
      <c r="H1803">
        <v>835</v>
      </c>
      <c r="I1803">
        <v>5</v>
      </c>
      <c r="J1803">
        <v>1</v>
      </c>
      <c r="K1803">
        <v>108.6</v>
      </c>
      <c r="L1803">
        <v>10</v>
      </c>
      <c r="M1803" s="1" t="s">
        <v>39</v>
      </c>
      <c r="N1803" s="1" t="s">
        <v>56</v>
      </c>
      <c r="O1803">
        <v>4091.5</v>
      </c>
      <c r="P1803" t="b">
        <v>0</v>
      </c>
      <c r="Q1803">
        <v>0.41666666666666669</v>
      </c>
      <c r="R1803">
        <v>818.3</v>
      </c>
      <c r="S1803">
        <v>54.3</v>
      </c>
      <c r="T1803" s="2">
        <v>44652</v>
      </c>
      <c r="U1803" s="1" t="s">
        <v>41</v>
      </c>
      <c r="V1803">
        <v>0</v>
      </c>
      <c r="W1803" s="1" t="s">
        <v>56</v>
      </c>
      <c r="Y1803" s="1" t="s">
        <v>43</v>
      </c>
      <c r="Z1803" s="1" t="s">
        <v>42</v>
      </c>
      <c r="AA1803">
        <v>0.16666666666666666</v>
      </c>
      <c r="AB1803" s="1" t="s">
        <v>42</v>
      </c>
      <c r="AC1803">
        <v>2</v>
      </c>
      <c r="AD1803" s="2">
        <v>44652</v>
      </c>
      <c r="AE1803" s="1" t="s">
        <v>58</v>
      </c>
      <c r="AF1803" s="1" t="s">
        <v>54</v>
      </c>
      <c r="AG1803" s="1" t="s">
        <v>63</v>
      </c>
      <c r="AH1803" s="1" t="s">
        <v>59</v>
      </c>
      <c r="AI1803">
        <v>4175</v>
      </c>
      <c r="AJ1803">
        <v>-83.5</v>
      </c>
    </row>
    <row r="1804" spans="1:36" x14ac:dyDescent="0.25">
      <c r="A1804">
        <v>11803</v>
      </c>
      <c r="B1804">
        <v>24</v>
      </c>
      <c r="C1804" s="1" t="s">
        <v>60</v>
      </c>
      <c r="D1804" s="1" t="s">
        <v>73</v>
      </c>
      <c r="E1804" s="2">
        <v>44871</v>
      </c>
      <c r="F1804" s="2">
        <v>44805</v>
      </c>
      <c r="G1804" s="1" t="s">
        <v>62</v>
      </c>
      <c r="H1804">
        <v>654</v>
      </c>
      <c r="I1804">
        <v>5</v>
      </c>
      <c r="J1804">
        <v>3</v>
      </c>
      <c r="K1804">
        <v>74.209999999999994</v>
      </c>
      <c r="L1804">
        <v>10</v>
      </c>
      <c r="M1804" s="1" t="s">
        <v>50</v>
      </c>
      <c r="N1804" s="1" t="s">
        <v>56</v>
      </c>
      <c r="O1804">
        <v>3204.6</v>
      </c>
      <c r="P1804" t="b">
        <v>0</v>
      </c>
      <c r="Q1804">
        <v>0.41666666666666669</v>
      </c>
      <c r="R1804">
        <v>640.91999999999996</v>
      </c>
      <c r="S1804">
        <v>18.552499999999998</v>
      </c>
      <c r="T1804" s="2">
        <v>44866</v>
      </c>
      <c r="U1804" s="1" t="s">
        <v>66</v>
      </c>
      <c r="V1804">
        <v>0</v>
      </c>
      <c r="W1804" s="1" t="s">
        <v>56</v>
      </c>
      <c r="Y1804" s="1" t="s">
        <v>43</v>
      </c>
      <c r="Z1804" s="1" t="s">
        <v>42</v>
      </c>
      <c r="AA1804">
        <v>0.5</v>
      </c>
      <c r="AB1804" s="1" t="s">
        <v>42</v>
      </c>
      <c r="AC1804">
        <v>2</v>
      </c>
      <c r="AD1804" s="2">
        <v>44866</v>
      </c>
      <c r="AE1804" s="1" t="s">
        <v>58</v>
      </c>
      <c r="AF1804" s="1" t="s">
        <v>72</v>
      </c>
      <c r="AG1804" s="1" t="s">
        <v>63</v>
      </c>
      <c r="AH1804" s="1" t="s">
        <v>64</v>
      </c>
      <c r="AI1804">
        <v>3270</v>
      </c>
      <c r="AJ1804">
        <v>-65.400000000000091</v>
      </c>
    </row>
    <row r="1805" spans="1:36" x14ac:dyDescent="0.25">
      <c r="A1805">
        <v>11804</v>
      </c>
      <c r="B1805">
        <v>41</v>
      </c>
      <c r="C1805" s="1" t="s">
        <v>36</v>
      </c>
      <c r="D1805" s="1" t="s">
        <v>37</v>
      </c>
      <c r="E1805" s="2">
        <v>44646</v>
      </c>
      <c r="F1805" s="2">
        <v>44879</v>
      </c>
      <c r="G1805" s="1" t="s">
        <v>38</v>
      </c>
      <c r="H1805">
        <v>1227</v>
      </c>
      <c r="I1805">
        <v>6</v>
      </c>
      <c r="J1805">
        <v>4</v>
      </c>
      <c r="K1805">
        <v>8.65</v>
      </c>
      <c r="L1805">
        <v>0</v>
      </c>
      <c r="M1805" s="1" t="s">
        <v>50</v>
      </c>
      <c r="N1805" s="1" t="s">
        <v>56</v>
      </c>
      <c r="O1805">
        <v>7362</v>
      </c>
      <c r="P1805" t="b">
        <v>1</v>
      </c>
      <c r="Q1805">
        <v>0.5</v>
      </c>
      <c r="R1805">
        <v>1227</v>
      </c>
      <c r="S1805">
        <v>1.73</v>
      </c>
      <c r="T1805" s="2">
        <v>44621</v>
      </c>
      <c r="U1805" s="1" t="s">
        <v>51</v>
      </c>
      <c r="V1805">
        <v>0</v>
      </c>
      <c r="W1805" s="1" t="s">
        <v>56</v>
      </c>
      <c r="X1805">
        <v>233</v>
      </c>
      <c r="Y1805" s="1" t="s">
        <v>42</v>
      </c>
      <c r="Z1805" s="1" t="s">
        <v>42</v>
      </c>
      <c r="AA1805">
        <v>0.5714285714285714</v>
      </c>
      <c r="AB1805" s="1" t="s">
        <v>42</v>
      </c>
      <c r="AC1805">
        <v>1</v>
      </c>
      <c r="AD1805" s="2">
        <v>44621</v>
      </c>
      <c r="AE1805" s="1" t="s">
        <v>58</v>
      </c>
      <c r="AF1805" s="1" t="s">
        <v>45</v>
      </c>
      <c r="AG1805" s="1" t="s">
        <v>77</v>
      </c>
      <c r="AH1805" s="1" t="s">
        <v>47</v>
      </c>
      <c r="AI1805">
        <v>7362</v>
      </c>
      <c r="AJ1805">
        <v>0</v>
      </c>
    </row>
    <row r="1806" spans="1:36" x14ac:dyDescent="0.25">
      <c r="A1806">
        <v>11805</v>
      </c>
      <c r="B1806">
        <v>46</v>
      </c>
      <c r="C1806" s="1" t="s">
        <v>36</v>
      </c>
      <c r="D1806" s="1" t="s">
        <v>73</v>
      </c>
      <c r="E1806" s="2">
        <v>44527</v>
      </c>
      <c r="F1806" s="2">
        <v>44909</v>
      </c>
      <c r="G1806" s="1" t="s">
        <v>38</v>
      </c>
      <c r="H1806">
        <v>1282</v>
      </c>
      <c r="I1806">
        <v>23</v>
      </c>
      <c r="J1806">
        <v>2</v>
      </c>
      <c r="K1806">
        <v>77.81</v>
      </c>
      <c r="L1806">
        <v>0</v>
      </c>
      <c r="M1806" s="1" t="s">
        <v>39</v>
      </c>
      <c r="N1806" s="1" t="s">
        <v>56</v>
      </c>
      <c r="O1806">
        <v>29486</v>
      </c>
      <c r="P1806" t="b">
        <v>1</v>
      </c>
      <c r="Q1806">
        <v>1.9166666666666667</v>
      </c>
      <c r="R1806">
        <v>1282</v>
      </c>
      <c r="S1806">
        <v>25.936666666666667</v>
      </c>
      <c r="T1806" s="2">
        <v>44501</v>
      </c>
      <c r="U1806" s="1" t="s">
        <v>51</v>
      </c>
      <c r="V1806">
        <v>0</v>
      </c>
      <c r="W1806" s="1" t="s">
        <v>40</v>
      </c>
      <c r="X1806">
        <v>382</v>
      </c>
      <c r="Y1806" s="1" t="s">
        <v>43</v>
      </c>
      <c r="Z1806" s="1" t="s">
        <v>42</v>
      </c>
      <c r="AA1806">
        <v>8.3333333333333329E-2</v>
      </c>
      <c r="AB1806" s="1" t="s">
        <v>43</v>
      </c>
      <c r="AC1806">
        <v>1</v>
      </c>
      <c r="AD1806" s="2">
        <v>44501</v>
      </c>
      <c r="AE1806" s="1" t="s">
        <v>53</v>
      </c>
      <c r="AF1806" s="1" t="s">
        <v>72</v>
      </c>
      <c r="AG1806" s="1" t="s">
        <v>63</v>
      </c>
      <c r="AH1806" s="1" t="s">
        <v>47</v>
      </c>
      <c r="AI1806">
        <v>29486</v>
      </c>
      <c r="AJ1806">
        <v>0</v>
      </c>
    </row>
    <row r="1807" spans="1:36" x14ac:dyDescent="0.25">
      <c r="A1807">
        <v>11806</v>
      </c>
      <c r="B1807">
        <v>61</v>
      </c>
      <c r="C1807" s="1" t="s">
        <v>36</v>
      </c>
      <c r="D1807" s="1" t="s">
        <v>37</v>
      </c>
      <c r="E1807" s="2">
        <v>44449</v>
      </c>
      <c r="F1807" s="2">
        <v>45023</v>
      </c>
      <c r="G1807" s="1" t="s">
        <v>49</v>
      </c>
      <c r="H1807">
        <v>404</v>
      </c>
      <c r="I1807">
        <v>3</v>
      </c>
      <c r="J1807">
        <v>3</v>
      </c>
      <c r="K1807">
        <v>114.41</v>
      </c>
      <c r="L1807">
        <v>20</v>
      </c>
      <c r="M1807" s="1" t="s">
        <v>67</v>
      </c>
      <c r="N1807" s="1" t="s">
        <v>40</v>
      </c>
      <c r="O1807">
        <v>1131.2</v>
      </c>
      <c r="P1807" t="b">
        <v>1</v>
      </c>
      <c r="Q1807">
        <v>0.25</v>
      </c>
      <c r="R1807">
        <v>377.06666666666666</v>
      </c>
      <c r="S1807">
        <v>28.602499999999999</v>
      </c>
      <c r="T1807" s="2">
        <v>44440</v>
      </c>
      <c r="U1807" s="1" t="s">
        <v>41</v>
      </c>
      <c r="V1807">
        <v>1</v>
      </c>
      <c r="W1807" s="1" t="s">
        <v>56</v>
      </c>
      <c r="X1807">
        <v>574</v>
      </c>
      <c r="Y1807" s="1" t="s">
        <v>43</v>
      </c>
      <c r="Z1807" s="1" t="s">
        <v>52</v>
      </c>
      <c r="AA1807">
        <v>0.75</v>
      </c>
      <c r="AB1807" s="1" t="s">
        <v>42</v>
      </c>
      <c r="AC1807">
        <v>3</v>
      </c>
      <c r="AD1807" s="2">
        <v>44440</v>
      </c>
      <c r="AE1807" s="1" t="s">
        <v>58</v>
      </c>
      <c r="AF1807" s="1" t="s">
        <v>72</v>
      </c>
      <c r="AG1807" s="1" t="s">
        <v>63</v>
      </c>
      <c r="AH1807" s="1" t="s">
        <v>68</v>
      </c>
      <c r="AI1807">
        <v>1212</v>
      </c>
      <c r="AJ1807">
        <v>-80.799999999999955</v>
      </c>
    </row>
    <row r="1808" spans="1:36" x14ac:dyDescent="0.25">
      <c r="A1808">
        <v>11807</v>
      </c>
      <c r="B1808">
        <v>41</v>
      </c>
      <c r="C1808" s="1" t="s">
        <v>36</v>
      </c>
      <c r="D1808" s="1" t="s">
        <v>37</v>
      </c>
      <c r="E1808" s="2">
        <v>44877</v>
      </c>
      <c r="F1808" s="2">
        <v>44439</v>
      </c>
      <c r="G1808" s="1" t="s">
        <v>38</v>
      </c>
      <c r="H1808">
        <v>1261</v>
      </c>
      <c r="I1808">
        <v>33</v>
      </c>
      <c r="J1808">
        <v>0</v>
      </c>
      <c r="K1808">
        <v>14.1</v>
      </c>
      <c r="L1808">
        <v>10</v>
      </c>
      <c r="M1808" s="1" t="s">
        <v>65</v>
      </c>
      <c r="N1808" s="1" t="s">
        <v>56</v>
      </c>
      <c r="O1808">
        <v>41613</v>
      </c>
      <c r="P1808" t="b">
        <v>0</v>
      </c>
      <c r="Q1808">
        <v>2.75</v>
      </c>
      <c r="R1808">
        <v>1261</v>
      </c>
      <c r="S1808">
        <v>14.1</v>
      </c>
      <c r="T1808" s="2">
        <v>44866</v>
      </c>
      <c r="U1808" s="1" t="s">
        <v>51</v>
      </c>
      <c r="V1808">
        <v>0</v>
      </c>
      <c r="W1808" s="1" t="s">
        <v>40</v>
      </c>
      <c r="Y1808" s="1" t="s">
        <v>42</v>
      </c>
      <c r="Z1808" s="1" t="s">
        <v>42</v>
      </c>
      <c r="AA1808">
        <v>0</v>
      </c>
      <c r="AB1808" s="1" t="s">
        <v>43</v>
      </c>
      <c r="AC1808">
        <v>1</v>
      </c>
      <c r="AD1808" s="2">
        <v>44866</v>
      </c>
      <c r="AE1808" s="1" t="s">
        <v>44</v>
      </c>
      <c r="AF1808" s="1" t="s">
        <v>54</v>
      </c>
      <c r="AG1808" s="1" t="s">
        <v>46</v>
      </c>
      <c r="AH1808" s="1" t="s">
        <v>47</v>
      </c>
      <c r="AI1808">
        <v>41613</v>
      </c>
      <c r="AJ1808">
        <v>0</v>
      </c>
    </row>
    <row r="1809" spans="1:36" x14ac:dyDescent="0.25">
      <c r="A1809">
        <v>11808</v>
      </c>
      <c r="B1809">
        <v>20</v>
      </c>
      <c r="C1809" s="1" t="s">
        <v>36</v>
      </c>
      <c r="D1809" s="1" t="s">
        <v>71</v>
      </c>
      <c r="E1809" s="2">
        <v>44481</v>
      </c>
      <c r="F1809" s="2">
        <v>44947</v>
      </c>
      <c r="G1809" s="1" t="s">
        <v>49</v>
      </c>
      <c r="H1809">
        <v>826</v>
      </c>
      <c r="I1809">
        <v>21</v>
      </c>
      <c r="J1809">
        <v>0</v>
      </c>
      <c r="K1809">
        <v>71.98</v>
      </c>
      <c r="L1809">
        <v>5</v>
      </c>
      <c r="M1809" s="1" t="s">
        <v>65</v>
      </c>
      <c r="N1809" s="1" t="s">
        <v>56</v>
      </c>
      <c r="O1809">
        <v>17304.7</v>
      </c>
      <c r="P1809" t="b">
        <v>1</v>
      </c>
      <c r="Q1809">
        <v>1.75</v>
      </c>
      <c r="R1809">
        <v>824.03333333333342</v>
      </c>
      <c r="S1809">
        <v>71.98</v>
      </c>
      <c r="T1809" s="2">
        <v>44470</v>
      </c>
      <c r="U1809" s="1" t="s">
        <v>66</v>
      </c>
      <c r="V1809">
        <v>0</v>
      </c>
      <c r="W1809" s="1" t="s">
        <v>40</v>
      </c>
      <c r="X1809">
        <v>466</v>
      </c>
      <c r="Y1809" s="1" t="s">
        <v>43</v>
      </c>
      <c r="Z1809" s="1" t="s">
        <v>42</v>
      </c>
      <c r="AA1809">
        <v>0</v>
      </c>
      <c r="AB1809" s="1" t="s">
        <v>52</v>
      </c>
      <c r="AC1809">
        <v>3</v>
      </c>
      <c r="AD1809" s="2">
        <v>44470</v>
      </c>
      <c r="AE1809" s="1" t="s">
        <v>53</v>
      </c>
      <c r="AF1809" s="1" t="s">
        <v>54</v>
      </c>
      <c r="AG1809" s="1" t="s">
        <v>63</v>
      </c>
      <c r="AH1809" s="1" t="s">
        <v>59</v>
      </c>
      <c r="AI1809">
        <v>17346</v>
      </c>
      <c r="AJ1809">
        <v>-41.299999999999272</v>
      </c>
    </row>
    <row r="1810" spans="1:36" x14ac:dyDescent="0.25">
      <c r="A1810">
        <v>11809</v>
      </c>
      <c r="B1810">
        <v>37</v>
      </c>
      <c r="C1810" s="1" t="s">
        <v>60</v>
      </c>
      <c r="D1810" s="1" t="s">
        <v>37</v>
      </c>
      <c r="E1810" s="2">
        <v>44470</v>
      </c>
      <c r="F1810" s="2">
        <v>44416</v>
      </c>
      <c r="G1810" s="1" t="s">
        <v>62</v>
      </c>
      <c r="H1810">
        <v>803</v>
      </c>
      <c r="I1810">
        <v>20</v>
      </c>
      <c r="J1810">
        <v>1</v>
      </c>
      <c r="K1810">
        <v>110.28</v>
      </c>
      <c r="L1810">
        <v>20</v>
      </c>
      <c r="M1810" s="1" t="s">
        <v>50</v>
      </c>
      <c r="N1810" s="1" t="s">
        <v>56</v>
      </c>
      <c r="O1810">
        <v>15899.4</v>
      </c>
      <c r="P1810" t="b">
        <v>0</v>
      </c>
      <c r="Q1810">
        <v>1.6666666666666667</v>
      </c>
      <c r="R1810">
        <v>794.97</v>
      </c>
      <c r="S1810">
        <v>55.14</v>
      </c>
      <c r="T1810" s="2">
        <v>44470</v>
      </c>
      <c r="U1810" s="1" t="s">
        <v>51</v>
      </c>
      <c r="V1810">
        <v>0</v>
      </c>
      <c r="W1810" s="1" t="s">
        <v>40</v>
      </c>
      <c r="Y1810" s="1" t="s">
        <v>43</v>
      </c>
      <c r="Z1810" s="1" t="s">
        <v>52</v>
      </c>
      <c r="AA1810">
        <v>4.7619047619047616E-2</v>
      </c>
      <c r="AB1810" s="1" t="s">
        <v>52</v>
      </c>
      <c r="AC1810">
        <v>2</v>
      </c>
      <c r="AD1810" s="2">
        <v>44470</v>
      </c>
      <c r="AE1810" s="1" t="s">
        <v>53</v>
      </c>
      <c r="AF1810" s="1" t="s">
        <v>54</v>
      </c>
      <c r="AG1810" s="1" t="s">
        <v>63</v>
      </c>
      <c r="AH1810" s="1" t="s">
        <v>59</v>
      </c>
      <c r="AI1810">
        <v>16060</v>
      </c>
      <c r="AJ1810">
        <v>-160.60000000000036</v>
      </c>
    </row>
    <row r="1811" spans="1:36" x14ac:dyDescent="0.25">
      <c r="A1811">
        <v>11810</v>
      </c>
      <c r="B1811">
        <v>63</v>
      </c>
      <c r="C1811" s="1" t="s">
        <v>60</v>
      </c>
      <c r="D1811" s="1" t="s">
        <v>37</v>
      </c>
      <c r="E1811" s="2">
        <v>44216</v>
      </c>
      <c r="F1811" s="2">
        <v>44384</v>
      </c>
      <c r="G1811" s="1" t="s">
        <v>38</v>
      </c>
      <c r="H1811">
        <v>1408</v>
      </c>
      <c r="I1811">
        <v>1</v>
      </c>
      <c r="J1811">
        <v>2</v>
      </c>
      <c r="K1811">
        <v>6.11</v>
      </c>
      <c r="L1811">
        <v>15</v>
      </c>
      <c r="M1811" s="1" t="s">
        <v>39</v>
      </c>
      <c r="N1811" s="1" t="s">
        <v>40</v>
      </c>
      <c r="O1811">
        <v>1196.8</v>
      </c>
      <c r="P1811" t="b">
        <v>1</v>
      </c>
      <c r="Q1811">
        <v>8.3333333333333329E-2</v>
      </c>
      <c r="R1811">
        <v>1196.8</v>
      </c>
      <c r="S1811">
        <v>2.0366666666666666</v>
      </c>
      <c r="T1811" s="2">
        <v>44197</v>
      </c>
      <c r="U1811" s="1" t="s">
        <v>41</v>
      </c>
      <c r="V1811">
        <v>1</v>
      </c>
      <c r="W1811" s="1" t="s">
        <v>56</v>
      </c>
      <c r="X1811">
        <v>168</v>
      </c>
      <c r="Y1811" s="1" t="s">
        <v>42</v>
      </c>
      <c r="Z1811" s="1" t="s">
        <v>42</v>
      </c>
      <c r="AA1811">
        <v>1</v>
      </c>
      <c r="AB1811" s="1" t="s">
        <v>42</v>
      </c>
      <c r="AC1811">
        <v>1</v>
      </c>
      <c r="AD1811" s="2">
        <v>44197</v>
      </c>
      <c r="AE1811" s="1" t="s">
        <v>58</v>
      </c>
      <c r="AF1811" s="1" t="s">
        <v>72</v>
      </c>
      <c r="AG1811" s="1" t="s">
        <v>77</v>
      </c>
      <c r="AH1811" s="1" t="s">
        <v>47</v>
      </c>
      <c r="AI1811">
        <v>1408</v>
      </c>
      <c r="AJ1811">
        <v>-211.20000000000005</v>
      </c>
    </row>
    <row r="1812" spans="1:36" x14ac:dyDescent="0.25">
      <c r="A1812">
        <v>11811</v>
      </c>
      <c r="B1812">
        <v>32</v>
      </c>
      <c r="C1812" s="1" t="s">
        <v>60</v>
      </c>
      <c r="D1812" s="1" t="s">
        <v>48</v>
      </c>
      <c r="E1812" s="2">
        <v>44435</v>
      </c>
      <c r="F1812" s="2">
        <v>45112</v>
      </c>
      <c r="G1812" s="1" t="s">
        <v>38</v>
      </c>
      <c r="H1812">
        <v>1230</v>
      </c>
      <c r="I1812">
        <v>17</v>
      </c>
      <c r="J1812">
        <v>2</v>
      </c>
      <c r="K1812">
        <v>77.55</v>
      </c>
      <c r="L1812">
        <v>20</v>
      </c>
      <c r="M1812" s="1" t="s">
        <v>67</v>
      </c>
      <c r="N1812" s="1" t="s">
        <v>56</v>
      </c>
      <c r="O1812">
        <v>20664</v>
      </c>
      <c r="P1812" t="b">
        <v>1</v>
      </c>
      <c r="Q1812">
        <v>1.4166666666666667</v>
      </c>
      <c r="R1812">
        <v>1215.5294117647059</v>
      </c>
      <c r="S1812">
        <v>25.849999999999998</v>
      </c>
      <c r="T1812" s="2">
        <v>44409</v>
      </c>
      <c r="U1812" s="1" t="s">
        <v>57</v>
      </c>
      <c r="V1812">
        <v>0</v>
      </c>
      <c r="W1812" s="1" t="s">
        <v>40</v>
      </c>
      <c r="X1812">
        <v>677</v>
      </c>
      <c r="Y1812" s="1" t="s">
        <v>43</v>
      </c>
      <c r="Z1812" s="1" t="s">
        <v>52</v>
      </c>
      <c r="AA1812">
        <v>0.1111111111111111</v>
      </c>
      <c r="AB1812" s="1" t="s">
        <v>43</v>
      </c>
      <c r="AC1812">
        <v>1</v>
      </c>
      <c r="AD1812" s="2">
        <v>44409</v>
      </c>
      <c r="AE1812" s="1" t="s">
        <v>53</v>
      </c>
      <c r="AF1812" s="1" t="s">
        <v>72</v>
      </c>
      <c r="AG1812" s="1" t="s">
        <v>63</v>
      </c>
      <c r="AH1812" s="1" t="s">
        <v>47</v>
      </c>
      <c r="AI1812">
        <v>20910</v>
      </c>
      <c r="AJ1812">
        <v>-246</v>
      </c>
    </row>
    <row r="1813" spans="1:36" x14ac:dyDescent="0.25">
      <c r="A1813">
        <v>11812</v>
      </c>
      <c r="B1813">
        <v>42</v>
      </c>
      <c r="C1813" s="1" t="s">
        <v>60</v>
      </c>
      <c r="D1813" s="1" t="s">
        <v>61</v>
      </c>
      <c r="E1813" s="2">
        <v>44466</v>
      </c>
      <c r="F1813" s="2">
        <v>45111</v>
      </c>
      <c r="G1813" s="1" t="s">
        <v>38</v>
      </c>
      <c r="H1813">
        <v>1008</v>
      </c>
      <c r="I1813">
        <v>29</v>
      </c>
      <c r="J1813">
        <v>2</v>
      </c>
      <c r="K1813">
        <v>59.61</v>
      </c>
      <c r="L1813">
        <v>20</v>
      </c>
      <c r="M1813" s="1" t="s">
        <v>39</v>
      </c>
      <c r="N1813" s="1" t="s">
        <v>56</v>
      </c>
      <c r="O1813">
        <v>29030.400000000001</v>
      </c>
      <c r="P1813" t="b">
        <v>1</v>
      </c>
      <c r="Q1813">
        <v>2.4166666666666665</v>
      </c>
      <c r="R1813">
        <v>1001.048275862069</v>
      </c>
      <c r="S1813">
        <v>19.87</v>
      </c>
      <c r="T1813" s="2">
        <v>44440</v>
      </c>
      <c r="U1813" s="1" t="s">
        <v>51</v>
      </c>
      <c r="V1813">
        <v>0</v>
      </c>
      <c r="W1813" s="1" t="s">
        <v>40</v>
      </c>
      <c r="X1813">
        <v>645</v>
      </c>
      <c r="Y1813" s="1" t="s">
        <v>52</v>
      </c>
      <c r="Z1813" s="1" t="s">
        <v>52</v>
      </c>
      <c r="AA1813">
        <v>6.6666666666666666E-2</v>
      </c>
      <c r="AB1813" s="1" t="s">
        <v>43</v>
      </c>
      <c r="AC1813">
        <v>1</v>
      </c>
      <c r="AD1813" s="2">
        <v>44440</v>
      </c>
      <c r="AE1813" s="1" t="s">
        <v>44</v>
      </c>
      <c r="AF1813" s="1" t="s">
        <v>72</v>
      </c>
      <c r="AG1813" s="1" t="s">
        <v>63</v>
      </c>
      <c r="AH1813" s="1" t="s">
        <v>47</v>
      </c>
      <c r="AI1813">
        <v>29232</v>
      </c>
      <c r="AJ1813">
        <v>-201.59999999999854</v>
      </c>
    </row>
    <row r="1814" spans="1:36" x14ac:dyDescent="0.25">
      <c r="A1814">
        <v>11813</v>
      </c>
      <c r="B1814">
        <v>47</v>
      </c>
      <c r="C1814" s="1" t="s">
        <v>36</v>
      </c>
      <c r="D1814" s="1" t="s">
        <v>73</v>
      </c>
      <c r="E1814" s="2">
        <v>44614</v>
      </c>
      <c r="F1814" s="2">
        <v>44487</v>
      </c>
      <c r="G1814" s="1" t="s">
        <v>38</v>
      </c>
      <c r="H1814">
        <v>534</v>
      </c>
      <c r="I1814">
        <v>8</v>
      </c>
      <c r="J1814">
        <v>2</v>
      </c>
      <c r="K1814">
        <v>44.9</v>
      </c>
      <c r="L1814">
        <v>10</v>
      </c>
      <c r="M1814" s="1" t="s">
        <v>67</v>
      </c>
      <c r="N1814" s="1" t="s">
        <v>56</v>
      </c>
      <c r="O1814">
        <v>4218.6000000000004</v>
      </c>
      <c r="P1814" t="b">
        <v>0</v>
      </c>
      <c r="Q1814">
        <v>0.66666666666666663</v>
      </c>
      <c r="R1814">
        <v>527.32500000000005</v>
      </c>
      <c r="S1814">
        <v>14.966666666666667</v>
      </c>
      <c r="T1814" s="2">
        <v>44593</v>
      </c>
      <c r="U1814" s="1" t="s">
        <v>51</v>
      </c>
      <c r="V1814">
        <v>0</v>
      </c>
      <c r="W1814" s="1" t="s">
        <v>56</v>
      </c>
      <c r="Y1814" s="1" t="s">
        <v>52</v>
      </c>
      <c r="Z1814" s="1" t="s">
        <v>42</v>
      </c>
      <c r="AA1814">
        <v>0.22222222222222221</v>
      </c>
      <c r="AB1814" s="1" t="s">
        <v>42</v>
      </c>
      <c r="AC1814">
        <v>1</v>
      </c>
      <c r="AD1814" s="2">
        <v>44593</v>
      </c>
      <c r="AE1814" s="1" t="s">
        <v>74</v>
      </c>
      <c r="AF1814" s="1" t="s">
        <v>72</v>
      </c>
      <c r="AG1814" s="1" t="s">
        <v>55</v>
      </c>
      <c r="AH1814" s="1" t="s">
        <v>64</v>
      </c>
      <c r="AI1814">
        <v>4272</v>
      </c>
      <c r="AJ1814">
        <v>-53.399999999999636</v>
      </c>
    </row>
    <row r="1815" spans="1:36" x14ac:dyDescent="0.25">
      <c r="A1815">
        <v>11814</v>
      </c>
      <c r="B1815">
        <v>41</v>
      </c>
      <c r="C1815" s="1" t="s">
        <v>36</v>
      </c>
      <c r="D1815" s="1" t="s">
        <v>73</v>
      </c>
      <c r="E1815" s="2">
        <v>44506</v>
      </c>
      <c r="F1815" s="2">
        <v>45214</v>
      </c>
      <c r="G1815" s="1" t="s">
        <v>38</v>
      </c>
      <c r="H1815">
        <v>1329</v>
      </c>
      <c r="I1815">
        <v>26</v>
      </c>
      <c r="J1815">
        <v>0</v>
      </c>
      <c r="K1815">
        <v>77.17</v>
      </c>
      <c r="L1815">
        <v>0</v>
      </c>
      <c r="M1815" s="1" t="s">
        <v>50</v>
      </c>
      <c r="N1815" s="1" t="s">
        <v>40</v>
      </c>
      <c r="O1815">
        <v>34554</v>
      </c>
      <c r="P1815" t="b">
        <v>1</v>
      </c>
      <c r="Q1815">
        <v>2.1666666666666665</v>
      </c>
      <c r="R1815">
        <v>1329</v>
      </c>
      <c r="S1815">
        <v>77.17</v>
      </c>
      <c r="T1815" s="2">
        <v>44501</v>
      </c>
      <c r="U1815" s="1" t="s">
        <v>51</v>
      </c>
      <c r="V1815">
        <v>1</v>
      </c>
      <c r="W1815" s="1" t="s">
        <v>40</v>
      </c>
      <c r="X1815">
        <v>708</v>
      </c>
      <c r="Y1815" s="1" t="s">
        <v>43</v>
      </c>
      <c r="Z1815" s="1" t="s">
        <v>42</v>
      </c>
      <c r="AA1815">
        <v>0</v>
      </c>
      <c r="AB1815" s="1" t="s">
        <v>43</v>
      </c>
      <c r="AC1815">
        <v>1</v>
      </c>
      <c r="AD1815" s="2">
        <v>44501</v>
      </c>
      <c r="AE1815" s="1" t="s">
        <v>44</v>
      </c>
      <c r="AF1815" s="1" t="s">
        <v>54</v>
      </c>
      <c r="AG1815" s="1" t="s">
        <v>63</v>
      </c>
      <c r="AH1815" s="1" t="s">
        <v>47</v>
      </c>
      <c r="AI1815">
        <v>34554</v>
      </c>
      <c r="AJ1815">
        <v>0</v>
      </c>
    </row>
    <row r="1816" spans="1:36" x14ac:dyDescent="0.25">
      <c r="A1816">
        <v>11815</v>
      </c>
      <c r="B1816">
        <v>24</v>
      </c>
      <c r="C1816" s="1" t="s">
        <v>60</v>
      </c>
      <c r="D1816" s="1" t="s">
        <v>37</v>
      </c>
      <c r="E1816" s="2">
        <v>44227</v>
      </c>
      <c r="F1816" s="2">
        <v>45240</v>
      </c>
      <c r="G1816" s="1" t="s">
        <v>62</v>
      </c>
      <c r="H1816">
        <v>793</v>
      </c>
      <c r="I1816">
        <v>28</v>
      </c>
      <c r="J1816">
        <v>2</v>
      </c>
      <c r="K1816">
        <v>11.06</v>
      </c>
      <c r="L1816">
        <v>5</v>
      </c>
      <c r="M1816" s="1" t="s">
        <v>50</v>
      </c>
      <c r="N1816" s="1" t="s">
        <v>56</v>
      </c>
      <c r="O1816">
        <v>22164.35</v>
      </c>
      <c r="P1816" t="b">
        <v>1</v>
      </c>
      <c r="Q1816">
        <v>2.3333333333333335</v>
      </c>
      <c r="R1816">
        <v>791.58392857142849</v>
      </c>
      <c r="S1816">
        <v>3.686666666666667</v>
      </c>
      <c r="T1816" s="2">
        <v>44197</v>
      </c>
      <c r="U1816" s="1" t="s">
        <v>66</v>
      </c>
      <c r="V1816">
        <v>0</v>
      </c>
      <c r="W1816" s="1" t="s">
        <v>40</v>
      </c>
      <c r="X1816">
        <v>1013</v>
      </c>
      <c r="Y1816" s="1" t="s">
        <v>42</v>
      </c>
      <c r="Z1816" s="1" t="s">
        <v>42</v>
      </c>
      <c r="AA1816">
        <v>6.8965517241379309E-2</v>
      </c>
      <c r="AB1816" s="1" t="s">
        <v>43</v>
      </c>
      <c r="AC1816">
        <v>2</v>
      </c>
      <c r="AD1816" s="2">
        <v>44197</v>
      </c>
      <c r="AE1816" s="1" t="s">
        <v>44</v>
      </c>
      <c r="AF1816" s="1" t="s">
        <v>72</v>
      </c>
      <c r="AG1816" s="1" t="s">
        <v>46</v>
      </c>
      <c r="AH1816" s="1" t="s">
        <v>59</v>
      </c>
      <c r="AI1816">
        <v>22204</v>
      </c>
      <c r="AJ1816">
        <v>-39.650000000001455</v>
      </c>
    </row>
    <row r="1817" spans="1:36" x14ac:dyDescent="0.25">
      <c r="A1817">
        <v>11816</v>
      </c>
      <c r="B1817">
        <v>34</v>
      </c>
      <c r="C1817" s="1" t="s">
        <v>36</v>
      </c>
      <c r="D1817" s="1" t="s">
        <v>69</v>
      </c>
      <c r="E1817" s="2">
        <v>45022</v>
      </c>
      <c r="F1817" s="2">
        <v>45027</v>
      </c>
      <c r="G1817" s="1" t="s">
        <v>38</v>
      </c>
      <c r="H1817">
        <v>1177</v>
      </c>
      <c r="I1817">
        <v>34</v>
      </c>
      <c r="J1817">
        <v>1</v>
      </c>
      <c r="K1817">
        <v>91.6</v>
      </c>
      <c r="L1817">
        <v>0</v>
      </c>
      <c r="M1817" s="1" t="s">
        <v>65</v>
      </c>
      <c r="N1817" s="1" t="s">
        <v>56</v>
      </c>
      <c r="O1817">
        <v>40018</v>
      </c>
      <c r="P1817" t="b">
        <v>1</v>
      </c>
      <c r="Q1817">
        <v>2.8333333333333335</v>
      </c>
      <c r="R1817">
        <v>1177</v>
      </c>
      <c r="S1817">
        <v>45.8</v>
      </c>
      <c r="T1817" s="2">
        <v>45017</v>
      </c>
      <c r="U1817" s="1" t="s">
        <v>57</v>
      </c>
      <c r="V1817">
        <v>0</v>
      </c>
      <c r="W1817" s="1" t="s">
        <v>40</v>
      </c>
      <c r="X1817">
        <v>5</v>
      </c>
      <c r="Y1817" s="1" t="s">
        <v>43</v>
      </c>
      <c r="Z1817" s="1" t="s">
        <v>42</v>
      </c>
      <c r="AA1817">
        <v>2.8571428571428571E-2</v>
      </c>
      <c r="AB1817" s="1" t="s">
        <v>43</v>
      </c>
      <c r="AC1817">
        <v>1</v>
      </c>
      <c r="AD1817" s="2">
        <v>45017</v>
      </c>
      <c r="AE1817" s="1" t="s">
        <v>44</v>
      </c>
      <c r="AF1817" s="1" t="s">
        <v>54</v>
      </c>
      <c r="AG1817" s="1" t="s">
        <v>63</v>
      </c>
      <c r="AH1817" s="1" t="s">
        <v>47</v>
      </c>
      <c r="AI1817">
        <v>40018</v>
      </c>
      <c r="AJ1817">
        <v>0</v>
      </c>
    </row>
    <row r="1818" spans="1:36" x14ac:dyDescent="0.25">
      <c r="A1818">
        <v>11817</v>
      </c>
      <c r="B1818">
        <v>61</v>
      </c>
      <c r="C1818" s="1" t="s">
        <v>36</v>
      </c>
      <c r="D1818" s="1" t="s">
        <v>73</v>
      </c>
      <c r="E1818" s="2">
        <v>44300</v>
      </c>
      <c r="F1818" s="2">
        <v>44913</v>
      </c>
      <c r="G1818" s="1" t="s">
        <v>62</v>
      </c>
      <c r="H1818">
        <v>1266</v>
      </c>
      <c r="I1818">
        <v>26</v>
      </c>
      <c r="J1818">
        <v>0</v>
      </c>
      <c r="K1818">
        <v>62.59</v>
      </c>
      <c r="L1818">
        <v>10</v>
      </c>
      <c r="M1818" s="1" t="s">
        <v>39</v>
      </c>
      <c r="N1818" s="1" t="s">
        <v>40</v>
      </c>
      <c r="O1818">
        <v>32789.4</v>
      </c>
      <c r="P1818" t="b">
        <v>1</v>
      </c>
      <c r="Q1818">
        <v>2.1666666666666665</v>
      </c>
      <c r="R1818">
        <v>1261.1307692307694</v>
      </c>
      <c r="S1818">
        <v>62.59</v>
      </c>
      <c r="T1818" s="2">
        <v>44287</v>
      </c>
      <c r="U1818" s="1" t="s">
        <v>41</v>
      </c>
      <c r="V1818">
        <v>1</v>
      </c>
      <c r="W1818" s="1" t="s">
        <v>40</v>
      </c>
      <c r="X1818">
        <v>613</v>
      </c>
      <c r="Y1818" s="1" t="s">
        <v>43</v>
      </c>
      <c r="Z1818" s="1" t="s">
        <v>42</v>
      </c>
      <c r="AA1818">
        <v>0</v>
      </c>
      <c r="AB1818" s="1" t="s">
        <v>43</v>
      </c>
      <c r="AC1818">
        <v>2</v>
      </c>
      <c r="AD1818" s="2">
        <v>44287</v>
      </c>
      <c r="AE1818" s="1" t="s">
        <v>44</v>
      </c>
      <c r="AF1818" s="1" t="s">
        <v>54</v>
      </c>
      <c r="AG1818" s="1" t="s">
        <v>63</v>
      </c>
      <c r="AH1818" s="1" t="s">
        <v>47</v>
      </c>
      <c r="AI1818">
        <v>32916</v>
      </c>
      <c r="AJ1818">
        <v>-126.59999999999854</v>
      </c>
    </row>
    <row r="1819" spans="1:36" x14ac:dyDescent="0.25">
      <c r="A1819">
        <v>11818</v>
      </c>
      <c r="B1819">
        <v>37</v>
      </c>
      <c r="C1819" s="1" t="s">
        <v>60</v>
      </c>
      <c r="D1819" s="1" t="s">
        <v>37</v>
      </c>
      <c r="E1819" s="2">
        <v>44878</v>
      </c>
      <c r="F1819" s="2">
        <v>45245</v>
      </c>
      <c r="G1819" s="1" t="s">
        <v>62</v>
      </c>
      <c r="H1819">
        <v>1265</v>
      </c>
      <c r="I1819">
        <v>13</v>
      </c>
      <c r="J1819">
        <v>1</v>
      </c>
      <c r="K1819">
        <v>40.299999999999997</v>
      </c>
      <c r="L1819">
        <v>0</v>
      </c>
      <c r="M1819" s="1" t="s">
        <v>50</v>
      </c>
      <c r="N1819" s="1" t="s">
        <v>56</v>
      </c>
      <c r="O1819">
        <v>16445</v>
      </c>
      <c r="P1819" t="b">
        <v>1</v>
      </c>
      <c r="Q1819">
        <v>1.0833333333333333</v>
      </c>
      <c r="R1819">
        <v>1265</v>
      </c>
      <c r="S1819">
        <v>20.149999999999999</v>
      </c>
      <c r="T1819" s="2">
        <v>44866</v>
      </c>
      <c r="U1819" s="1" t="s">
        <v>51</v>
      </c>
      <c r="V1819">
        <v>0</v>
      </c>
      <c r="W1819" s="1" t="s">
        <v>40</v>
      </c>
      <c r="X1819">
        <v>367</v>
      </c>
      <c r="Y1819" s="1" t="s">
        <v>52</v>
      </c>
      <c r="Z1819" s="1" t="s">
        <v>42</v>
      </c>
      <c r="AA1819">
        <v>7.1428571428571425E-2</v>
      </c>
      <c r="AB1819" s="1" t="s">
        <v>52</v>
      </c>
      <c r="AC1819">
        <v>2</v>
      </c>
      <c r="AD1819" s="2">
        <v>44866</v>
      </c>
      <c r="AE1819" s="1" t="s">
        <v>53</v>
      </c>
      <c r="AF1819" s="1" t="s">
        <v>54</v>
      </c>
      <c r="AG1819" s="1" t="s">
        <v>55</v>
      </c>
      <c r="AH1819" s="1" t="s">
        <v>47</v>
      </c>
      <c r="AI1819">
        <v>16445</v>
      </c>
      <c r="AJ1819">
        <v>0</v>
      </c>
    </row>
    <row r="1820" spans="1:36" x14ac:dyDescent="0.25">
      <c r="A1820">
        <v>11819</v>
      </c>
      <c r="B1820">
        <v>53</v>
      </c>
      <c r="C1820" s="1" t="s">
        <v>60</v>
      </c>
      <c r="D1820" s="1" t="s">
        <v>71</v>
      </c>
      <c r="E1820" s="2">
        <v>44382</v>
      </c>
      <c r="F1820" s="2">
        <v>44525</v>
      </c>
      <c r="G1820" s="1" t="s">
        <v>38</v>
      </c>
      <c r="H1820">
        <v>1263</v>
      </c>
      <c r="I1820">
        <v>13</v>
      </c>
      <c r="J1820">
        <v>1</v>
      </c>
      <c r="K1820">
        <v>62.96</v>
      </c>
      <c r="L1820">
        <v>5</v>
      </c>
      <c r="M1820" s="1" t="s">
        <v>39</v>
      </c>
      <c r="N1820" s="1" t="s">
        <v>56</v>
      </c>
      <c r="O1820">
        <v>16355.85</v>
      </c>
      <c r="P1820" t="b">
        <v>1</v>
      </c>
      <c r="Q1820">
        <v>1.0833333333333333</v>
      </c>
      <c r="R1820">
        <v>1258.1423076923077</v>
      </c>
      <c r="S1820">
        <v>31.48</v>
      </c>
      <c r="T1820" s="2">
        <v>44378</v>
      </c>
      <c r="U1820" s="1" t="s">
        <v>41</v>
      </c>
      <c r="V1820">
        <v>0</v>
      </c>
      <c r="W1820" s="1" t="s">
        <v>40</v>
      </c>
      <c r="X1820">
        <v>143</v>
      </c>
      <c r="Y1820" s="1" t="s">
        <v>43</v>
      </c>
      <c r="Z1820" s="1" t="s">
        <v>42</v>
      </c>
      <c r="AA1820">
        <v>7.1428571428571425E-2</v>
      </c>
      <c r="AB1820" s="1" t="s">
        <v>52</v>
      </c>
      <c r="AC1820">
        <v>1</v>
      </c>
      <c r="AD1820" s="2">
        <v>44378</v>
      </c>
      <c r="AE1820" s="1" t="s">
        <v>53</v>
      </c>
      <c r="AF1820" s="1" t="s">
        <v>54</v>
      </c>
      <c r="AG1820" s="1" t="s">
        <v>63</v>
      </c>
      <c r="AH1820" s="1" t="s">
        <v>47</v>
      </c>
      <c r="AI1820">
        <v>16419</v>
      </c>
      <c r="AJ1820">
        <v>-63.149999999999636</v>
      </c>
    </row>
    <row r="1821" spans="1:36" x14ac:dyDescent="0.25">
      <c r="A1821">
        <v>11820</v>
      </c>
      <c r="B1821">
        <v>26</v>
      </c>
      <c r="C1821" s="1" t="s">
        <v>60</v>
      </c>
      <c r="D1821" s="1" t="s">
        <v>71</v>
      </c>
      <c r="E1821" s="2">
        <v>44324</v>
      </c>
      <c r="F1821" s="2">
        <v>45156</v>
      </c>
      <c r="G1821" s="1" t="s">
        <v>38</v>
      </c>
      <c r="H1821">
        <v>1196</v>
      </c>
      <c r="I1821">
        <v>25</v>
      </c>
      <c r="J1821">
        <v>0</v>
      </c>
      <c r="K1821">
        <v>48.36</v>
      </c>
      <c r="L1821">
        <v>0</v>
      </c>
      <c r="M1821" s="1" t="s">
        <v>50</v>
      </c>
      <c r="N1821" s="1" t="s">
        <v>40</v>
      </c>
      <c r="O1821">
        <v>29900</v>
      </c>
      <c r="P1821" t="b">
        <v>1</v>
      </c>
      <c r="Q1821">
        <v>2.0833333333333335</v>
      </c>
      <c r="R1821">
        <v>1196</v>
      </c>
      <c r="S1821">
        <v>48.36</v>
      </c>
      <c r="T1821" s="2">
        <v>44317</v>
      </c>
      <c r="U1821" s="1" t="s">
        <v>57</v>
      </c>
      <c r="V1821">
        <v>1</v>
      </c>
      <c r="W1821" s="1" t="s">
        <v>40</v>
      </c>
      <c r="X1821">
        <v>832</v>
      </c>
      <c r="Y1821" s="1" t="s">
        <v>52</v>
      </c>
      <c r="Z1821" s="1" t="s">
        <v>42</v>
      </c>
      <c r="AA1821">
        <v>0</v>
      </c>
      <c r="AB1821" s="1" t="s">
        <v>43</v>
      </c>
      <c r="AC1821">
        <v>1</v>
      </c>
      <c r="AD1821" s="2">
        <v>44317</v>
      </c>
      <c r="AE1821" s="1" t="s">
        <v>44</v>
      </c>
      <c r="AF1821" s="1" t="s">
        <v>54</v>
      </c>
      <c r="AG1821" s="1" t="s">
        <v>63</v>
      </c>
      <c r="AH1821" s="1" t="s">
        <v>47</v>
      </c>
      <c r="AI1821">
        <v>29900</v>
      </c>
      <c r="AJ1821">
        <v>0</v>
      </c>
    </row>
    <row r="1822" spans="1:36" x14ac:dyDescent="0.25">
      <c r="A1822">
        <v>11821</v>
      </c>
      <c r="B1822">
        <v>55</v>
      </c>
      <c r="C1822" s="1" t="s">
        <v>60</v>
      </c>
      <c r="D1822" s="1" t="s">
        <v>76</v>
      </c>
      <c r="E1822" s="2">
        <v>44406</v>
      </c>
      <c r="F1822" s="2">
        <v>45160</v>
      </c>
      <c r="G1822" s="1" t="s">
        <v>38</v>
      </c>
      <c r="H1822">
        <v>516</v>
      </c>
      <c r="I1822">
        <v>23</v>
      </c>
      <c r="J1822">
        <v>2</v>
      </c>
      <c r="K1822">
        <v>40.36</v>
      </c>
      <c r="L1822">
        <v>10</v>
      </c>
      <c r="M1822" s="1" t="s">
        <v>67</v>
      </c>
      <c r="N1822" s="1" t="s">
        <v>40</v>
      </c>
      <c r="O1822">
        <v>11816.4</v>
      </c>
      <c r="P1822" t="b">
        <v>1</v>
      </c>
      <c r="Q1822">
        <v>1.9166666666666667</v>
      </c>
      <c r="R1822">
        <v>513.75652173913045</v>
      </c>
      <c r="S1822">
        <v>13.453333333333333</v>
      </c>
      <c r="T1822" s="2">
        <v>44378</v>
      </c>
      <c r="U1822" s="1" t="s">
        <v>41</v>
      </c>
      <c r="V1822">
        <v>1</v>
      </c>
      <c r="W1822" s="1" t="s">
        <v>56</v>
      </c>
      <c r="X1822">
        <v>754</v>
      </c>
      <c r="Y1822" s="1" t="s">
        <v>52</v>
      </c>
      <c r="Z1822" s="1" t="s">
        <v>42</v>
      </c>
      <c r="AA1822">
        <v>8.3333333333333329E-2</v>
      </c>
      <c r="AB1822" s="1" t="s">
        <v>52</v>
      </c>
      <c r="AC1822">
        <v>1</v>
      </c>
      <c r="AD1822" s="2">
        <v>44378</v>
      </c>
      <c r="AE1822" s="1" t="s">
        <v>53</v>
      </c>
      <c r="AF1822" s="1" t="s">
        <v>72</v>
      </c>
      <c r="AG1822" s="1" t="s">
        <v>55</v>
      </c>
      <c r="AH1822" s="1" t="s">
        <v>64</v>
      </c>
      <c r="AI1822">
        <v>11868</v>
      </c>
      <c r="AJ1822">
        <v>-51.600000000000364</v>
      </c>
    </row>
    <row r="1823" spans="1:36" x14ac:dyDescent="0.25">
      <c r="A1823">
        <v>11822</v>
      </c>
      <c r="B1823">
        <v>39</v>
      </c>
      <c r="C1823" s="1" t="s">
        <v>36</v>
      </c>
      <c r="D1823" s="1" t="s">
        <v>37</v>
      </c>
      <c r="E1823" s="2">
        <v>44610</v>
      </c>
      <c r="F1823" s="2">
        <v>45218</v>
      </c>
      <c r="G1823" s="1" t="s">
        <v>38</v>
      </c>
      <c r="H1823">
        <v>922</v>
      </c>
      <c r="I1823">
        <v>22</v>
      </c>
      <c r="J1823">
        <v>2</v>
      </c>
      <c r="K1823">
        <v>100.55</v>
      </c>
      <c r="L1823">
        <v>5</v>
      </c>
      <c r="M1823" s="1" t="s">
        <v>67</v>
      </c>
      <c r="N1823" s="1" t="s">
        <v>56</v>
      </c>
      <c r="O1823">
        <v>20237.900000000001</v>
      </c>
      <c r="P1823" t="b">
        <v>1</v>
      </c>
      <c r="Q1823">
        <v>1.8333333333333333</v>
      </c>
      <c r="R1823">
        <v>919.90454545454554</v>
      </c>
      <c r="S1823">
        <v>33.516666666666666</v>
      </c>
      <c r="T1823" s="2">
        <v>44593</v>
      </c>
      <c r="U1823" s="1" t="s">
        <v>51</v>
      </c>
      <c r="V1823">
        <v>0</v>
      </c>
      <c r="W1823" s="1" t="s">
        <v>40</v>
      </c>
      <c r="X1823">
        <v>608</v>
      </c>
      <c r="Y1823" s="1" t="s">
        <v>43</v>
      </c>
      <c r="Z1823" s="1" t="s">
        <v>42</v>
      </c>
      <c r="AA1823">
        <v>8.6956521739130432E-2</v>
      </c>
      <c r="AB1823" s="1" t="s">
        <v>43</v>
      </c>
      <c r="AC1823">
        <v>1</v>
      </c>
      <c r="AD1823" s="2">
        <v>44593</v>
      </c>
      <c r="AE1823" s="1" t="s">
        <v>53</v>
      </c>
      <c r="AF1823" s="1" t="s">
        <v>72</v>
      </c>
      <c r="AG1823" s="1" t="s">
        <v>63</v>
      </c>
      <c r="AH1823" s="1" t="s">
        <v>59</v>
      </c>
      <c r="AI1823">
        <v>20284</v>
      </c>
      <c r="AJ1823">
        <v>-46.099999999998545</v>
      </c>
    </row>
    <row r="1824" spans="1:36" x14ac:dyDescent="0.25">
      <c r="A1824">
        <v>11823</v>
      </c>
      <c r="B1824">
        <v>19</v>
      </c>
      <c r="C1824" s="1" t="s">
        <v>60</v>
      </c>
      <c r="D1824" s="1" t="s">
        <v>48</v>
      </c>
      <c r="E1824" s="2">
        <v>44477</v>
      </c>
      <c r="F1824" s="2">
        <v>44965</v>
      </c>
      <c r="G1824" s="1" t="s">
        <v>62</v>
      </c>
      <c r="H1824">
        <v>652</v>
      </c>
      <c r="I1824">
        <v>21</v>
      </c>
      <c r="J1824">
        <v>2</v>
      </c>
      <c r="K1824">
        <v>112.51</v>
      </c>
      <c r="L1824">
        <v>0</v>
      </c>
      <c r="M1824" s="1" t="s">
        <v>65</v>
      </c>
      <c r="N1824" s="1" t="s">
        <v>40</v>
      </c>
      <c r="O1824">
        <v>13692</v>
      </c>
      <c r="P1824" t="b">
        <v>1</v>
      </c>
      <c r="Q1824">
        <v>1.75</v>
      </c>
      <c r="R1824">
        <v>652</v>
      </c>
      <c r="S1824">
        <v>37.503333333333337</v>
      </c>
      <c r="T1824" s="2">
        <v>44470</v>
      </c>
      <c r="U1824" s="1" t="s">
        <v>66</v>
      </c>
      <c r="V1824">
        <v>1</v>
      </c>
      <c r="W1824" s="1" t="s">
        <v>40</v>
      </c>
      <c r="X1824">
        <v>488</v>
      </c>
      <c r="Y1824" s="1" t="s">
        <v>43</v>
      </c>
      <c r="Z1824" s="1" t="s">
        <v>42</v>
      </c>
      <c r="AA1824">
        <v>9.0909090909090912E-2</v>
      </c>
      <c r="AB1824" s="1" t="s">
        <v>52</v>
      </c>
      <c r="AC1824">
        <v>2</v>
      </c>
      <c r="AD1824" s="2">
        <v>44470</v>
      </c>
      <c r="AE1824" s="1" t="s">
        <v>53</v>
      </c>
      <c r="AF1824" s="1" t="s">
        <v>72</v>
      </c>
      <c r="AG1824" s="1" t="s">
        <v>63</v>
      </c>
      <c r="AH1824" s="1" t="s">
        <v>64</v>
      </c>
      <c r="AI1824">
        <v>13692</v>
      </c>
      <c r="AJ1824">
        <v>0</v>
      </c>
    </row>
    <row r="1825" spans="1:36" x14ac:dyDescent="0.25">
      <c r="A1825">
        <v>11824</v>
      </c>
      <c r="B1825">
        <v>41</v>
      </c>
      <c r="C1825" s="1" t="s">
        <v>60</v>
      </c>
      <c r="D1825" s="1" t="s">
        <v>69</v>
      </c>
      <c r="E1825" s="2">
        <v>44449</v>
      </c>
      <c r="F1825" s="2">
        <v>44484</v>
      </c>
      <c r="G1825" s="1" t="s">
        <v>38</v>
      </c>
      <c r="H1825">
        <v>991</v>
      </c>
      <c r="I1825">
        <v>30</v>
      </c>
      <c r="J1825">
        <v>2</v>
      </c>
      <c r="K1825">
        <v>105.48</v>
      </c>
      <c r="L1825">
        <v>10</v>
      </c>
      <c r="M1825" s="1" t="s">
        <v>50</v>
      </c>
      <c r="N1825" s="1" t="s">
        <v>56</v>
      </c>
      <c r="O1825">
        <v>29630.9</v>
      </c>
      <c r="P1825" t="b">
        <v>1</v>
      </c>
      <c r="Q1825">
        <v>2.5</v>
      </c>
      <c r="R1825">
        <v>987.69666666666672</v>
      </c>
      <c r="S1825">
        <v>35.160000000000004</v>
      </c>
      <c r="T1825" s="2">
        <v>44440</v>
      </c>
      <c r="U1825" s="1" t="s">
        <v>51</v>
      </c>
      <c r="V1825">
        <v>0</v>
      </c>
      <c r="W1825" s="1" t="s">
        <v>40</v>
      </c>
      <c r="X1825">
        <v>35</v>
      </c>
      <c r="Y1825" s="1" t="s">
        <v>43</v>
      </c>
      <c r="Z1825" s="1" t="s">
        <v>42</v>
      </c>
      <c r="AA1825">
        <v>6.4516129032258063E-2</v>
      </c>
      <c r="AB1825" s="1" t="s">
        <v>43</v>
      </c>
      <c r="AC1825">
        <v>1</v>
      </c>
      <c r="AD1825" s="2">
        <v>44440</v>
      </c>
      <c r="AE1825" s="1" t="s">
        <v>44</v>
      </c>
      <c r="AF1825" s="1" t="s">
        <v>72</v>
      </c>
      <c r="AG1825" s="1" t="s">
        <v>63</v>
      </c>
      <c r="AH1825" s="1" t="s">
        <v>59</v>
      </c>
      <c r="AI1825">
        <v>29730</v>
      </c>
      <c r="AJ1825">
        <v>-99.099999999998545</v>
      </c>
    </row>
    <row r="1826" spans="1:36" x14ac:dyDescent="0.25">
      <c r="A1826">
        <v>11825</v>
      </c>
      <c r="B1826">
        <v>25</v>
      </c>
      <c r="C1826" s="1" t="s">
        <v>36</v>
      </c>
      <c r="D1826" s="1" t="s">
        <v>37</v>
      </c>
      <c r="E1826" s="2">
        <v>44215</v>
      </c>
      <c r="F1826" s="2">
        <v>44537</v>
      </c>
      <c r="G1826" s="1" t="s">
        <v>62</v>
      </c>
      <c r="H1826">
        <v>974</v>
      </c>
      <c r="I1826">
        <v>11</v>
      </c>
      <c r="J1826">
        <v>0</v>
      </c>
      <c r="K1826">
        <v>65.08</v>
      </c>
      <c r="L1826">
        <v>10</v>
      </c>
      <c r="M1826" s="1" t="s">
        <v>65</v>
      </c>
      <c r="N1826" s="1" t="s">
        <v>56</v>
      </c>
      <c r="O1826">
        <v>10616.6</v>
      </c>
      <c r="P1826" t="b">
        <v>1</v>
      </c>
      <c r="Q1826">
        <v>0.91666666666666663</v>
      </c>
      <c r="R1826">
        <v>965.14545454545453</v>
      </c>
      <c r="S1826">
        <v>65.08</v>
      </c>
      <c r="T1826" s="2">
        <v>44197</v>
      </c>
      <c r="U1826" s="1" t="s">
        <v>66</v>
      </c>
      <c r="V1826">
        <v>0</v>
      </c>
      <c r="W1826" s="1" t="s">
        <v>56</v>
      </c>
      <c r="X1826">
        <v>322</v>
      </c>
      <c r="Y1826" s="1" t="s">
        <v>43</v>
      </c>
      <c r="Z1826" s="1" t="s">
        <v>42</v>
      </c>
      <c r="AA1826">
        <v>0</v>
      </c>
      <c r="AB1826" s="1" t="s">
        <v>52</v>
      </c>
      <c r="AC1826">
        <v>2</v>
      </c>
      <c r="AD1826" s="2">
        <v>44197</v>
      </c>
      <c r="AE1826" s="1" t="s">
        <v>74</v>
      </c>
      <c r="AF1826" s="1" t="s">
        <v>54</v>
      </c>
      <c r="AG1826" s="1" t="s">
        <v>63</v>
      </c>
      <c r="AH1826" s="1" t="s">
        <v>59</v>
      </c>
      <c r="AI1826">
        <v>10714</v>
      </c>
      <c r="AJ1826">
        <v>-97.399999999999636</v>
      </c>
    </row>
    <row r="1827" spans="1:36" x14ac:dyDescent="0.25">
      <c r="A1827">
        <v>11826</v>
      </c>
      <c r="B1827">
        <v>28</v>
      </c>
      <c r="C1827" s="1" t="s">
        <v>75</v>
      </c>
      <c r="D1827" s="1" t="s">
        <v>48</v>
      </c>
      <c r="E1827" s="2">
        <v>44908</v>
      </c>
      <c r="F1827" s="2">
        <v>44987</v>
      </c>
      <c r="G1827" s="1" t="s">
        <v>38</v>
      </c>
      <c r="H1827">
        <v>930</v>
      </c>
      <c r="I1827">
        <v>4</v>
      </c>
      <c r="J1827">
        <v>3</v>
      </c>
      <c r="K1827">
        <v>106.68</v>
      </c>
      <c r="L1827">
        <v>20</v>
      </c>
      <c r="M1827" s="1" t="s">
        <v>65</v>
      </c>
      <c r="N1827" s="1" t="s">
        <v>56</v>
      </c>
      <c r="O1827">
        <v>3534</v>
      </c>
      <c r="P1827" t="b">
        <v>1</v>
      </c>
      <c r="Q1827">
        <v>0.33333333333333331</v>
      </c>
      <c r="R1827">
        <v>883.5</v>
      </c>
      <c r="S1827">
        <v>26.67</v>
      </c>
      <c r="T1827" s="2">
        <v>44896</v>
      </c>
      <c r="U1827" s="1" t="s">
        <v>57</v>
      </c>
      <c r="V1827">
        <v>0</v>
      </c>
      <c r="W1827" s="1" t="s">
        <v>56</v>
      </c>
      <c r="X1827">
        <v>79</v>
      </c>
      <c r="Y1827" s="1" t="s">
        <v>43</v>
      </c>
      <c r="Z1827" s="1" t="s">
        <v>52</v>
      </c>
      <c r="AA1827">
        <v>0.6</v>
      </c>
      <c r="AB1827" s="1" t="s">
        <v>42</v>
      </c>
      <c r="AC1827">
        <v>1</v>
      </c>
      <c r="AD1827" s="2">
        <v>44896</v>
      </c>
      <c r="AE1827" s="1" t="s">
        <v>58</v>
      </c>
      <c r="AF1827" s="1" t="s">
        <v>72</v>
      </c>
      <c r="AG1827" s="1" t="s">
        <v>63</v>
      </c>
      <c r="AH1827" s="1" t="s">
        <v>59</v>
      </c>
      <c r="AI1827">
        <v>3720</v>
      </c>
      <c r="AJ1827">
        <v>-186</v>
      </c>
    </row>
    <row r="1828" spans="1:36" x14ac:dyDescent="0.25">
      <c r="A1828">
        <v>11827</v>
      </c>
      <c r="B1828">
        <v>30</v>
      </c>
      <c r="C1828" s="1" t="s">
        <v>60</v>
      </c>
      <c r="D1828" s="1" t="s">
        <v>48</v>
      </c>
      <c r="E1828" s="2">
        <v>44928</v>
      </c>
      <c r="F1828" s="2">
        <v>44689</v>
      </c>
      <c r="G1828" s="1" t="s">
        <v>62</v>
      </c>
      <c r="H1828">
        <v>624</v>
      </c>
      <c r="I1828">
        <v>33</v>
      </c>
      <c r="J1828">
        <v>0</v>
      </c>
      <c r="K1828">
        <v>110.9</v>
      </c>
      <c r="L1828">
        <v>5</v>
      </c>
      <c r="M1828" s="1" t="s">
        <v>50</v>
      </c>
      <c r="N1828" s="1" t="s">
        <v>40</v>
      </c>
      <c r="O1828">
        <v>20560.8</v>
      </c>
      <c r="P1828" t="b">
        <v>0</v>
      </c>
      <c r="Q1828">
        <v>2.75</v>
      </c>
      <c r="R1828">
        <v>623.0545454545454</v>
      </c>
      <c r="S1828">
        <v>110.9</v>
      </c>
      <c r="T1828" s="2">
        <v>44927</v>
      </c>
      <c r="U1828" s="1" t="s">
        <v>57</v>
      </c>
      <c r="V1828">
        <v>1</v>
      </c>
      <c r="W1828" s="1" t="s">
        <v>40</v>
      </c>
      <c r="Y1828" s="1" t="s">
        <v>43</v>
      </c>
      <c r="Z1828" s="1" t="s">
        <v>42</v>
      </c>
      <c r="AA1828">
        <v>0</v>
      </c>
      <c r="AB1828" s="1" t="s">
        <v>43</v>
      </c>
      <c r="AC1828">
        <v>2</v>
      </c>
      <c r="AD1828" s="2">
        <v>44927</v>
      </c>
      <c r="AE1828" s="1" t="s">
        <v>44</v>
      </c>
      <c r="AF1828" s="1" t="s">
        <v>54</v>
      </c>
      <c r="AG1828" s="1" t="s">
        <v>63</v>
      </c>
      <c r="AH1828" s="1" t="s">
        <v>64</v>
      </c>
      <c r="AI1828">
        <v>20592</v>
      </c>
      <c r="AJ1828">
        <v>-31.200000000000728</v>
      </c>
    </row>
    <row r="1829" spans="1:36" x14ac:dyDescent="0.25">
      <c r="A1829">
        <v>11828</v>
      </c>
      <c r="B1829">
        <v>34</v>
      </c>
      <c r="C1829" s="1" t="s">
        <v>60</v>
      </c>
      <c r="D1829" s="1" t="s">
        <v>73</v>
      </c>
      <c r="E1829" s="2">
        <v>44332</v>
      </c>
      <c r="F1829" s="2">
        <v>44906</v>
      </c>
      <c r="G1829" s="1" t="s">
        <v>62</v>
      </c>
      <c r="H1829">
        <v>1200</v>
      </c>
      <c r="I1829">
        <v>12</v>
      </c>
      <c r="J1829">
        <v>2</v>
      </c>
      <c r="K1829">
        <v>52.06</v>
      </c>
      <c r="L1829">
        <v>5</v>
      </c>
      <c r="M1829" s="1" t="s">
        <v>50</v>
      </c>
      <c r="N1829" s="1" t="s">
        <v>56</v>
      </c>
      <c r="O1829">
        <v>14340</v>
      </c>
      <c r="P1829" t="b">
        <v>1</v>
      </c>
      <c r="Q1829">
        <v>1</v>
      </c>
      <c r="R1829">
        <v>1195</v>
      </c>
      <c r="S1829">
        <v>17.353333333333335</v>
      </c>
      <c r="T1829" s="2">
        <v>44317</v>
      </c>
      <c r="U1829" s="1" t="s">
        <v>57</v>
      </c>
      <c r="V1829">
        <v>0</v>
      </c>
      <c r="W1829" s="1" t="s">
        <v>40</v>
      </c>
      <c r="X1829">
        <v>574</v>
      </c>
      <c r="Y1829" s="1" t="s">
        <v>52</v>
      </c>
      <c r="Z1829" s="1" t="s">
        <v>42</v>
      </c>
      <c r="AA1829">
        <v>0.15384615384615385</v>
      </c>
      <c r="AB1829" s="1" t="s">
        <v>52</v>
      </c>
      <c r="AC1829">
        <v>2</v>
      </c>
      <c r="AD1829" s="2">
        <v>44317</v>
      </c>
      <c r="AE1829" s="1" t="s">
        <v>74</v>
      </c>
      <c r="AF1829" s="1" t="s">
        <v>72</v>
      </c>
      <c r="AG1829" s="1" t="s">
        <v>63</v>
      </c>
      <c r="AH1829" s="1" t="s">
        <v>47</v>
      </c>
      <c r="AI1829">
        <v>14400</v>
      </c>
      <c r="AJ1829">
        <v>-60</v>
      </c>
    </row>
    <row r="1830" spans="1:36" x14ac:dyDescent="0.25">
      <c r="A1830">
        <v>11829</v>
      </c>
      <c r="B1830">
        <v>25</v>
      </c>
      <c r="C1830" s="1" t="s">
        <v>60</v>
      </c>
      <c r="D1830" s="1" t="s">
        <v>37</v>
      </c>
      <c r="E1830" s="2">
        <v>44419</v>
      </c>
      <c r="F1830" s="2">
        <v>44352</v>
      </c>
      <c r="G1830" s="1" t="s">
        <v>62</v>
      </c>
      <c r="H1830">
        <v>1468</v>
      </c>
      <c r="I1830">
        <v>9</v>
      </c>
      <c r="J1830">
        <v>0</v>
      </c>
      <c r="K1830">
        <v>37.6</v>
      </c>
      <c r="L1830">
        <v>0</v>
      </c>
      <c r="M1830" s="1" t="s">
        <v>67</v>
      </c>
      <c r="N1830" s="1" t="s">
        <v>40</v>
      </c>
      <c r="O1830">
        <v>13212</v>
      </c>
      <c r="P1830" t="b">
        <v>0</v>
      </c>
      <c r="Q1830">
        <v>0.75</v>
      </c>
      <c r="R1830">
        <v>1468</v>
      </c>
      <c r="S1830">
        <v>37.6</v>
      </c>
      <c r="T1830" s="2">
        <v>44409</v>
      </c>
      <c r="U1830" s="1" t="s">
        <v>66</v>
      </c>
      <c r="V1830">
        <v>1</v>
      </c>
      <c r="W1830" s="1" t="s">
        <v>56</v>
      </c>
      <c r="Y1830" s="1" t="s">
        <v>52</v>
      </c>
      <c r="Z1830" s="1" t="s">
        <v>42</v>
      </c>
      <c r="AA1830">
        <v>0</v>
      </c>
      <c r="AB1830" s="1" t="s">
        <v>52</v>
      </c>
      <c r="AC1830">
        <v>2</v>
      </c>
      <c r="AD1830" s="2">
        <v>44409</v>
      </c>
      <c r="AE1830" s="1" t="s">
        <v>74</v>
      </c>
      <c r="AF1830" s="1" t="s">
        <v>54</v>
      </c>
      <c r="AG1830" s="1" t="s">
        <v>55</v>
      </c>
      <c r="AH1830" s="1" t="s">
        <v>47</v>
      </c>
      <c r="AI1830">
        <v>13212</v>
      </c>
      <c r="AJ1830">
        <v>0</v>
      </c>
    </row>
    <row r="1831" spans="1:36" x14ac:dyDescent="0.25">
      <c r="A1831">
        <v>11830</v>
      </c>
      <c r="B1831">
        <v>38</v>
      </c>
      <c r="C1831" s="1" t="s">
        <v>60</v>
      </c>
      <c r="D1831" s="1" t="s">
        <v>37</v>
      </c>
      <c r="E1831" s="2">
        <v>44199</v>
      </c>
      <c r="F1831" s="2">
        <v>44604</v>
      </c>
      <c r="G1831" s="1" t="s">
        <v>38</v>
      </c>
      <c r="H1831">
        <v>607</v>
      </c>
      <c r="I1831">
        <v>32</v>
      </c>
      <c r="J1831">
        <v>4</v>
      </c>
      <c r="K1831">
        <v>16.3</v>
      </c>
      <c r="L1831">
        <v>20</v>
      </c>
      <c r="M1831" s="1" t="s">
        <v>65</v>
      </c>
      <c r="N1831" s="1" t="s">
        <v>56</v>
      </c>
      <c r="O1831">
        <v>19302.599999999999</v>
      </c>
      <c r="P1831" t="b">
        <v>1</v>
      </c>
      <c r="Q1831">
        <v>2.6666666666666665</v>
      </c>
      <c r="R1831">
        <v>603.20624999999995</v>
      </c>
      <c r="S1831">
        <v>3.2600000000000002</v>
      </c>
      <c r="T1831" s="2">
        <v>44197</v>
      </c>
      <c r="U1831" s="1" t="s">
        <v>51</v>
      </c>
      <c r="V1831">
        <v>0</v>
      </c>
      <c r="W1831" s="1" t="s">
        <v>40</v>
      </c>
      <c r="X1831">
        <v>405</v>
      </c>
      <c r="Y1831" s="1" t="s">
        <v>42</v>
      </c>
      <c r="Z1831" s="1" t="s">
        <v>52</v>
      </c>
      <c r="AA1831">
        <v>0.12121212121212122</v>
      </c>
      <c r="AB1831" s="1" t="s">
        <v>52</v>
      </c>
      <c r="AC1831">
        <v>1</v>
      </c>
      <c r="AD1831" s="2">
        <v>44197</v>
      </c>
      <c r="AE1831" s="1" t="s">
        <v>44</v>
      </c>
      <c r="AF1831" s="1" t="s">
        <v>45</v>
      </c>
      <c r="AG1831" s="1" t="s">
        <v>46</v>
      </c>
      <c r="AH1831" s="1" t="s">
        <v>64</v>
      </c>
      <c r="AI1831">
        <v>19424</v>
      </c>
      <c r="AJ1831">
        <v>-121.40000000000146</v>
      </c>
    </row>
    <row r="1832" spans="1:36" x14ac:dyDescent="0.25">
      <c r="A1832">
        <v>11831</v>
      </c>
      <c r="B1832">
        <v>35</v>
      </c>
      <c r="C1832" s="1" t="s">
        <v>60</v>
      </c>
      <c r="D1832" s="1" t="s">
        <v>48</v>
      </c>
      <c r="E1832" s="2">
        <v>44432</v>
      </c>
      <c r="F1832" s="2">
        <v>45159</v>
      </c>
      <c r="G1832" s="1" t="s">
        <v>38</v>
      </c>
      <c r="H1832">
        <v>953</v>
      </c>
      <c r="I1832">
        <v>11</v>
      </c>
      <c r="J1832">
        <v>0</v>
      </c>
      <c r="K1832">
        <v>60.1</v>
      </c>
      <c r="L1832">
        <v>5</v>
      </c>
      <c r="M1832" s="1" t="s">
        <v>67</v>
      </c>
      <c r="N1832" s="1" t="s">
        <v>40</v>
      </c>
      <c r="O1832">
        <v>10435.35</v>
      </c>
      <c r="P1832" t="b">
        <v>1</v>
      </c>
      <c r="Q1832">
        <v>0.91666666666666663</v>
      </c>
      <c r="R1832">
        <v>948.66818181818189</v>
      </c>
      <c r="S1832">
        <v>60.1</v>
      </c>
      <c r="T1832" s="2">
        <v>44409</v>
      </c>
      <c r="U1832" s="1" t="s">
        <v>57</v>
      </c>
      <c r="V1832">
        <v>1</v>
      </c>
      <c r="W1832" s="1" t="s">
        <v>56</v>
      </c>
      <c r="X1832">
        <v>727</v>
      </c>
      <c r="Y1832" s="1" t="s">
        <v>43</v>
      </c>
      <c r="Z1832" s="1" t="s">
        <v>42</v>
      </c>
      <c r="AA1832">
        <v>0</v>
      </c>
      <c r="AB1832" s="1" t="s">
        <v>52</v>
      </c>
      <c r="AC1832">
        <v>1</v>
      </c>
      <c r="AD1832" s="2">
        <v>44409</v>
      </c>
      <c r="AE1832" s="1" t="s">
        <v>74</v>
      </c>
      <c r="AF1832" s="1" t="s">
        <v>54</v>
      </c>
      <c r="AG1832" s="1" t="s">
        <v>63</v>
      </c>
      <c r="AH1832" s="1" t="s">
        <v>59</v>
      </c>
      <c r="AI1832">
        <v>10483</v>
      </c>
      <c r="AJ1832">
        <v>-47.649999999999636</v>
      </c>
    </row>
    <row r="1833" spans="1:36" x14ac:dyDescent="0.25">
      <c r="A1833">
        <v>11832</v>
      </c>
      <c r="B1833">
        <v>47</v>
      </c>
      <c r="C1833" s="1" t="s">
        <v>36</v>
      </c>
      <c r="D1833" s="1" t="s">
        <v>48</v>
      </c>
      <c r="E1833" s="2">
        <v>45050</v>
      </c>
      <c r="F1833" s="2">
        <v>45009</v>
      </c>
      <c r="G1833" s="1" t="s">
        <v>62</v>
      </c>
      <c r="H1833">
        <v>584</v>
      </c>
      <c r="I1833">
        <v>24</v>
      </c>
      <c r="J1833">
        <v>5</v>
      </c>
      <c r="K1833">
        <v>113.82</v>
      </c>
      <c r="L1833">
        <v>10</v>
      </c>
      <c r="M1833" s="1" t="s">
        <v>39</v>
      </c>
      <c r="N1833" s="1" t="s">
        <v>56</v>
      </c>
      <c r="O1833">
        <v>13957.6</v>
      </c>
      <c r="P1833" t="b">
        <v>0</v>
      </c>
      <c r="Q1833">
        <v>2</v>
      </c>
      <c r="R1833">
        <v>581.56666666666672</v>
      </c>
      <c r="S1833">
        <v>18.97</v>
      </c>
      <c r="T1833" s="2">
        <v>45047</v>
      </c>
      <c r="U1833" s="1" t="s">
        <v>51</v>
      </c>
      <c r="V1833">
        <v>0</v>
      </c>
      <c r="W1833" s="1" t="s">
        <v>40</v>
      </c>
      <c r="Y1833" s="1" t="s">
        <v>43</v>
      </c>
      <c r="Z1833" s="1" t="s">
        <v>42</v>
      </c>
      <c r="AA1833">
        <v>0.2</v>
      </c>
      <c r="AB1833" s="1" t="s">
        <v>52</v>
      </c>
      <c r="AC1833">
        <v>2</v>
      </c>
      <c r="AD1833" s="2">
        <v>45047</v>
      </c>
      <c r="AE1833" s="1" t="s">
        <v>53</v>
      </c>
      <c r="AF1833" s="1" t="s">
        <v>45</v>
      </c>
      <c r="AG1833" s="1" t="s">
        <v>63</v>
      </c>
      <c r="AH1833" s="1" t="s">
        <v>64</v>
      </c>
      <c r="AI1833">
        <v>14016</v>
      </c>
      <c r="AJ1833">
        <v>-58.399999999999636</v>
      </c>
    </row>
    <row r="1834" spans="1:36" x14ac:dyDescent="0.25">
      <c r="A1834">
        <v>11833</v>
      </c>
      <c r="B1834">
        <v>35</v>
      </c>
      <c r="C1834" s="1" t="s">
        <v>60</v>
      </c>
      <c r="D1834" s="1" t="s">
        <v>48</v>
      </c>
      <c r="E1834" s="2">
        <v>44661</v>
      </c>
      <c r="F1834" s="2">
        <v>45153</v>
      </c>
      <c r="G1834" s="1" t="s">
        <v>38</v>
      </c>
      <c r="H1834">
        <v>691</v>
      </c>
      <c r="I1834">
        <v>7</v>
      </c>
      <c r="J1834">
        <v>4</v>
      </c>
      <c r="K1834">
        <v>69.5</v>
      </c>
      <c r="L1834">
        <v>5</v>
      </c>
      <c r="M1834" s="1" t="s">
        <v>39</v>
      </c>
      <c r="N1834" s="1" t="s">
        <v>40</v>
      </c>
      <c r="O1834">
        <v>4802.45</v>
      </c>
      <c r="P1834" t="b">
        <v>1</v>
      </c>
      <c r="Q1834">
        <v>0.58333333333333337</v>
      </c>
      <c r="R1834">
        <v>686.06428571428569</v>
      </c>
      <c r="S1834">
        <v>13.9</v>
      </c>
      <c r="T1834" s="2">
        <v>44652</v>
      </c>
      <c r="U1834" s="1" t="s">
        <v>57</v>
      </c>
      <c r="V1834">
        <v>1</v>
      </c>
      <c r="W1834" s="1" t="s">
        <v>56</v>
      </c>
      <c r="X1834">
        <v>492</v>
      </c>
      <c r="Y1834" s="1" t="s">
        <v>43</v>
      </c>
      <c r="Z1834" s="1" t="s">
        <v>42</v>
      </c>
      <c r="AA1834">
        <v>0.5</v>
      </c>
      <c r="AB1834" s="1" t="s">
        <v>42</v>
      </c>
      <c r="AC1834">
        <v>1</v>
      </c>
      <c r="AD1834" s="2">
        <v>44652</v>
      </c>
      <c r="AE1834" s="1" t="s">
        <v>74</v>
      </c>
      <c r="AF1834" s="1" t="s">
        <v>45</v>
      </c>
      <c r="AG1834" s="1" t="s">
        <v>63</v>
      </c>
      <c r="AH1834" s="1" t="s">
        <v>64</v>
      </c>
      <c r="AI1834">
        <v>4837</v>
      </c>
      <c r="AJ1834">
        <v>-34.550000000000182</v>
      </c>
    </row>
    <row r="1835" spans="1:36" x14ac:dyDescent="0.25">
      <c r="A1835">
        <v>11834</v>
      </c>
      <c r="B1835">
        <v>63</v>
      </c>
      <c r="C1835" s="1" t="s">
        <v>60</v>
      </c>
      <c r="D1835" s="1" t="s">
        <v>73</v>
      </c>
      <c r="E1835" s="2">
        <v>44424</v>
      </c>
      <c r="F1835" s="2">
        <v>44590</v>
      </c>
      <c r="G1835" s="1" t="s">
        <v>38</v>
      </c>
      <c r="H1835">
        <v>659</v>
      </c>
      <c r="I1835">
        <v>8</v>
      </c>
      <c r="J1835">
        <v>0</v>
      </c>
      <c r="K1835">
        <v>81.77</v>
      </c>
      <c r="L1835">
        <v>20</v>
      </c>
      <c r="M1835" s="1" t="s">
        <v>65</v>
      </c>
      <c r="N1835" s="1" t="s">
        <v>56</v>
      </c>
      <c r="O1835">
        <v>5140.2</v>
      </c>
      <c r="P1835" t="b">
        <v>1</v>
      </c>
      <c r="Q1835">
        <v>0.66666666666666663</v>
      </c>
      <c r="R1835">
        <v>642.52499999999998</v>
      </c>
      <c r="S1835">
        <v>81.77</v>
      </c>
      <c r="T1835" s="2">
        <v>44409</v>
      </c>
      <c r="U1835" s="1" t="s">
        <v>41</v>
      </c>
      <c r="V1835">
        <v>0</v>
      </c>
      <c r="W1835" s="1" t="s">
        <v>56</v>
      </c>
      <c r="X1835">
        <v>166</v>
      </c>
      <c r="Y1835" s="1" t="s">
        <v>43</v>
      </c>
      <c r="Z1835" s="1" t="s">
        <v>52</v>
      </c>
      <c r="AA1835">
        <v>0</v>
      </c>
      <c r="AB1835" s="1" t="s">
        <v>42</v>
      </c>
      <c r="AC1835">
        <v>1</v>
      </c>
      <c r="AD1835" s="2">
        <v>44409</v>
      </c>
      <c r="AE1835" s="1" t="s">
        <v>74</v>
      </c>
      <c r="AF1835" s="1" t="s">
        <v>54</v>
      </c>
      <c r="AG1835" s="1" t="s">
        <v>63</v>
      </c>
      <c r="AH1835" s="1" t="s">
        <v>64</v>
      </c>
      <c r="AI1835">
        <v>5272</v>
      </c>
      <c r="AJ1835">
        <v>-131.80000000000018</v>
      </c>
    </row>
    <row r="1836" spans="1:36" x14ac:dyDescent="0.25">
      <c r="A1836">
        <v>11835</v>
      </c>
      <c r="B1836">
        <v>64</v>
      </c>
      <c r="C1836" s="1" t="s">
        <v>36</v>
      </c>
      <c r="D1836" s="1" t="s">
        <v>37</v>
      </c>
      <c r="E1836" s="2">
        <v>44850</v>
      </c>
      <c r="F1836" s="2">
        <v>45134</v>
      </c>
      <c r="G1836" s="1" t="s">
        <v>62</v>
      </c>
      <c r="H1836">
        <v>1068</v>
      </c>
      <c r="I1836">
        <v>33</v>
      </c>
      <c r="J1836">
        <v>0</v>
      </c>
      <c r="K1836">
        <v>17.98</v>
      </c>
      <c r="L1836">
        <v>15</v>
      </c>
      <c r="M1836" s="1" t="s">
        <v>65</v>
      </c>
      <c r="N1836" s="1" t="s">
        <v>56</v>
      </c>
      <c r="O1836">
        <v>35083.800000000003</v>
      </c>
      <c r="P1836" t="b">
        <v>1</v>
      </c>
      <c r="Q1836">
        <v>2.75</v>
      </c>
      <c r="R1836">
        <v>1063.1454545454546</v>
      </c>
      <c r="S1836">
        <v>17.98</v>
      </c>
      <c r="T1836" s="2">
        <v>44835</v>
      </c>
      <c r="U1836" s="1" t="s">
        <v>41</v>
      </c>
      <c r="V1836">
        <v>0</v>
      </c>
      <c r="W1836" s="1" t="s">
        <v>40</v>
      </c>
      <c r="X1836">
        <v>284</v>
      </c>
      <c r="Y1836" s="1" t="s">
        <v>42</v>
      </c>
      <c r="Z1836" s="1" t="s">
        <v>42</v>
      </c>
      <c r="AA1836">
        <v>0</v>
      </c>
      <c r="AB1836" s="1" t="s">
        <v>43</v>
      </c>
      <c r="AC1836">
        <v>2</v>
      </c>
      <c r="AD1836" s="2">
        <v>44835</v>
      </c>
      <c r="AE1836" s="1" t="s">
        <v>44</v>
      </c>
      <c r="AF1836" s="1" t="s">
        <v>54</v>
      </c>
      <c r="AG1836" s="1" t="s">
        <v>46</v>
      </c>
      <c r="AH1836" s="1" t="s">
        <v>47</v>
      </c>
      <c r="AI1836">
        <v>35244</v>
      </c>
      <c r="AJ1836">
        <v>-160.19999999999709</v>
      </c>
    </row>
    <row r="1837" spans="1:36" x14ac:dyDescent="0.25">
      <c r="A1837">
        <v>11836</v>
      </c>
      <c r="B1837">
        <v>48</v>
      </c>
      <c r="C1837" s="1" t="s">
        <v>60</v>
      </c>
      <c r="D1837" s="1" t="s">
        <v>48</v>
      </c>
      <c r="E1837" s="2">
        <v>44695</v>
      </c>
      <c r="F1837" s="2">
        <v>45067</v>
      </c>
      <c r="G1837" s="1" t="s">
        <v>62</v>
      </c>
      <c r="H1837">
        <v>1096</v>
      </c>
      <c r="I1837">
        <v>25</v>
      </c>
      <c r="J1837">
        <v>2</v>
      </c>
      <c r="K1837">
        <v>21.5</v>
      </c>
      <c r="L1837">
        <v>10</v>
      </c>
      <c r="M1837" s="1" t="s">
        <v>50</v>
      </c>
      <c r="N1837" s="1" t="s">
        <v>40</v>
      </c>
      <c r="O1837">
        <v>27290.400000000001</v>
      </c>
      <c r="P1837" t="b">
        <v>1</v>
      </c>
      <c r="Q1837">
        <v>2.0833333333333335</v>
      </c>
      <c r="R1837">
        <v>1091.616</v>
      </c>
      <c r="S1837">
        <v>7.166666666666667</v>
      </c>
      <c r="T1837" s="2">
        <v>44682</v>
      </c>
      <c r="U1837" s="1" t="s">
        <v>51</v>
      </c>
      <c r="V1837">
        <v>1</v>
      </c>
      <c r="W1837" s="1" t="s">
        <v>40</v>
      </c>
      <c r="X1837">
        <v>372</v>
      </c>
      <c r="Y1837" s="1" t="s">
        <v>52</v>
      </c>
      <c r="Z1837" s="1" t="s">
        <v>42</v>
      </c>
      <c r="AA1837">
        <v>7.6923076923076927E-2</v>
      </c>
      <c r="AB1837" s="1" t="s">
        <v>43</v>
      </c>
      <c r="AC1837">
        <v>2</v>
      </c>
      <c r="AD1837" s="2">
        <v>44682</v>
      </c>
      <c r="AE1837" s="1" t="s">
        <v>44</v>
      </c>
      <c r="AF1837" s="1" t="s">
        <v>72</v>
      </c>
      <c r="AG1837" s="1" t="s">
        <v>70</v>
      </c>
      <c r="AH1837" s="1" t="s">
        <v>47</v>
      </c>
      <c r="AI1837">
        <v>27400</v>
      </c>
      <c r="AJ1837">
        <v>-109.59999999999854</v>
      </c>
    </row>
    <row r="1838" spans="1:36" x14ac:dyDescent="0.25">
      <c r="A1838">
        <v>11837</v>
      </c>
      <c r="B1838">
        <v>55</v>
      </c>
      <c r="C1838" s="1" t="s">
        <v>60</v>
      </c>
      <c r="D1838" s="1" t="s">
        <v>71</v>
      </c>
      <c r="E1838" s="2">
        <v>44717</v>
      </c>
      <c r="F1838" s="2">
        <v>44762</v>
      </c>
      <c r="G1838" s="1" t="s">
        <v>62</v>
      </c>
      <c r="H1838">
        <v>1231</v>
      </c>
      <c r="I1838">
        <v>1</v>
      </c>
      <c r="J1838">
        <v>3</v>
      </c>
      <c r="K1838">
        <v>58.41</v>
      </c>
      <c r="L1838">
        <v>5</v>
      </c>
      <c r="M1838" s="1" t="s">
        <v>50</v>
      </c>
      <c r="N1838" s="1" t="s">
        <v>40</v>
      </c>
      <c r="O1838">
        <v>1169.45</v>
      </c>
      <c r="P1838" t="b">
        <v>1</v>
      </c>
      <c r="Q1838">
        <v>8.3333333333333329E-2</v>
      </c>
      <c r="R1838">
        <v>1169.45</v>
      </c>
      <c r="S1838">
        <v>14.602499999999999</v>
      </c>
      <c r="T1838" s="2">
        <v>44713</v>
      </c>
      <c r="U1838" s="1" t="s">
        <v>41</v>
      </c>
      <c r="V1838">
        <v>1</v>
      </c>
      <c r="W1838" s="1" t="s">
        <v>56</v>
      </c>
      <c r="X1838">
        <v>45</v>
      </c>
      <c r="Y1838" s="1" t="s">
        <v>52</v>
      </c>
      <c r="Z1838" s="1" t="s">
        <v>42</v>
      </c>
      <c r="AA1838">
        <v>1.5</v>
      </c>
      <c r="AB1838" s="1" t="s">
        <v>42</v>
      </c>
      <c r="AC1838">
        <v>2</v>
      </c>
      <c r="AD1838" s="2">
        <v>44713</v>
      </c>
      <c r="AE1838" s="1" t="s">
        <v>58</v>
      </c>
      <c r="AF1838" s="1" t="s">
        <v>72</v>
      </c>
      <c r="AG1838" s="1" t="s">
        <v>63</v>
      </c>
      <c r="AH1838" s="1" t="s">
        <v>47</v>
      </c>
      <c r="AI1838">
        <v>1231</v>
      </c>
      <c r="AJ1838">
        <v>-61.549999999999955</v>
      </c>
    </row>
    <row r="1839" spans="1:36" x14ac:dyDescent="0.25">
      <c r="A1839">
        <v>11838</v>
      </c>
      <c r="B1839">
        <v>49</v>
      </c>
      <c r="C1839" s="1" t="s">
        <v>60</v>
      </c>
      <c r="D1839" s="1" t="s">
        <v>37</v>
      </c>
      <c r="E1839" s="2">
        <v>44898</v>
      </c>
      <c r="F1839" s="2">
        <v>44974</v>
      </c>
      <c r="G1839" s="1" t="s">
        <v>62</v>
      </c>
      <c r="H1839">
        <v>464</v>
      </c>
      <c r="I1839">
        <v>3</v>
      </c>
      <c r="J1839">
        <v>1</v>
      </c>
      <c r="K1839">
        <v>114.4</v>
      </c>
      <c r="L1839">
        <v>10</v>
      </c>
      <c r="M1839" s="1" t="s">
        <v>65</v>
      </c>
      <c r="N1839" s="1" t="s">
        <v>56</v>
      </c>
      <c r="O1839">
        <v>1345.6</v>
      </c>
      <c r="P1839" t="b">
        <v>1</v>
      </c>
      <c r="Q1839">
        <v>0.25</v>
      </c>
      <c r="R1839">
        <v>448.5333333333333</v>
      </c>
      <c r="S1839">
        <v>57.2</v>
      </c>
      <c r="T1839" s="2">
        <v>44896</v>
      </c>
      <c r="U1839" s="1" t="s">
        <v>51</v>
      </c>
      <c r="V1839">
        <v>0</v>
      </c>
      <c r="W1839" s="1" t="s">
        <v>56</v>
      </c>
      <c r="X1839">
        <v>76</v>
      </c>
      <c r="Y1839" s="1" t="s">
        <v>43</v>
      </c>
      <c r="Z1839" s="1" t="s">
        <v>42</v>
      </c>
      <c r="AA1839">
        <v>0.25</v>
      </c>
      <c r="AB1839" s="1" t="s">
        <v>42</v>
      </c>
      <c r="AC1839">
        <v>2</v>
      </c>
      <c r="AD1839" s="2">
        <v>44896</v>
      </c>
      <c r="AE1839" s="1" t="s">
        <v>58</v>
      </c>
      <c r="AF1839" s="1" t="s">
        <v>54</v>
      </c>
      <c r="AG1839" s="1" t="s">
        <v>63</v>
      </c>
      <c r="AH1839" s="1" t="s">
        <v>68</v>
      </c>
      <c r="AI1839">
        <v>1392</v>
      </c>
      <c r="AJ1839">
        <v>-46.400000000000091</v>
      </c>
    </row>
    <row r="1840" spans="1:36" x14ac:dyDescent="0.25">
      <c r="A1840">
        <v>11839</v>
      </c>
      <c r="B1840">
        <v>28</v>
      </c>
      <c r="C1840" s="1" t="s">
        <v>75</v>
      </c>
      <c r="D1840" s="1" t="s">
        <v>76</v>
      </c>
      <c r="E1840" s="2">
        <v>45058</v>
      </c>
      <c r="F1840" s="2">
        <v>45054</v>
      </c>
      <c r="G1840" s="1" t="s">
        <v>62</v>
      </c>
      <c r="H1840">
        <v>1032</v>
      </c>
      <c r="I1840">
        <v>28</v>
      </c>
      <c r="J1840">
        <v>1</v>
      </c>
      <c r="K1840">
        <v>46.49</v>
      </c>
      <c r="L1840">
        <v>0</v>
      </c>
      <c r="M1840" s="1" t="s">
        <v>65</v>
      </c>
      <c r="N1840" s="1" t="s">
        <v>56</v>
      </c>
      <c r="O1840">
        <v>28896</v>
      </c>
      <c r="P1840" t="b">
        <v>0</v>
      </c>
      <c r="Q1840">
        <v>2.3333333333333335</v>
      </c>
      <c r="R1840">
        <v>1032</v>
      </c>
      <c r="S1840">
        <v>23.245000000000001</v>
      </c>
      <c r="T1840" s="2">
        <v>45047</v>
      </c>
      <c r="U1840" s="1" t="s">
        <v>57</v>
      </c>
      <c r="V1840">
        <v>0</v>
      </c>
      <c r="W1840" s="1" t="s">
        <v>40</v>
      </c>
      <c r="Y1840" s="1" t="s">
        <v>52</v>
      </c>
      <c r="Z1840" s="1" t="s">
        <v>42</v>
      </c>
      <c r="AA1840">
        <v>3.4482758620689655E-2</v>
      </c>
      <c r="AB1840" s="1" t="s">
        <v>43</v>
      </c>
      <c r="AC1840">
        <v>2</v>
      </c>
      <c r="AD1840" s="2">
        <v>45047</v>
      </c>
      <c r="AE1840" s="1" t="s">
        <v>44</v>
      </c>
      <c r="AF1840" s="1" t="s">
        <v>54</v>
      </c>
      <c r="AG1840" s="1" t="s">
        <v>63</v>
      </c>
      <c r="AH1840" s="1" t="s">
        <v>47</v>
      </c>
      <c r="AI1840">
        <v>28896</v>
      </c>
      <c r="AJ1840">
        <v>0</v>
      </c>
    </row>
    <row r="1841" spans="1:36" x14ac:dyDescent="0.25">
      <c r="A1841">
        <v>11840</v>
      </c>
      <c r="B1841">
        <v>62</v>
      </c>
      <c r="C1841" s="1" t="s">
        <v>60</v>
      </c>
      <c r="D1841" s="1" t="s">
        <v>71</v>
      </c>
      <c r="E1841" s="2">
        <v>44873</v>
      </c>
      <c r="F1841" s="2">
        <v>44690</v>
      </c>
      <c r="G1841" s="1" t="s">
        <v>62</v>
      </c>
      <c r="H1841">
        <v>880</v>
      </c>
      <c r="I1841">
        <v>33</v>
      </c>
      <c r="J1841">
        <v>2</v>
      </c>
      <c r="K1841">
        <v>105.91</v>
      </c>
      <c r="L1841">
        <v>10</v>
      </c>
      <c r="M1841" s="1" t="s">
        <v>39</v>
      </c>
      <c r="N1841" s="1" t="s">
        <v>40</v>
      </c>
      <c r="O1841">
        <v>28952</v>
      </c>
      <c r="P1841" t="b">
        <v>0</v>
      </c>
      <c r="Q1841">
        <v>2.75</v>
      </c>
      <c r="R1841">
        <v>877.33333333333337</v>
      </c>
      <c r="S1841">
        <v>35.303333333333335</v>
      </c>
      <c r="T1841" s="2">
        <v>44866</v>
      </c>
      <c r="U1841" s="1" t="s">
        <v>41</v>
      </c>
      <c r="V1841">
        <v>1</v>
      </c>
      <c r="W1841" s="1" t="s">
        <v>40</v>
      </c>
      <c r="Y1841" s="1" t="s">
        <v>43</v>
      </c>
      <c r="Z1841" s="1" t="s">
        <v>42</v>
      </c>
      <c r="AA1841">
        <v>5.8823529411764705E-2</v>
      </c>
      <c r="AB1841" s="1" t="s">
        <v>43</v>
      </c>
      <c r="AC1841">
        <v>2</v>
      </c>
      <c r="AD1841" s="2">
        <v>44866</v>
      </c>
      <c r="AE1841" s="1" t="s">
        <v>44</v>
      </c>
      <c r="AF1841" s="1" t="s">
        <v>72</v>
      </c>
      <c r="AG1841" s="1" t="s">
        <v>63</v>
      </c>
      <c r="AH1841" s="1" t="s">
        <v>59</v>
      </c>
      <c r="AI1841">
        <v>29040</v>
      </c>
      <c r="AJ1841">
        <v>-88</v>
      </c>
    </row>
    <row r="1842" spans="1:36" x14ac:dyDescent="0.25">
      <c r="A1842">
        <v>11841</v>
      </c>
      <c r="B1842">
        <v>42</v>
      </c>
      <c r="C1842" s="1" t="s">
        <v>36</v>
      </c>
      <c r="D1842" s="1" t="s">
        <v>76</v>
      </c>
      <c r="E1842" s="2">
        <v>44335</v>
      </c>
      <c r="F1842" s="2">
        <v>45029</v>
      </c>
      <c r="G1842" s="1" t="s">
        <v>62</v>
      </c>
      <c r="H1842">
        <v>1120</v>
      </c>
      <c r="I1842">
        <v>1</v>
      </c>
      <c r="J1842">
        <v>4</v>
      </c>
      <c r="K1842">
        <v>62.59</v>
      </c>
      <c r="L1842">
        <v>10</v>
      </c>
      <c r="M1842" s="1" t="s">
        <v>67</v>
      </c>
      <c r="N1842" s="1" t="s">
        <v>40</v>
      </c>
      <c r="O1842">
        <v>1064</v>
      </c>
      <c r="P1842" t="b">
        <v>1</v>
      </c>
      <c r="Q1842">
        <v>8.3333333333333329E-2</v>
      </c>
      <c r="R1842">
        <v>1064</v>
      </c>
      <c r="S1842">
        <v>12.518000000000001</v>
      </c>
      <c r="T1842" s="2">
        <v>44317</v>
      </c>
      <c r="U1842" s="1" t="s">
        <v>51</v>
      </c>
      <c r="V1842">
        <v>1</v>
      </c>
      <c r="W1842" s="1" t="s">
        <v>56</v>
      </c>
      <c r="X1842">
        <v>694</v>
      </c>
      <c r="Y1842" s="1" t="s">
        <v>43</v>
      </c>
      <c r="Z1842" s="1" t="s">
        <v>42</v>
      </c>
      <c r="AA1842">
        <v>2</v>
      </c>
      <c r="AB1842" s="1" t="s">
        <v>42</v>
      </c>
      <c r="AC1842">
        <v>2</v>
      </c>
      <c r="AD1842" s="2">
        <v>44317</v>
      </c>
      <c r="AE1842" s="1" t="s">
        <v>58</v>
      </c>
      <c r="AF1842" s="1" t="s">
        <v>45</v>
      </c>
      <c r="AG1842" s="1" t="s">
        <v>63</v>
      </c>
      <c r="AH1842" s="1" t="s">
        <v>47</v>
      </c>
      <c r="AI1842">
        <v>1120</v>
      </c>
      <c r="AJ1842">
        <v>-56</v>
      </c>
    </row>
    <row r="1843" spans="1:36" x14ac:dyDescent="0.25">
      <c r="A1843">
        <v>11842</v>
      </c>
      <c r="B1843">
        <v>50</v>
      </c>
      <c r="C1843" s="1" t="s">
        <v>36</v>
      </c>
      <c r="D1843" s="1" t="s">
        <v>37</v>
      </c>
      <c r="E1843" s="2">
        <v>44472</v>
      </c>
      <c r="F1843" s="2">
        <v>44726</v>
      </c>
      <c r="G1843" s="1" t="s">
        <v>62</v>
      </c>
      <c r="H1843">
        <v>423</v>
      </c>
      <c r="I1843">
        <v>27</v>
      </c>
      <c r="J1843">
        <v>1</v>
      </c>
      <c r="K1843">
        <v>75.959999999999994</v>
      </c>
      <c r="L1843">
        <v>0</v>
      </c>
      <c r="M1843" s="1" t="s">
        <v>39</v>
      </c>
      <c r="N1843" s="1" t="s">
        <v>56</v>
      </c>
      <c r="O1843">
        <v>11421</v>
      </c>
      <c r="P1843" t="b">
        <v>1</v>
      </c>
      <c r="Q1843">
        <v>2.25</v>
      </c>
      <c r="R1843">
        <v>423</v>
      </c>
      <c r="S1843">
        <v>37.979999999999997</v>
      </c>
      <c r="T1843" s="2">
        <v>44470</v>
      </c>
      <c r="U1843" s="1" t="s">
        <v>51</v>
      </c>
      <c r="V1843">
        <v>0</v>
      </c>
      <c r="W1843" s="1" t="s">
        <v>56</v>
      </c>
      <c r="X1843">
        <v>254</v>
      </c>
      <c r="Y1843" s="1" t="s">
        <v>43</v>
      </c>
      <c r="Z1843" s="1" t="s">
        <v>42</v>
      </c>
      <c r="AA1843">
        <v>3.5714285714285712E-2</v>
      </c>
      <c r="AB1843" s="1" t="s">
        <v>52</v>
      </c>
      <c r="AC1843">
        <v>2</v>
      </c>
      <c r="AD1843" s="2">
        <v>44470</v>
      </c>
      <c r="AE1843" s="1" t="s">
        <v>44</v>
      </c>
      <c r="AF1843" s="1" t="s">
        <v>54</v>
      </c>
      <c r="AG1843" s="1" t="s">
        <v>63</v>
      </c>
      <c r="AH1843" s="1" t="s">
        <v>68</v>
      </c>
      <c r="AI1843">
        <v>11421</v>
      </c>
      <c r="AJ1843">
        <v>0</v>
      </c>
    </row>
    <row r="1844" spans="1:36" x14ac:dyDescent="0.25">
      <c r="A1844">
        <v>11843</v>
      </c>
      <c r="B1844">
        <v>55</v>
      </c>
      <c r="C1844" s="1" t="s">
        <v>60</v>
      </c>
      <c r="D1844" s="1" t="s">
        <v>61</v>
      </c>
      <c r="E1844" s="2">
        <v>44487</v>
      </c>
      <c r="F1844" s="2">
        <v>44941</v>
      </c>
      <c r="G1844" s="1" t="s">
        <v>49</v>
      </c>
      <c r="H1844">
        <v>643</v>
      </c>
      <c r="I1844">
        <v>35</v>
      </c>
      <c r="J1844">
        <v>1</v>
      </c>
      <c r="K1844">
        <v>74.069999999999993</v>
      </c>
      <c r="L1844">
        <v>0</v>
      </c>
      <c r="M1844" s="1" t="s">
        <v>39</v>
      </c>
      <c r="N1844" s="1" t="s">
        <v>56</v>
      </c>
      <c r="O1844">
        <v>22505</v>
      </c>
      <c r="P1844" t="b">
        <v>1</v>
      </c>
      <c r="Q1844">
        <v>2.9166666666666665</v>
      </c>
      <c r="R1844">
        <v>643</v>
      </c>
      <c r="S1844">
        <v>37.034999999999997</v>
      </c>
      <c r="T1844" s="2">
        <v>44470</v>
      </c>
      <c r="U1844" s="1" t="s">
        <v>41</v>
      </c>
      <c r="V1844">
        <v>0</v>
      </c>
      <c r="W1844" s="1" t="s">
        <v>40</v>
      </c>
      <c r="X1844">
        <v>454</v>
      </c>
      <c r="Y1844" s="1" t="s">
        <v>43</v>
      </c>
      <c r="Z1844" s="1" t="s">
        <v>42</v>
      </c>
      <c r="AA1844">
        <v>2.7777777777777776E-2</v>
      </c>
      <c r="AB1844" s="1" t="s">
        <v>43</v>
      </c>
      <c r="AC1844">
        <v>3</v>
      </c>
      <c r="AD1844" s="2">
        <v>44470</v>
      </c>
      <c r="AE1844" s="1" t="s">
        <v>44</v>
      </c>
      <c r="AF1844" s="1" t="s">
        <v>54</v>
      </c>
      <c r="AG1844" s="1" t="s">
        <v>63</v>
      </c>
      <c r="AH1844" s="1" t="s">
        <v>64</v>
      </c>
      <c r="AI1844">
        <v>22505</v>
      </c>
      <c r="AJ1844">
        <v>0</v>
      </c>
    </row>
    <row r="1845" spans="1:36" x14ac:dyDescent="0.25">
      <c r="A1845">
        <v>11844</v>
      </c>
      <c r="B1845">
        <v>58</v>
      </c>
      <c r="C1845" s="1" t="s">
        <v>75</v>
      </c>
      <c r="D1845" s="1" t="s">
        <v>48</v>
      </c>
      <c r="E1845" s="2">
        <v>44249</v>
      </c>
      <c r="F1845" s="2">
        <v>45013</v>
      </c>
      <c r="G1845" s="1" t="s">
        <v>38</v>
      </c>
      <c r="H1845">
        <v>823</v>
      </c>
      <c r="I1845">
        <v>10</v>
      </c>
      <c r="J1845">
        <v>0</v>
      </c>
      <c r="K1845">
        <v>103.89</v>
      </c>
      <c r="L1845">
        <v>0</v>
      </c>
      <c r="M1845" s="1" t="s">
        <v>67</v>
      </c>
      <c r="N1845" s="1" t="s">
        <v>56</v>
      </c>
      <c r="O1845">
        <v>8230</v>
      </c>
      <c r="P1845" t="b">
        <v>1</v>
      </c>
      <c r="Q1845">
        <v>0.83333333333333337</v>
      </c>
      <c r="R1845">
        <v>823</v>
      </c>
      <c r="S1845">
        <v>103.89</v>
      </c>
      <c r="T1845" s="2">
        <v>44228</v>
      </c>
      <c r="U1845" s="1" t="s">
        <v>41</v>
      </c>
      <c r="V1845">
        <v>0</v>
      </c>
      <c r="W1845" s="1" t="s">
        <v>56</v>
      </c>
      <c r="X1845">
        <v>764</v>
      </c>
      <c r="Y1845" s="1" t="s">
        <v>43</v>
      </c>
      <c r="Z1845" s="1" t="s">
        <v>42</v>
      </c>
      <c r="AA1845">
        <v>0</v>
      </c>
      <c r="AB1845" s="1" t="s">
        <v>42</v>
      </c>
      <c r="AC1845">
        <v>1</v>
      </c>
      <c r="AD1845" s="2">
        <v>44228</v>
      </c>
      <c r="AE1845" s="1" t="s">
        <v>74</v>
      </c>
      <c r="AF1845" s="1" t="s">
        <v>54</v>
      </c>
      <c r="AG1845" s="1" t="s">
        <v>63</v>
      </c>
      <c r="AH1845" s="1" t="s">
        <v>59</v>
      </c>
      <c r="AI1845">
        <v>8230</v>
      </c>
      <c r="AJ1845">
        <v>0</v>
      </c>
    </row>
    <row r="1846" spans="1:36" x14ac:dyDescent="0.25">
      <c r="A1846">
        <v>11845</v>
      </c>
      <c r="B1846">
        <v>25</v>
      </c>
      <c r="C1846" s="1" t="s">
        <v>60</v>
      </c>
      <c r="D1846" s="1" t="s">
        <v>73</v>
      </c>
      <c r="E1846" s="2">
        <v>44883</v>
      </c>
      <c r="F1846" s="2">
        <v>45000</v>
      </c>
      <c r="G1846" s="1" t="s">
        <v>38</v>
      </c>
      <c r="H1846">
        <v>1375</v>
      </c>
      <c r="I1846">
        <v>12</v>
      </c>
      <c r="J1846">
        <v>1</v>
      </c>
      <c r="K1846">
        <v>5.38</v>
      </c>
      <c r="L1846">
        <v>15</v>
      </c>
      <c r="M1846" s="1" t="s">
        <v>65</v>
      </c>
      <c r="N1846" s="1" t="s">
        <v>56</v>
      </c>
      <c r="O1846">
        <v>16293.75</v>
      </c>
      <c r="P1846" t="b">
        <v>1</v>
      </c>
      <c r="Q1846">
        <v>1</v>
      </c>
      <c r="R1846">
        <v>1357.8125</v>
      </c>
      <c r="S1846">
        <v>2.69</v>
      </c>
      <c r="T1846" s="2">
        <v>44866</v>
      </c>
      <c r="U1846" s="1" t="s">
        <v>66</v>
      </c>
      <c r="V1846">
        <v>0</v>
      </c>
      <c r="W1846" s="1" t="s">
        <v>40</v>
      </c>
      <c r="X1846">
        <v>117</v>
      </c>
      <c r="Y1846" s="1" t="s">
        <v>42</v>
      </c>
      <c r="Z1846" s="1" t="s">
        <v>42</v>
      </c>
      <c r="AA1846">
        <v>7.6923076923076927E-2</v>
      </c>
      <c r="AB1846" s="1" t="s">
        <v>52</v>
      </c>
      <c r="AC1846">
        <v>1</v>
      </c>
      <c r="AD1846" s="2">
        <v>44866</v>
      </c>
      <c r="AE1846" s="1" t="s">
        <v>74</v>
      </c>
      <c r="AF1846" s="1" t="s">
        <v>54</v>
      </c>
      <c r="AG1846" s="1" t="s">
        <v>77</v>
      </c>
      <c r="AH1846" s="1" t="s">
        <v>47</v>
      </c>
      <c r="AI1846">
        <v>16500</v>
      </c>
      <c r="AJ1846">
        <v>-206.25</v>
      </c>
    </row>
    <row r="1847" spans="1:36" x14ac:dyDescent="0.25">
      <c r="A1847">
        <v>11846</v>
      </c>
      <c r="B1847">
        <v>28</v>
      </c>
      <c r="C1847" s="1" t="s">
        <v>60</v>
      </c>
      <c r="D1847" s="1" t="s">
        <v>48</v>
      </c>
      <c r="E1847" s="2">
        <v>44306</v>
      </c>
      <c r="F1847" s="2">
        <v>45173</v>
      </c>
      <c r="G1847" s="1" t="s">
        <v>62</v>
      </c>
      <c r="H1847">
        <v>428</v>
      </c>
      <c r="I1847">
        <v>10</v>
      </c>
      <c r="J1847">
        <v>0</v>
      </c>
      <c r="K1847">
        <v>62.59</v>
      </c>
      <c r="L1847">
        <v>15</v>
      </c>
      <c r="M1847" s="1" t="s">
        <v>65</v>
      </c>
      <c r="N1847" s="1" t="s">
        <v>56</v>
      </c>
      <c r="O1847">
        <v>4215.8</v>
      </c>
      <c r="P1847" t="b">
        <v>1</v>
      </c>
      <c r="Q1847">
        <v>0.83333333333333337</v>
      </c>
      <c r="R1847">
        <v>421.58000000000004</v>
      </c>
      <c r="S1847">
        <v>62.59</v>
      </c>
      <c r="T1847" s="2">
        <v>44287</v>
      </c>
      <c r="U1847" s="1" t="s">
        <v>57</v>
      </c>
      <c r="V1847">
        <v>0</v>
      </c>
      <c r="W1847" s="1" t="s">
        <v>56</v>
      </c>
      <c r="X1847">
        <v>867</v>
      </c>
      <c r="Y1847" s="1" t="s">
        <v>43</v>
      </c>
      <c r="Z1847" s="1" t="s">
        <v>42</v>
      </c>
      <c r="AA1847">
        <v>0</v>
      </c>
      <c r="AB1847" s="1" t="s">
        <v>42</v>
      </c>
      <c r="AC1847">
        <v>2</v>
      </c>
      <c r="AD1847" s="2">
        <v>44287</v>
      </c>
      <c r="AE1847" s="1" t="s">
        <v>74</v>
      </c>
      <c r="AF1847" s="1" t="s">
        <v>54</v>
      </c>
      <c r="AG1847" s="1" t="s">
        <v>63</v>
      </c>
      <c r="AH1847" s="1" t="s">
        <v>68</v>
      </c>
      <c r="AI1847">
        <v>4280</v>
      </c>
      <c r="AJ1847">
        <v>-64.199999999999818</v>
      </c>
    </row>
    <row r="1848" spans="1:36" x14ac:dyDescent="0.25">
      <c r="A1848">
        <v>11847</v>
      </c>
      <c r="B1848">
        <v>39</v>
      </c>
      <c r="C1848" s="1" t="s">
        <v>36</v>
      </c>
      <c r="D1848" s="1" t="s">
        <v>73</v>
      </c>
      <c r="E1848" s="2">
        <v>44911</v>
      </c>
      <c r="F1848" s="2">
        <v>44493</v>
      </c>
      <c r="G1848" s="1" t="s">
        <v>62</v>
      </c>
      <c r="H1848">
        <v>1458</v>
      </c>
      <c r="I1848">
        <v>34</v>
      </c>
      <c r="J1848">
        <v>1</v>
      </c>
      <c r="K1848">
        <v>30.26</v>
      </c>
      <c r="L1848">
        <v>0</v>
      </c>
      <c r="M1848" s="1" t="s">
        <v>39</v>
      </c>
      <c r="N1848" s="1" t="s">
        <v>40</v>
      </c>
      <c r="O1848">
        <v>49572</v>
      </c>
      <c r="P1848" t="b">
        <v>0</v>
      </c>
      <c r="Q1848">
        <v>2.8333333333333335</v>
      </c>
      <c r="R1848">
        <v>1458</v>
      </c>
      <c r="S1848">
        <v>15.13</v>
      </c>
      <c r="T1848" s="2">
        <v>44896</v>
      </c>
      <c r="U1848" s="1" t="s">
        <v>51</v>
      </c>
      <c r="V1848">
        <v>1</v>
      </c>
      <c r="W1848" s="1" t="s">
        <v>40</v>
      </c>
      <c r="Y1848" s="1" t="s">
        <v>52</v>
      </c>
      <c r="Z1848" s="1" t="s">
        <v>42</v>
      </c>
      <c r="AA1848">
        <v>2.8571428571428571E-2</v>
      </c>
      <c r="AB1848" s="1" t="s">
        <v>43</v>
      </c>
      <c r="AC1848">
        <v>2</v>
      </c>
      <c r="AD1848" s="2">
        <v>44896</v>
      </c>
      <c r="AE1848" s="1" t="s">
        <v>44</v>
      </c>
      <c r="AF1848" s="1" t="s">
        <v>54</v>
      </c>
      <c r="AG1848" s="1" t="s">
        <v>55</v>
      </c>
      <c r="AH1848" s="1" t="s">
        <v>47</v>
      </c>
      <c r="AI1848">
        <v>49572</v>
      </c>
      <c r="AJ1848">
        <v>0</v>
      </c>
    </row>
    <row r="1849" spans="1:36" x14ac:dyDescent="0.25">
      <c r="A1849">
        <v>11848</v>
      </c>
      <c r="B1849">
        <v>41</v>
      </c>
      <c r="C1849" s="1" t="s">
        <v>36</v>
      </c>
      <c r="D1849" s="1" t="s">
        <v>69</v>
      </c>
      <c r="E1849" s="2">
        <v>44844</v>
      </c>
      <c r="F1849" s="2">
        <v>44670</v>
      </c>
      <c r="G1849" s="1" t="s">
        <v>38</v>
      </c>
      <c r="H1849">
        <v>956</v>
      </c>
      <c r="I1849">
        <v>24</v>
      </c>
      <c r="J1849">
        <v>2</v>
      </c>
      <c r="K1849">
        <v>114.25</v>
      </c>
      <c r="L1849">
        <v>5</v>
      </c>
      <c r="M1849" s="1" t="s">
        <v>39</v>
      </c>
      <c r="N1849" s="1" t="s">
        <v>56</v>
      </c>
      <c r="O1849">
        <v>22896.2</v>
      </c>
      <c r="P1849" t="b">
        <v>0</v>
      </c>
      <c r="Q1849">
        <v>2</v>
      </c>
      <c r="R1849">
        <v>954.00833333333333</v>
      </c>
      <c r="S1849">
        <v>38.083333333333336</v>
      </c>
      <c r="T1849" s="2">
        <v>44835</v>
      </c>
      <c r="U1849" s="1" t="s">
        <v>51</v>
      </c>
      <c r="V1849">
        <v>0</v>
      </c>
      <c r="W1849" s="1" t="s">
        <v>40</v>
      </c>
      <c r="Y1849" s="1" t="s">
        <v>43</v>
      </c>
      <c r="Z1849" s="1" t="s">
        <v>42</v>
      </c>
      <c r="AA1849">
        <v>0.08</v>
      </c>
      <c r="AB1849" s="1" t="s">
        <v>43</v>
      </c>
      <c r="AC1849">
        <v>1</v>
      </c>
      <c r="AD1849" s="2">
        <v>44835</v>
      </c>
      <c r="AE1849" s="1" t="s">
        <v>53</v>
      </c>
      <c r="AF1849" s="1" t="s">
        <v>72</v>
      </c>
      <c r="AG1849" s="1" t="s">
        <v>63</v>
      </c>
      <c r="AH1849" s="1" t="s">
        <v>59</v>
      </c>
      <c r="AI1849">
        <v>22944</v>
      </c>
      <c r="AJ1849">
        <v>-47.799999999999272</v>
      </c>
    </row>
    <row r="1850" spans="1:36" x14ac:dyDescent="0.25">
      <c r="A1850">
        <v>11849</v>
      </c>
      <c r="B1850">
        <v>58</v>
      </c>
      <c r="C1850" s="1" t="s">
        <v>36</v>
      </c>
      <c r="D1850" s="1" t="s">
        <v>48</v>
      </c>
      <c r="E1850" s="2">
        <v>44200</v>
      </c>
      <c r="F1850" s="2">
        <v>44469</v>
      </c>
      <c r="G1850" s="1" t="s">
        <v>49</v>
      </c>
      <c r="H1850">
        <v>1450</v>
      </c>
      <c r="I1850">
        <v>28</v>
      </c>
      <c r="J1850">
        <v>3</v>
      </c>
      <c r="K1850">
        <v>62.59</v>
      </c>
      <c r="L1850">
        <v>0</v>
      </c>
      <c r="M1850" s="1" t="s">
        <v>67</v>
      </c>
      <c r="N1850" s="1" t="s">
        <v>56</v>
      </c>
      <c r="O1850">
        <v>40600</v>
      </c>
      <c r="P1850" t="b">
        <v>1</v>
      </c>
      <c r="Q1850">
        <v>2.3333333333333335</v>
      </c>
      <c r="R1850">
        <v>1450</v>
      </c>
      <c r="S1850">
        <v>15.647500000000001</v>
      </c>
      <c r="T1850" s="2">
        <v>44197</v>
      </c>
      <c r="U1850" s="1" t="s">
        <v>41</v>
      </c>
      <c r="V1850">
        <v>0</v>
      </c>
      <c r="W1850" s="1" t="s">
        <v>40</v>
      </c>
      <c r="X1850">
        <v>269</v>
      </c>
      <c r="Y1850" s="1" t="s">
        <v>43</v>
      </c>
      <c r="Z1850" s="1" t="s">
        <v>42</v>
      </c>
      <c r="AA1850">
        <v>0.10344827586206896</v>
      </c>
      <c r="AB1850" s="1" t="s">
        <v>43</v>
      </c>
      <c r="AC1850">
        <v>3</v>
      </c>
      <c r="AD1850" s="2">
        <v>44197</v>
      </c>
      <c r="AE1850" s="1" t="s">
        <v>44</v>
      </c>
      <c r="AF1850" s="1" t="s">
        <v>72</v>
      </c>
      <c r="AG1850" s="1" t="s">
        <v>63</v>
      </c>
      <c r="AH1850" s="1" t="s">
        <v>47</v>
      </c>
      <c r="AI1850">
        <v>40600</v>
      </c>
      <c r="AJ1850">
        <v>0</v>
      </c>
    </row>
    <row r="1851" spans="1:36" x14ac:dyDescent="0.25">
      <c r="A1851">
        <v>11850</v>
      </c>
      <c r="B1851">
        <v>34</v>
      </c>
      <c r="C1851" s="1" t="s">
        <v>60</v>
      </c>
      <c r="D1851" s="1" t="s">
        <v>61</v>
      </c>
      <c r="E1851" s="2">
        <v>44863</v>
      </c>
      <c r="F1851" s="2">
        <v>44599</v>
      </c>
      <c r="G1851" s="1" t="s">
        <v>38</v>
      </c>
      <c r="H1851">
        <v>1037</v>
      </c>
      <c r="I1851">
        <v>22</v>
      </c>
      <c r="J1851">
        <v>1</v>
      </c>
      <c r="K1851">
        <v>9.25</v>
      </c>
      <c r="L1851">
        <v>0</v>
      </c>
      <c r="M1851" s="1" t="s">
        <v>50</v>
      </c>
      <c r="N1851" s="1" t="s">
        <v>56</v>
      </c>
      <c r="O1851">
        <v>22814</v>
      </c>
      <c r="P1851" t="b">
        <v>0</v>
      </c>
      <c r="Q1851">
        <v>1.8333333333333333</v>
      </c>
      <c r="R1851">
        <v>1037</v>
      </c>
      <c r="S1851">
        <v>4.625</v>
      </c>
      <c r="T1851" s="2">
        <v>44835</v>
      </c>
      <c r="U1851" s="1" t="s">
        <v>57</v>
      </c>
      <c r="V1851">
        <v>0</v>
      </c>
      <c r="W1851" s="1" t="s">
        <v>40</v>
      </c>
      <c r="Y1851" s="1" t="s">
        <v>42</v>
      </c>
      <c r="Z1851" s="1" t="s">
        <v>42</v>
      </c>
      <c r="AA1851">
        <v>4.3478260869565216E-2</v>
      </c>
      <c r="AB1851" s="1" t="s">
        <v>43</v>
      </c>
      <c r="AC1851">
        <v>1</v>
      </c>
      <c r="AD1851" s="2">
        <v>44835</v>
      </c>
      <c r="AE1851" s="1" t="s">
        <v>53</v>
      </c>
      <c r="AF1851" s="1" t="s">
        <v>54</v>
      </c>
      <c r="AG1851" s="1" t="s">
        <v>77</v>
      </c>
      <c r="AH1851" s="1" t="s">
        <v>47</v>
      </c>
      <c r="AI1851">
        <v>22814</v>
      </c>
      <c r="AJ1851">
        <v>0</v>
      </c>
    </row>
    <row r="1852" spans="1:36" x14ac:dyDescent="0.25">
      <c r="A1852">
        <v>11851</v>
      </c>
      <c r="B1852">
        <v>29</v>
      </c>
      <c r="C1852" s="1" t="s">
        <v>60</v>
      </c>
      <c r="D1852" s="1" t="s">
        <v>73</v>
      </c>
      <c r="E1852" s="2">
        <v>44880</v>
      </c>
      <c r="F1852" s="2">
        <v>45202</v>
      </c>
      <c r="G1852" s="1" t="s">
        <v>62</v>
      </c>
      <c r="H1852">
        <v>1238</v>
      </c>
      <c r="I1852">
        <v>16</v>
      </c>
      <c r="J1852">
        <v>4</v>
      </c>
      <c r="K1852">
        <v>66.459999999999994</v>
      </c>
      <c r="L1852">
        <v>10</v>
      </c>
      <c r="M1852" s="1" t="s">
        <v>50</v>
      </c>
      <c r="N1852" s="1" t="s">
        <v>56</v>
      </c>
      <c r="O1852">
        <v>19684.2</v>
      </c>
      <c r="P1852" t="b">
        <v>1</v>
      </c>
      <c r="Q1852">
        <v>1.3333333333333333</v>
      </c>
      <c r="R1852">
        <v>1230.2625</v>
      </c>
      <c r="S1852">
        <v>13.291999999999998</v>
      </c>
      <c r="T1852" s="2">
        <v>44866</v>
      </c>
      <c r="U1852" s="1" t="s">
        <v>57</v>
      </c>
      <c r="V1852">
        <v>0</v>
      </c>
      <c r="W1852" s="1" t="s">
        <v>40</v>
      </c>
      <c r="X1852">
        <v>322</v>
      </c>
      <c r="Y1852" s="1" t="s">
        <v>43</v>
      </c>
      <c r="Z1852" s="1" t="s">
        <v>42</v>
      </c>
      <c r="AA1852">
        <v>0.23529411764705882</v>
      </c>
      <c r="AB1852" s="1" t="s">
        <v>43</v>
      </c>
      <c r="AC1852">
        <v>2</v>
      </c>
      <c r="AD1852" s="2">
        <v>44866</v>
      </c>
      <c r="AE1852" s="1" t="s">
        <v>53</v>
      </c>
      <c r="AF1852" s="1" t="s">
        <v>45</v>
      </c>
      <c r="AG1852" s="1" t="s">
        <v>63</v>
      </c>
      <c r="AH1852" s="1" t="s">
        <v>47</v>
      </c>
      <c r="AI1852">
        <v>19808</v>
      </c>
      <c r="AJ1852">
        <v>-123.79999999999927</v>
      </c>
    </row>
    <row r="1853" spans="1:36" x14ac:dyDescent="0.25">
      <c r="A1853">
        <v>11852</v>
      </c>
      <c r="B1853">
        <v>63</v>
      </c>
      <c r="C1853" s="1" t="s">
        <v>36</v>
      </c>
      <c r="D1853" s="1" t="s">
        <v>48</v>
      </c>
      <c r="E1853" s="2">
        <v>45066</v>
      </c>
      <c r="F1853" s="2">
        <v>45246</v>
      </c>
      <c r="G1853" s="1" t="s">
        <v>62</v>
      </c>
      <c r="H1853">
        <v>370</v>
      </c>
      <c r="I1853">
        <v>13</v>
      </c>
      <c r="J1853">
        <v>3</v>
      </c>
      <c r="K1853">
        <v>65.78</v>
      </c>
      <c r="L1853">
        <v>10</v>
      </c>
      <c r="M1853" s="1" t="s">
        <v>65</v>
      </c>
      <c r="N1853" s="1" t="s">
        <v>56</v>
      </c>
      <c r="O1853">
        <v>4773</v>
      </c>
      <c r="P1853" t="b">
        <v>1</v>
      </c>
      <c r="Q1853">
        <v>1.0833333333333333</v>
      </c>
      <c r="R1853">
        <v>367.15384615384613</v>
      </c>
      <c r="S1853">
        <v>16.445</v>
      </c>
      <c r="T1853" s="2">
        <v>45047</v>
      </c>
      <c r="U1853" s="1" t="s">
        <v>41</v>
      </c>
      <c r="V1853">
        <v>0</v>
      </c>
      <c r="W1853" s="1" t="s">
        <v>56</v>
      </c>
      <c r="X1853">
        <v>180</v>
      </c>
      <c r="Y1853" s="1" t="s">
        <v>43</v>
      </c>
      <c r="Z1853" s="1" t="s">
        <v>42</v>
      </c>
      <c r="AA1853">
        <v>0.21428571428571427</v>
      </c>
      <c r="AB1853" s="1" t="s">
        <v>42</v>
      </c>
      <c r="AC1853">
        <v>2</v>
      </c>
      <c r="AD1853" s="2">
        <v>45047</v>
      </c>
      <c r="AE1853" s="1" t="s">
        <v>53</v>
      </c>
      <c r="AF1853" s="1" t="s">
        <v>72</v>
      </c>
      <c r="AG1853" s="1" t="s">
        <v>63</v>
      </c>
      <c r="AH1853" s="1" t="s">
        <v>68</v>
      </c>
      <c r="AI1853">
        <v>4810</v>
      </c>
      <c r="AJ1853">
        <v>-37</v>
      </c>
    </row>
    <row r="1854" spans="1:36" x14ac:dyDescent="0.25">
      <c r="A1854">
        <v>11853</v>
      </c>
      <c r="B1854">
        <v>49</v>
      </c>
      <c r="C1854" s="1" t="s">
        <v>60</v>
      </c>
      <c r="D1854" s="1" t="s">
        <v>37</v>
      </c>
      <c r="E1854" s="2">
        <v>44243</v>
      </c>
      <c r="F1854" s="2">
        <v>44658</v>
      </c>
      <c r="G1854" s="1" t="s">
        <v>49</v>
      </c>
      <c r="H1854">
        <v>572</v>
      </c>
      <c r="I1854">
        <v>23</v>
      </c>
      <c r="J1854">
        <v>2</v>
      </c>
      <c r="K1854">
        <v>102.07</v>
      </c>
      <c r="L1854">
        <v>10</v>
      </c>
      <c r="M1854" s="1" t="s">
        <v>50</v>
      </c>
      <c r="N1854" s="1" t="s">
        <v>40</v>
      </c>
      <c r="O1854">
        <v>13098.8</v>
      </c>
      <c r="P1854" t="b">
        <v>1</v>
      </c>
      <c r="Q1854">
        <v>1.9166666666666667</v>
      </c>
      <c r="R1854">
        <v>569.51304347826078</v>
      </c>
      <c r="S1854">
        <v>34.023333333333333</v>
      </c>
      <c r="T1854" s="2">
        <v>44228</v>
      </c>
      <c r="U1854" s="1" t="s">
        <v>51</v>
      </c>
      <c r="V1854">
        <v>1</v>
      </c>
      <c r="W1854" s="1" t="s">
        <v>56</v>
      </c>
      <c r="X1854">
        <v>415</v>
      </c>
      <c r="Y1854" s="1" t="s">
        <v>43</v>
      </c>
      <c r="Z1854" s="1" t="s">
        <v>42</v>
      </c>
      <c r="AA1854">
        <v>8.3333333333333329E-2</v>
      </c>
      <c r="AB1854" s="1" t="s">
        <v>52</v>
      </c>
      <c r="AC1854">
        <v>3</v>
      </c>
      <c r="AD1854" s="2">
        <v>44228</v>
      </c>
      <c r="AE1854" s="1" t="s">
        <v>53</v>
      </c>
      <c r="AF1854" s="1" t="s">
        <v>72</v>
      </c>
      <c r="AG1854" s="1" t="s">
        <v>63</v>
      </c>
      <c r="AH1854" s="1" t="s">
        <v>64</v>
      </c>
      <c r="AI1854">
        <v>13156</v>
      </c>
      <c r="AJ1854">
        <v>-57.200000000000728</v>
      </c>
    </row>
    <row r="1855" spans="1:36" x14ac:dyDescent="0.25">
      <c r="A1855">
        <v>11854</v>
      </c>
      <c r="B1855">
        <v>32</v>
      </c>
      <c r="C1855" s="1" t="s">
        <v>60</v>
      </c>
      <c r="D1855" s="1" t="s">
        <v>73</v>
      </c>
      <c r="E1855" s="2">
        <v>44290</v>
      </c>
      <c r="F1855" s="2">
        <v>44948</v>
      </c>
      <c r="G1855" s="1" t="s">
        <v>38</v>
      </c>
      <c r="H1855">
        <v>1326</v>
      </c>
      <c r="I1855">
        <v>14</v>
      </c>
      <c r="J1855">
        <v>1</v>
      </c>
      <c r="K1855">
        <v>114.12</v>
      </c>
      <c r="L1855">
        <v>20</v>
      </c>
      <c r="M1855" s="1" t="s">
        <v>65</v>
      </c>
      <c r="N1855" s="1" t="s">
        <v>56</v>
      </c>
      <c r="O1855">
        <v>18298.8</v>
      </c>
      <c r="P1855" t="b">
        <v>1</v>
      </c>
      <c r="Q1855">
        <v>1.1666666666666667</v>
      </c>
      <c r="R1855">
        <v>1307.0571428571427</v>
      </c>
      <c r="S1855">
        <v>57.06</v>
      </c>
      <c r="T1855" s="2">
        <v>44287</v>
      </c>
      <c r="U1855" s="1" t="s">
        <v>57</v>
      </c>
      <c r="V1855">
        <v>0</v>
      </c>
      <c r="W1855" s="1" t="s">
        <v>40</v>
      </c>
      <c r="X1855">
        <v>658</v>
      </c>
      <c r="Y1855" s="1" t="s">
        <v>43</v>
      </c>
      <c r="Z1855" s="1" t="s">
        <v>52</v>
      </c>
      <c r="AA1855">
        <v>6.6666666666666666E-2</v>
      </c>
      <c r="AB1855" s="1" t="s">
        <v>52</v>
      </c>
      <c r="AC1855">
        <v>1</v>
      </c>
      <c r="AD1855" s="2">
        <v>44287</v>
      </c>
      <c r="AE1855" s="1" t="s">
        <v>53</v>
      </c>
      <c r="AF1855" s="1" t="s">
        <v>54</v>
      </c>
      <c r="AG1855" s="1" t="s">
        <v>63</v>
      </c>
      <c r="AH1855" s="1" t="s">
        <v>47</v>
      </c>
      <c r="AI1855">
        <v>18564</v>
      </c>
      <c r="AJ1855">
        <v>-265.20000000000073</v>
      </c>
    </row>
    <row r="1856" spans="1:36" x14ac:dyDescent="0.25">
      <c r="A1856">
        <v>11855</v>
      </c>
      <c r="B1856">
        <v>33</v>
      </c>
      <c r="C1856" s="1" t="s">
        <v>60</v>
      </c>
      <c r="D1856" s="1" t="s">
        <v>73</v>
      </c>
      <c r="E1856" s="2">
        <v>44756</v>
      </c>
      <c r="F1856" s="2">
        <v>44822</v>
      </c>
      <c r="G1856" s="1" t="s">
        <v>62</v>
      </c>
      <c r="H1856">
        <v>321</v>
      </c>
      <c r="I1856">
        <v>32</v>
      </c>
      <c r="J1856">
        <v>3</v>
      </c>
      <c r="K1856">
        <v>66.930000000000007</v>
      </c>
      <c r="L1856">
        <v>10</v>
      </c>
      <c r="M1856" s="1" t="s">
        <v>65</v>
      </c>
      <c r="N1856" s="1" t="s">
        <v>56</v>
      </c>
      <c r="O1856">
        <v>10239.9</v>
      </c>
      <c r="P1856" t="b">
        <v>1</v>
      </c>
      <c r="Q1856">
        <v>2.6666666666666665</v>
      </c>
      <c r="R1856">
        <v>319.99687499999999</v>
      </c>
      <c r="S1856">
        <v>16.732500000000002</v>
      </c>
      <c r="T1856" s="2">
        <v>44743</v>
      </c>
      <c r="U1856" s="1" t="s">
        <v>57</v>
      </c>
      <c r="V1856">
        <v>0</v>
      </c>
      <c r="W1856" s="1" t="s">
        <v>56</v>
      </c>
      <c r="X1856">
        <v>66</v>
      </c>
      <c r="Y1856" s="1" t="s">
        <v>43</v>
      </c>
      <c r="Z1856" s="1" t="s">
        <v>42</v>
      </c>
      <c r="AA1856">
        <v>9.0909090909090912E-2</v>
      </c>
      <c r="AB1856" s="1" t="s">
        <v>52</v>
      </c>
      <c r="AC1856">
        <v>2</v>
      </c>
      <c r="AD1856" s="2">
        <v>44743</v>
      </c>
      <c r="AE1856" s="1" t="s">
        <v>44</v>
      </c>
      <c r="AF1856" s="1" t="s">
        <v>72</v>
      </c>
      <c r="AG1856" s="1" t="s">
        <v>63</v>
      </c>
      <c r="AH1856" s="1" t="s">
        <v>68</v>
      </c>
      <c r="AI1856">
        <v>10272</v>
      </c>
      <c r="AJ1856">
        <v>-32.100000000000364</v>
      </c>
    </row>
    <row r="1857" spans="1:36" x14ac:dyDescent="0.25">
      <c r="A1857">
        <v>11856</v>
      </c>
      <c r="B1857">
        <v>39</v>
      </c>
      <c r="C1857" s="1" t="s">
        <v>60</v>
      </c>
      <c r="D1857" s="1" t="s">
        <v>48</v>
      </c>
      <c r="E1857" s="2">
        <v>44948</v>
      </c>
      <c r="F1857" s="2">
        <v>44917</v>
      </c>
      <c r="G1857" s="1" t="s">
        <v>38</v>
      </c>
      <c r="H1857">
        <v>465</v>
      </c>
      <c r="I1857">
        <v>3</v>
      </c>
      <c r="J1857">
        <v>3</v>
      </c>
      <c r="K1857">
        <v>111.95</v>
      </c>
      <c r="L1857">
        <v>10</v>
      </c>
      <c r="M1857" s="1" t="s">
        <v>65</v>
      </c>
      <c r="N1857" s="1" t="s">
        <v>40</v>
      </c>
      <c r="O1857">
        <v>1348.5</v>
      </c>
      <c r="P1857" t="b">
        <v>0</v>
      </c>
      <c r="Q1857">
        <v>0.25</v>
      </c>
      <c r="R1857">
        <v>449.5</v>
      </c>
      <c r="S1857">
        <v>27.987500000000001</v>
      </c>
      <c r="T1857" s="2">
        <v>44927</v>
      </c>
      <c r="U1857" s="1" t="s">
        <v>51</v>
      </c>
      <c r="V1857">
        <v>1</v>
      </c>
      <c r="W1857" s="1" t="s">
        <v>56</v>
      </c>
      <c r="Y1857" s="1" t="s">
        <v>43</v>
      </c>
      <c r="Z1857" s="1" t="s">
        <v>42</v>
      </c>
      <c r="AA1857">
        <v>0.75</v>
      </c>
      <c r="AB1857" s="1" t="s">
        <v>42</v>
      </c>
      <c r="AC1857">
        <v>1</v>
      </c>
      <c r="AD1857" s="2">
        <v>44927</v>
      </c>
      <c r="AE1857" s="1" t="s">
        <v>58</v>
      </c>
      <c r="AF1857" s="1" t="s">
        <v>72</v>
      </c>
      <c r="AG1857" s="1" t="s">
        <v>63</v>
      </c>
      <c r="AH1857" s="1" t="s">
        <v>68</v>
      </c>
      <c r="AI1857">
        <v>1395</v>
      </c>
      <c r="AJ1857">
        <v>-46.5</v>
      </c>
    </row>
    <row r="1858" spans="1:36" x14ac:dyDescent="0.25">
      <c r="A1858">
        <v>11857</v>
      </c>
      <c r="B1858">
        <v>41</v>
      </c>
      <c r="C1858" s="1" t="s">
        <v>36</v>
      </c>
      <c r="D1858" s="1" t="s">
        <v>69</v>
      </c>
      <c r="E1858" s="2">
        <v>45055</v>
      </c>
      <c r="F1858" s="2">
        <v>44839</v>
      </c>
      <c r="G1858" s="1" t="s">
        <v>38</v>
      </c>
      <c r="H1858">
        <v>1174</v>
      </c>
      <c r="I1858">
        <v>27</v>
      </c>
      <c r="J1858">
        <v>2</v>
      </c>
      <c r="K1858">
        <v>88.39</v>
      </c>
      <c r="L1858">
        <v>5</v>
      </c>
      <c r="M1858" s="1" t="s">
        <v>67</v>
      </c>
      <c r="N1858" s="1" t="s">
        <v>56</v>
      </c>
      <c r="O1858">
        <v>31639.3</v>
      </c>
      <c r="P1858" t="b">
        <v>0</v>
      </c>
      <c r="Q1858">
        <v>2.25</v>
      </c>
      <c r="R1858">
        <v>1171.825925925926</v>
      </c>
      <c r="S1858">
        <v>29.463333333333335</v>
      </c>
      <c r="T1858" s="2">
        <v>45047</v>
      </c>
      <c r="U1858" s="1" t="s">
        <v>51</v>
      </c>
      <c r="V1858">
        <v>0</v>
      </c>
      <c r="W1858" s="1" t="s">
        <v>40</v>
      </c>
      <c r="Y1858" s="1" t="s">
        <v>43</v>
      </c>
      <c r="Z1858" s="1" t="s">
        <v>42</v>
      </c>
      <c r="AA1858">
        <v>7.1428571428571425E-2</v>
      </c>
      <c r="AB1858" s="1" t="s">
        <v>43</v>
      </c>
      <c r="AC1858">
        <v>1</v>
      </c>
      <c r="AD1858" s="2">
        <v>45047</v>
      </c>
      <c r="AE1858" s="1" t="s">
        <v>44</v>
      </c>
      <c r="AF1858" s="1" t="s">
        <v>72</v>
      </c>
      <c r="AG1858" s="1" t="s">
        <v>63</v>
      </c>
      <c r="AH1858" s="1" t="s">
        <v>47</v>
      </c>
      <c r="AI1858">
        <v>31698</v>
      </c>
      <c r="AJ1858">
        <v>-58.700000000000728</v>
      </c>
    </row>
    <row r="1859" spans="1:36" x14ac:dyDescent="0.25">
      <c r="A1859">
        <v>11858</v>
      </c>
      <c r="B1859">
        <v>37</v>
      </c>
      <c r="C1859" s="1" t="s">
        <v>60</v>
      </c>
      <c r="D1859" s="1" t="s">
        <v>48</v>
      </c>
      <c r="E1859" s="2">
        <v>44409</v>
      </c>
      <c r="F1859" s="2">
        <v>44922</v>
      </c>
      <c r="G1859" s="1" t="s">
        <v>38</v>
      </c>
      <c r="H1859">
        <v>797</v>
      </c>
      <c r="I1859">
        <v>19</v>
      </c>
      <c r="J1859">
        <v>1</v>
      </c>
      <c r="K1859">
        <v>35.42</v>
      </c>
      <c r="L1859">
        <v>15</v>
      </c>
      <c r="M1859" s="1" t="s">
        <v>39</v>
      </c>
      <c r="N1859" s="1" t="s">
        <v>40</v>
      </c>
      <c r="O1859">
        <v>15023.45</v>
      </c>
      <c r="P1859" t="b">
        <v>1</v>
      </c>
      <c r="Q1859">
        <v>1.5833333333333333</v>
      </c>
      <c r="R1859">
        <v>790.70789473684215</v>
      </c>
      <c r="S1859">
        <v>17.71</v>
      </c>
      <c r="T1859" s="2">
        <v>44409</v>
      </c>
      <c r="U1859" s="1" t="s">
        <v>51</v>
      </c>
      <c r="V1859">
        <v>1</v>
      </c>
      <c r="W1859" s="1" t="s">
        <v>40</v>
      </c>
      <c r="X1859">
        <v>513</v>
      </c>
      <c r="Y1859" s="1" t="s">
        <v>52</v>
      </c>
      <c r="Z1859" s="1" t="s">
        <v>42</v>
      </c>
      <c r="AA1859">
        <v>0.05</v>
      </c>
      <c r="AB1859" s="1" t="s">
        <v>52</v>
      </c>
      <c r="AC1859">
        <v>1</v>
      </c>
      <c r="AD1859" s="2">
        <v>44409</v>
      </c>
      <c r="AE1859" s="1" t="s">
        <v>53</v>
      </c>
      <c r="AF1859" s="1" t="s">
        <v>54</v>
      </c>
      <c r="AG1859" s="1" t="s">
        <v>55</v>
      </c>
      <c r="AH1859" s="1" t="s">
        <v>59</v>
      </c>
      <c r="AI1859">
        <v>15143</v>
      </c>
      <c r="AJ1859">
        <v>-119.54999999999927</v>
      </c>
    </row>
    <row r="1860" spans="1:36" x14ac:dyDescent="0.25">
      <c r="A1860">
        <v>11859</v>
      </c>
      <c r="B1860">
        <v>50</v>
      </c>
      <c r="C1860" s="1" t="s">
        <v>75</v>
      </c>
      <c r="D1860" s="1" t="s">
        <v>61</v>
      </c>
      <c r="E1860" s="2">
        <v>44632</v>
      </c>
      <c r="F1860" s="2">
        <v>44694</v>
      </c>
      <c r="G1860" s="1" t="s">
        <v>62</v>
      </c>
      <c r="H1860">
        <v>733</v>
      </c>
      <c r="I1860">
        <v>22</v>
      </c>
      <c r="J1860">
        <v>2</v>
      </c>
      <c r="K1860">
        <v>111.77</v>
      </c>
      <c r="L1860">
        <v>15</v>
      </c>
      <c r="M1860" s="1" t="s">
        <v>50</v>
      </c>
      <c r="N1860" s="1" t="s">
        <v>40</v>
      </c>
      <c r="O1860">
        <v>16016.05</v>
      </c>
      <c r="P1860" t="b">
        <v>1</v>
      </c>
      <c r="Q1860">
        <v>1.8333333333333333</v>
      </c>
      <c r="R1860">
        <v>728.00227272727273</v>
      </c>
      <c r="S1860">
        <v>37.256666666666668</v>
      </c>
      <c r="T1860" s="2">
        <v>44621</v>
      </c>
      <c r="U1860" s="1" t="s">
        <v>51</v>
      </c>
      <c r="V1860">
        <v>1</v>
      </c>
      <c r="W1860" s="1" t="s">
        <v>40</v>
      </c>
      <c r="X1860">
        <v>62</v>
      </c>
      <c r="Y1860" s="1" t="s">
        <v>43</v>
      </c>
      <c r="Z1860" s="1" t="s">
        <v>42</v>
      </c>
      <c r="AA1860">
        <v>8.6956521739130432E-2</v>
      </c>
      <c r="AB1860" s="1" t="s">
        <v>52</v>
      </c>
      <c r="AC1860">
        <v>2</v>
      </c>
      <c r="AD1860" s="2">
        <v>44621</v>
      </c>
      <c r="AE1860" s="1" t="s">
        <v>53</v>
      </c>
      <c r="AF1860" s="1" t="s">
        <v>72</v>
      </c>
      <c r="AG1860" s="1" t="s">
        <v>63</v>
      </c>
      <c r="AH1860" s="1" t="s">
        <v>59</v>
      </c>
      <c r="AI1860">
        <v>16126</v>
      </c>
      <c r="AJ1860">
        <v>-109.95000000000073</v>
      </c>
    </row>
    <row r="1861" spans="1:36" x14ac:dyDescent="0.25">
      <c r="A1861">
        <v>11860</v>
      </c>
      <c r="B1861">
        <v>27</v>
      </c>
      <c r="C1861" s="1" t="s">
        <v>60</v>
      </c>
      <c r="D1861" s="1" t="s">
        <v>61</v>
      </c>
      <c r="E1861" s="2">
        <v>45048</v>
      </c>
      <c r="F1861" s="2">
        <v>45167</v>
      </c>
      <c r="G1861" s="1" t="s">
        <v>62</v>
      </c>
      <c r="H1861">
        <v>1057</v>
      </c>
      <c r="I1861">
        <v>1</v>
      </c>
      <c r="J1861">
        <v>2</v>
      </c>
      <c r="K1861">
        <v>81.760000000000005</v>
      </c>
      <c r="L1861">
        <v>15</v>
      </c>
      <c r="M1861" s="1" t="s">
        <v>67</v>
      </c>
      <c r="N1861" s="1" t="s">
        <v>56</v>
      </c>
      <c r="O1861">
        <v>898.45</v>
      </c>
      <c r="P1861" t="b">
        <v>1</v>
      </c>
      <c r="Q1861">
        <v>8.3333333333333329E-2</v>
      </c>
      <c r="R1861">
        <v>898.45</v>
      </c>
      <c r="S1861">
        <v>27.253333333333334</v>
      </c>
      <c r="T1861" s="2">
        <v>45047</v>
      </c>
      <c r="U1861" s="1" t="s">
        <v>57</v>
      </c>
      <c r="V1861">
        <v>0</v>
      </c>
      <c r="W1861" s="1" t="s">
        <v>56</v>
      </c>
      <c r="X1861">
        <v>119</v>
      </c>
      <c r="Y1861" s="1" t="s">
        <v>43</v>
      </c>
      <c r="Z1861" s="1" t="s">
        <v>42</v>
      </c>
      <c r="AA1861">
        <v>1</v>
      </c>
      <c r="AB1861" s="1" t="s">
        <v>42</v>
      </c>
      <c r="AC1861">
        <v>2</v>
      </c>
      <c r="AD1861" s="2">
        <v>45047</v>
      </c>
      <c r="AE1861" s="1" t="s">
        <v>58</v>
      </c>
      <c r="AF1861" s="1" t="s">
        <v>72</v>
      </c>
      <c r="AG1861" s="1" t="s">
        <v>63</v>
      </c>
      <c r="AH1861" s="1" t="s">
        <v>47</v>
      </c>
      <c r="AI1861">
        <v>1057</v>
      </c>
      <c r="AJ1861">
        <v>-158.54999999999995</v>
      </c>
    </row>
    <row r="1862" spans="1:36" x14ac:dyDescent="0.25">
      <c r="A1862">
        <v>11861</v>
      </c>
      <c r="B1862">
        <v>57</v>
      </c>
      <c r="C1862" s="1" t="s">
        <v>36</v>
      </c>
      <c r="D1862" s="1" t="s">
        <v>73</v>
      </c>
      <c r="E1862" s="2">
        <v>44704</v>
      </c>
      <c r="F1862" s="2">
        <v>44834</v>
      </c>
      <c r="G1862" s="1" t="s">
        <v>38</v>
      </c>
      <c r="H1862">
        <v>533</v>
      </c>
      <c r="I1862">
        <v>5</v>
      </c>
      <c r="J1862">
        <v>4</v>
      </c>
      <c r="K1862">
        <v>52.62</v>
      </c>
      <c r="L1862">
        <v>20</v>
      </c>
      <c r="M1862" s="1" t="s">
        <v>50</v>
      </c>
      <c r="N1862" s="1" t="s">
        <v>56</v>
      </c>
      <c r="O1862">
        <v>2558.4</v>
      </c>
      <c r="P1862" t="b">
        <v>1</v>
      </c>
      <c r="Q1862">
        <v>0.41666666666666669</v>
      </c>
      <c r="R1862">
        <v>511.68</v>
      </c>
      <c r="S1862">
        <v>10.523999999999999</v>
      </c>
      <c r="T1862" s="2">
        <v>44682</v>
      </c>
      <c r="U1862" s="1" t="s">
        <v>41</v>
      </c>
      <c r="V1862">
        <v>0</v>
      </c>
      <c r="W1862" s="1" t="s">
        <v>56</v>
      </c>
      <c r="X1862">
        <v>130</v>
      </c>
      <c r="Y1862" s="1" t="s">
        <v>52</v>
      </c>
      <c r="Z1862" s="1" t="s">
        <v>52</v>
      </c>
      <c r="AA1862">
        <v>0.66666666666666663</v>
      </c>
      <c r="AB1862" s="1" t="s">
        <v>42</v>
      </c>
      <c r="AC1862">
        <v>1</v>
      </c>
      <c r="AD1862" s="2">
        <v>44682</v>
      </c>
      <c r="AE1862" s="1" t="s">
        <v>58</v>
      </c>
      <c r="AF1862" s="1" t="s">
        <v>45</v>
      </c>
      <c r="AG1862" s="1" t="s">
        <v>63</v>
      </c>
      <c r="AH1862" s="1" t="s">
        <v>64</v>
      </c>
      <c r="AI1862">
        <v>2665</v>
      </c>
      <c r="AJ1862">
        <v>-106.59999999999991</v>
      </c>
    </row>
    <row r="1863" spans="1:36" x14ac:dyDescent="0.25">
      <c r="A1863">
        <v>11862</v>
      </c>
      <c r="B1863">
        <v>49</v>
      </c>
      <c r="C1863" s="1" t="s">
        <v>60</v>
      </c>
      <c r="D1863" s="1" t="s">
        <v>73</v>
      </c>
      <c r="E1863" s="2">
        <v>45032</v>
      </c>
      <c r="F1863" s="2">
        <v>44820</v>
      </c>
      <c r="G1863" s="1" t="s">
        <v>62</v>
      </c>
      <c r="H1863">
        <v>1136</v>
      </c>
      <c r="I1863">
        <v>33</v>
      </c>
      <c r="J1863">
        <v>1</v>
      </c>
      <c r="K1863">
        <v>83.23</v>
      </c>
      <c r="L1863">
        <v>0</v>
      </c>
      <c r="M1863" s="1" t="s">
        <v>67</v>
      </c>
      <c r="N1863" s="1" t="s">
        <v>56</v>
      </c>
      <c r="O1863">
        <v>37488</v>
      </c>
      <c r="P1863" t="b">
        <v>0</v>
      </c>
      <c r="Q1863">
        <v>2.75</v>
      </c>
      <c r="R1863">
        <v>1136</v>
      </c>
      <c r="S1863">
        <v>41.615000000000002</v>
      </c>
      <c r="T1863" s="2">
        <v>45017</v>
      </c>
      <c r="U1863" s="1" t="s">
        <v>51</v>
      </c>
      <c r="V1863">
        <v>0</v>
      </c>
      <c r="W1863" s="1" t="s">
        <v>40</v>
      </c>
      <c r="Y1863" s="1" t="s">
        <v>43</v>
      </c>
      <c r="Z1863" s="1" t="s">
        <v>42</v>
      </c>
      <c r="AA1863">
        <v>2.9411764705882353E-2</v>
      </c>
      <c r="AB1863" s="1" t="s">
        <v>43</v>
      </c>
      <c r="AC1863">
        <v>2</v>
      </c>
      <c r="AD1863" s="2">
        <v>45017</v>
      </c>
      <c r="AE1863" s="1" t="s">
        <v>44</v>
      </c>
      <c r="AF1863" s="1" t="s">
        <v>54</v>
      </c>
      <c r="AG1863" s="1" t="s">
        <v>63</v>
      </c>
      <c r="AH1863" s="1" t="s">
        <v>47</v>
      </c>
      <c r="AI1863">
        <v>37488</v>
      </c>
      <c r="AJ1863">
        <v>0</v>
      </c>
    </row>
    <row r="1864" spans="1:36" x14ac:dyDescent="0.25">
      <c r="A1864">
        <v>11863</v>
      </c>
      <c r="B1864">
        <v>50</v>
      </c>
      <c r="C1864" s="1" t="s">
        <v>60</v>
      </c>
      <c r="D1864" s="1" t="s">
        <v>48</v>
      </c>
      <c r="E1864" s="2">
        <v>44847</v>
      </c>
      <c r="F1864" s="2">
        <v>44729</v>
      </c>
      <c r="G1864" s="1" t="s">
        <v>62</v>
      </c>
      <c r="H1864">
        <v>962</v>
      </c>
      <c r="I1864">
        <v>19</v>
      </c>
      <c r="J1864">
        <v>0</v>
      </c>
      <c r="K1864">
        <v>51.15</v>
      </c>
      <c r="L1864">
        <v>10</v>
      </c>
      <c r="M1864" s="1" t="s">
        <v>50</v>
      </c>
      <c r="N1864" s="1" t="s">
        <v>56</v>
      </c>
      <c r="O1864">
        <v>18181.8</v>
      </c>
      <c r="P1864" t="b">
        <v>0</v>
      </c>
      <c r="Q1864">
        <v>1.5833333333333333</v>
      </c>
      <c r="R1864">
        <v>956.93684210526317</v>
      </c>
      <c r="S1864">
        <v>51.15</v>
      </c>
      <c r="T1864" s="2">
        <v>44835</v>
      </c>
      <c r="U1864" s="1" t="s">
        <v>51</v>
      </c>
      <c r="V1864">
        <v>0</v>
      </c>
      <c r="W1864" s="1" t="s">
        <v>40</v>
      </c>
      <c r="Y1864" s="1" t="s">
        <v>52</v>
      </c>
      <c r="Z1864" s="1" t="s">
        <v>42</v>
      </c>
      <c r="AA1864">
        <v>0</v>
      </c>
      <c r="AB1864" s="1" t="s">
        <v>52</v>
      </c>
      <c r="AC1864">
        <v>2</v>
      </c>
      <c r="AD1864" s="2">
        <v>44835</v>
      </c>
      <c r="AE1864" s="1" t="s">
        <v>53</v>
      </c>
      <c r="AF1864" s="1" t="s">
        <v>54</v>
      </c>
      <c r="AG1864" s="1" t="s">
        <v>63</v>
      </c>
      <c r="AH1864" s="1" t="s">
        <v>59</v>
      </c>
      <c r="AI1864">
        <v>18278</v>
      </c>
      <c r="AJ1864">
        <v>-96.200000000000728</v>
      </c>
    </row>
    <row r="1865" spans="1:36" x14ac:dyDescent="0.25">
      <c r="A1865">
        <v>11864</v>
      </c>
      <c r="B1865">
        <v>19</v>
      </c>
      <c r="C1865" s="1" t="s">
        <v>60</v>
      </c>
      <c r="D1865" s="1" t="s">
        <v>61</v>
      </c>
      <c r="E1865" s="2">
        <v>44401</v>
      </c>
      <c r="F1865" s="2">
        <v>44627</v>
      </c>
      <c r="G1865" s="1" t="s">
        <v>62</v>
      </c>
      <c r="H1865">
        <v>1024</v>
      </c>
      <c r="I1865">
        <v>6</v>
      </c>
      <c r="J1865">
        <v>7</v>
      </c>
      <c r="K1865">
        <v>18.13</v>
      </c>
      <c r="L1865">
        <v>5</v>
      </c>
      <c r="M1865" s="1" t="s">
        <v>50</v>
      </c>
      <c r="N1865" s="1" t="s">
        <v>56</v>
      </c>
      <c r="O1865">
        <v>6092.8</v>
      </c>
      <c r="P1865" t="b">
        <v>1</v>
      </c>
      <c r="Q1865">
        <v>0.5</v>
      </c>
      <c r="R1865">
        <v>1015.4666666666667</v>
      </c>
      <c r="S1865">
        <v>2.2662499999999999</v>
      </c>
      <c r="T1865" s="2">
        <v>44378</v>
      </c>
      <c r="U1865" s="1" t="s">
        <v>66</v>
      </c>
      <c r="V1865">
        <v>0</v>
      </c>
      <c r="W1865" s="1" t="s">
        <v>56</v>
      </c>
      <c r="X1865">
        <v>226</v>
      </c>
      <c r="Y1865" s="1" t="s">
        <v>42</v>
      </c>
      <c r="Z1865" s="1" t="s">
        <v>42</v>
      </c>
      <c r="AA1865">
        <v>1</v>
      </c>
      <c r="AB1865" s="1" t="s">
        <v>42</v>
      </c>
      <c r="AC1865">
        <v>2</v>
      </c>
      <c r="AD1865" s="2">
        <v>44378</v>
      </c>
      <c r="AE1865" s="1" t="s">
        <v>58</v>
      </c>
      <c r="AF1865" s="1" t="s">
        <v>78</v>
      </c>
      <c r="AG1865" s="1" t="s">
        <v>46</v>
      </c>
      <c r="AH1865" s="1" t="s">
        <v>47</v>
      </c>
      <c r="AI1865">
        <v>6144</v>
      </c>
      <c r="AJ1865">
        <v>-51.199999999999818</v>
      </c>
    </row>
    <row r="1866" spans="1:36" x14ac:dyDescent="0.25">
      <c r="A1866">
        <v>11865</v>
      </c>
      <c r="B1866">
        <v>50</v>
      </c>
      <c r="C1866" s="1" t="s">
        <v>60</v>
      </c>
      <c r="D1866" s="1" t="s">
        <v>61</v>
      </c>
      <c r="E1866" s="2">
        <v>44577</v>
      </c>
      <c r="F1866" s="2">
        <v>44419</v>
      </c>
      <c r="G1866" s="1" t="s">
        <v>49</v>
      </c>
      <c r="H1866">
        <v>675</v>
      </c>
      <c r="I1866">
        <v>15</v>
      </c>
      <c r="J1866">
        <v>1</v>
      </c>
      <c r="K1866">
        <v>87.68</v>
      </c>
      <c r="L1866">
        <v>20</v>
      </c>
      <c r="M1866" s="1" t="s">
        <v>39</v>
      </c>
      <c r="N1866" s="1" t="s">
        <v>56</v>
      </c>
      <c r="O1866">
        <v>9990</v>
      </c>
      <c r="P1866" t="b">
        <v>0</v>
      </c>
      <c r="Q1866">
        <v>1.25</v>
      </c>
      <c r="R1866">
        <v>666</v>
      </c>
      <c r="S1866">
        <v>43.84</v>
      </c>
      <c r="T1866" s="2">
        <v>44562</v>
      </c>
      <c r="U1866" s="1" t="s">
        <v>51</v>
      </c>
      <c r="V1866">
        <v>0</v>
      </c>
      <c r="W1866" s="1" t="s">
        <v>56</v>
      </c>
      <c r="Y1866" s="1" t="s">
        <v>43</v>
      </c>
      <c r="Z1866" s="1" t="s">
        <v>52</v>
      </c>
      <c r="AA1866">
        <v>6.25E-2</v>
      </c>
      <c r="AB1866" s="1" t="s">
        <v>52</v>
      </c>
      <c r="AC1866">
        <v>3</v>
      </c>
      <c r="AD1866" s="2">
        <v>44562</v>
      </c>
      <c r="AE1866" s="1" t="s">
        <v>53</v>
      </c>
      <c r="AF1866" s="1" t="s">
        <v>54</v>
      </c>
      <c r="AG1866" s="1" t="s">
        <v>63</v>
      </c>
      <c r="AH1866" s="1" t="s">
        <v>64</v>
      </c>
      <c r="AI1866">
        <v>10125</v>
      </c>
      <c r="AJ1866">
        <v>-135</v>
      </c>
    </row>
    <row r="1867" spans="1:36" x14ac:dyDescent="0.25">
      <c r="A1867">
        <v>11866</v>
      </c>
      <c r="B1867">
        <v>41</v>
      </c>
      <c r="C1867" s="1" t="s">
        <v>36</v>
      </c>
      <c r="D1867" s="1" t="s">
        <v>69</v>
      </c>
      <c r="E1867" s="2">
        <v>44269</v>
      </c>
      <c r="F1867" s="2">
        <v>44868</v>
      </c>
      <c r="G1867" s="1" t="s">
        <v>38</v>
      </c>
      <c r="H1867">
        <v>1029</v>
      </c>
      <c r="I1867">
        <v>33</v>
      </c>
      <c r="J1867">
        <v>2</v>
      </c>
      <c r="K1867">
        <v>99.77</v>
      </c>
      <c r="L1867">
        <v>15</v>
      </c>
      <c r="M1867" s="1" t="s">
        <v>50</v>
      </c>
      <c r="N1867" s="1" t="s">
        <v>40</v>
      </c>
      <c r="O1867">
        <v>33802.65</v>
      </c>
      <c r="P1867" t="b">
        <v>1</v>
      </c>
      <c r="Q1867">
        <v>2.75</v>
      </c>
      <c r="R1867">
        <v>1024.3227272727272</v>
      </c>
      <c r="S1867">
        <v>33.256666666666668</v>
      </c>
      <c r="T1867" s="2">
        <v>44256</v>
      </c>
      <c r="U1867" s="1" t="s">
        <v>51</v>
      </c>
      <c r="V1867">
        <v>1</v>
      </c>
      <c r="W1867" s="1" t="s">
        <v>40</v>
      </c>
      <c r="X1867">
        <v>599</v>
      </c>
      <c r="Y1867" s="1" t="s">
        <v>43</v>
      </c>
      <c r="Z1867" s="1" t="s">
        <v>42</v>
      </c>
      <c r="AA1867">
        <v>5.8823529411764705E-2</v>
      </c>
      <c r="AB1867" s="1" t="s">
        <v>43</v>
      </c>
      <c r="AC1867">
        <v>1</v>
      </c>
      <c r="AD1867" s="2">
        <v>44256</v>
      </c>
      <c r="AE1867" s="1" t="s">
        <v>44</v>
      </c>
      <c r="AF1867" s="1" t="s">
        <v>72</v>
      </c>
      <c r="AG1867" s="1" t="s">
        <v>63</v>
      </c>
      <c r="AH1867" s="1" t="s">
        <v>47</v>
      </c>
      <c r="AI1867">
        <v>33957</v>
      </c>
      <c r="AJ1867">
        <v>-154.34999999999854</v>
      </c>
    </row>
    <row r="1868" spans="1:36" x14ac:dyDescent="0.25">
      <c r="A1868">
        <v>11867</v>
      </c>
      <c r="B1868">
        <v>58</v>
      </c>
      <c r="C1868" s="1" t="s">
        <v>75</v>
      </c>
      <c r="D1868" s="1" t="s">
        <v>37</v>
      </c>
      <c r="E1868" s="2">
        <v>44712</v>
      </c>
      <c r="F1868" s="2">
        <v>44713</v>
      </c>
      <c r="G1868" s="1" t="s">
        <v>49</v>
      </c>
      <c r="H1868">
        <v>602</v>
      </c>
      <c r="I1868">
        <v>24</v>
      </c>
      <c r="J1868">
        <v>1</v>
      </c>
      <c r="K1868">
        <v>88.81</v>
      </c>
      <c r="L1868">
        <v>10</v>
      </c>
      <c r="M1868" s="1" t="s">
        <v>67</v>
      </c>
      <c r="N1868" s="1" t="s">
        <v>56</v>
      </c>
      <c r="O1868">
        <v>14327.6</v>
      </c>
      <c r="P1868" t="b">
        <v>1</v>
      </c>
      <c r="Q1868">
        <v>2</v>
      </c>
      <c r="R1868">
        <v>596.98333333333335</v>
      </c>
      <c r="S1868">
        <v>44.405000000000001</v>
      </c>
      <c r="T1868" s="2">
        <v>44682</v>
      </c>
      <c r="U1868" s="1" t="s">
        <v>41</v>
      </c>
      <c r="V1868">
        <v>0</v>
      </c>
      <c r="W1868" s="1" t="s">
        <v>40</v>
      </c>
      <c r="X1868">
        <v>1</v>
      </c>
      <c r="Y1868" s="1" t="s">
        <v>43</v>
      </c>
      <c r="Z1868" s="1" t="s">
        <v>42</v>
      </c>
      <c r="AA1868">
        <v>0.04</v>
      </c>
      <c r="AB1868" s="1" t="s">
        <v>52</v>
      </c>
      <c r="AC1868">
        <v>3</v>
      </c>
      <c r="AD1868" s="2">
        <v>44682</v>
      </c>
      <c r="AE1868" s="1" t="s">
        <v>53</v>
      </c>
      <c r="AF1868" s="1" t="s">
        <v>54</v>
      </c>
      <c r="AG1868" s="1" t="s">
        <v>63</v>
      </c>
      <c r="AH1868" s="1" t="s">
        <v>64</v>
      </c>
      <c r="AI1868">
        <v>14448</v>
      </c>
      <c r="AJ1868">
        <v>-120.39999999999964</v>
      </c>
    </row>
    <row r="1869" spans="1:36" x14ac:dyDescent="0.25">
      <c r="A1869">
        <v>11868</v>
      </c>
      <c r="B1869">
        <v>30</v>
      </c>
      <c r="C1869" s="1" t="s">
        <v>36</v>
      </c>
      <c r="D1869" s="1" t="s">
        <v>69</v>
      </c>
      <c r="E1869" s="2">
        <v>44272</v>
      </c>
      <c r="F1869" s="2">
        <v>44441</v>
      </c>
      <c r="G1869" s="1" t="s">
        <v>49</v>
      </c>
      <c r="H1869">
        <v>704</v>
      </c>
      <c r="I1869">
        <v>27</v>
      </c>
      <c r="J1869">
        <v>7</v>
      </c>
      <c r="K1869">
        <v>31.35</v>
      </c>
      <c r="L1869">
        <v>5</v>
      </c>
      <c r="M1869" s="1" t="s">
        <v>50</v>
      </c>
      <c r="N1869" s="1" t="s">
        <v>56</v>
      </c>
      <c r="O1869">
        <v>18972.8</v>
      </c>
      <c r="P1869" t="b">
        <v>1</v>
      </c>
      <c r="Q1869">
        <v>2.25</v>
      </c>
      <c r="R1869">
        <v>702.69629629629628</v>
      </c>
      <c r="S1869">
        <v>3.9187500000000002</v>
      </c>
      <c r="T1869" s="2">
        <v>44256</v>
      </c>
      <c r="U1869" s="1" t="s">
        <v>57</v>
      </c>
      <c r="V1869">
        <v>0</v>
      </c>
      <c r="W1869" s="1" t="s">
        <v>40</v>
      </c>
      <c r="X1869">
        <v>169</v>
      </c>
      <c r="Y1869" s="1" t="s">
        <v>52</v>
      </c>
      <c r="Z1869" s="1" t="s">
        <v>42</v>
      </c>
      <c r="AA1869">
        <v>0.25</v>
      </c>
      <c r="AB1869" s="1" t="s">
        <v>52</v>
      </c>
      <c r="AC1869">
        <v>3</v>
      </c>
      <c r="AD1869" s="2">
        <v>44256</v>
      </c>
      <c r="AE1869" s="1" t="s">
        <v>44</v>
      </c>
      <c r="AF1869" s="1" t="s">
        <v>78</v>
      </c>
      <c r="AG1869" s="1" t="s">
        <v>55</v>
      </c>
      <c r="AH1869" s="1" t="s">
        <v>59</v>
      </c>
      <c r="AI1869">
        <v>19008</v>
      </c>
      <c r="AJ1869">
        <v>-35.200000000000728</v>
      </c>
    </row>
    <row r="1870" spans="1:36" x14ac:dyDescent="0.25">
      <c r="A1870">
        <v>11869</v>
      </c>
      <c r="B1870">
        <v>47</v>
      </c>
      <c r="C1870" s="1" t="s">
        <v>60</v>
      </c>
      <c r="D1870" s="1" t="s">
        <v>71</v>
      </c>
      <c r="E1870" s="2">
        <v>45037</v>
      </c>
      <c r="F1870" s="2">
        <v>44720</v>
      </c>
      <c r="G1870" s="1" t="s">
        <v>38</v>
      </c>
      <c r="H1870">
        <v>1007</v>
      </c>
      <c r="I1870">
        <v>11</v>
      </c>
      <c r="J1870">
        <v>1</v>
      </c>
      <c r="K1870">
        <v>115.01</v>
      </c>
      <c r="L1870">
        <v>20</v>
      </c>
      <c r="M1870" s="1" t="s">
        <v>39</v>
      </c>
      <c r="N1870" s="1" t="s">
        <v>56</v>
      </c>
      <c r="O1870">
        <v>10875.6</v>
      </c>
      <c r="P1870" t="b">
        <v>0</v>
      </c>
      <c r="Q1870">
        <v>0.91666666666666663</v>
      </c>
      <c r="R1870">
        <v>988.69090909090914</v>
      </c>
      <c r="S1870">
        <v>57.505000000000003</v>
      </c>
      <c r="T1870" s="2">
        <v>45017</v>
      </c>
      <c r="U1870" s="1" t="s">
        <v>51</v>
      </c>
      <c r="V1870">
        <v>0</v>
      </c>
      <c r="W1870" s="1" t="s">
        <v>56</v>
      </c>
      <c r="Y1870" s="1" t="s">
        <v>43</v>
      </c>
      <c r="Z1870" s="1" t="s">
        <v>52</v>
      </c>
      <c r="AA1870">
        <v>8.3333333333333329E-2</v>
      </c>
      <c r="AB1870" s="1" t="s">
        <v>52</v>
      </c>
      <c r="AC1870">
        <v>1</v>
      </c>
      <c r="AD1870" s="2">
        <v>45017</v>
      </c>
      <c r="AE1870" s="1" t="s">
        <v>74</v>
      </c>
      <c r="AF1870" s="1" t="s">
        <v>54</v>
      </c>
      <c r="AG1870" s="1" t="s">
        <v>63</v>
      </c>
      <c r="AH1870" s="1" t="s">
        <v>47</v>
      </c>
      <c r="AI1870">
        <v>11077</v>
      </c>
      <c r="AJ1870">
        <v>-201.39999999999964</v>
      </c>
    </row>
    <row r="1871" spans="1:36" x14ac:dyDescent="0.25">
      <c r="A1871">
        <v>11870</v>
      </c>
      <c r="B1871">
        <v>50</v>
      </c>
      <c r="C1871" s="1" t="s">
        <v>60</v>
      </c>
      <c r="D1871" s="1" t="s">
        <v>69</v>
      </c>
      <c r="E1871" s="2">
        <v>44273</v>
      </c>
      <c r="F1871" s="2">
        <v>44686</v>
      </c>
      <c r="G1871" s="1" t="s">
        <v>38</v>
      </c>
      <c r="H1871">
        <v>1216</v>
      </c>
      <c r="I1871">
        <v>23</v>
      </c>
      <c r="J1871">
        <v>4</v>
      </c>
      <c r="K1871">
        <v>7.9</v>
      </c>
      <c r="L1871">
        <v>15</v>
      </c>
      <c r="M1871" s="1" t="s">
        <v>50</v>
      </c>
      <c r="N1871" s="1" t="s">
        <v>40</v>
      </c>
      <c r="O1871">
        <v>27785.599999999999</v>
      </c>
      <c r="P1871" t="b">
        <v>1</v>
      </c>
      <c r="Q1871">
        <v>1.9166666666666667</v>
      </c>
      <c r="R1871">
        <v>1208.0695652173913</v>
      </c>
      <c r="S1871">
        <v>1.58</v>
      </c>
      <c r="T1871" s="2">
        <v>44256</v>
      </c>
      <c r="U1871" s="1" t="s">
        <v>51</v>
      </c>
      <c r="V1871">
        <v>1</v>
      </c>
      <c r="W1871" s="1" t="s">
        <v>40</v>
      </c>
      <c r="X1871">
        <v>413</v>
      </c>
      <c r="Y1871" s="1" t="s">
        <v>42</v>
      </c>
      <c r="Z1871" s="1" t="s">
        <v>42</v>
      </c>
      <c r="AA1871">
        <v>0.16666666666666666</v>
      </c>
      <c r="AB1871" s="1" t="s">
        <v>43</v>
      </c>
      <c r="AC1871">
        <v>1</v>
      </c>
      <c r="AD1871" s="2">
        <v>44256</v>
      </c>
      <c r="AE1871" s="1" t="s">
        <v>53</v>
      </c>
      <c r="AF1871" s="1" t="s">
        <v>45</v>
      </c>
      <c r="AG1871" s="1" t="s">
        <v>77</v>
      </c>
      <c r="AH1871" s="1" t="s">
        <v>47</v>
      </c>
      <c r="AI1871">
        <v>27968</v>
      </c>
      <c r="AJ1871">
        <v>-182.40000000000146</v>
      </c>
    </row>
    <row r="1872" spans="1:36" x14ac:dyDescent="0.25">
      <c r="A1872">
        <v>11871</v>
      </c>
      <c r="B1872">
        <v>30</v>
      </c>
      <c r="C1872" s="1" t="s">
        <v>60</v>
      </c>
      <c r="D1872" s="1" t="s">
        <v>76</v>
      </c>
      <c r="E1872" s="2">
        <v>45012</v>
      </c>
      <c r="F1872" s="2">
        <v>44784</v>
      </c>
      <c r="G1872" s="1" t="s">
        <v>38</v>
      </c>
      <c r="H1872">
        <v>320</v>
      </c>
      <c r="I1872">
        <v>33</v>
      </c>
      <c r="J1872">
        <v>0</v>
      </c>
      <c r="K1872">
        <v>43.26</v>
      </c>
      <c r="L1872">
        <v>10</v>
      </c>
      <c r="M1872" s="1" t="s">
        <v>67</v>
      </c>
      <c r="N1872" s="1" t="s">
        <v>56</v>
      </c>
      <c r="O1872">
        <v>10560</v>
      </c>
      <c r="P1872" t="b">
        <v>0</v>
      </c>
      <c r="Q1872">
        <v>2.75</v>
      </c>
      <c r="R1872">
        <v>320</v>
      </c>
      <c r="S1872">
        <v>43.26</v>
      </c>
      <c r="T1872" s="2">
        <v>44986</v>
      </c>
      <c r="U1872" s="1" t="s">
        <v>57</v>
      </c>
      <c r="V1872">
        <v>0</v>
      </c>
      <c r="W1872" s="1" t="s">
        <v>56</v>
      </c>
      <c r="Y1872" s="1" t="s">
        <v>52</v>
      </c>
      <c r="Z1872" s="1" t="s">
        <v>42</v>
      </c>
      <c r="AA1872">
        <v>0</v>
      </c>
      <c r="AB1872" s="1" t="s">
        <v>52</v>
      </c>
      <c r="AC1872">
        <v>1</v>
      </c>
      <c r="AD1872" s="2">
        <v>44986</v>
      </c>
      <c r="AE1872" s="1" t="s">
        <v>44</v>
      </c>
      <c r="AF1872" s="1" t="s">
        <v>54</v>
      </c>
      <c r="AG1872" s="1" t="s">
        <v>55</v>
      </c>
      <c r="AH1872" s="1" t="s">
        <v>68</v>
      </c>
      <c r="AI1872">
        <v>10560</v>
      </c>
      <c r="AJ1872">
        <v>0</v>
      </c>
    </row>
    <row r="1873" spans="1:36" x14ac:dyDescent="0.25">
      <c r="A1873">
        <v>11872</v>
      </c>
      <c r="B1873">
        <v>43</v>
      </c>
      <c r="C1873" s="1" t="s">
        <v>36</v>
      </c>
      <c r="D1873" s="1" t="s">
        <v>37</v>
      </c>
      <c r="E1873" s="2">
        <v>44964</v>
      </c>
      <c r="F1873" s="2">
        <v>44683</v>
      </c>
      <c r="G1873" s="1" t="s">
        <v>38</v>
      </c>
      <c r="H1873">
        <v>556</v>
      </c>
      <c r="I1873">
        <v>29</v>
      </c>
      <c r="J1873">
        <v>1</v>
      </c>
      <c r="K1873">
        <v>34.909999999999997</v>
      </c>
      <c r="L1873">
        <v>15</v>
      </c>
      <c r="M1873" s="1" t="s">
        <v>50</v>
      </c>
      <c r="N1873" s="1" t="s">
        <v>40</v>
      </c>
      <c r="O1873">
        <v>16040.6</v>
      </c>
      <c r="P1873" t="b">
        <v>0</v>
      </c>
      <c r="Q1873">
        <v>2.4166666666666665</v>
      </c>
      <c r="R1873">
        <v>553.12413793103451</v>
      </c>
      <c r="S1873">
        <v>17.454999999999998</v>
      </c>
      <c r="T1873" s="2">
        <v>44958</v>
      </c>
      <c r="U1873" s="1" t="s">
        <v>51</v>
      </c>
      <c r="V1873">
        <v>1</v>
      </c>
      <c r="W1873" s="1" t="s">
        <v>40</v>
      </c>
      <c r="Y1873" s="1" t="s">
        <v>52</v>
      </c>
      <c r="Z1873" s="1" t="s">
        <v>42</v>
      </c>
      <c r="AA1873">
        <v>3.3333333333333333E-2</v>
      </c>
      <c r="AB1873" s="1" t="s">
        <v>52</v>
      </c>
      <c r="AC1873">
        <v>1</v>
      </c>
      <c r="AD1873" s="2">
        <v>44958</v>
      </c>
      <c r="AE1873" s="1" t="s">
        <v>44</v>
      </c>
      <c r="AF1873" s="1" t="s">
        <v>54</v>
      </c>
      <c r="AG1873" s="1" t="s">
        <v>55</v>
      </c>
      <c r="AH1873" s="1" t="s">
        <v>64</v>
      </c>
      <c r="AI1873">
        <v>16124</v>
      </c>
      <c r="AJ1873">
        <v>-83.399999999999636</v>
      </c>
    </row>
    <row r="1874" spans="1:36" x14ac:dyDescent="0.25">
      <c r="A1874">
        <v>11873</v>
      </c>
      <c r="B1874">
        <v>39</v>
      </c>
      <c r="C1874" s="1" t="s">
        <v>36</v>
      </c>
      <c r="D1874" s="1" t="s">
        <v>48</v>
      </c>
      <c r="E1874" s="2">
        <v>44606</v>
      </c>
      <c r="F1874" s="2">
        <v>45011</v>
      </c>
      <c r="G1874" s="1" t="s">
        <v>62</v>
      </c>
      <c r="H1874">
        <v>698</v>
      </c>
      <c r="I1874">
        <v>31</v>
      </c>
      <c r="J1874">
        <v>3</v>
      </c>
      <c r="K1874">
        <v>10.53</v>
      </c>
      <c r="L1874">
        <v>15</v>
      </c>
      <c r="M1874" s="1" t="s">
        <v>39</v>
      </c>
      <c r="N1874" s="1" t="s">
        <v>56</v>
      </c>
      <c r="O1874">
        <v>21533.3</v>
      </c>
      <c r="P1874" t="b">
        <v>1</v>
      </c>
      <c r="Q1874">
        <v>2.5833333333333335</v>
      </c>
      <c r="R1874">
        <v>694.62258064516129</v>
      </c>
      <c r="S1874">
        <v>2.6324999999999998</v>
      </c>
      <c r="T1874" s="2">
        <v>44593</v>
      </c>
      <c r="U1874" s="1" t="s">
        <v>51</v>
      </c>
      <c r="V1874">
        <v>0</v>
      </c>
      <c r="W1874" s="1" t="s">
        <v>40</v>
      </c>
      <c r="X1874">
        <v>405</v>
      </c>
      <c r="Y1874" s="1" t="s">
        <v>42</v>
      </c>
      <c r="Z1874" s="1" t="s">
        <v>42</v>
      </c>
      <c r="AA1874">
        <v>9.375E-2</v>
      </c>
      <c r="AB1874" s="1" t="s">
        <v>43</v>
      </c>
      <c r="AC1874">
        <v>2</v>
      </c>
      <c r="AD1874" s="2">
        <v>44593</v>
      </c>
      <c r="AE1874" s="1" t="s">
        <v>44</v>
      </c>
      <c r="AF1874" s="1" t="s">
        <v>72</v>
      </c>
      <c r="AG1874" s="1" t="s">
        <v>46</v>
      </c>
      <c r="AH1874" s="1" t="s">
        <v>64</v>
      </c>
      <c r="AI1874">
        <v>21638</v>
      </c>
      <c r="AJ1874">
        <v>-104.70000000000073</v>
      </c>
    </row>
    <row r="1875" spans="1:36" x14ac:dyDescent="0.25">
      <c r="A1875">
        <v>11874</v>
      </c>
      <c r="B1875">
        <v>56</v>
      </c>
      <c r="C1875" s="1" t="s">
        <v>36</v>
      </c>
      <c r="D1875" s="1" t="s">
        <v>71</v>
      </c>
      <c r="E1875" s="2">
        <v>44810</v>
      </c>
      <c r="F1875" s="2">
        <v>44839</v>
      </c>
      <c r="G1875" s="1" t="s">
        <v>62</v>
      </c>
      <c r="H1875">
        <v>350</v>
      </c>
      <c r="I1875">
        <v>1</v>
      </c>
      <c r="J1875">
        <v>5</v>
      </c>
      <c r="K1875">
        <v>62.59</v>
      </c>
      <c r="L1875">
        <v>15</v>
      </c>
      <c r="M1875" s="1" t="s">
        <v>39</v>
      </c>
      <c r="N1875" s="1" t="s">
        <v>56</v>
      </c>
      <c r="O1875">
        <v>297.5</v>
      </c>
      <c r="P1875" t="b">
        <v>1</v>
      </c>
      <c r="Q1875">
        <v>8.3333333333333329E-2</v>
      </c>
      <c r="R1875">
        <v>297.5</v>
      </c>
      <c r="S1875">
        <v>10.431666666666667</v>
      </c>
      <c r="T1875" s="2">
        <v>44805</v>
      </c>
      <c r="U1875" s="1" t="s">
        <v>41</v>
      </c>
      <c r="V1875">
        <v>0</v>
      </c>
      <c r="W1875" s="1" t="s">
        <v>56</v>
      </c>
      <c r="X1875">
        <v>29</v>
      </c>
      <c r="Y1875" s="1" t="s">
        <v>43</v>
      </c>
      <c r="Z1875" s="1" t="s">
        <v>42</v>
      </c>
      <c r="AA1875">
        <v>2.5</v>
      </c>
      <c r="AB1875" s="1" t="s">
        <v>42</v>
      </c>
      <c r="AC1875">
        <v>2</v>
      </c>
      <c r="AD1875" s="2">
        <v>44805</v>
      </c>
      <c r="AE1875" s="1" t="s">
        <v>58</v>
      </c>
      <c r="AF1875" s="1" t="s">
        <v>45</v>
      </c>
      <c r="AG1875" s="1" t="s">
        <v>63</v>
      </c>
      <c r="AH1875" s="1" t="s">
        <v>68</v>
      </c>
      <c r="AI1875">
        <v>350</v>
      </c>
      <c r="AJ1875">
        <v>-52.5</v>
      </c>
    </row>
    <row r="1876" spans="1:36" x14ac:dyDescent="0.25">
      <c r="A1876">
        <v>11875</v>
      </c>
      <c r="B1876">
        <v>19</v>
      </c>
      <c r="C1876" s="1" t="s">
        <v>60</v>
      </c>
      <c r="D1876" s="1" t="s">
        <v>37</v>
      </c>
      <c r="E1876" s="2">
        <v>44302</v>
      </c>
      <c r="F1876" s="2">
        <v>45215</v>
      </c>
      <c r="G1876" s="1" t="s">
        <v>62</v>
      </c>
      <c r="H1876">
        <v>746</v>
      </c>
      <c r="I1876">
        <v>34</v>
      </c>
      <c r="J1876">
        <v>3</v>
      </c>
      <c r="K1876">
        <v>76.66</v>
      </c>
      <c r="L1876">
        <v>20</v>
      </c>
      <c r="M1876" s="1" t="s">
        <v>39</v>
      </c>
      <c r="N1876" s="1" t="s">
        <v>40</v>
      </c>
      <c r="O1876">
        <v>25214.799999999999</v>
      </c>
      <c r="P1876" t="b">
        <v>1</v>
      </c>
      <c r="Q1876">
        <v>2.8333333333333335</v>
      </c>
      <c r="R1876">
        <v>741.61176470588236</v>
      </c>
      <c r="S1876">
        <v>19.164999999999999</v>
      </c>
      <c r="T1876" s="2">
        <v>44287</v>
      </c>
      <c r="U1876" s="1" t="s">
        <v>66</v>
      </c>
      <c r="V1876">
        <v>1</v>
      </c>
      <c r="W1876" s="1" t="s">
        <v>40</v>
      </c>
      <c r="X1876">
        <v>913</v>
      </c>
      <c r="Y1876" s="1" t="s">
        <v>43</v>
      </c>
      <c r="Z1876" s="1" t="s">
        <v>52</v>
      </c>
      <c r="AA1876">
        <v>8.5714285714285715E-2</v>
      </c>
      <c r="AB1876" s="1" t="s">
        <v>43</v>
      </c>
      <c r="AC1876">
        <v>2</v>
      </c>
      <c r="AD1876" s="2">
        <v>44287</v>
      </c>
      <c r="AE1876" s="1" t="s">
        <v>44</v>
      </c>
      <c r="AF1876" s="1" t="s">
        <v>72</v>
      </c>
      <c r="AG1876" s="1" t="s">
        <v>63</v>
      </c>
      <c r="AH1876" s="1" t="s">
        <v>59</v>
      </c>
      <c r="AI1876">
        <v>25364</v>
      </c>
      <c r="AJ1876">
        <v>-149.20000000000073</v>
      </c>
    </row>
    <row r="1877" spans="1:36" x14ac:dyDescent="0.25">
      <c r="A1877">
        <v>11876</v>
      </c>
      <c r="B1877">
        <v>55</v>
      </c>
      <c r="C1877" s="1" t="s">
        <v>36</v>
      </c>
      <c r="D1877" s="1" t="s">
        <v>73</v>
      </c>
      <c r="E1877" s="2">
        <v>45041</v>
      </c>
      <c r="F1877" s="2">
        <v>44387</v>
      </c>
      <c r="G1877" s="1" t="s">
        <v>62</v>
      </c>
      <c r="H1877">
        <v>1126</v>
      </c>
      <c r="I1877">
        <v>18</v>
      </c>
      <c r="J1877">
        <v>1</v>
      </c>
      <c r="K1877">
        <v>106.49</v>
      </c>
      <c r="L1877">
        <v>5</v>
      </c>
      <c r="M1877" s="1" t="s">
        <v>39</v>
      </c>
      <c r="N1877" s="1" t="s">
        <v>56</v>
      </c>
      <c r="O1877">
        <v>20211.7</v>
      </c>
      <c r="P1877" t="b">
        <v>0</v>
      </c>
      <c r="Q1877">
        <v>1.5</v>
      </c>
      <c r="R1877">
        <v>1122.8722222222223</v>
      </c>
      <c r="S1877">
        <v>53.244999999999997</v>
      </c>
      <c r="T1877" s="2">
        <v>45017</v>
      </c>
      <c r="U1877" s="1" t="s">
        <v>41</v>
      </c>
      <c r="V1877">
        <v>0</v>
      </c>
      <c r="W1877" s="1" t="s">
        <v>40</v>
      </c>
      <c r="Y1877" s="1" t="s">
        <v>43</v>
      </c>
      <c r="Z1877" s="1" t="s">
        <v>42</v>
      </c>
      <c r="AA1877">
        <v>5.2631578947368418E-2</v>
      </c>
      <c r="AB1877" s="1" t="s">
        <v>43</v>
      </c>
      <c r="AC1877">
        <v>2</v>
      </c>
      <c r="AD1877" s="2">
        <v>45017</v>
      </c>
      <c r="AE1877" s="1" t="s">
        <v>53</v>
      </c>
      <c r="AF1877" s="1" t="s">
        <v>54</v>
      </c>
      <c r="AG1877" s="1" t="s">
        <v>63</v>
      </c>
      <c r="AH1877" s="1" t="s">
        <v>47</v>
      </c>
      <c r="AI1877">
        <v>20268</v>
      </c>
      <c r="AJ1877">
        <v>-56.299999999999272</v>
      </c>
    </row>
    <row r="1878" spans="1:36" x14ac:dyDescent="0.25">
      <c r="A1878">
        <v>11877</v>
      </c>
      <c r="B1878">
        <v>56</v>
      </c>
      <c r="C1878" s="1" t="s">
        <v>60</v>
      </c>
      <c r="D1878" s="1" t="s">
        <v>61</v>
      </c>
      <c r="E1878" s="2">
        <v>44747</v>
      </c>
      <c r="F1878" s="2">
        <v>44706</v>
      </c>
      <c r="G1878" s="1" t="s">
        <v>38</v>
      </c>
      <c r="H1878">
        <v>894</v>
      </c>
      <c r="I1878">
        <v>18</v>
      </c>
      <c r="J1878">
        <v>1</v>
      </c>
      <c r="K1878">
        <v>118.81</v>
      </c>
      <c r="L1878">
        <v>15</v>
      </c>
      <c r="M1878" s="1" t="s">
        <v>65</v>
      </c>
      <c r="N1878" s="1" t="s">
        <v>56</v>
      </c>
      <c r="O1878">
        <v>15957.9</v>
      </c>
      <c r="P1878" t="b">
        <v>0</v>
      </c>
      <c r="Q1878">
        <v>1.5</v>
      </c>
      <c r="R1878">
        <v>886.55</v>
      </c>
      <c r="S1878">
        <v>59.405000000000001</v>
      </c>
      <c r="T1878" s="2">
        <v>44743</v>
      </c>
      <c r="U1878" s="1" t="s">
        <v>41</v>
      </c>
      <c r="V1878">
        <v>0</v>
      </c>
      <c r="W1878" s="1" t="s">
        <v>40</v>
      </c>
      <c r="Y1878" s="1" t="s">
        <v>43</v>
      </c>
      <c r="Z1878" s="1" t="s">
        <v>42</v>
      </c>
      <c r="AA1878">
        <v>5.2631578947368418E-2</v>
      </c>
      <c r="AB1878" s="1" t="s">
        <v>52</v>
      </c>
      <c r="AC1878">
        <v>1</v>
      </c>
      <c r="AD1878" s="2">
        <v>44743</v>
      </c>
      <c r="AE1878" s="1" t="s">
        <v>53</v>
      </c>
      <c r="AF1878" s="1" t="s">
        <v>54</v>
      </c>
      <c r="AG1878" s="1" t="s">
        <v>63</v>
      </c>
      <c r="AH1878" s="1" t="s">
        <v>59</v>
      </c>
      <c r="AI1878">
        <v>16092</v>
      </c>
      <c r="AJ1878">
        <v>-134.10000000000036</v>
      </c>
    </row>
    <row r="1879" spans="1:36" x14ac:dyDescent="0.25">
      <c r="A1879">
        <v>11878</v>
      </c>
      <c r="B1879">
        <v>43</v>
      </c>
      <c r="C1879" s="1" t="s">
        <v>36</v>
      </c>
      <c r="D1879" s="1" t="s">
        <v>76</v>
      </c>
      <c r="E1879" s="2">
        <v>44672</v>
      </c>
      <c r="F1879" s="2">
        <v>44921</v>
      </c>
      <c r="G1879" s="1" t="s">
        <v>49</v>
      </c>
      <c r="H1879">
        <v>1117</v>
      </c>
      <c r="I1879">
        <v>6</v>
      </c>
      <c r="J1879">
        <v>3</v>
      </c>
      <c r="K1879">
        <v>62.59</v>
      </c>
      <c r="L1879">
        <v>20</v>
      </c>
      <c r="M1879" s="1" t="s">
        <v>39</v>
      </c>
      <c r="N1879" s="1" t="s">
        <v>56</v>
      </c>
      <c r="O1879">
        <v>6478.6</v>
      </c>
      <c r="P1879" t="b">
        <v>1</v>
      </c>
      <c r="Q1879">
        <v>0.5</v>
      </c>
      <c r="R1879">
        <v>1079.7666666666667</v>
      </c>
      <c r="S1879">
        <v>15.647500000000001</v>
      </c>
      <c r="T1879" s="2">
        <v>44652</v>
      </c>
      <c r="U1879" s="1" t="s">
        <v>51</v>
      </c>
      <c r="V1879">
        <v>0</v>
      </c>
      <c r="W1879" s="1" t="s">
        <v>56</v>
      </c>
      <c r="X1879">
        <v>249</v>
      </c>
      <c r="Y1879" s="1" t="s">
        <v>43</v>
      </c>
      <c r="Z1879" s="1" t="s">
        <v>52</v>
      </c>
      <c r="AA1879">
        <v>0.42857142857142855</v>
      </c>
      <c r="AB1879" s="1" t="s">
        <v>42</v>
      </c>
      <c r="AC1879">
        <v>3</v>
      </c>
      <c r="AD1879" s="2">
        <v>44652</v>
      </c>
      <c r="AE1879" s="1" t="s">
        <v>58</v>
      </c>
      <c r="AF1879" s="1" t="s">
        <v>72</v>
      </c>
      <c r="AG1879" s="1" t="s">
        <v>63</v>
      </c>
      <c r="AH1879" s="1" t="s">
        <v>47</v>
      </c>
      <c r="AI1879">
        <v>6702</v>
      </c>
      <c r="AJ1879">
        <v>-223.39999999999964</v>
      </c>
    </row>
    <row r="1880" spans="1:36" x14ac:dyDescent="0.25">
      <c r="A1880">
        <v>11879</v>
      </c>
      <c r="B1880">
        <v>63</v>
      </c>
      <c r="C1880" s="1" t="s">
        <v>36</v>
      </c>
      <c r="D1880" s="1" t="s">
        <v>48</v>
      </c>
      <c r="E1880" s="2">
        <v>45022</v>
      </c>
      <c r="F1880" s="2">
        <v>44601</v>
      </c>
      <c r="G1880" s="1" t="s">
        <v>38</v>
      </c>
      <c r="H1880">
        <v>935</v>
      </c>
      <c r="I1880">
        <v>1</v>
      </c>
      <c r="J1880">
        <v>1</v>
      </c>
      <c r="K1880">
        <v>58.9</v>
      </c>
      <c r="L1880">
        <v>5</v>
      </c>
      <c r="M1880" s="1" t="s">
        <v>50</v>
      </c>
      <c r="N1880" s="1" t="s">
        <v>56</v>
      </c>
      <c r="O1880">
        <v>888.25</v>
      </c>
      <c r="P1880" t="b">
        <v>0</v>
      </c>
      <c r="Q1880">
        <v>8.3333333333333329E-2</v>
      </c>
      <c r="R1880">
        <v>888.25</v>
      </c>
      <c r="S1880">
        <v>29.45</v>
      </c>
      <c r="T1880" s="2">
        <v>45017</v>
      </c>
      <c r="U1880" s="1" t="s">
        <v>41</v>
      </c>
      <c r="V1880">
        <v>0</v>
      </c>
      <c r="W1880" s="1" t="s">
        <v>56</v>
      </c>
      <c r="Y1880" s="1" t="s">
        <v>52</v>
      </c>
      <c r="Z1880" s="1" t="s">
        <v>42</v>
      </c>
      <c r="AA1880">
        <v>0.5</v>
      </c>
      <c r="AB1880" s="1" t="s">
        <v>42</v>
      </c>
      <c r="AC1880">
        <v>1</v>
      </c>
      <c r="AD1880" s="2">
        <v>45017</v>
      </c>
      <c r="AE1880" s="1" t="s">
        <v>58</v>
      </c>
      <c r="AF1880" s="1" t="s">
        <v>54</v>
      </c>
      <c r="AG1880" s="1" t="s">
        <v>63</v>
      </c>
      <c r="AH1880" s="1" t="s">
        <v>59</v>
      </c>
      <c r="AI1880">
        <v>935</v>
      </c>
      <c r="AJ1880">
        <v>-46.75</v>
      </c>
    </row>
    <row r="1881" spans="1:36" x14ac:dyDescent="0.25">
      <c r="A1881">
        <v>11880</v>
      </c>
      <c r="B1881">
        <v>32</v>
      </c>
      <c r="C1881" s="1" t="s">
        <v>36</v>
      </c>
      <c r="D1881" s="1" t="s">
        <v>76</v>
      </c>
      <c r="E1881" s="2">
        <v>44471</v>
      </c>
      <c r="F1881" s="2">
        <v>44928</v>
      </c>
      <c r="G1881" s="1" t="s">
        <v>49</v>
      </c>
      <c r="H1881">
        <v>1372</v>
      </c>
      <c r="I1881">
        <v>30</v>
      </c>
      <c r="J1881">
        <v>3</v>
      </c>
      <c r="K1881">
        <v>88.23</v>
      </c>
      <c r="L1881">
        <v>0</v>
      </c>
      <c r="M1881" s="1" t="s">
        <v>50</v>
      </c>
      <c r="N1881" s="1" t="s">
        <v>56</v>
      </c>
      <c r="O1881">
        <v>41160</v>
      </c>
      <c r="P1881" t="b">
        <v>1</v>
      </c>
      <c r="Q1881">
        <v>2.5</v>
      </c>
      <c r="R1881">
        <v>1372</v>
      </c>
      <c r="S1881">
        <v>22.057500000000001</v>
      </c>
      <c r="T1881" s="2">
        <v>44470</v>
      </c>
      <c r="U1881" s="1" t="s">
        <v>57</v>
      </c>
      <c r="V1881">
        <v>0</v>
      </c>
      <c r="W1881" s="1" t="s">
        <v>40</v>
      </c>
      <c r="X1881">
        <v>457</v>
      </c>
      <c r="Y1881" s="1" t="s">
        <v>43</v>
      </c>
      <c r="Z1881" s="1" t="s">
        <v>42</v>
      </c>
      <c r="AA1881">
        <v>9.6774193548387094E-2</v>
      </c>
      <c r="AB1881" s="1" t="s">
        <v>43</v>
      </c>
      <c r="AC1881">
        <v>3</v>
      </c>
      <c r="AD1881" s="2">
        <v>44470</v>
      </c>
      <c r="AE1881" s="1" t="s">
        <v>44</v>
      </c>
      <c r="AF1881" s="1" t="s">
        <v>72</v>
      </c>
      <c r="AG1881" s="1" t="s">
        <v>63</v>
      </c>
      <c r="AH1881" s="1" t="s">
        <v>47</v>
      </c>
      <c r="AI1881">
        <v>41160</v>
      </c>
      <c r="AJ1881">
        <v>0</v>
      </c>
    </row>
    <row r="1882" spans="1:36" x14ac:dyDescent="0.25">
      <c r="A1882">
        <v>11881</v>
      </c>
      <c r="B1882">
        <v>51</v>
      </c>
      <c r="C1882" s="1" t="s">
        <v>36</v>
      </c>
      <c r="D1882" s="1" t="s">
        <v>61</v>
      </c>
      <c r="E1882" s="2">
        <v>44284</v>
      </c>
      <c r="F1882" s="2">
        <v>44745</v>
      </c>
      <c r="G1882" s="1" t="s">
        <v>38</v>
      </c>
      <c r="H1882">
        <v>1441</v>
      </c>
      <c r="I1882">
        <v>4</v>
      </c>
      <c r="J1882">
        <v>2</v>
      </c>
      <c r="K1882">
        <v>102.02</v>
      </c>
      <c r="L1882">
        <v>15</v>
      </c>
      <c r="M1882" s="1" t="s">
        <v>50</v>
      </c>
      <c r="N1882" s="1" t="s">
        <v>56</v>
      </c>
      <c r="O1882">
        <v>5547.85</v>
      </c>
      <c r="P1882" t="b">
        <v>1</v>
      </c>
      <c r="Q1882">
        <v>0.33333333333333331</v>
      </c>
      <c r="R1882">
        <v>1386.9625000000001</v>
      </c>
      <c r="S1882">
        <v>34.006666666666668</v>
      </c>
      <c r="T1882" s="2">
        <v>44256</v>
      </c>
      <c r="U1882" s="1" t="s">
        <v>41</v>
      </c>
      <c r="V1882">
        <v>0</v>
      </c>
      <c r="W1882" s="1" t="s">
        <v>56</v>
      </c>
      <c r="X1882">
        <v>461</v>
      </c>
      <c r="Y1882" s="1" t="s">
        <v>43</v>
      </c>
      <c r="Z1882" s="1" t="s">
        <v>42</v>
      </c>
      <c r="AA1882">
        <v>0.4</v>
      </c>
      <c r="AB1882" s="1" t="s">
        <v>42</v>
      </c>
      <c r="AC1882">
        <v>1</v>
      </c>
      <c r="AD1882" s="2">
        <v>44256</v>
      </c>
      <c r="AE1882" s="1" t="s">
        <v>58</v>
      </c>
      <c r="AF1882" s="1" t="s">
        <v>72</v>
      </c>
      <c r="AG1882" s="1" t="s">
        <v>63</v>
      </c>
      <c r="AH1882" s="1" t="s">
        <v>47</v>
      </c>
      <c r="AI1882">
        <v>5764</v>
      </c>
      <c r="AJ1882">
        <v>-216.14999999999964</v>
      </c>
    </row>
    <row r="1883" spans="1:36" x14ac:dyDescent="0.25">
      <c r="A1883">
        <v>11882</v>
      </c>
      <c r="B1883">
        <v>59</v>
      </c>
      <c r="C1883" s="1" t="s">
        <v>60</v>
      </c>
      <c r="D1883" s="1" t="s">
        <v>69</v>
      </c>
      <c r="E1883" s="2">
        <v>44919</v>
      </c>
      <c r="F1883" s="2">
        <v>45104</v>
      </c>
      <c r="G1883" s="1" t="s">
        <v>49</v>
      </c>
      <c r="H1883">
        <v>1074</v>
      </c>
      <c r="I1883">
        <v>32</v>
      </c>
      <c r="J1883">
        <v>0</v>
      </c>
      <c r="K1883">
        <v>58.51</v>
      </c>
      <c r="L1883">
        <v>10</v>
      </c>
      <c r="M1883" s="1" t="s">
        <v>50</v>
      </c>
      <c r="N1883" s="1" t="s">
        <v>56</v>
      </c>
      <c r="O1883">
        <v>34260.6</v>
      </c>
      <c r="P1883" t="b">
        <v>1</v>
      </c>
      <c r="Q1883">
        <v>2.6666666666666665</v>
      </c>
      <c r="R1883">
        <v>1070.64375</v>
      </c>
      <c r="S1883">
        <v>58.51</v>
      </c>
      <c r="T1883" s="2">
        <v>44896</v>
      </c>
      <c r="U1883" s="1" t="s">
        <v>41</v>
      </c>
      <c r="V1883">
        <v>0</v>
      </c>
      <c r="W1883" s="1" t="s">
        <v>40</v>
      </c>
      <c r="X1883">
        <v>185</v>
      </c>
      <c r="Y1883" s="1" t="s">
        <v>52</v>
      </c>
      <c r="Z1883" s="1" t="s">
        <v>42</v>
      </c>
      <c r="AA1883">
        <v>0</v>
      </c>
      <c r="AB1883" s="1" t="s">
        <v>43</v>
      </c>
      <c r="AC1883">
        <v>3</v>
      </c>
      <c r="AD1883" s="2">
        <v>44896</v>
      </c>
      <c r="AE1883" s="1" t="s">
        <v>44</v>
      </c>
      <c r="AF1883" s="1" t="s">
        <v>54</v>
      </c>
      <c r="AG1883" s="1" t="s">
        <v>63</v>
      </c>
      <c r="AH1883" s="1" t="s">
        <v>47</v>
      </c>
      <c r="AI1883">
        <v>34368</v>
      </c>
      <c r="AJ1883">
        <v>-107.40000000000146</v>
      </c>
    </row>
    <row r="1884" spans="1:36" x14ac:dyDescent="0.25">
      <c r="A1884">
        <v>11883</v>
      </c>
      <c r="B1884">
        <v>61</v>
      </c>
      <c r="C1884" s="1" t="s">
        <v>36</v>
      </c>
      <c r="D1884" s="1" t="s">
        <v>61</v>
      </c>
      <c r="E1884" s="2">
        <v>45077</v>
      </c>
      <c r="F1884" s="2">
        <v>45224</v>
      </c>
      <c r="G1884" s="1" t="s">
        <v>38</v>
      </c>
      <c r="H1884">
        <v>1272</v>
      </c>
      <c r="I1884">
        <v>10</v>
      </c>
      <c r="J1884">
        <v>0</v>
      </c>
      <c r="K1884">
        <v>95.28</v>
      </c>
      <c r="L1884">
        <v>20</v>
      </c>
      <c r="M1884" s="1" t="s">
        <v>65</v>
      </c>
      <c r="N1884" s="1" t="s">
        <v>56</v>
      </c>
      <c r="O1884">
        <v>12465.6</v>
      </c>
      <c r="P1884" t="b">
        <v>1</v>
      </c>
      <c r="Q1884">
        <v>0.83333333333333337</v>
      </c>
      <c r="R1884">
        <v>1246.56</v>
      </c>
      <c r="S1884">
        <v>95.28</v>
      </c>
      <c r="T1884" s="2">
        <v>45047</v>
      </c>
      <c r="U1884" s="1" t="s">
        <v>41</v>
      </c>
      <c r="V1884">
        <v>0</v>
      </c>
      <c r="W1884" s="1" t="s">
        <v>56</v>
      </c>
      <c r="X1884">
        <v>147</v>
      </c>
      <c r="Y1884" s="1" t="s">
        <v>43</v>
      </c>
      <c r="Z1884" s="1" t="s">
        <v>52</v>
      </c>
      <c r="AA1884">
        <v>0</v>
      </c>
      <c r="AB1884" s="1" t="s">
        <v>52</v>
      </c>
      <c r="AC1884">
        <v>1</v>
      </c>
      <c r="AD1884" s="2">
        <v>45047</v>
      </c>
      <c r="AE1884" s="1" t="s">
        <v>74</v>
      </c>
      <c r="AF1884" s="1" t="s">
        <v>54</v>
      </c>
      <c r="AG1884" s="1" t="s">
        <v>63</v>
      </c>
      <c r="AH1884" s="1" t="s">
        <v>47</v>
      </c>
      <c r="AI1884">
        <v>12720</v>
      </c>
      <c r="AJ1884">
        <v>-254.39999999999964</v>
      </c>
    </row>
    <row r="1885" spans="1:36" x14ac:dyDescent="0.25">
      <c r="A1885">
        <v>11884</v>
      </c>
      <c r="B1885">
        <v>57</v>
      </c>
      <c r="C1885" s="1" t="s">
        <v>60</v>
      </c>
      <c r="D1885" s="1" t="s">
        <v>69</v>
      </c>
      <c r="E1885" s="2">
        <v>44273</v>
      </c>
      <c r="F1885" s="2">
        <v>44517</v>
      </c>
      <c r="G1885" s="1" t="s">
        <v>38</v>
      </c>
      <c r="H1885">
        <v>696</v>
      </c>
      <c r="I1885">
        <v>5</v>
      </c>
      <c r="J1885">
        <v>2</v>
      </c>
      <c r="K1885">
        <v>60.51</v>
      </c>
      <c r="L1885">
        <v>0</v>
      </c>
      <c r="M1885" s="1" t="s">
        <v>65</v>
      </c>
      <c r="N1885" s="1" t="s">
        <v>56</v>
      </c>
      <c r="O1885">
        <v>3480</v>
      </c>
      <c r="P1885" t="b">
        <v>1</v>
      </c>
      <c r="Q1885">
        <v>0.41666666666666669</v>
      </c>
      <c r="R1885">
        <v>696</v>
      </c>
      <c r="S1885">
        <v>20.169999999999998</v>
      </c>
      <c r="T1885" s="2">
        <v>44256</v>
      </c>
      <c r="U1885" s="1" t="s">
        <v>41</v>
      </c>
      <c r="V1885">
        <v>0</v>
      </c>
      <c r="W1885" s="1" t="s">
        <v>56</v>
      </c>
      <c r="X1885">
        <v>244</v>
      </c>
      <c r="Y1885" s="1" t="s">
        <v>43</v>
      </c>
      <c r="Z1885" s="1" t="s">
        <v>42</v>
      </c>
      <c r="AA1885">
        <v>0.33333333333333331</v>
      </c>
      <c r="AB1885" s="1" t="s">
        <v>42</v>
      </c>
      <c r="AC1885">
        <v>1</v>
      </c>
      <c r="AD1885" s="2">
        <v>44256</v>
      </c>
      <c r="AE1885" s="1" t="s">
        <v>58</v>
      </c>
      <c r="AF1885" s="1" t="s">
        <v>72</v>
      </c>
      <c r="AG1885" s="1" t="s">
        <v>63</v>
      </c>
      <c r="AH1885" s="1" t="s">
        <v>64</v>
      </c>
      <c r="AI1885">
        <v>3480</v>
      </c>
      <c r="AJ1885">
        <v>0</v>
      </c>
    </row>
    <row r="1886" spans="1:36" x14ac:dyDescent="0.25">
      <c r="A1886">
        <v>11885</v>
      </c>
      <c r="B1886">
        <v>28</v>
      </c>
      <c r="C1886" s="1" t="s">
        <v>36</v>
      </c>
      <c r="D1886" s="1" t="s">
        <v>73</v>
      </c>
      <c r="E1886" s="2">
        <v>44273</v>
      </c>
      <c r="F1886" s="2">
        <v>45037</v>
      </c>
      <c r="G1886" s="1" t="s">
        <v>38</v>
      </c>
      <c r="H1886">
        <v>982</v>
      </c>
      <c r="I1886">
        <v>9</v>
      </c>
      <c r="J1886">
        <v>3</v>
      </c>
      <c r="K1886">
        <v>49.45</v>
      </c>
      <c r="L1886">
        <v>0</v>
      </c>
      <c r="M1886" s="1" t="s">
        <v>65</v>
      </c>
      <c r="N1886" s="1" t="s">
        <v>56</v>
      </c>
      <c r="O1886">
        <v>8838</v>
      </c>
      <c r="P1886" t="b">
        <v>1</v>
      </c>
      <c r="Q1886">
        <v>0.75</v>
      </c>
      <c r="R1886">
        <v>982</v>
      </c>
      <c r="S1886">
        <v>12.362500000000001</v>
      </c>
      <c r="T1886" s="2">
        <v>44256</v>
      </c>
      <c r="U1886" s="1" t="s">
        <v>57</v>
      </c>
      <c r="V1886">
        <v>0</v>
      </c>
      <c r="W1886" s="1" t="s">
        <v>56</v>
      </c>
      <c r="X1886">
        <v>764</v>
      </c>
      <c r="Y1886" s="1" t="s">
        <v>52</v>
      </c>
      <c r="Z1886" s="1" t="s">
        <v>42</v>
      </c>
      <c r="AA1886">
        <v>0.3</v>
      </c>
      <c r="AB1886" s="1" t="s">
        <v>52</v>
      </c>
      <c r="AC1886">
        <v>1</v>
      </c>
      <c r="AD1886" s="2">
        <v>44256</v>
      </c>
      <c r="AE1886" s="1" t="s">
        <v>74</v>
      </c>
      <c r="AF1886" s="1" t="s">
        <v>72</v>
      </c>
      <c r="AG1886" s="1" t="s">
        <v>63</v>
      </c>
      <c r="AH1886" s="1" t="s">
        <v>59</v>
      </c>
      <c r="AI1886">
        <v>8838</v>
      </c>
      <c r="AJ1886">
        <v>0</v>
      </c>
    </row>
    <row r="1887" spans="1:36" x14ac:dyDescent="0.25">
      <c r="A1887">
        <v>11886</v>
      </c>
      <c r="B1887">
        <v>20</v>
      </c>
      <c r="C1887" s="1" t="s">
        <v>60</v>
      </c>
      <c r="D1887" s="1" t="s">
        <v>37</v>
      </c>
      <c r="E1887" s="2">
        <v>44638</v>
      </c>
      <c r="F1887" s="2">
        <v>45048</v>
      </c>
      <c r="G1887" s="1" t="s">
        <v>62</v>
      </c>
      <c r="H1887">
        <v>1350</v>
      </c>
      <c r="I1887">
        <v>5</v>
      </c>
      <c r="J1887">
        <v>1</v>
      </c>
      <c r="K1887">
        <v>65.5</v>
      </c>
      <c r="L1887">
        <v>0</v>
      </c>
      <c r="M1887" s="1" t="s">
        <v>50</v>
      </c>
      <c r="N1887" s="1" t="s">
        <v>56</v>
      </c>
      <c r="O1887">
        <v>6750</v>
      </c>
      <c r="P1887" t="b">
        <v>1</v>
      </c>
      <c r="Q1887">
        <v>0.41666666666666669</v>
      </c>
      <c r="R1887">
        <v>1350</v>
      </c>
      <c r="S1887">
        <v>32.75</v>
      </c>
      <c r="T1887" s="2">
        <v>44621</v>
      </c>
      <c r="U1887" s="1" t="s">
        <v>66</v>
      </c>
      <c r="V1887">
        <v>0</v>
      </c>
      <c r="W1887" s="1" t="s">
        <v>56</v>
      </c>
      <c r="X1887">
        <v>410</v>
      </c>
      <c r="Y1887" s="1" t="s">
        <v>43</v>
      </c>
      <c r="Z1887" s="1" t="s">
        <v>42</v>
      </c>
      <c r="AA1887">
        <v>0.16666666666666666</v>
      </c>
      <c r="AB1887" s="1" t="s">
        <v>42</v>
      </c>
      <c r="AC1887">
        <v>2</v>
      </c>
      <c r="AD1887" s="2">
        <v>44621</v>
      </c>
      <c r="AE1887" s="1" t="s">
        <v>58</v>
      </c>
      <c r="AF1887" s="1" t="s">
        <v>54</v>
      </c>
      <c r="AG1887" s="1" t="s">
        <v>63</v>
      </c>
      <c r="AH1887" s="1" t="s">
        <v>47</v>
      </c>
      <c r="AI1887">
        <v>6750</v>
      </c>
      <c r="AJ1887">
        <v>0</v>
      </c>
    </row>
    <row r="1888" spans="1:36" x14ac:dyDescent="0.25">
      <c r="A1888">
        <v>11887</v>
      </c>
      <c r="B1888">
        <v>23</v>
      </c>
      <c r="C1888" s="1" t="s">
        <v>36</v>
      </c>
      <c r="D1888" s="1" t="s">
        <v>61</v>
      </c>
      <c r="E1888" s="2">
        <v>44736</v>
      </c>
      <c r="F1888" s="2">
        <v>44858</v>
      </c>
      <c r="G1888" s="1" t="s">
        <v>49</v>
      </c>
      <c r="H1888">
        <v>1010</v>
      </c>
      <c r="I1888">
        <v>11</v>
      </c>
      <c r="J1888">
        <v>2</v>
      </c>
      <c r="K1888">
        <v>82.72</v>
      </c>
      <c r="L1888">
        <v>20</v>
      </c>
      <c r="M1888" s="1" t="s">
        <v>67</v>
      </c>
      <c r="N1888" s="1" t="s">
        <v>40</v>
      </c>
      <c r="O1888">
        <v>10908</v>
      </c>
      <c r="P1888" t="b">
        <v>1</v>
      </c>
      <c r="Q1888">
        <v>0.91666666666666663</v>
      </c>
      <c r="R1888">
        <v>991.63636363636363</v>
      </c>
      <c r="S1888">
        <v>27.573333333333334</v>
      </c>
      <c r="T1888" s="2">
        <v>44713</v>
      </c>
      <c r="U1888" s="1" t="s">
        <v>66</v>
      </c>
      <c r="V1888">
        <v>1</v>
      </c>
      <c r="W1888" s="1" t="s">
        <v>56</v>
      </c>
      <c r="X1888">
        <v>122</v>
      </c>
      <c r="Y1888" s="1" t="s">
        <v>43</v>
      </c>
      <c r="Z1888" s="1" t="s">
        <v>52</v>
      </c>
      <c r="AA1888">
        <v>0.16666666666666666</v>
      </c>
      <c r="AB1888" s="1" t="s">
        <v>52</v>
      </c>
      <c r="AC1888">
        <v>3</v>
      </c>
      <c r="AD1888" s="2">
        <v>44713</v>
      </c>
      <c r="AE1888" s="1" t="s">
        <v>74</v>
      </c>
      <c r="AF1888" s="1" t="s">
        <v>72</v>
      </c>
      <c r="AG1888" s="1" t="s">
        <v>63</v>
      </c>
      <c r="AH1888" s="1" t="s">
        <v>47</v>
      </c>
      <c r="AI1888">
        <v>11110</v>
      </c>
      <c r="AJ1888">
        <v>-202</v>
      </c>
    </row>
    <row r="1889" spans="1:36" x14ac:dyDescent="0.25">
      <c r="A1889">
        <v>11888</v>
      </c>
      <c r="B1889">
        <v>26</v>
      </c>
      <c r="C1889" s="1" t="s">
        <v>36</v>
      </c>
      <c r="D1889" s="1" t="s">
        <v>61</v>
      </c>
      <c r="E1889" s="2">
        <v>44441</v>
      </c>
      <c r="F1889" s="2">
        <v>44607</v>
      </c>
      <c r="G1889" s="1" t="s">
        <v>38</v>
      </c>
      <c r="H1889">
        <v>1420</v>
      </c>
      <c r="I1889">
        <v>35</v>
      </c>
      <c r="J1889">
        <v>1</v>
      </c>
      <c r="K1889">
        <v>88.59</v>
      </c>
      <c r="L1889">
        <v>5</v>
      </c>
      <c r="M1889" s="1" t="s">
        <v>67</v>
      </c>
      <c r="N1889" s="1" t="s">
        <v>40</v>
      </c>
      <c r="O1889">
        <v>49629</v>
      </c>
      <c r="P1889" t="b">
        <v>1</v>
      </c>
      <c r="Q1889">
        <v>2.9166666666666665</v>
      </c>
      <c r="R1889">
        <v>1417.9714285714285</v>
      </c>
      <c r="S1889">
        <v>44.295000000000002</v>
      </c>
      <c r="T1889" s="2">
        <v>44440</v>
      </c>
      <c r="U1889" s="1" t="s">
        <v>57</v>
      </c>
      <c r="V1889">
        <v>1</v>
      </c>
      <c r="W1889" s="1" t="s">
        <v>40</v>
      </c>
      <c r="X1889">
        <v>166</v>
      </c>
      <c r="Y1889" s="1" t="s">
        <v>43</v>
      </c>
      <c r="Z1889" s="1" t="s">
        <v>42</v>
      </c>
      <c r="AA1889">
        <v>2.7777777777777776E-2</v>
      </c>
      <c r="AB1889" s="1" t="s">
        <v>43</v>
      </c>
      <c r="AC1889">
        <v>1</v>
      </c>
      <c r="AD1889" s="2">
        <v>44440</v>
      </c>
      <c r="AE1889" s="1" t="s">
        <v>44</v>
      </c>
      <c r="AF1889" s="1" t="s">
        <v>54</v>
      </c>
      <c r="AG1889" s="1" t="s">
        <v>63</v>
      </c>
      <c r="AH1889" s="1" t="s">
        <v>47</v>
      </c>
      <c r="AI1889">
        <v>49700</v>
      </c>
      <c r="AJ1889">
        <v>-71</v>
      </c>
    </row>
    <row r="1890" spans="1:36" x14ac:dyDescent="0.25">
      <c r="A1890">
        <v>11889</v>
      </c>
      <c r="B1890">
        <v>23</v>
      </c>
      <c r="C1890" s="1" t="s">
        <v>36</v>
      </c>
      <c r="D1890" s="1" t="s">
        <v>61</v>
      </c>
      <c r="E1890" s="2">
        <v>44774</v>
      </c>
      <c r="F1890" s="2">
        <v>44931</v>
      </c>
      <c r="G1890" s="1" t="s">
        <v>49</v>
      </c>
      <c r="H1890">
        <v>828</v>
      </c>
      <c r="I1890">
        <v>27</v>
      </c>
      <c r="J1890">
        <v>1</v>
      </c>
      <c r="K1890">
        <v>46.02</v>
      </c>
      <c r="L1890">
        <v>10</v>
      </c>
      <c r="M1890" s="1" t="s">
        <v>50</v>
      </c>
      <c r="N1890" s="1" t="s">
        <v>56</v>
      </c>
      <c r="O1890">
        <v>22273.200000000001</v>
      </c>
      <c r="P1890" t="b">
        <v>1</v>
      </c>
      <c r="Q1890">
        <v>2.25</v>
      </c>
      <c r="R1890">
        <v>824.93333333333339</v>
      </c>
      <c r="S1890">
        <v>23.01</v>
      </c>
      <c r="T1890" s="2">
        <v>44774</v>
      </c>
      <c r="U1890" s="1" t="s">
        <v>66</v>
      </c>
      <c r="V1890">
        <v>0</v>
      </c>
      <c r="W1890" s="1" t="s">
        <v>40</v>
      </c>
      <c r="X1890">
        <v>157</v>
      </c>
      <c r="Y1890" s="1" t="s">
        <v>52</v>
      </c>
      <c r="Z1890" s="1" t="s">
        <v>42</v>
      </c>
      <c r="AA1890">
        <v>3.5714285714285712E-2</v>
      </c>
      <c r="AB1890" s="1" t="s">
        <v>43</v>
      </c>
      <c r="AC1890">
        <v>3</v>
      </c>
      <c r="AD1890" s="2">
        <v>44774</v>
      </c>
      <c r="AE1890" s="1" t="s">
        <v>44</v>
      </c>
      <c r="AF1890" s="1" t="s">
        <v>54</v>
      </c>
      <c r="AG1890" s="1" t="s">
        <v>63</v>
      </c>
      <c r="AH1890" s="1" t="s">
        <v>59</v>
      </c>
      <c r="AI1890">
        <v>22356</v>
      </c>
      <c r="AJ1890">
        <v>-82.799999999999272</v>
      </c>
    </row>
    <row r="1891" spans="1:36" x14ac:dyDescent="0.25">
      <c r="A1891">
        <v>11890</v>
      </c>
      <c r="B1891">
        <v>26</v>
      </c>
      <c r="C1891" s="1" t="s">
        <v>36</v>
      </c>
      <c r="D1891" s="1" t="s">
        <v>37</v>
      </c>
      <c r="E1891" s="2">
        <v>44974</v>
      </c>
      <c r="F1891" s="2">
        <v>44806</v>
      </c>
      <c r="G1891" s="1" t="s">
        <v>62</v>
      </c>
      <c r="H1891">
        <v>984</v>
      </c>
      <c r="I1891">
        <v>4</v>
      </c>
      <c r="J1891">
        <v>1</v>
      </c>
      <c r="K1891">
        <v>70.7</v>
      </c>
      <c r="L1891">
        <v>5</v>
      </c>
      <c r="M1891" s="1" t="s">
        <v>39</v>
      </c>
      <c r="N1891" s="1" t="s">
        <v>40</v>
      </c>
      <c r="O1891">
        <v>3886.8</v>
      </c>
      <c r="P1891" t="b">
        <v>0</v>
      </c>
      <c r="Q1891">
        <v>0.33333333333333331</v>
      </c>
      <c r="R1891">
        <v>971.7</v>
      </c>
      <c r="S1891">
        <v>35.35</v>
      </c>
      <c r="T1891" s="2">
        <v>44958</v>
      </c>
      <c r="U1891" s="1" t="s">
        <v>57</v>
      </c>
      <c r="V1891">
        <v>1</v>
      </c>
      <c r="W1891" s="1" t="s">
        <v>56</v>
      </c>
      <c r="Y1891" s="1" t="s">
        <v>43</v>
      </c>
      <c r="Z1891" s="1" t="s">
        <v>42</v>
      </c>
      <c r="AA1891">
        <v>0.2</v>
      </c>
      <c r="AB1891" s="1" t="s">
        <v>42</v>
      </c>
      <c r="AC1891">
        <v>2</v>
      </c>
      <c r="AD1891" s="2">
        <v>44958</v>
      </c>
      <c r="AE1891" s="1" t="s">
        <v>58</v>
      </c>
      <c r="AF1891" s="1" t="s">
        <v>54</v>
      </c>
      <c r="AG1891" s="1" t="s">
        <v>63</v>
      </c>
      <c r="AH1891" s="1" t="s">
        <v>59</v>
      </c>
      <c r="AI1891">
        <v>3936</v>
      </c>
      <c r="AJ1891">
        <v>-49.199999999999818</v>
      </c>
    </row>
    <row r="1892" spans="1:36" x14ac:dyDescent="0.25">
      <c r="A1892">
        <v>11891</v>
      </c>
      <c r="B1892">
        <v>56</v>
      </c>
      <c r="C1892" s="1" t="s">
        <v>36</v>
      </c>
      <c r="D1892" s="1" t="s">
        <v>71</v>
      </c>
      <c r="E1892" s="2">
        <v>44578</v>
      </c>
      <c r="F1892" s="2">
        <v>44876</v>
      </c>
      <c r="G1892" s="1" t="s">
        <v>62</v>
      </c>
      <c r="H1892">
        <v>912</v>
      </c>
      <c r="I1892">
        <v>10</v>
      </c>
      <c r="J1892">
        <v>3</v>
      </c>
      <c r="K1892">
        <v>109.64</v>
      </c>
      <c r="L1892">
        <v>15</v>
      </c>
      <c r="M1892" s="1" t="s">
        <v>39</v>
      </c>
      <c r="N1892" s="1" t="s">
        <v>40</v>
      </c>
      <c r="O1892">
        <v>8983.2000000000007</v>
      </c>
      <c r="P1892" t="b">
        <v>1</v>
      </c>
      <c r="Q1892">
        <v>0.83333333333333337</v>
      </c>
      <c r="R1892">
        <v>898.32</v>
      </c>
      <c r="S1892">
        <v>27.41</v>
      </c>
      <c r="T1892" s="2">
        <v>44562</v>
      </c>
      <c r="U1892" s="1" t="s">
        <v>41</v>
      </c>
      <c r="V1892">
        <v>1</v>
      </c>
      <c r="W1892" s="1" t="s">
        <v>56</v>
      </c>
      <c r="X1892">
        <v>298</v>
      </c>
      <c r="Y1892" s="1" t="s">
        <v>43</v>
      </c>
      <c r="Z1892" s="1" t="s">
        <v>42</v>
      </c>
      <c r="AA1892">
        <v>0.27272727272727271</v>
      </c>
      <c r="AB1892" s="1" t="s">
        <v>52</v>
      </c>
      <c r="AC1892">
        <v>2</v>
      </c>
      <c r="AD1892" s="2">
        <v>44562</v>
      </c>
      <c r="AE1892" s="1" t="s">
        <v>74</v>
      </c>
      <c r="AF1892" s="1" t="s">
        <v>72</v>
      </c>
      <c r="AG1892" s="1" t="s">
        <v>63</v>
      </c>
      <c r="AH1892" s="1" t="s">
        <v>59</v>
      </c>
      <c r="AI1892">
        <v>9120</v>
      </c>
      <c r="AJ1892">
        <v>-136.79999999999927</v>
      </c>
    </row>
    <row r="1893" spans="1:36" x14ac:dyDescent="0.25">
      <c r="A1893">
        <v>11892</v>
      </c>
      <c r="B1893">
        <v>48</v>
      </c>
      <c r="C1893" s="1" t="s">
        <v>36</v>
      </c>
      <c r="D1893" s="1" t="s">
        <v>69</v>
      </c>
      <c r="E1893" s="2">
        <v>44913</v>
      </c>
      <c r="F1893" s="2">
        <v>45229</v>
      </c>
      <c r="G1893" s="1" t="s">
        <v>49</v>
      </c>
      <c r="H1893">
        <v>485</v>
      </c>
      <c r="I1893">
        <v>33</v>
      </c>
      <c r="J1893">
        <v>1</v>
      </c>
      <c r="K1893">
        <v>117.28</v>
      </c>
      <c r="L1893">
        <v>10</v>
      </c>
      <c r="M1893" s="1" t="s">
        <v>50</v>
      </c>
      <c r="N1893" s="1" t="s">
        <v>40</v>
      </c>
      <c r="O1893">
        <v>15956.5</v>
      </c>
      <c r="P1893" t="b">
        <v>1</v>
      </c>
      <c r="Q1893">
        <v>2.75</v>
      </c>
      <c r="R1893">
        <v>483.530303030303</v>
      </c>
      <c r="S1893">
        <v>58.64</v>
      </c>
      <c r="T1893" s="2">
        <v>44896</v>
      </c>
      <c r="U1893" s="1" t="s">
        <v>51</v>
      </c>
      <c r="V1893">
        <v>1</v>
      </c>
      <c r="W1893" s="1" t="s">
        <v>40</v>
      </c>
      <c r="X1893">
        <v>316</v>
      </c>
      <c r="Y1893" s="1" t="s">
        <v>43</v>
      </c>
      <c r="Z1893" s="1" t="s">
        <v>42</v>
      </c>
      <c r="AA1893">
        <v>2.9411764705882353E-2</v>
      </c>
      <c r="AB1893" s="1" t="s">
        <v>52</v>
      </c>
      <c r="AC1893">
        <v>3</v>
      </c>
      <c r="AD1893" s="2">
        <v>44896</v>
      </c>
      <c r="AE1893" s="1" t="s">
        <v>44</v>
      </c>
      <c r="AF1893" s="1" t="s">
        <v>54</v>
      </c>
      <c r="AG1893" s="1" t="s">
        <v>63</v>
      </c>
      <c r="AH1893" s="1" t="s">
        <v>68</v>
      </c>
      <c r="AI1893">
        <v>16005</v>
      </c>
      <c r="AJ1893">
        <v>-48.5</v>
      </c>
    </row>
    <row r="1894" spans="1:36" x14ac:dyDescent="0.25">
      <c r="A1894">
        <v>11893</v>
      </c>
      <c r="B1894">
        <v>49</v>
      </c>
      <c r="C1894" s="1" t="s">
        <v>36</v>
      </c>
      <c r="D1894" s="1" t="s">
        <v>73</v>
      </c>
      <c r="E1894" s="2">
        <v>44766</v>
      </c>
      <c r="F1894" s="2">
        <v>44688</v>
      </c>
      <c r="G1894" s="1" t="s">
        <v>38</v>
      </c>
      <c r="H1894">
        <v>995</v>
      </c>
      <c r="I1894">
        <v>8</v>
      </c>
      <c r="J1894">
        <v>4</v>
      </c>
      <c r="K1894">
        <v>31.13</v>
      </c>
      <c r="L1894">
        <v>5</v>
      </c>
      <c r="M1894" s="1" t="s">
        <v>39</v>
      </c>
      <c r="N1894" s="1" t="s">
        <v>56</v>
      </c>
      <c r="O1894">
        <v>7910.25</v>
      </c>
      <c r="P1894" t="b">
        <v>0</v>
      </c>
      <c r="Q1894">
        <v>0.66666666666666663</v>
      </c>
      <c r="R1894">
        <v>988.78125</v>
      </c>
      <c r="S1894">
        <v>6.226</v>
      </c>
      <c r="T1894" s="2">
        <v>44743</v>
      </c>
      <c r="U1894" s="1" t="s">
        <v>51</v>
      </c>
      <c r="V1894">
        <v>0</v>
      </c>
      <c r="W1894" s="1" t="s">
        <v>56</v>
      </c>
      <c r="Y1894" s="1" t="s">
        <v>52</v>
      </c>
      <c r="Z1894" s="1" t="s">
        <v>42</v>
      </c>
      <c r="AA1894">
        <v>0.44444444444444442</v>
      </c>
      <c r="AB1894" s="1" t="s">
        <v>42</v>
      </c>
      <c r="AC1894">
        <v>1</v>
      </c>
      <c r="AD1894" s="2">
        <v>44743</v>
      </c>
      <c r="AE1894" s="1" t="s">
        <v>74</v>
      </c>
      <c r="AF1894" s="1" t="s">
        <v>45</v>
      </c>
      <c r="AG1894" s="1" t="s">
        <v>55</v>
      </c>
      <c r="AH1894" s="1" t="s">
        <v>59</v>
      </c>
      <c r="AI1894">
        <v>7960</v>
      </c>
      <c r="AJ1894">
        <v>-49.75</v>
      </c>
    </row>
    <row r="1895" spans="1:36" x14ac:dyDescent="0.25">
      <c r="A1895">
        <v>11894</v>
      </c>
      <c r="B1895">
        <v>58</v>
      </c>
      <c r="C1895" s="1" t="s">
        <v>36</v>
      </c>
      <c r="D1895" s="1" t="s">
        <v>76</v>
      </c>
      <c r="E1895" s="2">
        <v>44909</v>
      </c>
      <c r="F1895" s="2">
        <v>44404</v>
      </c>
      <c r="G1895" s="1" t="s">
        <v>38</v>
      </c>
      <c r="H1895">
        <v>514</v>
      </c>
      <c r="I1895">
        <v>24</v>
      </c>
      <c r="J1895">
        <v>3</v>
      </c>
      <c r="K1895">
        <v>27.18</v>
      </c>
      <c r="L1895">
        <v>15</v>
      </c>
      <c r="M1895" s="1" t="s">
        <v>39</v>
      </c>
      <c r="N1895" s="1" t="s">
        <v>56</v>
      </c>
      <c r="O1895">
        <v>12258.9</v>
      </c>
      <c r="P1895" t="b">
        <v>0</v>
      </c>
      <c r="Q1895">
        <v>2</v>
      </c>
      <c r="R1895">
        <v>510.78749999999997</v>
      </c>
      <c r="S1895">
        <v>6.7949999999999999</v>
      </c>
      <c r="T1895" s="2">
        <v>44896</v>
      </c>
      <c r="U1895" s="1" t="s">
        <v>41</v>
      </c>
      <c r="V1895">
        <v>0</v>
      </c>
      <c r="W1895" s="1" t="s">
        <v>56</v>
      </c>
      <c r="Y1895" s="1" t="s">
        <v>52</v>
      </c>
      <c r="Z1895" s="1" t="s">
        <v>42</v>
      </c>
      <c r="AA1895">
        <v>0.12</v>
      </c>
      <c r="AB1895" s="1" t="s">
        <v>52</v>
      </c>
      <c r="AC1895">
        <v>1</v>
      </c>
      <c r="AD1895" s="2">
        <v>44896</v>
      </c>
      <c r="AE1895" s="1" t="s">
        <v>53</v>
      </c>
      <c r="AF1895" s="1" t="s">
        <v>72</v>
      </c>
      <c r="AG1895" s="1" t="s">
        <v>70</v>
      </c>
      <c r="AH1895" s="1" t="s">
        <v>64</v>
      </c>
      <c r="AI1895">
        <v>12336</v>
      </c>
      <c r="AJ1895">
        <v>-77.100000000000364</v>
      </c>
    </row>
    <row r="1896" spans="1:36" x14ac:dyDescent="0.25">
      <c r="A1896">
        <v>11895</v>
      </c>
      <c r="B1896">
        <v>29</v>
      </c>
      <c r="C1896" s="1" t="s">
        <v>60</v>
      </c>
      <c r="D1896" s="1" t="s">
        <v>37</v>
      </c>
      <c r="E1896" s="2">
        <v>44933</v>
      </c>
      <c r="F1896" s="2">
        <v>44565</v>
      </c>
      <c r="G1896" s="1" t="s">
        <v>49</v>
      </c>
      <c r="H1896">
        <v>515</v>
      </c>
      <c r="I1896">
        <v>33</v>
      </c>
      <c r="J1896">
        <v>4</v>
      </c>
      <c r="K1896">
        <v>82.82</v>
      </c>
      <c r="L1896">
        <v>10</v>
      </c>
      <c r="M1896" s="1" t="s">
        <v>67</v>
      </c>
      <c r="N1896" s="1" t="s">
        <v>56</v>
      </c>
      <c r="O1896">
        <v>16943.5</v>
      </c>
      <c r="P1896" t="b">
        <v>0</v>
      </c>
      <c r="Q1896">
        <v>2.75</v>
      </c>
      <c r="R1896">
        <v>513.43939393939399</v>
      </c>
      <c r="S1896">
        <v>16.564</v>
      </c>
      <c r="T1896" s="2">
        <v>44927</v>
      </c>
      <c r="U1896" s="1" t="s">
        <v>57</v>
      </c>
      <c r="V1896">
        <v>0</v>
      </c>
      <c r="W1896" s="1" t="s">
        <v>40</v>
      </c>
      <c r="Y1896" s="1" t="s">
        <v>43</v>
      </c>
      <c r="Z1896" s="1" t="s">
        <v>42</v>
      </c>
      <c r="AA1896">
        <v>0.11764705882352941</v>
      </c>
      <c r="AB1896" s="1" t="s">
        <v>52</v>
      </c>
      <c r="AC1896">
        <v>3</v>
      </c>
      <c r="AD1896" s="2">
        <v>44927</v>
      </c>
      <c r="AE1896" s="1" t="s">
        <v>44</v>
      </c>
      <c r="AF1896" s="1" t="s">
        <v>45</v>
      </c>
      <c r="AG1896" s="1" t="s">
        <v>63</v>
      </c>
      <c r="AH1896" s="1" t="s">
        <v>64</v>
      </c>
      <c r="AI1896">
        <v>16995</v>
      </c>
      <c r="AJ1896">
        <v>-51.5</v>
      </c>
    </row>
    <row r="1897" spans="1:36" x14ac:dyDescent="0.25">
      <c r="A1897">
        <v>11896</v>
      </c>
      <c r="B1897">
        <v>25</v>
      </c>
      <c r="C1897" s="1" t="s">
        <v>75</v>
      </c>
      <c r="D1897" s="1" t="s">
        <v>71</v>
      </c>
      <c r="E1897" s="2">
        <v>44338</v>
      </c>
      <c r="F1897" s="2">
        <v>44966</v>
      </c>
      <c r="G1897" s="1" t="s">
        <v>49</v>
      </c>
      <c r="H1897">
        <v>328</v>
      </c>
      <c r="I1897">
        <v>19</v>
      </c>
      <c r="J1897">
        <v>2</v>
      </c>
      <c r="K1897">
        <v>52.69</v>
      </c>
      <c r="L1897">
        <v>10</v>
      </c>
      <c r="M1897" s="1" t="s">
        <v>50</v>
      </c>
      <c r="N1897" s="1" t="s">
        <v>56</v>
      </c>
      <c r="O1897">
        <v>6166.4</v>
      </c>
      <c r="P1897" t="b">
        <v>1</v>
      </c>
      <c r="Q1897">
        <v>1.5833333333333333</v>
      </c>
      <c r="R1897">
        <v>324.54736842105262</v>
      </c>
      <c r="S1897">
        <v>17.563333333333333</v>
      </c>
      <c r="T1897" s="2">
        <v>44317</v>
      </c>
      <c r="U1897" s="1" t="s">
        <v>66</v>
      </c>
      <c r="V1897">
        <v>0</v>
      </c>
      <c r="W1897" s="1" t="s">
        <v>56</v>
      </c>
      <c r="X1897">
        <v>628</v>
      </c>
      <c r="Y1897" s="1" t="s">
        <v>52</v>
      </c>
      <c r="Z1897" s="1" t="s">
        <v>42</v>
      </c>
      <c r="AA1897">
        <v>0.1</v>
      </c>
      <c r="AB1897" s="1" t="s">
        <v>42</v>
      </c>
      <c r="AC1897">
        <v>3</v>
      </c>
      <c r="AD1897" s="2">
        <v>44317</v>
      </c>
      <c r="AE1897" s="1" t="s">
        <v>53</v>
      </c>
      <c r="AF1897" s="1" t="s">
        <v>72</v>
      </c>
      <c r="AG1897" s="1" t="s">
        <v>63</v>
      </c>
      <c r="AH1897" s="1" t="s">
        <v>68</v>
      </c>
      <c r="AI1897">
        <v>6232</v>
      </c>
      <c r="AJ1897">
        <v>-65.600000000000364</v>
      </c>
    </row>
    <row r="1898" spans="1:36" x14ac:dyDescent="0.25">
      <c r="A1898">
        <v>11897</v>
      </c>
      <c r="B1898">
        <v>25</v>
      </c>
      <c r="C1898" s="1" t="s">
        <v>36</v>
      </c>
      <c r="D1898" s="1" t="s">
        <v>69</v>
      </c>
      <c r="E1898" s="2">
        <v>45089</v>
      </c>
      <c r="F1898" s="2">
        <v>45163</v>
      </c>
      <c r="G1898" s="1" t="s">
        <v>49</v>
      </c>
      <c r="H1898">
        <v>401</v>
      </c>
      <c r="I1898">
        <v>2</v>
      </c>
      <c r="J1898">
        <v>1</v>
      </c>
      <c r="K1898">
        <v>62.59</v>
      </c>
      <c r="L1898">
        <v>15</v>
      </c>
      <c r="M1898" s="1" t="s">
        <v>65</v>
      </c>
      <c r="N1898" s="1" t="s">
        <v>56</v>
      </c>
      <c r="O1898">
        <v>741.85</v>
      </c>
      <c r="P1898" t="b">
        <v>1</v>
      </c>
      <c r="Q1898">
        <v>0.16666666666666666</v>
      </c>
      <c r="R1898">
        <v>370.92500000000001</v>
      </c>
      <c r="S1898">
        <v>31.295000000000002</v>
      </c>
      <c r="T1898" s="2">
        <v>45078</v>
      </c>
      <c r="U1898" s="1" t="s">
        <v>66</v>
      </c>
      <c r="V1898">
        <v>0</v>
      </c>
      <c r="W1898" s="1" t="s">
        <v>56</v>
      </c>
      <c r="X1898">
        <v>74</v>
      </c>
      <c r="Y1898" s="1" t="s">
        <v>43</v>
      </c>
      <c r="Z1898" s="1" t="s">
        <v>42</v>
      </c>
      <c r="AA1898">
        <v>0.33333333333333331</v>
      </c>
      <c r="AB1898" s="1" t="s">
        <v>42</v>
      </c>
      <c r="AC1898">
        <v>3</v>
      </c>
      <c r="AD1898" s="2">
        <v>45078</v>
      </c>
      <c r="AE1898" s="1" t="s">
        <v>58</v>
      </c>
      <c r="AF1898" s="1" t="s">
        <v>54</v>
      </c>
      <c r="AG1898" s="1" t="s">
        <v>63</v>
      </c>
      <c r="AH1898" s="1" t="s">
        <v>68</v>
      </c>
      <c r="AI1898">
        <v>802</v>
      </c>
      <c r="AJ1898">
        <v>-60.149999999999977</v>
      </c>
    </row>
    <row r="1899" spans="1:36" x14ac:dyDescent="0.25">
      <c r="A1899">
        <v>11898</v>
      </c>
      <c r="B1899">
        <v>45</v>
      </c>
      <c r="C1899" s="1" t="s">
        <v>36</v>
      </c>
      <c r="D1899" s="1" t="s">
        <v>76</v>
      </c>
      <c r="E1899" s="2">
        <v>44564</v>
      </c>
      <c r="F1899" s="2">
        <v>45032</v>
      </c>
      <c r="G1899" s="1" t="s">
        <v>49</v>
      </c>
      <c r="H1899">
        <v>422</v>
      </c>
      <c r="I1899">
        <v>11</v>
      </c>
      <c r="J1899">
        <v>1</v>
      </c>
      <c r="K1899">
        <v>44.89</v>
      </c>
      <c r="L1899">
        <v>5</v>
      </c>
      <c r="M1899" s="1" t="s">
        <v>67</v>
      </c>
      <c r="N1899" s="1" t="s">
        <v>40</v>
      </c>
      <c r="O1899">
        <v>4620.8999999999996</v>
      </c>
      <c r="P1899" t="b">
        <v>1</v>
      </c>
      <c r="Q1899">
        <v>0.91666666666666663</v>
      </c>
      <c r="R1899">
        <v>420.08181818181816</v>
      </c>
      <c r="S1899">
        <v>22.445</v>
      </c>
      <c r="T1899" s="2">
        <v>44562</v>
      </c>
      <c r="U1899" s="1" t="s">
        <v>51</v>
      </c>
      <c r="V1899">
        <v>1</v>
      </c>
      <c r="W1899" s="1" t="s">
        <v>56</v>
      </c>
      <c r="X1899">
        <v>468</v>
      </c>
      <c r="Y1899" s="1" t="s">
        <v>52</v>
      </c>
      <c r="Z1899" s="1" t="s">
        <v>42</v>
      </c>
      <c r="AA1899">
        <v>8.3333333333333329E-2</v>
      </c>
      <c r="AB1899" s="1" t="s">
        <v>42</v>
      </c>
      <c r="AC1899">
        <v>3</v>
      </c>
      <c r="AD1899" s="2">
        <v>44562</v>
      </c>
      <c r="AE1899" s="1" t="s">
        <v>74</v>
      </c>
      <c r="AF1899" s="1" t="s">
        <v>54</v>
      </c>
      <c r="AG1899" s="1" t="s">
        <v>55</v>
      </c>
      <c r="AH1899" s="1" t="s">
        <v>68</v>
      </c>
      <c r="AI1899">
        <v>4642</v>
      </c>
      <c r="AJ1899">
        <v>-21.100000000000364</v>
      </c>
    </row>
    <row r="1900" spans="1:36" x14ac:dyDescent="0.25">
      <c r="A1900">
        <v>11899</v>
      </c>
      <c r="B1900">
        <v>37</v>
      </c>
      <c r="C1900" s="1" t="s">
        <v>60</v>
      </c>
      <c r="D1900" s="1" t="s">
        <v>73</v>
      </c>
      <c r="E1900" s="2">
        <v>44280</v>
      </c>
      <c r="F1900" s="2">
        <v>45078</v>
      </c>
      <c r="G1900" s="1" t="s">
        <v>38</v>
      </c>
      <c r="H1900">
        <v>353</v>
      </c>
      <c r="I1900">
        <v>35</v>
      </c>
      <c r="J1900">
        <v>2</v>
      </c>
      <c r="K1900">
        <v>97.78</v>
      </c>
      <c r="L1900">
        <v>10</v>
      </c>
      <c r="M1900" s="1" t="s">
        <v>50</v>
      </c>
      <c r="N1900" s="1" t="s">
        <v>56</v>
      </c>
      <c r="O1900">
        <v>12319.7</v>
      </c>
      <c r="P1900" t="b">
        <v>1</v>
      </c>
      <c r="Q1900">
        <v>2.9166666666666665</v>
      </c>
      <c r="R1900">
        <v>351.99142857142857</v>
      </c>
      <c r="S1900">
        <v>32.593333333333334</v>
      </c>
      <c r="T1900" s="2">
        <v>44256</v>
      </c>
      <c r="U1900" s="1" t="s">
        <v>51</v>
      </c>
      <c r="V1900">
        <v>0</v>
      </c>
      <c r="W1900" s="1" t="s">
        <v>56</v>
      </c>
      <c r="X1900">
        <v>798</v>
      </c>
      <c r="Y1900" s="1" t="s">
        <v>43</v>
      </c>
      <c r="Z1900" s="1" t="s">
        <v>42</v>
      </c>
      <c r="AA1900">
        <v>5.5555555555555552E-2</v>
      </c>
      <c r="AB1900" s="1" t="s">
        <v>52</v>
      </c>
      <c r="AC1900">
        <v>1</v>
      </c>
      <c r="AD1900" s="2">
        <v>44256</v>
      </c>
      <c r="AE1900" s="1" t="s">
        <v>44</v>
      </c>
      <c r="AF1900" s="1" t="s">
        <v>72</v>
      </c>
      <c r="AG1900" s="1" t="s">
        <v>63</v>
      </c>
      <c r="AH1900" s="1" t="s">
        <v>68</v>
      </c>
      <c r="AI1900">
        <v>12355</v>
      </c>
      <c r="AJ1900">
        <v>-35.299999999999272</v>
      </c>
    </row>
    <row r="1901" spans="1:36" x14ac:dyDescent="0.25">
      <c r="A1901">
        <v>11900</v>
      </c>
      <c r="B1901">
        <v>64</v>
      </c>
      <c r="C1901" s="1" t="s">
        <v>60</v>
      </c>
      <c r="D1901" s="1" t="s">
        <v>73</v>
      </c>
      <c r="E1901" s="2">
        <v>44339</v>
      </c>
      <c r="F1901" s="2">
        <v>44811</v>
      </c>
      <c r="G1901" s="1" t="s">
        <v>49</v>
      </c>
      <c r="H1901">
        <v>1440</v>
      </c>
      <c r="I1901">
        <v>17</v>
      </c>
      <c r="J1901">
        <v>2</v>
      </c>
      <c r="K1901">
        <v>96.7</v>
      </c>
      <c r="L1901">
        <v>15</v>
      </c>
      <c r="M1901" s="1" t="s">
        <v>50</v>
      </c>
      <c r="N1901" s="1" t="s">
        <v>40</v>
      </c>
      <c r="O1901">
        <v>24264</v>
      </c>
      <c r="P1901" t="b">
        <v>1</v>
      </c>
      <c r="Q1901">
        <v>1.4166666666666667</v>
      </c>
      <c r="R1901">
        <v>1427.2941176470588</v>
      </c>
      <c r="S1901">
        <v>32.233333333333334</v>
      </c>
      <c r="T1901" s="2">
        <v>44317</v>
      </c>
      <c r="U1901" s="1" t="s">
        <v>41</v>
      </c>
      <c r="V1901">
        <v>1</v>
      </c>
      <c r="W1901" s="1" t="s">
        <v>40</v>
      </c>
      <c r="X1901">
        <v>472</v>
      </c>
      <c r="Y1901" s="1" t="s">
        <v>43</v>
      </c>
      <c r="Z1901" s="1" t="s">
        <v>42</v>
      </c>
      <c r="AA1901">
        <v>0.1111111111111111</v>
      </c>
      <c r="AB1901" s="1" t="s">
        <v>43</v>
      </c>
      <c r="AC1901">
        <v>3</v>
      </c>
      <c r="AD1901" s="2">
        <v>44317</v>
      </c>
      <c r="AE1901" s="1" t="s">
        <v>53</v>
      </c>
      <c r="AF1901" s="1" t="s">
        <v>72</v>
      </c>
      <c r="AG1901" s="1" t="s">
        <v>63</v>
      </c>
      <c r="AH1901" s="1" t="s">
        <v>47</v>
      </c>
      <c r="AI1901">
        <v>24480</v>
      </c>
      <c r="AJ1901">
        <v>-216</v>
      </c>
    </row>
    <row r="1902" spans="1:36" x14ac:dyDescent="0.25">
      <c r="A1902">
        <v>11901</v>
      </c>
      <c r="B1902">
        <v>24</v>
      </c>
      <c r="C1902" s="1" t="s">
        <v>36</v>
      </c>
      <c r="D1902" s="1" t="s">
        <v>69</v>
      </c>
      <c r="E1902" s="2">
        <v>44548</v>
      </c>
      <c r="F1902" s="2">
        <v>44594</v>
      </c>
      <c r="G1902" s="1" t="s">
        <v>38</v>
      </c>
      <c r="H1902">
        <v>915</v>
      </c>
      <c r="I1902">
        <v>3</v>
      </c>
      <c r="J1902">
        <v>2</v>
      </c>
      <c r="K1902">
        <v>61.89</v>
      </c>
      <c r="L1902">
        <v>15</v>
      </c>
      <c r="M1902" s="1" t="s">
        <v>67</v>
      </c>
      <c r="N1902" s="1" t="s">
        <v>56</v>
      </c>
      <c r="O1902">
        <v>2607.75</v>
      </c>
      <c r="P1902" t="b">
        <v>1</v>
      </c>
      <c r="Q1902">
        <v>0.25</v>
      </c>
      <c r="R1902">
        <v>869.25</v>
      </c>
      <c r="S1902">
        <v>20.63</v>
      </c>
      <c r="T1902" s="2">
        <v>44531</v>
      </c>
      <c r="U1902" s="1" t="s">
        <v>66</v>
      </c>
      <c r="V1902">
        <v>0</v>
      </c>
      <c r="W1902" s="1" t="s">
        <v>56</v>
      </c>
      <c r="X1902">
        <v>46</v>
      </c>
      <c r="Y1902" s="1" t="s">
        <v>43</v>
      </c>
      <c r="Z1902" s="1" t="s">
        <v>42</v>
      </c>
      <c r="AA1902">
        <v>0.5</v>
      </c>
      <c r="AB1902" s="1" t="s">
        <v>42</v>
      </c>
      <c r="AC1902">
        <v>1</v>
      </c>
      <c r="AD1902" s="2">
        <v>44531</v>
      </c>
      <c r="AE1902" s="1" t="s">
        <v>58</v>
      </c>
      <c r="AF1902" s="1" t="s">
        <v>72</v>
      </c>
      <c r="AG1902" s="1" t="s">
        <v>63</v>
      </c>
      <c r="AH1902" s="1" t="s">
        <v>59</v>
      </c>
      <c r="AI1902">
        <v>2745</v>
      </c>
      <c r="AJ1902">
        <v>-137.25</v>
      </c>
    </row>
    <row r="1903" spans="1:36" x14ac:dyDescent="0.25">
      <c r="A1903">
        <v>11902</v>
      </c>
      <c r="B1903">
        <v>28</v>
      </c>
      <c r="C1903" s="1" t="s">
        <v>60</v>
      </c>
      <c r="D1903" s="1" t="s">
        <v>61</v>
      </c>
      <c r="E1903" s="2">
        <v>44741</v>
      </c>
      <c r="F1903" s="2">
        <v>45077</v>
      </c>
      <c r="G1903" s="1" t="s">
        <v>49</v>
      </c>
      <c r="H1903">
        <v>856</v>
      </c>
      <c r="I1903">
        <v>22</v>
      </c>
      <c r="J1903">
        <v>4</v>
      </c>
      <c r="K1903">
        <v>59.35</v>
      </c>
      <c r="L1903">
        <v>20</v>
      </c>
      <c r="M1903" s="1" t="s">
        <v>39</v>
      </c>
      <c r="N1903" s="1" t="s">
        <v>56</v>
      </c>
      <c r="O1903">
        <v>18660.8</v>
      </c>
      <c r="P1903" t="b">
        <v>1</v>
      </c>
      <c r="Q1903">
        <v>1.8333333333333333</v>
      </c>
      <c r="R1903">
        <v>848.21818181818173</v>
      </c>
      <c r="S1903">
        <v>11.870000000000001</v>
      </c>
      <c r="T1903" s="2">
        <v>44713</v>
      </c>
      <c r="U1903" s="1" t="s">
        <v>57</v>
      </c>
      <c r="V1903">
        <v>0</v>
      </c>
      <c r="W1903" s="1" t="s">
        <v>40</v>
      </c>
      <c r="X1903">
        <v>336</v>
      </c>
      <c r="Y1903" s="1" t="s">
        <v>52</v>
      </c>
      <c r="Z1903" s="1" t="s">
        <v>52</v>
      </c>
      <c r="AA1903">
        <v>0.17391304347826086</v>
      </c>
      <c r="AB1903" s="1" t="s">
        <v>52</v>
      </c>
      <c r="AC1903">
        <v>3</v>
      </c>
      <c r="AD1903" s="2">
        <v>44713</v>
      </c>
      <c r="AE1903" s="1" t="s">
        <v>53</v>
      </c>
      <c r="AF1903" s="1" t="s">
        <v>45</v>
      </c>
      <c r="AG1903" s="1" t="s">
        <v>63</v>
      </c>
      <c r="AH1903" s="1" t="s">
        <v>59</v>
      </c>
      <c r="AI1903">
        <v>18832</v>
      </c>
      <c r="AJ1903">
        <v>-171.20000000000073</v>
      </c>
    </row>
    <row r="1904" spans="1:36" x14ac:dyDescent="0.25">
      <c r="A1904">
        <v>11903</v>
      </c>
      <c r="B1904">
        <v>37</v>
      </c>
      <c r="C1904" s="1" t="s">
        <v>36</v>
      </c>
      <c r="D1904" s="1" t="s">
        <v>73</v>
      </c>
      <c r="E1904" s="2">
        <v>44348</v>
      </c>
      <c r="F1904" s="2">
        <v>44720</v>
      </c>
      <c r="G1904" s="1" t="s">
        <v>62</v>
      </c>
      <c r="H1904">
        <v>413</v>
      </c>
      <c r="I1904">
        <v>35</v>
      </c>
      <c r="J1904">
        <v>1</v>
      </c>
      <c r="K1904">
        <v>71.64</v>
      </c>
      <c r="L1904">
        <v>15</v>
      </c>
      <c r="M1904" s="1" t="s">
        <v>39</v>
      </c>
      <c r="N1904" s="1" t="s">
        <v>56</v>
      </c>
      <c r="O1904">
        <v>14393.05</v>
      </c>
      <c r="P1904" t="b">
        <v>1</v>
      </c>
      <c r="Q1904">
        <v>2.9166666666666665</v>
      </c>
      <c r="R1904">
        <v>411.22999999999996</v>
      </c>
      <c r="S1904">
        <v>35.82</v>
      </c>
      <c r="T1904" s="2">
        <v>44348</v>
      </c>
      <c r="U1904" s="1" t="s">
        <v>51</v>
      </c>
      <c r="V1904">
        <v>0</v>
      </c>
      <c r="W1904" s="1" t="s">
        <v>40</v>
      </c>
      <c r="X1904">
        <v>372</v>
      </c>
      <c r="Y1904" s="1" t="s">
        <v>43</v>
      </c>
      <c r="Z1904" s="1" t="s">
        <v>42</v>
      </c>
      <c r="AA1904">
        <v>2.7777777777777776E-2</v>
      </c>
      <c r="AB1904" s="1" t="s">
        <v>52</v>
      </c>
      <c r="AC1904">
        <v>2</v>
      </c>
      <c r="AD1904" s="2">
        <v>44348</v>
      </c>
      <c r="AE1904" s="1" t="s">
        <v>44</v>
      </c>
      <c r="AF1904" s="1" t="s">
        <v>54</v>
      </c>
      <c r="AG1904" s="1" t="s">
        <v>63</v>
      </c>
      <c r="AH1904" s="1" t="s">
        <v>68</v>
      </c>
      <c r="AI1904">
        <v>14455</v>
      </c>
      <c r="AJ1904">
        <v>-61.950000000000728</v>
      </c>
    </row>
    <row r="1905" spans="1:36" x14ac:dyDescent="0.25">
      <c r="A1905">
        <v>11904</v>
      </c>
      <c r="B1905">
        <v>33</v>
      </c>
      <c r="C1905" s="1" t="s">
        <v>36</v>
      </c>
      <c r="D1905" s="1" t="s">
        <v>71</v>
      </c>
      <c r="E1905" s="2">
        <v>44354</v>
      </c>
      <c r="F1905" s="2">
        <v>44764</v>
      </c>
      <c r="G1905" s="1" t="s">
        <v>62</v>
      </c>
      <c r="H1905">
        <v>1154</v>
      </c>
      <c r="I1905">
        <v>21</v>
      </c>
      <c r="J1905">
        <v>2</v>
      </c>
      <c r="K1905">
        <v>30.23</v>
      </c>
      <c r="L1905">
        <v>10</v>
      </c>
      <c r="M1905" s="1" t="s">
        <v>67</v>
      </c>
      <c r="N1905" s="1" t="s">
        <v>56</v>
      </c>
      <c r="O1905">
        <v>24118.6</v>
      </c>
      <c r="P1905" t="b">
        <v>1</v>
      </c>
      <c r="Q1905">
        <v>1.75</v>
      </c>
      <c r="R1905">
        <v>1148.5047619047618</v>
      </c>
      <c r="S1905">
        <v>10.076666666666666</v>
      </c>
      <c r="T1905" s="2">
        <v>44348</v>
      </c>
      <c r="U1905" s="1" t="s">
        <v>57</v>
      </c>
      <c r="V1905">
        <v>0</v>
      </c>
      <c r="W1905" s="1" t="s">
        <v>40</v>
      </c>
      <c r="X1905">
        <v>410</v>
      </c>
      <c r="Y1905" s="1" t="s">
        <v>52</v>
      </c>
      <c r="Z1905" s="1" t="s">
        <v>42</v>
      </c>
      <c r="AA1905">
        <v>9.0909090909090912E-2</v>
      </c>
      <c r="AB1905" s="1" t="s">
        <v>43</v>
      </c>
      <c r="AC1905">
        <v>2</v>
      </c>
      <c r="AD1905" s="2">
        <v>44348</v>
      </c>
      <c r="AE1905" s="1" t="s">
        <v>53</v>
      </c>
      <c r="AF1905" s="1" t="s">
        <v>72</v>
      </c>
      <c r="AG1905" s="1" t="s">
        <v>55</v>
      </c>
      <c r="AH1905" s="1" t="s">
        <v>47</v>
      </c>
      <c r="AI1905">
        <v>24234</v>
      </c>
      <c r="AJ1905">
        <v>-115.40000000000146</v>
      </c>
    </row>
    <row r="1906" spans="1:36" x14ac:dyDescent="0.25">
      <c r="A1906">
        <v>11905</v>
      </c>
      <c r="B1906">
        <v>21</v>
      </c>
      <c r="C1906" s="1" t="s">
        <v>60</v>
      </c>
      <c r="D1906" s="1" t="s">
        <v>37</v>
      </c>
      <c r="E1906" s="2">
        <v>44642</v>
      </c>
      <c r="F1906" s="2">
        <v>44378</v>
      </c>
      <c r="G1906" s="1" t="s">
        <v>62</v>
      </c>
      <c r="H1906">
        <v>975</v>
      </c>
      <c r="I1906">
        <v>25</v>
      </c>
      <c r="J1906">
        <v>1</v>
      </c>
      <c r="K1906">
        <v>62.59</v>
      </c>
      <c r="L1906">
        <v>0</v>
      </c>
      <c r="M1906" s="1" t="s">
        <v>50</v>
      </c>
      <c r="N1906" s="1" t="s">
        <v>56</v>
      </c>
      <c r="O1906">
        <v>24375</v>
      </c>
      <c r="P1906" t="b">
        <v>0</v>
      </c>
      <c r="Q1906">
        <v>2.0833333333333335</v>
      </c>
      <c r="R1906">
        <v>975</v>
      </c>
      <c r="S1906">
        <v>31.295000000000002</v>
      </c>
      <c r="T1906" s="2">
        <v>44621</v>
      </c>
      <c r="U1906" s="1" t="s">
        <v>66</v>
      </c>
      <c r="V1906">
        <v>0</v>
      </c>
      <c r="W1906" s="1" t="s">
        <v>40</v>
      </c>
      <c r="Y1906" s="1" t="s">
        <v>43</v>
      </c>
      <c r="Z1906" s="1" t="s">
        <v>42</v>
      </c>
      <c r="AA1906">
        <v>3.8461538461538464E-2</v>
      </c>
      <c r="AB1906" s="1" t="s">
        <v>43</v>
      </c>
      <c r="AC1906">
        <v>2</v>
      </c>
      <c r="AD1906" s="2">
        <v>44621</v>
      </c>
      <c r="AE1906" s="1" t="s">
        <v>44</v>
      </c>
      <c r="AF1906" s="1" t="s">
        <v>54</v>
      </c>
      <c r="AG1906" s="1" t="s">
        <v>63</v>
      </c>
      <c r="AH1906" s="1" t="s">
        <v>59</v>
      </c>
      <c r="AI1906">
        <v>24375</v>
      </c>
      <c r="AJ1906">
        <v>0</v>
      </c>
    </row>
    <row r="1907" spans="1:36" x14ac:dyDescent="0.25">
      <c r="A1907">
        <v>11906</v>
      </c>
      <c r="B1907">
        <v>23</v>
      </c>
      <c r="C1907" s="1" t="s">
        <v>36</v>
      </c>
      <c r="D1907" s="1" t="s">
        <v>71</v>
      </c>
      <c r="E1907" s="2">
        <v>44849</v>
      </c>
      <c r="F1907" s="2">
        <v>44715</v>
      </c>
      <c r="G1907" s="1" t="s">
        <v>38</v>
      </c>
      <c r="H1907">
        <v>1276</v>
      </c>
      <c r="I1907">
        <v>2</v>
      </c>
      <c r="J1907">
        <v>1</v>
      </c>
      <c r="K1907">
        <v>6.27</v>
      </c>
      <c r="L1907">
        <v>10</v>
      </c>
      <c r="M1907" s="1" t="s">
        <v>65</v>
      </c>
      <c r="N1907" s="1" t="s">
        <v>56</v>
      </c>
      <c r="O1907">
        <v>2424.4</v>
      </c>
      <c r="P1907" t="b">
        <v>0</v>
      </c>
      <c r="Q1907">
        <v>0.16666666666666666</v>
      </c>
      <c r="R1907">
        <v>1212.2</v>
      </c>
      <c r="S1907">
        <v>3.1349999999999998</v>
      </c>
      <c r="T1907" s="2">
        <v>44835</v>
      </c>
      <c r="U1907" s="1" t="s">
        <v>66</v>
      </c>
      <c r="V1907">
        <v>0</v>
      </c>
      <c r="W1907" s="1" t="s">
        <v>56</v>
      </c>
      <c r="Y1907" s="1" t="s">
        <v>42</v>
      </c>
      <c r="Z1907" s="1" t="s">
        <v>42</v>
      </c>
      <c r="AA1907">
        <v>0.33333333333333331</v>
      </c>
      <c r="AB1907" s="1" t="s">
        <v>42</v>
      </c>
      <c r="AC1907">
        <v>1</v>
      </c>
      <c r="AD1907" s="2">
        <v>44835</v>
      </c>
      <c r="AE1907" s="1" t="s">
        <v>58</v>
      </c>
      <c r="AF1907" s="1" t="s">
        <v>54</v>
      </c>
      <c r="AG1907" s="1" t="s">
        <v>77</v>
      </c>
      <c r="AH1907" s="1" t="s">
        <v>47</v>
      </c>
      <c r="AI1907">
        <v>2552</v>
      </c>
      <c r="AJ1907">
        <v>-127.59999999999991</v>
      </c>
    </row>
    <row r="1908" spans="1:36" x14ac:dyDescent="0.25">
      <c r="A1908">
        <v>11907</v>
      </c>
      <c r="B1908">
        <v>39</v>
      </c>
      <c r="C1908" s="1" t="s">
        <v>36</v>
      </c>
      <c r="D1908" s="1" t="s">
        <v>61</v>
      </c>
      <c r="E1908" s="2">
        <v>44959</v>
      </c>
      <c r="F1908" s="2">
        <v>44906</v>
      </c>
      <c r="G1908" s="1" t="s">
        <v>38</v>
      </c>
      <c r="H1908">
        <v>1000</v>
      </c>
      <c r="I1908">
        <v>1</v>
      </c>
      <c r="J1908">
        <v>3</v>
      </c>
      <c r="K1908">
        <v>59.69</v>
      </c>
      <c r="L1908">
        <v>10</v>
      </c>
      <c r="M1908" s="1" t="s">
        <v>50</v>
      </c>
      <c r="N1908" s="1" t="s">
        <v>56</v>
      </c>
      <c r="O1908">
        <v>900</v>
      </c>
      <c r="P1908" t="b">
        <v>0</v>
      </c>
      <c r="Q1908">
        <v>8.3333333333333329E-2</v>
      </c>
      <c r="R1908">
        <v>900</v>
      </c>
      <c r="S1908">
        <v>14.922499999999999</v>
      </c>
      <c r="T1908" s="2">
        <v>44958</v>
      </c>
      <c r="U1908" s="1" t="s">
        <v>51</v>
      </c>
      <c r="V1908">
        <v>0</v>
      </c>
      <c r="W1908" s="1" t="s">
        <v>56</v>
      </c>
      <c r="Y1908" s="1" t="s">
        <v>52</v>
      </c>
      <c r="Z1908" s="1" t="s">
        <v>42</v>
      </c>
      <c r="AA1908">
        <v>1.5</v>
      </c>
      <c r="AB1908" s="1" t="s">
        <v>42</v>
      </c>
      <c r="AC1908">
        <v>1</v>
      </c>
      <c r="AD1908" s="2">
        <v>44958</v>
      </c>
      <c r="AE1908" s="1" t="s">
        <v>58</v>
      </c>
      <c r="AF1908" s="1" t="s">
        <v>72</v>
      </c>
      <c r="AG1908" s="1" t="s">
        <v>63</v>
      </c>
      <c r="AH1908" s="1" t="s">
        <v>59</v>
      </c>
      <c r="AI1908">
        <v>1000</v>
      </c>
      <c r="AJ1908">
        <v>-100</v>
      </c>
    </row>
    <row r="1909" spans="1:36" x14ac:dyDescent="0.25">
      <c r="A1909">
        <v>11908</v>
      </c>
      <c r="B1909">
        <v>43</v>
      </c>
      <c r="C1909" s="1" t="s">
        <v>36</v>
      </c>
      <c r="D1909" s="1" t="s">
        <v>71</v>
      </c>
      <c r="E1909" s="2">
        <v>44499</v>
      </c>
      <c r="F1909" s="2">
        <v>44993</v>
      </c>
      <c r="G1909" s="1" t="s">
        <v>49</v>
      </c>
      <c r="H1909">
        <v>591</v>
      </c>
      <c r="I1909">
        <v>7</v>
      </c>
      <c r="J1909">
        <v>1</v>
      </c>
      <c r="K1909">
        <v>43.65</v>
      </c>
      <c r="L1909">
        <v>20</v>
      </c>
      <c r="M1909" s="1" t="s">
        <v>65</v>
      </c>
      <c r="N1909" s="1" t="s">
        <v>56</v>
      </c>
      <c r="O1909">
        <v>4018.8</v>
      </c>
      <c r="P1909" t="b">
        <v>1</v>
      </c>
      <c r="Q1909">
        <v>0.58333333333333337</v>
      </c>
      <c r="R1909">
        <v>574.11428571428576</v>
      </c>
      <c r="S1909">
        <v>21.824999999999999</v>
      </c>
      <c r="T1909" s="2">
        <v>44470</v>
      </c>
      <c r="U1909" s="1" t="s">
        <v>51</v>
      </c>
      <c r="V1909">
        <v>0</v>
      </c>
      <c r="W1909" s="1" t="s">
        <v>56</v>
      </c>
      <c r="X1909">
        <v>494</v>
      </c>
      <c r="Y1909" s="1" t="s">
        <v>52</v>
      </c>
      <c r="Z1909" s="1" t="s">
        <v>52</v>
      </c>
      <c r="AA1909">
        <v>0.125</v>
      </c>
      <c r="AB1909" s="1" t="s">
        <v>42</v>
      </c>
      <c r="AC1909">
        <v>3</v>
      </c>
      <c r="AD1909" s="2">
        <v>44470</v>
      </c>
      <c r="AE1909" s="1" t="s">
        <v>74</v>
      </c>
      <c r="AF1909" s="1" t="s">
        <v>54</v>
      </c>
      <c r="AG1909" s="1" t="s">
        <v>55</v>
      </c>
      <c r="AH1909" s="1" t="s">
        <v>64</v>
      </c>
      <c r="AI1909">
        <v>4137</v>
      </c>
      <c r="AJ1909">
        <v>-118.19999999999982</v>
      </c>
    </row>
    <row r="1910" spans="1:36" x14ac:dyDescent="0.25">
      <c r="A1910">
        <v>11909</v>
      </c>
      <c r="B1910">
        <v>20</v>
      </c>
      <c r="C1910" s="1" t="s">
        <v>36</v>
      </c>
      <c r="D1910" s="1" t="s">
        <v>71</v>
      </c>
      <c r="E1910" s="2">
        <v>44820</v>
      </c>
      <c r="F1910" s="2">
        <v>44455</v>
      </c>
      <c r="G1910" s="1" t="s">
        <v>49</v>
      </c>
      <c r="H1910">
        <v>560</v>
      </c>
      <c r="I1910">
        <v>20</v>
      </c>
      <c r="J1910">
        <v>4</v>
      </c>
      <c r="K1910">
        <v>82.61</v>
      </c>
      <c r="L1910">
        <v>20</v>
      </c>
      <c r="M1910" s="1" t="s">
        <v>65</v>
      </c>
      <c r="N1910" s="1" t="s">
        <v>56</v>
      </c>
      <c r="O1910">
        <v>11088</v>
      </c>
      <c r="P1910" t="b">
        <v>0</v>
      </c>
      <c r="Q1910">
        <v>1.6666666666666667</v>
      </c>
      <c r="R1910">
        <v>554.4</v>
      </c>
      <c r="S1910">
        <v>16.521999999999998</v>
      </c>
      <c r="T1910" s="2">
        <v>44805</v>
      </c>
      <c r="U1910" s="1" t="s">
        <v>66</v>
      </c>
      <c r="V1910">
        <v>0</v>
      </c>
      <c r="W1910" s="1" t="s">
        <v>56</v>
      </c>
      <c r="Y1910" s="1" t="s">
        <v>43</v>
      </c>
      <c r="Z1910" s="1" t="s">
        <v>52</v>
      </c>
      <c r="AA1910">
        <v>0.19047619047619047</v>
      </c>
      <c r="AB1910" s="1" t="s">
        <v>52</v>
      </c>
      <c r="AC1910">
        <v>3</v>
      </c>
      <c r="AD1910" s="2">
        <v>44805</v>
      </c>
      <c r="AE1910" s="1" t="s">
        <v>53</v>
      </c>
      <c r="AF1910" s="1" t="s">
        <v>45</v>
      </c>
      <c r="AG1910" s="1" t="s">
        <v>63</v>
      </c>
      <c r="AH1910" s="1" t="s">
        <v>64</v>
      </c>
      <c r="AI1910">
        <v>11200</v>
      </c>
      <c r="AJ1910">
        <v>-112</v>
      </c>
    </row>
    <row r="1911" spans="1:36" x14ac:dyDescent="0.25">
      <c r="A1911">
        <v>11910</v>
      </c>
      <c r="B1911">
        <v>58</v>
      </c>
      <c r="C1911" s="1" t="s">
        <v>60</v>
      </c>
      <c r="D1911" s="1" t="s">
        <v>48</v>
      </c>
      <c r="E1911" s="2">
        <v>44852</v>
      </c>
      <c r="F1911" s="2">
        <v>44931</v>
      </c>
      <c r="G1911" s="1" t="s">
        <v>38</v>
      </c>
      <c r="H1911">
        <v>863</v>
      </c>
      <c r="I1911">
        <v>6</v>
      </c>
      <c r="J1911">
        <v>2</v>
      </c>
      <c r="K1911">
        <v>78.41</v>
      </c>
      <c r="L1911">
        <v>15</v>
      </c>
      <c r="M1911" s="1" t="s">
        <v>50</v>
      </c>
      <c r="N1911" s="1" t="s">
        <v>56</v>
      </c>
      <c r="O1911">
        <v>5048.55</v>
      </c>
      <c r="P1911" t="b">
        <v>1</v>
      </c>
      <c r="Q1911">
        <v>0.5</v>
      </c>
      <c r="R1911">
        <v>841.42500000000007</v>
      </c>
      <c r="S1911">
        <v>26.136666666666667</v>
      </c>
      <c r="T1911" s="2">
        <v>44835</v>
      </c>
      <c r="U1911" s="1" t="s">
        <v>41</v>
      </c>
      <c r="V1911">
        <v>0</v>
      </c>
      <c r="W1911" s="1" t="s">
        <v>56</v>
      </c>
      <c r="X1911">
        <v>79</v>
      </c>
      <c r="Y1911" s="1" t="s">
        <v>43</v>
      </c>
      <c r="Z1911" s="1" t="s">
        <v>42</v>
      </c>
      <c r="AA1911">
        <v>0.2857142857142857</v>
      </c>
      <c r="AB1911" s="1" t="s">
        <v>42</v>
      </c>
      <c r="AC1911">
        <v>1</v>
      </c>
      <c r="AD1911" s="2">
        <v>44835</v>
      </c>
      <c r="AE1911" s="1" t="s">
        <v>58</v>
      </c>
      <c r="AF1911" s="1" t="s">
        <v>72</v>
      </c>
      <c r="AG1911" s="1" t="s">
        <v>63</v>
      </c>
      <c r="AH1911" s="1" t="s">
        <v>59</v>
      </c>
      <c r="AI1911">
        <v>5178</v>
      </c>
      <c r="AJ1911">
        <v>-129.44999999999982</v>
      </c>
    </row>
    <row r="1912" spans="1:36" x14ac:dyDescent="0.25">
      <c r="A1912">
        <v>11911</v>
      </c>
      <c r="B1912">
        <v>59</v>
      </c>
      <c r="C1912" s="1" t="s">
        <v>36</v>
      </c>
      <c r="D1912" s="1" t="s">
        <v>76</v>
      </c>
      <c r="E1912" s="2">
        <v>44646</v>
      </c>
      <c r="F1912" s="2">
        <v>45186</v>
      </c>
      <c r="G1912" s="1" t="s">
        <v>62</v>
      </c>
      <c r="H1912">
        <v>348</v>
      </c>
      <c r="I1912">
        <v>21</v>
      </c>
      <c r="J1912">
        <v>0</v>
      </c>
      <c r="K1912">
        <v>48.8</v>
      </c>
      <c r="L1912">
        <v>20</v>
      </c>
      <c r="M1912" s="1" t="s">
        <v>50</v>
      </c>
      <c r="N1912" s="1" t="s">
        <v>56</v>
      </c>
      <c r="O1912">
        <v>7238.4</v>
      </c>
      <c r="P1912" t="b">
        <v>1</v>
      </c>
      <c r="Q1912">
        <v>1.75</v>
      </c>
      <c r="R1912">
        <v>344.68571428571425</v>
      </c>
      <c r="S1912">
        <v>48.8</v>
      </c>
      <c r="T1912" s="2">
        <v>44621</v>
      </c>
      <c r="U1912" s="1" t="s">
        <v>41</v>
      </c>
      <c r="V1912">
        <v>0</v>
      </c>
      <c r="W1912" s="1" t="s">
        <v>56</v>
      </c>
      <c r="X1912">
        <v>540</v>
      </c>
      <c r="Y1912" s="1" t="s">
        <v>52</v>
      </c>
      <c r="Z1912" s="1" t="s">
        <v>52</v>
      </c>
      <c r="AA1912">
        <v>0</v>
      </c>
      <c r="AB1912" s="1" t="s">
        <v>42</v>
      </c>
      <c r="AC1912">
        <v>2</v>
      </c>
      <c r="AD1912" s="2">
        <v>44621</v>
      </c>
      <c r="AE1912" s="1" t="s">
        <v>53</v>
      </c>
      <c r="AF1912" s="1" t="s">
        <v>54</v>
      </c>
      <c r="AG1912" s="1" t="s">
        <v>63</v>
      </c>
      <c r="AH1912" s="1" t="s">
        <v>68</v>
      </c>
      <c r="AI1912">
        <v>7308</v>
      </c>
      <c r="AJ1912">
        <v>-69.600000000000364</v>
      </c>
    </row>
    <row r="1913" spans="1:36" x14ac:dyDescent="0.25">
      <c r="A1913">
        <v>11912</v>
      </c>
      <c r="B1913">
        <v>31</v>
      </c>
      <c r="C1913" s="1" t="s">
        <v>60</v>
      </c>
      <c r="D1913" s="1" t="s">
        <v>69</v>
      </c>
      <c r="E1913" s="2">
        <v>44917</v>
      </c>
      <c r="F1913" s="2">
        <v>44765</v>
      </c>
      <c r="G1913" s="1" t="s">
        <v>62</v>
      </c>
      <c r="H1913">
        <v>1329</v>
      </c>
      <c r="I1913">
        <v>35</v>
      </c>
      <c r="J1913">
        <v>5</v>
      </c>
      <c r="K1913">
        <v>5.84</v>
      </c>
      <c r="L1913">
        <v>15</v>
      </c>
      <c r="M1913" s="1" t="s">
        <v>50</v>
      </c>
      <c r="N1913" s="1" t="s">
        <v>56</v>
      </c>
      <c r="O1913">
        <v>46315.65</v>
      </c>
      <c r="P1913" t="b">
        <v>0</v>
      </c>
      <c r="Q1913">
        <v>2.9166666666666665</v>
      </c>
      <c r="R1913">
        <v>1323.3042857142857</v>
      </c>
      <c r="S1913">
        <v>0.97333333333333327</v>
      </c>
      <c r="T1913" s="2">
        <v>44896</v>
      </c>
      <c r="U1913" s="1" t="s">
        <v>57</v>
      </c>
      <c r="V1913">
        <v>0</v>
      </c>
      <c r="W1913" s="1" t="s">
        <v>40</v>
      </c>
      <c r="Y1913" s="1" t="s">
        <v>42</v>
      </c>
      <c r="Z1913" s="1" t="s">
        <v>42</v>
      </c>
      <c r="AA1913">
        <v>0.1388888888888889</v>
      </c>
      <c r="AB1913" s="1" t="s">
        <v>43</v>
      </c>
      <c r="AC1913">
        <v>2</v>
      </c>
      <c r="AD1913" s="2">
        <v>44896</v>
      </c>
      <c r="AE1913" s="1" t="s">
        <v>44</v>
      </c>
      <c r="AF1913" s="1" t="s">
        <v>45</v>
      </c>
      <c r="AG1913" s="1" t="s">
        <v>77</v>
      </c>
      <c r="AH1913" s="1" t="s">
        <v>47</v>
      </c>
      <c r="AI1913">
        <v>46515</v>
      </c>
      <c r="AJ1913">
        <v>-199.34999999999854</v>
      </c>
    </row>
    <row r="1914" spans="1:36" x14ac:dyDescent="0.25">
      <c r="A1914">
        <v>11913</v>
      </c>
      <c r="B1914">
        <v>28</v>
      </c>
      <c r="C1914" s="1" t="s">
        <v>36</v>
      </c>
      <c r="D1914" s="1" t="s">
        <v>37</v>
      </c>
      <c r="E1914" s="2">
        <v>44420</v>
      </c>
      <c r="F1914" s="2">
        <v>44967</v>
      </c>
      <c r="G1914" s="1" t="s">
        <v>38</v>
      </c>
      <c r="H1914">
        <v>678</v>
      </c>
      <c r="I1914">
        <v>8</v>
      </c>
      <c r="J1914">
        <v>3</v>
      </c>
      <c r="K1914">
        <v>34.01</v>
      </c>
      <c r="L1914">
        <v>0</v>
      </c>
      <c r="M1914" s="1" t="s">
        <v>65</v>
      </c>
      <c r="N1914" s="1" t="s">
        <v>56</v>
      </c>
      <c r="O1914">
        <v>5424</v>
      </c>
      <c r="P1914" t="b">
        <v>1</v>
      </c>
      <c r="Q1914">
        <v>0.66666666666666663</v>
      </c>
      <c r="R1914">
        <v>678</v>
      </c>
      <c r="S1914">
        <v>8.5024999999999995</v>
      </c>
      <c r="T1914" s="2">
        <v>44409</v>
      </c>
      <c r="U1914" s="1" t="s">
        <v>57</v>
      </c>
      <c r="V1914">
        <v>0</v>
      </c>
      <c r="W1914" s="1" t="s">
        <v>56</v>
      </c>
      <c r="X1914">
        <v>547</v>
      </c>
      <c r="Y1914" s="1" t="s">
        <v>52</v>
      </c>
      <c r="Z1914" s="1" t="s">
        <v>42</v>
      </c>
      <c r="AA1914">
        <v>0.33333333333333331</v>
      </c>
      <c r="AB1914" s="1" t="s">
        <v>42</v>
      </c>
      <c r="AC1914">
        <v>1</v>
      </c>
      <c r="AD1914" s="2">
        <v>44409</v>
      </c>
      <c r="AE1914" s="1" t="s">
        <v>74</v>
      </c>
      <c r="AF1914" s="1" t="s">
        <v>72</v>
      </c>
      <c r="AG1914" s="1" t="s">
        <v>55</v>
      </c>
      <c r="AH1914" s="1" t="s">
        <v>64</v>
      </c>
      <c r="AI1914">
        <v>5424</v>
      </c>
      <c r="AJ1914">
        <v>0</v>
      </c>
    </row>
    <row r="1915" spans="1:36" x14ac:dyDescent="0.25">
      <c r="A1915">
        <v>11914</v>
      </c>
      <c r="B1915">
        <v>35</v>
      </c>
      <c r="C1915" s="1" t="s">
        <v>36</v>
      </c>
      <c r="D1915" s="1" t="s">
        <v>48</v>
      </c>
      <c r="E1915" s="2">
        <v>44239</v>
      </c>
      <c r="F1915" s="2">
        <v>45168</v>
      </c>
      <c r="G1915" s="1" t="s">
        <v>38</v>
      </c>
      <c r="H1915">
        <v>523</v>
      </c>
      <c r="I1915">
        <v>4</v>
      </c>
      <c r="J1915">
        <v>2</v>
      </c>
      <c r="K1915">
        <v>77.84</v>
      </c>
      <c r="L1915">
        <v>5</v>
      </c>
      <c r="M1915" s="1" t="s">
        <v>39</v>
      </c>
      <c r="N1915" s="1" t="s">
        <v>40</v>
      </c>
      <c r="O1915">
        <v>2065.85</v>
      </c>
      <c r="P1915" t="b">
        <v>1</v>
      </c>
      <c r="Q1915">
        <v>0.33333333333333331</v>
      </c>
      <c r="R1915">
        <v>516.46249999999998</v>
      </c>
      <c r="S1915">
        <v>25.946666666666669</v>
      </c>
      <c r="T1915" s="2">
        <v>44228</v>
      </c>
      <c r="U1915" s="1" t="s">
        <v>57</v>
      </c>
      <c r="V1915">
        <v>1</v>
      </c>
      <c r="W1915" s="1" t="s">
        <v>56</v>
      </c>
      <c r="X1915">
        <v>929</v>
      </c>
      <c r="Y1915" s="1" t="s">
        <v>43</v>
      </c>
      <c r="Z1915" s="1" t="s">
        <v>42</v>
      </c>
      <c r="AA1915">
        <v>0.4</v>
      </c>
      <c r="AB1915" s="1" t="s">
        <v>42</v>
      </c>
      <c r="AC1915">
        <v>1</v>
      </c>
      <c r="AD1915" s="2">
        <v>44228</v>
      </c>
      <c r="AE1915" s="1" t="s">
        <v>58</v>
      </c>
      <c r="AF1915" s="1" t="s">
        <v>72</v>
      </c>
      <c r="AG1915" s="1" t="s">
        <v>63</v>
      </c>
      <c r="AH1915" s="1" t="s">
        <v>64</v>
      </c>
      <c r="AI1915">
        <v>2092</v>
      </c>
      <c r="AJ1915">
        <v>-26.150000000000091</v>
      </c>
    </row>
    <row r="1916" spans="1:36" x14ac:dyDescent="0.25">
      <c r="A1916">
        <v>11915</v>
      </c>
      <c r="B1916">
        <v>29</v>
      </c>
      <c r="C1916" s="1" t="s">
        <v>60</v>
      </c>
      <c r="D1916" s="1" t="s">
        <v>37</v>
      </c>
      <c r="E1916" s="2">
        <v>44460</v>
      </c>
      <c r="F1916" s="2">
        <v>44745</v>
      </c>
      <c r="G1916" s="1" t="s">
        <v>49</v>
      </c>
      <c r="H1916">
        <v>1346</v>
      </c>
      <c r="I1916">
        <v>16</v>
      </c>
      <c r="J1916">
        <v>0</v>
      </c>
      <c r="K1916">
        <v>13.32</v>
      </c>
      <c r="L1916">
        <v>20</v>
      </c>
      <c r="M1916" s="1" t="s">
        <v>65</v>
      </c>
      <c r="N1916" s="1" t="s">
        <v>40</v>
      </c>
      <c r="O1916">
        <v>21266.799999999999</v>
      </c>
      <c r="P1916" t="b">
        <v>1</v>
      </c>
      <c r="Q1916">
        <v>1.3333333333333333</v>
      </c>
      <c r="R1916">
        <v>1329.175</v>
      </c>
      <c r="S1916">
        <v>13.32</v>
      </c>
      <c r="T1916" s="2">
        <v>44440</v>
      </c>
      <c r="U1916" s="1" t="s">
        <v>57</v>
      </c>
      <c r="V1916">
        <v>1</v>
      </c>
      <c r="W1916" s="1" t="s">
        <v>40</v>
      </c>
      <c r="X1916">
        <v>285</v>
      </c>
      <c r="Y1916" s="1" t="s">
        <v>42</v>
      </c>
      <c r="Z1916" s="1" t="s">
        <v>52</v>
      </c>
      <c r="AA1916">
        <v>0</v>
      </c>
      <c r="AB1916" s="1" t="s">
        <v>43</v>
      </c>
      <c r="AC1916">
        <v>3</v>
      </c>
      <c r="AD1916" s="2">
        <v>44440</v>
      </c>
      <c r="AE1916" s="1" t="s">
        <v>53</v>
      </c>
      <c r="AF1916" s="1" t="s">
        <v>54</v>
      </c>
      <c r="AG1916" s="1" t="s">
        <v>46</v>
      </c>
      <c r="AH1916" s="1" t="s">
        <v>47</v>
      </c>
      <c r="AI1916">
        <v>21536</v>
      </c>
      <c r="AJ1916">
        <v>-269.20000000000073</v>
      </c>
    </row>
    <row r="1917" spans="1:36" x14ac:dyDescent="0.25">
      <c r="A1917">
        <v>11916</v>
      </c>
      <c r="B1917">
        <v>40</v>
      </c>
      <c r="C1917" s="1" t="s">
        <v>36</v>
      </c>
      <c r="D1917" s="1" t="s">
        <v>37</v>
      </c>
      <c r="E1917" s="2">
        <v>44952</v>
      </c>
      <c r="F1917" s="2">
        <v>44619</v>
      </c>
      <c r="G1917" s="1" t="s">
        <v>62</v>
      </c>
      <c r="H1917">
        <v>1307</v>
      </c>
      <c r="I1917">
        <v>3</v>
      </c>
      <c r="J1917">
        <v>0</v>
      </c>
      <c r="K1917">
        <v>17.38</v>
      </c>
      <c r="L1917">
        <v>20</v>
      </c>
      <c r="M1917" s="1" t="s">
        <v>65</v>
      </c>
      <c r="N1917" s="1" t="s">
        <v>56</v>
      </c>
      <c r="O1917">
        <v>3659.6</v>
      </c>
      <c r="P1917" t="b">
        <v>0</v>
      </c>
      <c r="Q1917">
        <v>0.25</v>
      </c>
      <c r="R1917">
        <v>1219.8666666666666</v>
      </c>
      <c r="S1917">
        <v>17.38</v>
      </c>
      <c r="T1917" s="2">
        <v>44927</v>
      </c>
      <c r="U1917" s="1" t="s">
        <v>51</v>
      </c>
      <c r="V1917">
        <v>0</v>
      </c>
      <c r="W1917" s="1" t="s">
        <v>56</v>
      </c>
      <c r="Y1917" s="1" t="s">
        <v>42</v>
      </c>
      <c r="Z1917" s="1" t="s">
        <v>52</v>
      </c>
      <c r="AA1917">
        <v>0</v>
      </c>
      <c r="AB1917" s="1" t="s">
        <v>42</v>
      </c>
      <c r="AC1917">
        <v>2</v>
      </c>
      <c r="AD1917" s="2">
        <v>44927</v>
      </c>
      <c r="AE1917" s="1" t="s">
        <v>58</v>
      </c>
      <c r="AF1917" s="1" t="s">
        <v>54</v>
      </c>
      <c r="AG1917" s="1" t="s">
        <v>46</v>
      </c>
      <c r="AH1917" s="1" t="s">
        <v>47</v>
      </c>
      <c r="AI1917">
        <v>3921</v>
      </c>
      <c r="AJ1917">
        <v>-261.40000000000009</v>
      </c>
    </row>
    <row r="1918" spans="1:36" x14ac:dyDescent="0.25">
      <c r="A1918">
        <v>11917</v>
      </c>
      <c r="B1918">
        <v>29</v>
      </c>
      <c r="C1918" s="1" t="s">
        <v>36</v>
      </c>
      <c r="D1918" s="1" t="s">
        <v>61</v>
      </c>
      <c r="E1918" s="2">
        <v>44199</v>
      </c>
      <c r="F1918" s="2">
        <v>45030</v>
      </c>
      <c r="G1918" s="1" t="s">
        <v>62</v>
      </c>
      <c r="H1918">
        <v>956</v>
      </c>
      <c r="I1918">
        <v>7</v>
      </c>
      <c r="J1918">
        <v>4</v>
      </c>
      <c r="K1918">
        <v>79.41</v>
      </c>
      <c r="L1918">
        <v>0</v>
      </c>
      <c r="M1918" s="1" t="s">
        <v>65</v>
      </c>
      <c r="N1918" s="1" t="s">
        <v>56</v>
      </c>
      <c r="O1918">
        <v>6692</v>
      </c>
      <c r="P1918" t="b">
        <v>1</v>
      </c>
      <c r="Q1918">
        <v>0.58333333333333337</v>
      </c>
      <c r="R1918">
        <v>956</v>
      </c>
      <c r="S1918">
        <v>15.882</v>
      </c>
      <c r="T1918" s="2">
        <v>44197</v>
      </c>
      <c r="U1918" s="1" t="s">
        <v>57</v>
      </c>
      <c r="V1918">
        <v>0</v>
      </c>
      <c r="W1918" s="1" t="s">
        <v>56</v>
      </c>
      <c r="X1918">
        <v>831</v>
      </c>
      <c r="Y1918" s="1" t="s">
        <v>43</v>
      </c>
      <c r="Z1918" s="1" t="s">
        <v>42</v>
      </c>
      <c r="AA1918">
        <v>0.5</v>
      </c>
      <c r="AB1918" s="1" t="s">
        <v>42</v>
      </c>
      <c r="AC1918">
        <v>2</v>
      </c>
      <c r="AD1918" s="2">
        <v>44197</v>
      </c>
      <c r="AE1918" s="1" t="s">
        <v>74</v>
      </c>
      <c r="AF1918" s="1" t="s">
        <v>45</v>
      </c>
      <c r="AG1918" s="1" t="s">
        <v>63</v>
      </c>
      <c r="AH1918" s="1" t="s">
        <v>59</v>
      </c>
      <c r="AI1918">
        <v>6692</v>
      </c>
      <c r="AJ1918">
        <v>0</v>
      </c>
    </row>
    <row r="1919" spans="1:36" x14ac:dyDescent="0.25">
      <c r="A1919">
        <v>11918</v>
      </c>
      <c r="B1919">
        <v>30</v>
      </c>
      <c r="C1919" s="1" t="s">
        <v>60</v>
      </c>
      <c r="D1919" s="1" t="s">
        <v>61</v>
      </c>
      <c r="E1919" s="2">
        <v>44833</v>
      </c>
      <c r="F1919" s="2">
        <v>44463</v>
      </c>
      <c r="G1919" s="1" t="s">
        <v>62</v>
      </c>
      <c r="H1919">
        <v>409</v>
      </c>
      <c r="I1919">
        <v>2</v>
      </c>
      <c r="J1919">
        <v>1</v>
      </c>
      <c r="K1919">
        <v>91.91</v>
      </c>
      <c r="L1919">
        <v>20</v>
      </c>
      <c r="M1919" s="1" t="s">
        <v>67</v>
      </c>
      <c r="N1919" s="1" t="s">
        <v>40</v>
      </c>
      <c r="O1919">
        <v>736.2</v>
      </c>
      <c r="P1919" t="b">
        <v>0</v>
      </c>
      <c r="Q1919">
        <v>0.16666666666666666</v>
      </c>
      <c r="R1919">
        <v>368.1</v>
      </c>
      <c r="S1919">
        <v>45.954999999999998</v>
      </c>
      <c r="T1919" s="2">
        <v>44805</v>
      </c>
      <c r="U1919" s="1" t="s">
        <v>57</v>
      </c>
      <c r="V1919">
        <v>1</v>
      </c>
      <c r="W1919" s="1" t="s">
        <v>56</v>
      </c>
      <c r="Y1919" s="1" t="s">
        <v>43</v>
      </c>
      <c r="Z1919" s="1" t="s">
        <v>52</v>
      </c>
      <c r="AA1919">
        <v>0.33333333333333331</v>
      </c>
      <c r="AB1919" s="1" t="s">
        <v>42</v>
      </c>
      <c r="AC1919">
        <v>2</v>
      </c>
      <c r="AD1919" s="2">
        <v>44805</v>
      </c>
      <c r="AE1919" s="1" t="s">
        <v>58</v>
      </c>
      <c r="AF1919" s="1" t="s">
        <v>54</v>
      </c>
      <c r="AG1919" s="1" t="s">
        <v>63</v>
      </c>
      <c r="AH1919" s="1" t="s">
        <v>68</v>
      </c>
      <c r="AI1919">
        <v>818</v>
      </c>
      <c r="AJ1919">
        <v>-81.799999999999955</v>
      </c>
    </row>
    <row r="1920" spans="1:36" x14ac:dyDescent="0.25">
      <c r="A1920">
        <v>11919</v>
      </c>
      <c r="B1920">
        <v>42</v>
      </c>
      <c r="C1920" s="1" t="s">
        <v>75</v>
      </c>
      <c r="D1920" s="1" t="s">
        <v>48</v>
      </c>
      <c r="E1920" s="2">
        <v>44464</v>
      </c>
      <c r="F1920" s="2">
        <v>45188</v>
      </c>
      <c r="G1920" s="1" t="s">
        <v>38</v>
      </c>
      <c r="H1920">
        <v>1023</v>
      </c>
      <c r="I1920">
        <v>1</v>
      </c>
      <c r="J1920">
        <v>1</v>
      </c>
      <c r="K1920">
        <v>41.98</v>
      </c>
      <c r="L1920">
        <v>0</v>
      </c>
      <c r="M1920" s="1" t="s">
        <v>39</v>
      </c>
      <c r="N1920" s="1" t="s">
        <v>56</v>
      </c>
      <c r="O1920">
        <v>1023</v>
      </c>
      <c r="P1920" t="b">
        <v>1</v>
      </c>
      <c r="Q1920">
        <v>8.3333333333333329E-2</v>
      </c>
      <c r="R1920">
        <v>1023</v>
      </c>
      <c r="S1920">
        <v>20.99</v>
      </c>
      <c r="T1920" s="2">
        <v>44440</v>
      </c>
      <c r="U1920" s="1" t="s">
        <v>51</v>
      </c>
      <c r="V1920">
        <v>0</v>
      </c>
      <c r="W1920" s="1" t="s">
        <v>56</v>
      </c>
      <c r="X1920">
        <v>724</v>
      </c>
      <c r="Y1920" s="1" t="s">
        <v>52</v>
      </c>
      <c r="Z1920" s="1" t="s">
        <v>42</v>
      </c>
      <c r="AA1920">
        <v>0.5</v>
      </c>
      <c r="AB1920" s="1" t="s">
        <v>42</v>
      </c>
      <c r="AC1920">
        <v>1</v>
      </c>
      <c r="AD1920" s="2">
        <v>44440</v>
      </c>
      <c r="AE1920" s="1" t="s">
        <v>58</v>
      </c>
      <c r="AF1920" s="1" t="s">
        <v>54</v>
      </c>
      <c r="AG1920" s="1" t="s">
        <v>55</v>
      </c>
      <c r="AH1920" s="1" t="s">
        <v>47</v>
      </c>
      <c r="AI1920">
        <v>1023</v>
      </c>
      <c r="AJ1920">
        <v>0</v>
      </c>
    </row>
    <row r="1921" spans="1:36" x14ac:dyDescent="0.25">
      <c r="A1921">
        <v>11920</v>
      </c>
      <c r="B1921">
        <v>62</v>
      </c>
      <c r="C1921" s="1" t="s">
        <v>60</v>
      </c>
      <c r="D1921" s="1" t="s">
        <v>73</v>
      </c>
      <c r="E1921" s="2">
        <v>44792</v>
      </c>
      <c r="F1921" s="2">
        <v>44933</v>
      </c>
      <c r="G1921" s="1" t="s">
        <v>62</v>
      </c>
      <c r="H1921">
        <v>852</v>
      </c>
      <c r="I1921">
        <v>1</v>
      </c>
      <c r="J1921">
        <v>1</v>
      </c>
      <c r="K1921">
        <v>61.31</v>
      </c>
      <c r="L1921">
        <v>15</v>
      </c>
      <c r="M1921" s="1" t="s">
        <v>65</v>
      </c>
      <c r="N1921" s="1" t="s">
        <v>56</v>
      </c>
      <c r="O1921">
        <v>724.2</v>
      </c>
      <c r="P1921" t="b">
        <v>1</v>
      </c>
      <c r="Q1921">
        <v>8.3333333333333329E-2</v>
      </c>
      <c r="R1921">
        <v>724.2</v>
      </c>
      <c r="S1921">
        <v>30.655000000000001</v>
      </c>
      <c r="T1921" s="2">
        <v>44774</v>
      </c>
      <c r="U1921" s="1" t="s">
        <v>41</v>
      </c>
      <c r="V1921">
        <v>0</v>
      </c>
      <c r="W1921" s="1" t="s">
        <v>56</v>
      </c>
      <c r="X1921">
        <v>141</v>
      </c>
      <c r="Y1921" s="1" t="s">
        <v>43</v>
      </c>
      <c r="Z1921" s="1" t="s">
        <v>42</v>
      </c>
      <c r="AA1921">
        <v>0.5</v>
      </c>
      <c r="AB1921" s="1" t="s">
        <v>42</v>
      </c>
      <c r="AC1921">
        <v>2</v>
      </c>
      <c r="AD1921" s="2">
        <v>44774</v>
      </c>
      <c r="AE1921" s="1" t="s">
        <v>58</v>
      </c>
      <c r="AF1921" s="1" t="s">
        <v>54</v>
      </c>
      <c r="AG1921" s="1" t="s">
        <v>63</v>
      </c>
      <c r="AH1921" s="1" t="s">
        <v>59</v>
      </c>
      <c r="AI1921">
        <v>852</v>
      </c>
      <c r="AJ1921">
        <v>-127.79999999999995</v>
      </c>
    </row>
    <row r="1922" spans="1:36" x14ac:dyDescent="0.25">
      <c r="A1922">
        <v>11921</v>
      </c>
      <c r="B1922">
        <v>36</v>
      </c>
      <c r="C1922" s="1" t="s">
        <v>60</v>
      </c>
      <c r="D1922" s="1" t="s">
        <v>61</v>
      </c>
      <c r="E1922" s="2">
        <v>44212</v>
      </c>
      <c r="F1922" s="2">
        <v>44603</v>
      </c>
      <c r="G1922" s="1" t="s">
        <v>38</v>
      </c>
      <c r="H1922">
        <v>1495</v>
      </c>
      <c r="I1922">
        <v>7</v>
      </c>
      <c r="J1922">
        <v>4</v>
      </c>
      <c r="K1922">
        <v>113.76</v>
      </c>
      <c r="L1922">
        <v>10</v>
      </c>
      <c r="M1922" s="1" t="s">
        <v>65</v>
      </c>
      <c r="N1922" s="1" t="s">
        <v>56</v>
      </c>
      <c r="O1922">
        <v>10166</v>
      </c>
      <c r="P1922" t="b">
        <v>1</v>
      </c>
      <c r="Q1922">
        <v>0.58333333333333337</v>
      </c>
      <c r="R1922">
        <v>1452.2857142857142</v>
      </c>
      <c r="S1922">
        <v>22.752000000000002</v>
      </c>
      <c r="T1922" s="2">
        <v>44197</v>
      </c>
      <c r="U1922" s="1" t="s">
        <v>51</v>
      </c>
      <c r="V1922">
        <v>0</v>
      </c>
      <c r="W1922" s="1" t="s">
        <v>56</v>
      </c>
      <c r="X1922">
        <v>391</v>
      </c>
      <c r="Y1922" s="1" t="s">
        <v>43</v>
      </c>
      <c r="Z1922" s="1" t="s">
        <v>42</v>
      </c>
      <c r="AA1922">
        <v>0.5</v>
      </c>
      <c r="AB1922" s="1" t="s">
        <v>52</v>
      </c>
      <c r="AC1922">
        <v>1</v>
      </c>
      <c r="AD1922" s="2">
        <v>44197</v>
      </c>
      <c r="AE1922" s="1" t="s">
        <v>74</v>
      </c>
      <c r="AF1922" s="1" t="s">
        <v>45</v>
      </c>
      <c r="AG1922" s="1" t="s">
        <v>63</v>
      </c>
      <c r="AH1922" s="1" t="s">
        <v>47</v>
      </c>
      <c r="AI1922">
        <v>10465</v>
      </c>
      <c r="AJ1922">
        <v>-299</v>
      </c>
    </row>
    <row r="1923" spans="1:36" x14ac:dyDescent="0.25">
      <c r="A1923">
        <v>11922</v>
      </c>
      <c r="B1923">
        <v>63</v>
      </c>
      <c r="C1923" s="1" t="s">
        <v>36</v>
      </c>
      <c r="D1923" s="1" t="s">
        <v>61</v>
      </c>
      <c r="E1923" s="2">
        <v>44530</v>
      </c>
      <c r="F1923" s="2">
        <v>44428</v>
      </c>
      <c r="G1923" s="1" t="s">
        <v>38</v>
      </c>
      <c r="H1923">
        <v>1305</v>
      </c>
      <c r="I1923">
        <v>24</v>
      </c>
      <c r="J1923">
        <v>1</v>
      </c>
      <c r="K1923">
        <v>113.74</v>
      </c>
      <c r="L1923">
        <v>20</v>
      </c>
      <c r="M1923" s="1" t="s">
        <v>67</v>
      </c>
      <c r="N1923" s="1" t="s">
        <v>56</v>
      </c>
      <c r="O1923">
        <v>31059</v>
      </c>
      <c r="P1923" t="b">
        <v>0</v>
      </c>
      <c r="Q1923">
        <v>2</v>
      </c>
      <c r="R1923">
        <v>1294.125</v>
      </c>
      <c r="S1923">
        <v>56.87</v>
      </c>
      <c r="T1923" s="2">
        <v>44501</v>
      </c>
      <c r="U1923" s="1" t="s">
        <v>41</v>
      </c>
      <c r="V1923">
        <v>0</v>
      </c>
      <c r="W1923" s="1" t="s">
        <v>40</v>
      </c>
      <c r="Y1923" s="1" t="s">
        <v>43</v>
      </c>
      <c r="Z1923" s="1" t="s">
        <v>52</v>
      </c>
      <c r="AA1923">
        <v>0.04</v>
      </c>
      <c r="AB1923" s="1" t="s">
        <v>43</v>
      </c>
      <c r="AC1923">
        <v>1</v>
      </c>
      <c r="AD1923" s="2">
        <v>44501</v>
      </c>
      <c r="AE1923" s="1" t="s">
        <v>53</v>
      </c>
      <c r="AF1923" s="1" t="s">
        <v>54</v>
      </c>
      <c r="AG1923" s="1" t="s">
        <v>63</v>
      </c>
      <c r="AH1923" s="1" t="s">
        <v>47</v>
      </c>
      <c r="AI1923">
        <v>31320</v>
      </c>
      <c r="AJ1923">
        <v>-261</v>
      </c>
    </row>
    <row r="1924" spans="1:36" x14ac:dyDescent="0.25">
      <c r="A1924">
        <v>11923</v>
      </c>
      <c r="B1924">
        <v>53</v>
      </c>
      <c r="C1924" s="1" t="s">
        <v>36</v>
      </c>
      <c r="D1924" s="1" t="s">
        <v>61</v>
      </c>
      <c r="E1924" s="2">
        <v>44660</v>
      </c>
      <c r="F1924" s="2">
        <v>45127</v>
      </c>
      <c r="G1924" s="1" t="s">
        <v>62</v>
      </c>
      <c r="H1924">
        <v>997</v>
      </c>
      <c r="I1924">
        <v>5</v>
      </c>
      <c r="J1924">
        <v>6</v>
      </c>
      <c r="K1924">
        <v>40.36</v>
      </c>
      <c r="L1924">
        <v>15</v>
      </c>
      <c r="M1924" s="1" t="s">
        <v>65</v>
      </c>
      <c r="N1924" s="1" t="s">
        <v>40</v>
      </c>
      <c r="O1924">
        <v>4835.45</v>
      </c>
      <c r="P1924" t="b">
        <v>1</v>
      </c>
      <c r="Q1924">
        <v>0.41666666666666669</v>
      </c>
      <c r="R1924">
        <v>967.08999999999992</v>
      </c>
      <c r="S1924">
        <v>5.765714285714286</v>
      </c>
      <c r="T1924" s="2">
        <v>44652</v>
      </c>
      <c r="U1924" s="1" t="s">
        <v>41</v>
      </c>
      <c r="V1924">
        <v>1</v>
      </c>
      <c r="W1924" s="1" t="s">
        <v>56</v>
      </c>
      <c r="X1924">
        <v>467</v>
      </c>
      <c r="Y1924" s="1" t="s">
        <v>52</v>
      </c>
      <c r="Z1924" s="1" t="s">
        <v>42</v>
      </c>
      <c r="AA1924">
        <v>1</v>
      </c>
      <c r="AB1924" s="1" t="s">
        <v>42</v>
      </c>
      <c r="AC1924">
        <v>2</v>
      </c>
      <c r="AD1924" s="2">
        <v>44652</v>
      </c>
      <c r="AE1924" s="1" t="s">
        <v>58</v>
      </c>
      <c r="AF1924" s="1" t="s">
        <v>78</v>
      </c>
      <c r="AG1924" s="1" t="s">
        <v>55</v>
      </c>
      <c r="AH1924" s="1" t="s">
        <v>59</v>
      </c>
      <c r="AI1924">
        <v>4985</v>
      </c>
      <c r="AJ1924">
        <v>-149.55000000000018</v>
      </c>
    </row>
    <row r="1925" spans="1:36" x14ac:dyDescent="0.25">
      <c r="A1925">
        <v>11924</v>
      </c>
      <c r="B1925">
        <v>62</v>
      </c>
      <c r="C1925" s="1" t="s">
        <v>36</v>
      </c>
      <c r="D1925" s="1" t="s">
        <v>76</v>
      </c>
      <c r="E1925" s="2">
        <v>44255</v>
      </c>
      <c r="F1925" s="2">
        <v>44475</v>
      </c>
      <c r="G1925" s="1" t="s">
        <v>49</v>
      </c>
      <c r="H1925">
        <v>1025</v>
      </c>
      <c r="I1925">
        <v>21</v>
      </c>
      <c r="J1925">
        <v>3</v>
      </c>
      <c r="K1925">
        <v>98.15</v>
      </c>
      <c r="L1925">
        <v>20</v>
      </c>
      <c r="M1925" s="1" t="s">
        <v>39</v>
      </c>
      <c r="N1925" s="1" t="s">
        <v>56</v>
      </c>
      <c r="O1925">
        <v>21320</v>
      </c>
      <c r="P1925" t="b">
        <v>1</v>
      </c>
      <c r="Q1925">
        <v>1.75</v>
      </c>
      <c r="R1925">
        <v>1015.2380952380952</v>
      </c>
      <c r="S1925">
        <v>24.537500000000001</v>
      </c>
      <c r="T1925" s="2">
        <v>44228</v>
      </c>
      <c r="U1925" s="1" t="s">
        <v>41</v>
      </c>
      <c r="V1925">
        <v>0</v>
      </c>
      <c r="W1925" s="1" t="s">
        <v>40</v>
      </c>
      <c r="X1925">
        <v>220</v>
      </c>
      <c r="Y1925" s="1" t="s">
        <v>43</v>
      </c>
      <c r="Z1925" s="1" t="s">
        <v>52</v>
      </c>
      <c r="AA1925">
        <v>0.13636363636363635</v>
      </c>
      <c r="AB1925" s="1" t="s">
        <v>43</v>
      </c>
      <c r="AC1925">
        <v>3</v>
      </c>
      <c r="AD1925" s="2">
        <v>44228</v>
      </c>
      <c r="AE1925" s="1" t="s">
        <v>53</v>
      </c>
      <c r="AF1925" s="1" t="s">
        <v>72</v>
      </c>
      <c r="AG1925" s="1" t="s">
        <v>63</v>
      </c>
      <c r="AH1925" s="1" t="s">
        <v>47</v>
      </c>
      <c r="AI1925">
        <v>21525</v>
      </c>
      <c r="AJ1925">
        <v>-205</v>
      </c>
    </row>
    <row r="1926" spans="1:36" x14ac:dyDescent="0.25">
      <c r="A1926">
        <v>11925</v>
      </c>
      <c r="B1926">
        <v>41</v>
      </c>
      <c r="C1926" s="1" t="s">
        <v>36</v>
      </c>
      <c r="D1926" s="1" t="s">
        <v>48</v>
      </c>
      <c r="E1926" s="2">
        <v>44373</v>
      </c>
      <c r="F1926" s="2">
        <v>45185</v>
      </c>
      <c r="G1926" s="1" t="s">
        <v>38</v>
      </c>
      <c r="H1926">
        <v>605</v>
      </c>
      <c r="I1926">
        <v>28</v>
      </c>
      <c r="J1926">
        <v>0</v>
      </c>
      <c r="K1926">
        <v>73.3</v>
      </c>
      <c r="L1926">
        <v>10</v>
      </c>
      <c r="M1926" s="1" t="s">
        <v>65</v>
      </c>
      <c r="N1926" s="1" t="s">
        <v>40</v>
      </c>
      <c r="O1926">
        <v>16879.5</v>
      </c>
      <c r="P1926" t="b">
        <v>1</v>
      </c>
      <c r="Q1926">
        <v>2.3333333333333335</v>
      </c>
      <c r="R1926">
        <v>602.83928571428567</v>
      </c>
      <c r="S1926">
        <v>73.3</v>
      </c>
      <c r="T1926" s="2">
        <v>44348</v>
      </c>
      <c r="U1926" s="1" t="s">
        <v>51</v>
      </c>
      <c r="V1926">
        <v>1</v>
      </c>
      <c r="W1926" s="1" t="s">
        <v>40</v>
      </c>
      <c r="X1926">
        <v>812</v>
      </c>
      <c r="Y1926" s="1" t="s">
        <v>43</v>
      </c>
      <c r="Z1926" s="1" t="s">
        <v>42</v>
      </c>
      <c r="AA1926">
        <v>0</v>
      </c>
      <c r="AB1926" s="1" t="s">
        <v>52</v>
      </c>
      <c r="AC1926">
        <v>1</v>
      </c>
      <c r="AD1926" s="2">
        <v>44348</v>
      </c>
      <c r="AE1926" s="1" t="s">
        <v>44</v>
      </c>
      <c r="AF1926" s="1" t="s">
        <v>54</v>
      </c>
      <c r="AG1926" s="1" t="s">
        <v>63</v>
      </c>
      <c r="AH1926" s="1" t="s">
        <v>64</v>
      </c>
      <c r="AI1926">
        <v>16940</v>
      </c>
      <c r="AJ1926">
        <v>-60.5</v>
      </c>
    </row>
    <row r="1927" spans="1:36" x14ac:dyDescent="0.25">
      <c r="A1927">
        <v>11926</v>
      </c>
      <c r="B1927">
        <v>46</v>
      </c>
      <c r="C1927" s="1" t="s">
        <v>36</v>
      </c>
      <c r="D1927" s="1" t="s">
        <v>37</v>
      </c>
      <c r="E1927" s="2">
        <v>44259</v>
      </c>
      <c r="F1927" s="2">
        <v>44582</v>
      </c>
      <c r="G1927" s="1" t="s">
        <v>38</v>
      </c>
      <c r="H1927">
        <v>1258</v>
      </c>
      <c r="I1927">
        <v>18</v>
      </c>
      <c r="J1927">
        <v>1</v>
      </c>
      <c r="K1927">
        <v>117.18</v>
      </c>
      <c r="L1927">
        <v>0</v>
      </c>
      <c r="M1927" s="1" t="s">
        <v>39</v>
      </c>
      <c r="N1927" s="1" t="s">
        <v>56</v>
      </c>
      <c r="O1927">
        <v>22644</v>
      </c>
      <c r="P1927" t="b">
        <v>1</v>
      </c>
      <c r="Q1927">
        <v>1.5</v>
      </c>
      <c r="R1927">
        <v>1258</v>
      </c>
      <c r="S1927">
        <v>58.59</v>
      </c>
      <c r="T1927" s="2">
        <v>44256</v>
      </c>
      <c r="U1927" s="1" t="s">
        <v>51</v>
      </c>
      <c r="V1927">
        <v>0</v>
      </c>
      <c r="W1927" s="1" t="s">
        <v>40</v>
      </c>
      <c r="X1927">
        <v>323</v>
      </c>
      <c r="Y1927" s="1" t="s">
        <v>43</v>
      </c>
      <c r="Z1927" s="1" t="s">
        <v>42</v>
      </c>
      <c r="AA1927">
        <v>5.2631578947368418E-2</v>
      </c>
      <c r="AB1927" s="1" t="s">
        <v>43</v>
      </c>
      <c r="AC1927">
        <v>1</v>
      </c>
      <c r="AD1927" s="2">
        <v>44256</v>
      </c>
      <c r="AE1927" s="1" t="s">
        <v>53</v>
      </c>
      <c r="AF1927" s="1" t="s">
        <v>54</v>
      </c>
      <c r="AG1927" s="1" t="s">
        <v>63</v>
      </c>
      <c r="AH1927" s="1" t="s">
        <v>47</v>
      </c>
      <c r="AI1927">
        <v>22644</v>
      </c>
      <c r="AJ1927">
        <v>0</v>
      </c>
    </row>
    <row r="1928" spans="1:36" x14ac:dyDescent="0.25">
      <c r="A1928">
        <v>11927</v>
      </c>
      <c r="B1928">
        <v>49</v>
      </c>
      <c r="C1928" s="1" t="s">
        <v>36</v>
      </c>
      <c r="D1928" s="1" t="s">
        <v>69</v>
      </c>
      <c r="E1928" s="2">
        <v>44757</v>
      </c>
      <c r="F1928" s="2">
        <v>44900</v>
      </c>
      <c r="G1928" s="1" t="s">
        <v>62</v>
      </c>
      <c r="H1928">
        <v>1253</v>
      </c>
      <c r="I1928">
        <v>24</v>
      </c>
      <c r="J1928">
        <v>3</v>
      </c>
      <c r="K1928">
        <v>59.93</v>
      </c>
      <c r="L1928">
        <v>5</v>
      </c>
      <c r="M1928" s="1" t="s">
        <v>39</v>
      </c>
      <c r="N1928" s="1" t="s">
        <v>40</v>
      </c>
      <c r="O1928">
        <v>30009.35</v>
      </c>
      <c r="P1928" t="b">
        <v>1</v>
      </c>
      <c r="Q1928">
        <v>2</v>
      </c>
      <c r="R1928">
        <v>1250.3895833333333</v>
      </c>
      <c r="S1928">
        <v>14.9825</v>
      </c>
      <c r="T1928" s="2">
        <v>44743</v>
      </c>
      <c r="U1928" s="1" t="s">
        <v>51</v>
      </c>
      <c r="V1928">
        <v>1</v>
      </c>
      <c r="W1928" s="1" t="s">
        <v>40</v>
      </c>
      <c r="X1928">
        <v>143</v>
      </c>
      <c r="Y1928" s="1" t="s">
        <v>52</v>
      </c>
      <c r="Z1928" s="1" t="s">
        <v>42</v>
      </c>
      <c r="AA1928">
        <v>0.12</v>
      </c>
      <c r="AB1928" s="1" t="s">
        <v>43</v>
      </c>
      <c r="AC1928">
        <v>2</v>
      </c>
      <c r="AD1928" s="2">
        <v>44743</v>
      </c>
      <c r="AE1928" s="1" t="s">
        <v>53</v>
      </c>
      <c r="AF1928" s="1" t="s">
        <v>72</v>
      </c>
      <c r="AG1928" s="1" t="s">
        <v>63</v>
      </c>
      <c r="AH1928" s="1" t="s">
        <v>47</v>
      </c>
      <c r="AI1928">
        <v>30072</v>
      </c>
      <c r="AJ1928">
        <v>-62.650000000001455</v>
      </c>
    </row>
    <row r="1929" spans="1:36" x14ac:dyDescent="0.25">
      <c r="A1929">
        <v>11928</v>
      </c>
      <c r="B1929">
        <v>61</v>
      </c>
      <c r="C1929" s="1" t="s">
        <v>60</v>
      </c>
      <c r="D1929" s="1" t="s">
        <v>37</v>
      </c>
      <c r="E1929" s="2">
        <v>44503</v>
      </c>
      <c r="F1929" s="2">
        <v>44528</v>
      </c>
      <c r="G1929" s="1" t="s">
        <v>49</v>
      </c>
      <c r="H1929">
        <v>1474</v>
      </c>
      <c r="I1929">
        <v>32</v>
      </c>
      <c r="J1929">
        <v>2</v>
      </c>
      <c r="K1929">
        <v>94.09</v>
      </c>
      <c r="L1929">
        <v>10</v>
      </c>
      <c r="M1929" s="1" t="s">
        <v>50</v>
      </c>
      <c r="N1929" s="1" t="s">
        <v>40</v>
      </c>
      <c r="O1929">
        <v>47020.6</v>
      </c>
      <c r="P1929" t="b">
        <v>1</v>
      </c>
      <c r="Q1929">
        <v>2.6666666666666665</v>
      </c>
      <c r="R1929">
        <v>1469.39375</v>
      </c>
      <c r="S1929">
        <v>31.363333333333333</v>
      </c>
      <c r="T1929" s="2">
        <v>44501</v>
      </c>
      <c r="U1929" s="1" t="s">
        <v>41</v>
      </c>
      <c r="V1929">
        <v>1</v>
      </c>
      <c r="W1929" s="1" t="s">
        <v>40</v>
      </c>
      <c r="X1929">
        <v>25</v>
      </c>
      <c r="Y1929" s="1" t="s">
        <v>43</v>
      </c>
      <c r="Z1929" s="1" t="s">
        <v>42</v>
      </c>
      <c r="AA1929">
        <v>6.0606060606060608E-2</v>
      </c>
      <c r="AB1929" s="1" t="s">
        <v>43</v>
      </c>
      <c r="AC1929">
        <v>3</v>
      </c>
      <c r="AD1929" s="2">
        <v>44501</v>
      </c>
      <c r="AE1929" s="1" t="s">
        <v>44</v>
      </c>
      <c r="AF1929" s="1" t="s">
        <v>72</v>
      </c>
      <c r="AG1929" s="1" t="s">
        <v>63</v>
      </c>
      <c r="AH1929" s="1" t="s">
        <v>47</v>
      </c>
      <c r="AI1929">
        <v>47168</v>
      </c>
      <c r="AJ1929">
        <v>-147.40000000000146</v>
      </c>
    </row>
    <row r="1930" spans="1:36" x14ac:dyDescent="0.25">
      <c r="A1930">
        <v>11929</v>
      </c>
      <c r="B1930">
        <v>35</v>
      </c>
      <c r="C1930" s="1" t="s">
        <v>60</v>
      </c>
      <c r="D1930" s="1" t="s">
        <v>76</v>
      </c>
      <c r="E1930" s="2">
        <v>44442</v>
      </c>
      <c r="F1930" s="2">
        <v>44504</v>
      </c>
      <c r="G1930" s="1" t="s">
        <v>62</v>
      </c>
      <c r="H1930">
        <v>920</v>
      </c>
      <c r="I1930">
        <v>33</v>
      </c>
      <c r="J1930">
        <v>2</v>
      </c>
      <c r="K1930">
        <v>93.34</v>
      </c>
      <c r="L1930">
        <v>5</v>
      </c>
      <c r="M1930" s="1" t="s">
        <v>67</v>
      </c>
      <c r="N1930" s="1" t="s">
        <v>56</v>
      </c>
      <c r="O1930">
        <v>30314</v>
      </c>
      <c r="P1930" t="b">
        <v>1</v>
      </c>
      <c r="Q1930">
        <v>2.75</v>
      </c>
      <c r="R1930">
        <v>918.60606060606062</v>
      </c>
      <c r="S1930">
        <v>31.113333333333333</v>
      </c>
      <c r="T1930" s="2">
        <v>44440</v>
      </c>
      <c r="U1930" s="1" t="s">
        <v>57</v>
      </c>
      <c r="V1930">
        <v>0</v>
      </c>
      <c r="W1930" s="1" t="s">
        <v>40</v>
      </c>
      <c r="X1930">
        <v>62</v>
      </c>
      <c r="Y1930" s="1" t="s">
        <v>43</v>
      </c>
      <c r="Z1930" s="1" t="s">
        <v>42</v>
      </c>
      <c r="AA1930">
        <v>5.8823529411764705E-2</v>
      </c>
      <c r="AB1930" s="1" t="s">
        <v>43</v>
      </c>
      <c r="AC1930">
        <v>2</v>
      </c>
      <c r="AD1930" s="2">
        <v>44440</v>
      </c>
      <c r="AE1930" s="1" t="s">
        <v>44</v>
      </c>
      <c r="AF1930" s="1" t="s">
        <v>72</v>
      </c>
      <c r="AG1930" s="1" t="s">
        <v>63</v>
      </c>
      <c r="AH1930" s="1" t="s">
        <v>59</v>
      </c>
      <c r="AI1930">
        <v>30360</v>
      </c>
      <c r="AJ1930">
        <v>-46</v>
      </c>
    </row>
    <row r="1931" spans="1:36" x14ac:dyDescent="0.25">
      <c r="A1931">
        <v>11930</v>
      </c>
      <c r="B1931">
        <v>23</v>
      </c>
      <c r="C1931" s="1" t="s">
        <v>60</v>
      </c>
      <c r="D1931" s="1" t="s">
        <v>71</v>
      </c>
      <c r="E1931" s="2">
        <v>44485</v>
      </c>
      <c r="F1931" s="2">
        <v>44801</v>
      </c>
      <c r="G1931" s="1" t="s">
        <v>49</v>
      </c>
      <c r="H1931">
        <v>929</v>
      </c>
      <c r="I1931">
        <v>10</v>
      </c>
      <c r="J1931">
        <v>2</v>
      </c>
      <c r="K1931">
        <v>62.2</v>
      </c>
      <c r="L1931">
        <v>10</v>
      </c>
      <c r="M1931" s="1" t="s">
        <v>67</v>
      </c>
      <c r="N1931" s="1" t="s">
        <v>56</v>
      </c>
      <c r="O1931">
        <v>9197.1</v>
      </c>
      <c r="P1931" t="b">
        <v>1</v>
      </c>
      <c r="Q1931">
        <v>0.83333333333333337</v>
      </c>
      <c r="R1931">
        <v>919.71</v>
      </c>
      <c r="S1931">
        <v>20.733333333333334</v>
      </c>
      <c r="T1931" s="2">
        <v>44470</v>
      </c>
      <c r="U1931" s="1" t="s">
        <v>66</v>
      </c>
      <c r="V1931">
        <v>0</v>
      </c>
      <c r="W1931" s="1" t="s">
        <v>56</v>
      </c>
      <c r="X1931">
        <v>316</v>
      </c>
      <c r="Y1931" s="1" t="s">
        <v>43</v>
      </c>
      <c r="Z1931" s="1" t="s">
        <v>42</v>
      </c>
      <c r="AA1931">
        <v>0.18181818181818182</v>
      </c>
      <c r="AB1931" s="1" t="s">
        <v>52</v>
      </c>
      <c r="AC1931">
        <v>3</v>
      </c>
      <c r="AD1931" s="2">
        <v>44470</v>
      </c>
      <c r="AE1931" s="1" t="s">
        <v>74</v>
      </c>
      <c r="AF1931" s="1" t="s">
        <v>72</v>
      </c>
      <c r="AG1931" s="1" t="s">
        <v>63</v>
      </c>
      <c r="AH1931" s="1" t="s">
        <v>59</v>
      </c>
      <c r="AI1931">
        <v>9290</v>
      </c>
      <c r="AJ1931">
        <v>-92.899999999999636</v>
      </c>
    </row>
    <row r="1932" spans="1:36" x14ac:dyDescent="0.25">
      <c r="A1932">
        <v>11931</v>
      </c>
      <c r="B1932">
        <v>35</v>
      </c>
      <c r="C1932" s="1" t="s">
        <v>60</v>
      </c>
      <c r="D1932" s="1" t="s">
        <v>71</v>
      </c>
      <c r="E1932" s="2">
        <v>44994</v>
      </c>
      <c r="F1932" s="2">
        <v>44918</v>
      </c>
      <c r="G1932" s="1" t="s">
        <v>62</v>
      </c>
      <c r="H1932">
        <v>1176</v>
      </c>
      <c r="I1932">
        <v>9</v>
      </c>
      <c r="J1932">
        <v>1</v>
      </c>
      <c r="K1932">
        <v>96.5</v>
      </c>
      <c r="L1932">
        <v>10</v>
      </c>
      <c r="M1932" s="1" t="s">
        <v>67</v>
      </c>
      <c r="N1932" s="1" t="s">
        <v>56</v>
      </c>
      <c r="O1932">
        <v>10466.4</v>
      </c>
      <c r="P1932" t="b">
        <v>0</v>
      </c>
      <c r="Q1932">
        <v>0.75</v>
      </c>
      <c r="R1932">
        <v>1162.9333333333334</v>
      </c>
      <c r="S1932">
        <v>48.25</v>
      </c>
      <c r="T1932" s="2">
        <v>44986</v>
      </c>
      <c r="U1932" s="1" t="s">
        <v>57</v>
      </c>
      <c r="V1932">
        <v>0</v>
      </c>
      <c r="W1932" s="1" t="s">
        <v>56</v>
      </c>
      <c r="Y1932" s="1" t="s">
        <v>43</v>
      </c>
      <c r="Z1932" s="1" t="s">
        <v>42</v>
      </c>
      <c r="AA1932">
        <v>0.1</v>
      </c>
      <c r="AB1932" s="1" t="s">
        <v>52</v>
      </c>
      <c r="AC1932">
        <v>2</v>
      </c>
      <c r="AD1932" s="2">
        <v>44986</v>
      </c>
      <c r="AE1932" s="1" t="s">
        <v>74</v>
      </c>
      <c r="AF1932" s="1" t="s">
        <v>54</v>
      </c>
      <c r="AG1932" s="1" t="s">
        <v>63</v>
      </c>
      <c r="AH1932" s="1" t="s">
        <v>47</v>
      </c>
      <c r="AI1932">
        <v>10584</v>
      </c>
      <c r="AJ1932">
        <v>-117.60000000000036</v>
      </c>
    </row>
    <row r="1933" spans="1:36" x14ac:dyDescent="0.25">
      <c r="A1933">
        <v>11932</v>
      </c>
      <c r="B1933">
        <v>36</v>
      </c>
      <c r="C1933" s="1" t="s">
        <v>36</v>
      </c>
      <c r="D1933" s="1" t="s">
        <v>69</v>
      </c>
      <c r="E1933" s="2">
        <v>44528</v>
      </c>
      <c r="F1933" s="2">
        <v>45204</v>
      </c>
      <c r="G1933" s="1" t="s">
        <v>62</v>
      </c>
      <c r="H1933">
        <v>855</v>
      </c>
      <c r="I1933">
        <v>33</v>
      </c>
      <c r="J1933">
        <v>1</v>
      </c>
      <c r="K1933">
        <v>35.020000000000003</v>
      </c>
      <c r="L1933">
        <v>10</v>
      </c>
      <c r="M1933" s="1" t="s">
        <v>50</v>
      </c>
      <c r="N1933" s="1" t="s">
        <v>56</v>
      </c>
      <c r="O1933">
        <v>28129.5</v>
      </c>
      <c r="P1933" t="b">
        <v>1</v>
      </c>
      <c r="Q1933">
        <v>2.75</v>
      </c>
      <c r="R1933">
        <v>852.40909090909088</v>
      </c>
      <c r="S1933">
        <v>17.510000000000002</v>
      </c>
      <c r="T1933" s="2">
        <v>44501</v>
      </c>
      <c r="U1933" s="1" t="s">
        <v>51</v>
      </c>
      <c r="V1933">
        <v>0</v>
      </c>
      <c r="W1933" s="1" t="s">
        <v>40</v>
      </c>
      <c r="X1933">
        <v>676</v>
      </c>
      <c r="Y1933" s="1" t="s">
        <v>52</v>
      </c>
      <c r="Z1933" s="1" t="s">
        <v>42</v>
      </c>
      <c r="AA1933">
        <v>2.9411764705882353E-2</v>
      </c>
      <c r="AB1933" s="1" t="s">
        <v>43</v>
      </c>
      <c r="AC1933">
        <v>2</v>
      </c>
      <c r="AD1933" s="2">
        <v>44501</v>
      </c>
      <c r="AE1933" s="1" t="s">
        <v>44</v>
      </c>
      <c r="AF1933" s="1" t="s">
        <v>54</v>
      </c>
      <c r="AG1933" s="1" t="s">
        <v>55</v>
      </c>
      <c r="AH1933" s="1" t="s">
        <v>59</v>
      </c>
      <c r="AI1933">
        <v>28215</v>
      </c>
      <c r="AJ1933">
        <v>-85.5</v>
      </c>
    </row>
    <row r="1934" spans="1:36" x14ac:dyDescent="0.25">
      <c r="A1934">
        <v>11933</v>
      </c>
      <c r="B1934">
        <v>39</v>
      </c>
      <c r="C1934" s="1" t="s">
        <v>60</v>
      </c>
      <c r="D1934" s="1" t="s">
        <v>69</v>
      </c>
      <c r="E1934" s="2">
        <v>44723</v>
      </c>
      <c r="F1934" s="2">
        <v>45108</v>
      </c>
      <c r="G1934" s="1" t="s">
        <v>38</v>
      </c>
      <c r="H1934">
        <v>366</v>
      </c>
      <c r="I1934">
        <v>33</v>
      </c>
      <c r="J1934">
        <v>2</v>
      </c>
      <c r="K1934">
        <v>19.059999999999999</v>
      </c>
      <c r="L1934">
        <v>0</v>
      </c>
      <c r="M1934" s="1" t="s">
        <v>50</v>
      </c>
      <c r="N1934" s="1" t="s">
        <v>56</v>
      </c>
      <c r="O1934">
        <v>12078</v>
      </c>
      <c r="P1934" t="b">
        <v>1</v>
      </c>
      <c r="Q1934">
        <v>2.75</v>
      </c>
      <c r="R1934">
        <v>366</v>
      </c>
      <c r="S1934">
        <v>6.3533333333333326</v>
      </c>
      <c r="T1934" s="2">
        <v>44713</v>
      </c>
      <c r="U1934" s="1" t="s">
        <v>51</v>
      </c>
      <c r="V1934">
        <v>0</v>
      </c>
      <c r="W1934" s="1" t="s">
        <v>56</v>
      </c>
      <c r="X1934">
        <v>385</v>
      </c>
      <c r="Y1934" s="1" t="s">
        <v>42</v>
      </c>
      <c r="Z1934" s="1" t="s">
        <v>42</v>
      </c>
      <c r="AA1934">
        <v>5.8823529411764705E-2</v>
      </c>
      <c r="AB1934" s="1" t="s">
        <v>52</v>
      </c>
      <c r="AC1934">
        <v>1</v>
      </c>
      <c r="AD1934" s="2">
        <v>44713</v>
      </c>
      <c r="AE1934" s="1" t="s">
        <v>44</v>
      </c>
      <c r="AF1934" s="1" t="s">
        <v>72</v>
      </c>
      <c r="AG1934" s="1" t="s">
        <v>46</v>
      </c>
      <c r="AH1934" s="1" t="s">
        <v>68</v>
      </c>
      <c r="AI1934">
        <v>12078</v>
      </c>
      <c r="AJ1934">
        <v>0</v>
      </c>
    </row>
    <row r="1935" spans="1:36" x14ac:dyDescent="0.25">
      <c r="A1935">
        <v>11934</v>
      </c>
      <c r="B1935">
        <v>54</v>
      </c>
      <c r="C1935" s="1" t="s">
        <v>60</v>
      </c>
      <c r="D1935" s="1" t="s">
        <v>37</v>
      </c>
      <c r="E1935" s="2">
        <v>45046</v>
      </c>
      <c r="F1935" s="2">
        <v>45051</v>
      </c>
      <c r="G1935" s="1" t="s">
        <v>38</v>
      </c>
      <c r="H1935">
        <v>1479</v>
      </c>
      <c r="I1935">
        <v>7</v>
      </c>
      <c r="J1935">
        <v>1</v>
      </c>
      <c r="K1935">
        <v>53.89</v>
      </c>
      <c r="L1935">
        <v>5</v>
      </c>
      <c r="M1935" s="1" t="s">
        <v>39</v>
      </c>
      <c r="N1935" s="1" t="s">
        <v>40</v>
      </c>
      <c r="O1935">
        <v>10279.049999999999</v>
      </c>
      <c r="P1935" t="b">
        <v>1</v>
      </c>
      <c r="Q1935">
        <v>0.58333333333333337</v>
      </c>
      <c r="R1935">
        <v>1468.4357142857141</v>
      </c>
      <c r="S1935">
        <v>26.945</v>
      </c>
      <c r="T1935" s="2">
        <v>45017</v>
      </c>
      <c r="U1935" s="1" t="s">
        <v>41</v>
      </c>
      <c r="V1935">
        <v>1</v>
      </c>
      <c r="W1935" s="1" t="s">
        <v>56</v>
      </c>
      <c r="X1935">
        <v>5</v>
      </c>
      <c r="Y1935" s="1" t="s">
        <v>52</v>
      </c>
      <c r="Z1935" s="1" t="s">
        <v>42</v>
      </c>
      <c r="AA1935">
        <v>0.125</v>
      </c>
      <c r="AB1935" s="1" t="s">
        <v>52</v>
      </c>
      <c r="AC1935">
        <v>1</v>
      </c>
      <c r="AD1935" s="2">
        <v>45017</v>
      </c>
      <c r="AE1935" s="1" t="s">
        <v>74</v>
      </c>
      <c r="AF1935" s="1" t="s">
        <v>54</v>
      </c>
      <c r="AG1935" s="1" t="s">
        <v>63</v>
      </c>
      <c r="AH1935" s="1" t="s">
        <v>47</v>
      </c>
      <c r="AI1935">
        <v>10353</v>
      </c>
      <c r="AJ1935">
        <v>-73.950000000000728</v>
      </c>
    </row>
    <row r="1936" spans="1:36" x14ac:dyDescent="0.25">
      <c r="A1936">
        <v>11935</v>
      </c>
      <c r="B1936">
        <v>49</v>
      </c>
      <c r="C1936" s="1" t="s">
        <v>60</v>
      </c>
      <c r="D1936" s="1" t="s">
        <v>69</v>
      </c>
      <c r="E1936" s="2">
        <v>44451</v>
      </c>
      <c r="F1936" s="2">
        <v>44371</v>
      </c>
      <c r="G1936" s="1" t="s">
        <v>38</v>
      </c>
      <c r="H1936">
        <v>1134</v>
      </c>
      <c r="I1936">
        <v>4</v>
      </c>
      <c r="J1936">
        <v>2</v>
      </c>
      <c r="K1936">
        <v>113.52</v>
      </c>
      <c r="L1936">
        <v>15</v>
      </c>
      <c r="M1936" s="1" t="s">
        <v>67</v>
      </c>
      <c r="N1936" s="1" t="s">
        <v>56</v>
      </c>
      <c r="O1936">
        <v>4365.8999999999996</v>
      </c>
      <c r="P1936" t="b">
        <v>0</v>
      </c>
      <c r="Q1936">
        <v>0.33333333333333331</v>
      </c>
      <c r="R1936">
        <v>1091.4749999999999</v>
      </c>
      <c r="S1936">
        <v>37.839999999999996</v>
      </c>
      <c r="T1936" s="2">
        <v>44440</v>
      </c>
      <c r="U1936" s="1" t="s">
        <v>51</v>
      </c>
      <c r="V1936">
        <v>0</v>
      </c>
      <c r="W1936" s="1" t="s">
        <v>56</v>
      </c>
      <c r="Y1936" s="1" t="s">
        <v>43</v>
      </c>
      <c r="Z1936" s="1" t="s">
        <v>42</v>
      </c>
      <c r="AA1936">
        <v>0.4</v>
      </c>
      <c r="AB1936" s="1" t="s">
        <v>42</v>
      </c>
      <c r="AC1936">
        <v>1</v>
      </c>
      <c r="AD1936" s="2">
        <v>44440</v>
      </c>
      <c r="AE1936" s="1" t="s">
        <v>58</v>
      </c>
      <c r="AF1936" s="1" t="s">
        <v>72</v>
      </c>
      <c r="AG1936" s="1" t="s">
        <v>63</v>
      </c>
      <c r="AH1936" s="1" t="s">
        <v>47</v>
      </c>
      <c r="AI1936">
        <v>4536</v>
      </c>
      <c r="AJ1936">
        <v>-170.10000000000036</v>
      </c>
    </row>
    <row r="1937" spans="1:36" x14ac:dyDescent="0.25">
      <c r="A1937">
        <v>11936</v>
      </c>
      <c r="B1937">
        <v>58</v>
      </c>
      <c r="C1937" s="1" t="s">
        <v>36</v>
      </c>
      <c r="D1937" s="1" t="s">
        <v>48</v>
      </c>
      <c r="E1937" s="2">
        <v>44800</v>
      </c>
      <c r="F1937" s="2">
        <v>44820</v>
      </c>
      <c r="G1937" s="1" t="s">
        <v>62</v>
      </c>
      <c r="H1937">
        <v>505</v>
      </c>
      <c r="I1937">
        <v>28</v>
      </c>
      <c r="J1937">
        <v>2</v>
      </c>
      <c r="K1937">
        <v>62.59</v>
      </c>
      <c r="L1937">
        <v>15</v>
      </c>
      <c r="M1937" s="1" t="s">
        <v>50</v>
      </c>
      <c r="N1937" s="1" t="s">
        <v>56</v>
      </c>
      <c r="O1937">
        <v>14064.25</v>
      </c>
      <c r="P1937" t="b">
        <v>1</v>
      </c>
      <c r="Q1937">
        <v>2.3333333333333335</v>
      </c>
      <c r="R1937">
        <v>502.29464285714283</v>
      </c>
      <c r="S1937">
        <v>20.863333333333333</v>
      </c>
      <c r="T1937" s="2">
        <v>44774</v>
      </c>
      <c r="U1937" s="1" t="s">
        <v>41</v>
      </c>
      <c r="V1937">
        <v>0</v>
      </c>
      <c r="W1937" s="1" t="s">
        <v>40</v>
      </c>
      <c r="X1937">
        <v>20</v>
      </c>
      <c r="Y1937" s="1" t="s">
        <v>43</v>
      </c>
      <c r="Z1937" s="1" t="s">
        <v>42</v>
      </c>
      <c r="AA1937">
        <v>6.8965517241379309E-2</v>
      </c>
      <c r="AB1937" s="1" t="s">
        <v>52</v>
      </c>
      <c r="AC1937">
        <v>2</v>
      </c>
      <c r="AD1937" s="2">
        <v>44774</v>
      </c>
      <c r="AE1937" s="1" t="s">
        <v>44</v>
      </c>
      <c r="AF1937" s="1" t="s">
        <v>72</v>
      </c>
      <c r="AG1937" s="1" t="s">
        <v>63</v>
      </c>
      <c r="AH1937" s="1" t="s">
        <v>64</v>
      </c>
      <c r="AI1937">
        <v>14140</v>
      </c>
      <c r="AJ1937">
        <v>-75.75</v>
      </c>
    </row>
    <row r="1938" spans="1:36" x14ac:dyDescent="0.25">
      <c r="A1938">
        <v>11937</v>
      </c>
      <c r="B1938">
        <v>41</v>
      </c>
      <c r="C1938" s="1" t="s">
        <v>36</v>
      </c>
      <c r="D1938" s="1" t="s">
        <v>71</v>
      </c>
      <c r="E1938" s="2">
        <v>44706</v>
      </c>
      <c r="F1938" s="2">
        <v>44747</v>
      </c>
      <c r="G1938" s="1" t="s">
        <v>49</v>
      </c>
      <c r="H1938">
        <v>1085</v>
      </c>
      <c r="I1938">
        <v>23</v>
      </c>
      <c r="J1938">
        <v>2</v>
      </c>
      <c r="K1938">
        <v>78.05</v>
      </c>
      <c r="L1938">
        <v>20</v>
      </c>
      <c r="M1938" s="1" t="s">
        <v>50</v>
      </c>
      <c r="N1938" s="1" t="s">
        <v>56</v>
      </c>
      <c r="O1938">
        <v>24738</v>
      </c>
      <c r="P1938" t="b">
        <v>1</v>
      </c>
      <c r="Q1938">
        <v>1.9166666666666667</v>
      </c>
      <c r="R1938">
        <v>1075.5652173913043</v>
      </c>
      <c r="S1938">
        <v>26.016666666666666</v>
      </c>
      <c r="T1938" s="2">
        <v>44682</v>
      </c>
      <c r="U1938" s="1" t="s">
        <v>51</v>
      </c>
      <c r="V1938">
        <v>0</v>
      </c>
      <c r="W1938" s="1" t="s">
        <v>40</v>
      </c>
      <c r="X1938">
        <v>41</v>
      </c>
      <c r="Y1938" s="1" t="s">
        <v>43</v>
      </c>
      <c r="Z1938" s="1" t="s">
        <v>52</v>
      </c>
      <c r="AA1938">
        <v>8.3333333333333329E-2</v>
      </c>
      <c r="AB1938" s="1" t="s">
        <v>43</v>
      </c>
      <c r="AC1938">
        <v>3</v>
      </c>
      <c r="AD1938" s="2">
        <v>44682</v>
      </c>
      <c r="AE1938" s="1" t="s">
        <v>53</v>
      </c>
      <c r="AF1938" s="1" t="s">
        <v>72</v>
      </c>
      <c r="AG1938" s="1" t="s">
        <v>63</v>
      </c>
      <c r="AH1938" s="1" t="s">
        <v>47</v>
      </c>
      <c r="AI1938">
        <v>24955</v>
      </c>
      <c r="AJ1938">
        <v>-217</v>
      </c>
    </row>
    <row r="1939" spans="1:36" x14ac:dyDescent="0.25">
      <c r="A1939">
        <v>11938</v>
      </c>
      <c r="B1939">
        <v>45</v>
      </c>
      <c r="C1939" s="1" t="s">
        <v>36</v>
      </c>
      <c r="D1939" s="1" t="s">
        <v>71</v>
      </c>
      <c r="E1939" s="2">
        <v>44987</v>
      </c>
      <c r="F1939" s="2">
        <v>44939</v>
      </c>
      <c r="G1939" s="1" t="s">
        <v>49</v>
      </c>
      <c r="H1939">
        <v>454</v>
      </c>
      <c r="I1939">
        <v>32</v>
      </c>
      <c r="J1939">
        <v>2</v>
      </c>
      <c r="K1939">
        <v>76.78</v>
      </c>
      <c r="L1939">
        <v>0</v>
      </c>
      <c r="M1939" s="1" t="s">
        <v>50</v>
      </c>
      <c r="N1939" s="1" t="s">
        <v>56</v>
      </c>
      <c r="O1939">
        <v>14528</v>
      </c>
      <c r="P1939" t="b">
        <v>0</v>
      </c>
      <c r="Q1939">
        <v>2.6666666666666665</v>
      </c>
      <c r="R1939">
        <v>454</v>
      </c>
      <c r="S1939">
        <v>25.593333333333334</v>
      </c>
      <c r="T1939" s="2">
        <v>44986</v>
      </c>
      <c r="U1939" s="1" t="s">
        <v>51</v>
      </c>
      <c r="V1939">
        <v>0</v>
      </c>
      <c r="W1939" s="1" t="s">
        <v>40</v>
      </c>
      <c r="Y1939" s="1" t="s">
        <v>43</v>
      </c>
      <c r="Z1939" s="1" t="s">
        <v>42</v>
      </c>
      <c r="AA1939">
        <v>6.0606060606060608E-2</v>
      </c>
      <c r="AB1939" s="1" t="s">
        <v>52</v>
      </c>
      <c r="AC1939">
        <v>3</v>
      </c>
      <c r="AD1939" s="2">
        <v>44986</v>
      </c>
      <c r="AE1939" s="1" t="s">
        <v>44</v>
      </c>
      <c r="AF1939" s="1" t="s">
        <v>72</v>
      </c>
      <c r="AG1939" s="1" t="s">
        <v>63</v>
      </c>
      <c r="AH1939" s="1" t="s">
        <v>68</v>
      </c>
      <c r="AI1939">
        <v>14528</v>
      </c>
      <c r="AJ1939">
        <v>0</v>
      </c>
    </row>
    <row r="1940" spans="1:36" x14ac:dyDescent="0.25">
      <c r="A1940">
        <v>11939</v>
      </c>
      <c r="B1940">
        <v>27</v>
      </c>
      <c r="C1940" s="1" t="s">
        <v>36</v>
      </c>
      <c r="D1940" s="1" t="s">
        <v>73</v>
      </c>
      <c r="E1940" s="2">
        <v>44914</v>
      </c>
      <c r="F1940" s="2">
        <v>44481</v>
      </c>
      <c r="G1940" s="1" t="s">
        <v>38</v>
      </c>
      <c r="H1940">
        <v>1397</v>
      </c>
      <c r="I1940">
        <v>16</v>
      </c>
      <c r="J1940">
        <v>3</v>
      </c>
      <c r="K1940">
        <v>20.25</v>
      </c>
      <c r="L1940">
        <v>0</v>
      </c>
      <c r="M1940" s="1" t="s">
        <v>39</v>
      </c>
      <c r="N1940" s="1" t="s">
        <v>56</v>
      </c>
      <c r="O1940">
        <v>22352</v>
      </c>
      <c r="P1940" t="b">
        <v>0</v>
      </c>
      <c r="Q1940">
        <v>1.3333333333333333</v>
      </c>
      <c r="R1940">
        <v>1397</v>
      </c>
      <c r="S1940">
        <v>5.0625</v>
      </c>
      <c r="T1940" s="2">
        <v>44896</v>
      </c>
      <c r="U1940" s="1" t="s">
        <v>57</v>
      </c>
      <c r="V1940">
        <v>0</v>
      </c>
      <c r="W1940" s="1" t="s">
        <v>40</v>
      </c>
      <c r="Y1940" s="1" t="s">
        <v>52</v>
      </c>
      <c r="Z1940" s="1" t="s">
        <v>42</v>
      </c>
      <c r="AA1940">
        <v>0.17647058823529413</v>
      </c>
      <c r="AB1940" s="1" t="s">
        <v>43</v>
      </c>
      <c r="AC1940">
        <v>1</v>
      </c>
      <c r="AD1940" s="2">
        <v>44896</v>
      </c>
      <c r="AE1940" s="1" t="s">
        <v>53</v>
      </c>
      <c r="AF1940" s="1" t="s">
        <v>72</v>
      </c>
      <c r="AG1940" s="1" t="s">
        <v>70</v>
      </c>
      <c r="AH1940" s="1" t="s">
        <v>47</v>
      </c>
      <c r="AI1940">
        <v>22352</v>
      </c>
      <c r="AJ1940">
        <v>0</v>
      </c>
    </row>
    <row r="1941" spans="1:36" x14ac:dyDescent="0.25">
      <c r="A1941">
        <v>11940</v>
      </c>
      <c r="B1941">
        <v>52</v>
      </c>
      <c r="C1941" s="1" t="s">
        <v>36</v>
      </c>
      <c r="D1941" s="1" t="s">
        <v>69</v>
      </c>
      <c r="E1941" s="2">
        <v>44802</v>
      </c>
      <c r="F1941" s="2">
        <v>44768</v>
      </c>
      <c r="G1941" s="1" t="s">
        <v>38</v>
      </c>
      <c r="H1941">
        <v>1372</v>
      </c>
      <c r="I1941">
        <v>10</v>
      </c>
      <c r="J1941">
        <v>1</v>
      </c>
      <c r="K1941">
        <v>49.88</v>
      </c>
      <c r="L1941">
        <v>0</v>
      </c>
      <c r="M1941" s="1" t="s">
        <v>65</v>
      </c>
      <c r="N1941" s="1" t="s">
        <v>56</v>
      </c>
      <c r="O1941">
        <v>13720</v>
      </c>
      <c r="P1941" t="b">
        <v>0</v>
      </c>
      <c r="Q1941">
        <v>0.83333333333333337</v>
      </c>
      <c r="R1941">
        <v>1372</v>
      </c>
      <c r="S1941">
        <v>24.94</v>
      </c>
      <c r="T1941" s="2">
        <v>44774</v>
      </c>
      <c r="U1941" s="1" t="s">
        <v>41</v>
      </c>
      <c r="V1941">
        <v>0</v>
      </c>
      <c r="W1941" s="1" t="s">
        <v>40</v>
      </c>
      <c r="Y1941" s="1" t="s">
        <v>52</v>
      </c>
      <c r="Z1941" s="1" t="s">
        <v>42</v>
      </c>
      <c r="AA1941">
        <v>9.0909090909090912E-2</v>
      </c>
      <c r="AB1941" s="1" t="s">
        <v>52</v>
      </c>
      <c r="AC1941">
        <v>1</v>
      </c>
      <c r="AD1941" s="2">
        <v>44774</v>
      </c>
      <c r="AE1941" s="1" t="s">
        <v>74</v>
      </c>
      <c r="AF1941" s="1" t="s">
        <v>54</v>
      </c>
      <c r="AG1941" s="1" t="s">
        <v>63</v>
      </c>
      <c r="AH1941" s="1" t="s">
        <v>47</v>
      </c>
      <c r="AI1941">
        <v>13720</v>
      </c>
      <c r="AJ1941">
        <v>0</v>
      </c>
    </row>
    <row r="1942" spans="1:36" x14ac:dyDescent="0.25">
      <c r="A1942">
        <v>11941</v>
      </c>
      <c r="B1942">
        <v>46</v>
      </c>
      <c r="C1942" s="1" t="s">
        <v>36</v>
      </c>
      <c r="D1942" s="1" t="s">
        <v>61</v>
      </c>
      <c r="E1942" s="2">
        <v>44933</v>
      </c>
      <c r="F1942" s="2">
        <v>44560</v>
      </c>
      <c r="G1942" s="1" t="s">
        <v>38</v>
      </c>
      <c r="H1942">
        <v>1082</v>
      </c>
      <c r="I1942">
        <v>14</v>
      </c>
      <c r="J1942">
        <v>6</v>
      </c>
      <c r="K1942">
        <v>86.3</v>
      </c>
      <c r="L1942">
        <v>10</v>
      </c>
      <c r="M1942" s="1" t="s">
        <v>50</v>
      </c>
      <c r="N1942" s="1" t="s">
        <v>56</v>
      </c>
      <c r="O1942">
        <v>15039.8</v>
      </c>
      <c r="P1942" t="b">
        <v>0</v>
      </c>
      <c r="Q1942">
        <v>1.1666666666666667</v>
      </c>
      <c r="R1942">
        <v>1074.2714285714285</v>
      </c>
      <c r="S1942">
        <v>12.328571428571427</v>
      </c>
      <c r="T1942" s="2">
        <v>44927</v>
      </c>
      <c r="U1942" s="1" t="s">
        <v>51</v>
      </c>
      <c r="V1942">
        <v>0</v>
      </c>
      <c r="W1942" s="1" t="s">
        <v>40</v>
      </c>
      <c r="Y1942" s="1" t="s">
        <v>43</v>
      </c>
      <c r="Z1942" s="1" t="s">
        <v>42</v>
      </c>
      <c r="AA1942">
        <v>0.4</v>
      </c>
      <c r="AB1942" s="1" t="s">
        <v>52</v>
      </c>
      <c r="AC1942">
        <v>1</v>
      </c>
      <c r="AD1942" s="2">
        <v>44927</v>
      </c>
      <c r="AE1942" s="1" t="s">
        <v>53</v>
      </c>
      <c r="AF1942" s="1" t="s">
        <v>78</v>
      </c>
      <c r="AG1942" s="1" t="s">
        <v>63</v>
      </c>
      <c r="AH1942" s="1" t="s">
        <v>47</v>
      </c>
      <c r="AI1942">
        <v>15148</v>
      </c>
      <c r="AJ1942">
        <v>-108.20000000000073</v>
      </c>
    </row>
    <row r="1943" spans="1:36" x14ac:dyDescent="0.25">
      <c r="A1943">
        <v>11942</v>
      </c>
      <c r="B1943">
        <v>32</v>
      </c>
      <c r="C1943" s="1" t="s">
        <v>60</v>
      </c>
      <c r="D1943" s="1" t="s">
        <v>61</v>
      </c>
      <c r="E1943" s="2">
        <v>45009</v>
      </c>
      <c r="F1943" s="2">
        <v>45247</v>
      </c>
      <c r="G1943" s="1" t="s">
        <v>38</v>
      </c>
      <c r="H1943">
        <v>884</v>
      </c>
      <c r="I1943">
        <v>34</v>
      </c>
      <c r="J1943">
        <v>2</v>
      </c>
      <c r="K1943">
        <v>116.78</v>
      </c>
      <c r="L1943">
        <v>0</v>
      </c>
      <c r="M1943" s="1" t="s">
        <v>50</v>
      </c>
      <c r="N1943" s="1" t="s">
        <v>56</v>
      </c>
      <c r="O1943">
        <v>30056</v>
      </c>
      <c r="P1943" t="b">
        <v>1</v>
      </c>
      <c r="Q1943">
        <v>2.8333333333333335</v>
      </c>
      <c r="R1943">
        <v>884</v>
      </c>
      <c r="S1943">
        <v>38.926666666666669</v>
      </c>
      <c r="T1943" s="2">
        <v>44986</v>
      </c>
      <c r="U1943" s="1" t="s">
        <v>57</v>
      </c>
      <c r="V1943">
        <v>0</v>
      </c>
      <c r="W1943" s="1" t="s">
        <v>40</v>
      </c>
      <c r="X1943">
        <v>238</v>
      </c>
      <c r="Y1943" s="1" t="s">
        <v>43</v>
      </c>
      <c r="Z1943" s="1" t="s">
        <v>42</v>
      </c>
      <c r="AA1943">
        <v>5.7142857142857141E-2</v>
      </c>
      <c r="AB1943" s="1" t="s">
        <v>43</v>
      </c>
      <c r="AC1943">
        <v>1</v>
      </c>
      <c r="AD1943" s="2">
        <v>44986</v>
      </c>
      <c r="AE1943" s="1" t="s">
        <v>44</v>
      </c>
      <c r="AF1943" s="1" t="s">
        <v>72</v>
      </c>
      <c r="AG1943" s="1" t="s">
        <v>63</v>
      </c>
      <c r="AH1943" s="1" t="s">
        <v>59</v>
      </c>
      <c r="AI1943">
        <v>30056</v>
      </c>
      <c r="AJ1943">
        <v>0</v>
      </c>
    </row>
    <row r="1944" spans="1:36" x14ac:dyDescent="0.25">
      <c r="A1944">
        <v>11943</v>
      </c>
      <c r="B1944">
        <v>50</v>
      </c>
      <c r="C1944" s="1" t="s">
        <v>36</v>
      </c>
      <c r="D1944" s="1" t="s">
        <v>69</v>
      </c>
      <c r="E1944" s="2">
        <v>45026</v>
      </c>
      <c r="F1944" s="2">
        <v>44829</v>
      </c>
      <c r="G1944" s="1" t="s">
        <v>62</v>
      </c>
      <c r="H1944">
        <v>1007</v>
      </c>
      <c r="I1944">
        <v>24</v>
      </c>
      <c r="J1944">
        <v>1</v>
      </c>
      <c r="K1944">
        <v>24.32</v>
      </c>
      <c r="L1944">
        <v>15</v>
      </c>
      <c r="M1944" s="1" t="s">
        <v>50</v>
      </c>
      <c r="N1944" s="1" t="s">
        <v>56</v>
      </c>
      <c r="O1944">
        <v>24016.95</v>
      </c>
      <c r="P1944" t="b">
        <v>0</v>
      </c>
      <c r="Q1944">
        <v>2</v>
      </c>
      <c r="R1944">
        <v>1000.7062500000001</v>
      </c>
      <c r="S1944">
        <v>12.16</v>
      </c>
      <c r="T1944" s="2">
        <v>45017</v>
      </c>
      <c r="U1944" s="1" t="s">
        <v>51</v>
      </c>
      <c r="V1944">
        <v>0</v>
      </c>
      <c r="W1944" s="1" t="s">
        <v>40</v>
      </c>
      <c r="Y1944" s="1" t="s">
        <v>52</v>
      </c>
      <c r="Z1944" s="1" t="s">
        <v>42</v>
      </c>
      <c r="AA1944">
        <v>0.04</v>
      </c>
      <c r="AB1944" s="1" t="s">
        <v>43</v>
      </c>
      <c r="AC1944">
        <v>2</v>
      </c>
      <c r="AD1944" s="2">
        <v>45017</v>
      </c>
      <c r="AE1944" s="1" t="s">
        <v>53</v>
      </c>
      <c r="AF1944" s="1" t="s">
        <v>54</v>
      </c>
      <c r="AG1944" s="1" t="s">
        <v>70</v>
      </c>
      <c r="AH1944" s="1" t="s">
        <v>47</v>
      </c>
      <c r="AI1944">
        <v>24168</v>
      </c>
      <c r="AJ1944">
        <v>-151.04999999999927</v>
      </c>
    </row>
    <row r="1945" spans="1:36" x14ac:dyDescent="0.25">
      <c r="A1945">
        <v>11944</v>
      </c>
      <c r="B1945">
        <v>24</v>
      </c>
      <c r="C1945" s="1" t="s">
        <v>36</v>
      </c>
      <c r="D1945" s="1" t="s">
        <v>48</v>
      </c>
      <c r="E1945" s="2">
        <v>44659</v>
      </c>
      <c r="F1945" s="2">
        <v>44695</v>
      </c>
      <c r="G1945" s="1" t="s">
        <v>49</v>
      </c>
      <c r="H1945">
        <v>478</v>
      </c>
      <c r="I1945">
        <v>18</v>
      </c>
      <c r="J1945">
        <v>0</v>
      </c>
      <c r="K1945">
        <v>52.2</v>
      </c>
      <c r="L1945">
        <v>0</v>
      </c>
      <c r="M1945" s="1" t="s">
        <v>67</v>
      </c>
      <c r="N1945" s="1" t="s">
        <v>40</v>
      </c>
      <c r="O1945">
        <v>8604</v>
      </c>
      <c r="P1945" t="b">
        <v>1</v>
      </c>
      <c r="Q1945">
        <v>1.5</v>
      </c>
      <c r="R1945">
        <v>478</v>
      </c>
      <c r="S1945">
        <v>52.2</v>
      </c>
      <c r="T1945" s="2">
        <v>44652</v>
      </c>
      <c r="U1945" s="1" t="s">
        <v>66</v>
      </c>
      <c r="V1945">
        <v>1</v>
      </c>
      <c r="W1945" s="1" t="s">
        <v>56</v>
      </c>
      <c r="X1945">
        <v>36</v>
      </c>
      <c r="Y1945" s="1" t="s">
        <v>52</v>
      </c>
      <c r="Z1945" s="1" t="s">
        <v>42</v>
      </c>
      <c r="AA1945">
        <v>0</v>
      </c>
      <c r="AB1945" s="1" t="s">
        <v>42</v>
      </c>
      <c r="AC1945">
        <v>3</v>
      </c>
      <c r="AD1945" s="2">
        <v>44652</v>
      </c>
      <c r="AE1945" s="1" t="s">
        <v>53</v>
      </c>
      <c r="AF1945" s="1" t="s">
        <v>54</v>
      </c>
      <c r="AG1945" s="1" t="s">
        <v>63</v>
      </c>
      <c r="AH1945" s="1" t="s">
        <v>68</v>
      </c>
      <c r="AI1945">
        <v>8604</v>
      </c>
      <c r="AJ1945">
        <v>0</v>
      </c>
    </row>
    <row r="1946" spans="1:36" x14ac:dyDescent="0.25">
      <c r="A1946">
        <v>11945</v>
      </c>
      <c r="B1946">
        <v>29</v>
      </c>
      <c r="C1946" s="1" t="s">
        <v>36</v>
      </c>
      <c r="D1946" s="1" t="s">
        <v>61</v>
      </c>
      <c r="E1946" s="2">
        <v>44395</v>
      </c>
      <c r="F1946" s="2">
        <v>44513</v>
      </c>
      <c r="G1946" s="1" t="s">
        <v>49</v>
      </c>
      <c r="H1946">
        <v>1371</v>
      </c>
      <c r="I1946">
        <v>16</v>
      </c>
      <c r="J1946">
        <v>2</v>
      </c>
      <c r="K1946">
        <v>62.59</v>
      </c>
      <c r="L1946">
        <v>10</v>
      </c>
      <c r="M1946" s="1" t="s">
        <v>67</v>
      </c>
      <c r="N1946" s="1" t="s">
        <v>40</v>
      </c>
      <c r="O1946">
        <v>21798.9</v>
      </c>
      <c r="P1946" t="b">
        <v>1</v>
      </c>
      <c r="Q1946">
        <v>1.3333333333333333</v>
      </c>
      <c r="R1946">
        <v>1362.4312500000001</v>
      </c>
      <c r="S1946">
        <v>20.863333333333333</v>
      </c>
      <c r="T1946" s="2">
        <v>44378</v>
      </c>
      <c r="U1946" s="1" t="s">
        <v>57</v>
      </c>
      <c r="V1946">
        <v>1</v>
      </c>
      <c r="W1946" s="1" t="s">
        <v>40</v>
      </c>
      <c r="X1946">
        <v>118</v>
      </c>
      <c r="Y1946" s="1" t="s">
        <v>43</v>
      </c>
      <c r="Z1946" s="1" t="s">
        <v>42</v>
      </c>
      <c r="AA1946">
        <v>0.11764705882352941</v>
      </c>
      <c r="AB1946" s="1" t="s">
        <v>43</v>
      </c>
      <c r="AC1946">
        <v>3</v>
      </c>
      <c r="AD1946" s="2">
        <v>44378</v>
      </c>
      <c r="AE1946" s="1" t="s">
        <v>53</v>
      </c>
      <c r="AF1946" s="1" t="s">
        <v>72</v>
      </c>
      <c r="AG1946" s="1" t="s">
        <v>63</v>
      </c>
      <c r="AH1946" s="1" t="s">
        <v>47</v>
      </c>
      <c r="AI1946">
        <v>21936</v>
      </c>
      <c r="AJ1946">
        <v>-137.09999999999854</v>
      </c>
    </row>
    <row r="1947" spans="1:36" x14ac:dyDescent="0.25">
      <c r="A1947">
        <v>11946</v>
      </c>
      <c r="B1947">
        <v>47</v>
      </c>
      <c r="C1947" s="1" t="s">
        <v>36</v>
      </c>
      <c r="D1947" s="1" t="s">
        <v>73</v>
      </c>
      <c r="E1947" s="2">
        <v>44467</v>
      </c>
      <c r="F1947" s="2">
        <v>44695</v>
      </c>
      <c r="G1947" s="1" t="s">
        <v>62</v>
      </c>
      <c r="H1947">
        <v>1395</v>
      </c>
      <c r="I1947">
        <v>25</v>
      </c>
      <c r="J1947">
        <v>1</v>
      </c>
      <c r="K1947">
        <v>32.869999999999997</v>
      </c>
      <c r="L1947">
        <v>5</v>
      </c>
      <c r="M1947" s="1" t="s">
        <v>50</v>
      </c>
      <c r="N1947" s="1" t="s">
        <v>56</v>
      </c>
      <c r="O1947">
        <v>34805.25</v>
      </c>
      <c r="P1947" t="b">
        <v>1</v>
      </c>
      <c r="Q1947">
        <v>2.0833333333333335</v>
      </c>
      <c r="R1947">
        <v>1392.21</v>
      </c>
      <c r="S1947">
        <v>16.434999999999999</v>
      </c>
      <c r="T1947" s="2">
        <v>44440</v>
      </c>
      <c r="U1947" s="1" t="s">
        <v>51</v>
      </c>
      <c r="V1947">
        <v>0</v>
      </c>
      <c r="W1947" s="1" t="s">
        <v>40</v>
      </c>
      <c r="X1947">
        <v>228</v>
      </c>
      <c r="Y1947" s="1" t="s">
        <v>52</v>
      </c>
      <c r="Z1947" s="1" t="s">
        <v>42</v>
      </c>
      <c r="AA1947">
        <v>3.8461538461538464E-2</v>
      </c>
      <c r="AB1947" s="1" t="s">
        <v>43</v>
      </c>
      <c r="AC1947">
        <v>2</v>
      </c>
      <c r="AD1947" s="2">
        <v>44440</v>
      </c>
      <c r="AE1947" s="1" t="s">
        <v>44</v>
      </c>
      <c r="AF1947" s="1" t="s">
        <v>54</v>
      </c>
      <c r="AG1947" s="1" t="s">
        <v>55</v>
      </c>
      <c r="AH1947" s="1" t="s">
        <v>47</v>
      </c>
      <c r="AI1947">
        <v>34875</v>
      </c>
      <c r="AJ1947">
        <v>-69.75</v>
      </c>
    </row>
    <row r="1948" spans="1:36" x14ac:dyDescent="0.25">
      <c r="A1948">
        <v>11947</v>
      </c>
      <c r="B1948">
        <v>38</v>
      </c>
      <c r="C1948" s="1" t="s">
        <v>36</v>
      </c>
      <c r="D1948" s="1" t="s">
        <v>69</v>
      </c>
      <c r="E1948" s="2">
        <v>44942</v>
      </c>
      <c r="F1948" s="2">
        <v>45196</v>
      </c>
      <c r="G1948" s="1" t="s">
        <v>49</v>
      </c>
      <c r="H1948">
        <v>412</v>
      </c>
      <c r="I1948">
        <v>8</v>
      </c>
      <c r="J1948">
        <v>1</v>
      </c>
      <c r="K1948">
        <v>48.33</v>
      </c>
      <c r="L1948">
        <v>0</v>
      </c>
      <c r="M1948" s="1" t="s">
        <v>39</v>
      </c>
      <c r="N1948" s="1" t="s">
        <v>40</v>
      </c>
      <c r="O1948">
        <v>3296</v>
      </c>
      <c r="P1948" t="b">
        <v>1</v>
      </c>
      <c r="Q1948">
        <v>0.66666666666666663</v>
      </c>
      <c r="R1948">
        <v>412</v>
      </c>
      <c r="S1948">
        <v>24.164999999999999</v>
      </c>
      <c r="T1948" s="2">
        <v>44927</v>
      </c>
      <c r="U1948" s="1" t="s">
        <v>51</v>
      </c>
      <c r="V1948">
        <v>1</v>
      </c>
      <c r="W1948" s="1" t="s">
        <v>56</v>
      </c>
      <c r="X1948">
        <v>254</v>
      </c>
      <c r="Y1948" s="1" t="s">
        <v>52</v>
      </c>
      <c r="Z1948" s="1" t="s">
        <v>42</v>
      </c>
      <c r="AA1948">
        <v>0.1111111111111111</v>
      </c>
      <c r="AB1948" s="1" t="s">
        <v>42</v>
      </c>
      <c r="AC1948">
        <v>3</v>
      </c>
      <c r="AD1948" s="2">
        <v>44927</v>
      </c>
      <c r="AE1948" s="1" t="s">
        <v>74</v>
      </c>
      <c r="AF1948" s="1" t="s">
        <v>54</v>
      </c>
      <c r="AG1948" s="1" t="s">
        <v>63</v>
      </c>
      <c r="AH1948" s="1" t="s">
        <v>68</v>
      </c>
      <c r="AI1948">
        <v>3296</v>
      </c>
      <c r="AJ1948">
        <v>0</v>
      </c>
    </row>
    <row r="1949" spans="1:36" x14ac:dyDescent="0.25">
      <c r="A1949">
        <v>11948</v>
      </c>
      <c r="B1949">
        <v>48</v>
      </c>
      <c r="C1949" s="1" t="s">
        <v>36</v>
      </c>
      <c r="D1949" s="1" t="s">
        <v>48</v>
      </c>
      <c r="E1949" s="2">
        <v>44754</v>
      </c>
      <c r="F1949" s="2">
        <v>44745</v>
      </c>
      <c r="G1949" s="1" t="s">
        <v>62</v>
      </c>
      <c r="H1949">
        <v>1056</v>
      </c>
      <c r="I1949">
        <v>24</v>
      </c>
      <c r="J1949">
        <v>1</v>
      </c>
      <c r="K1949">
        <v>67.17</v>
      </c>
      <c r="L1949">
        <v>5</v>
      </c>
      <c r="M1949" s="1" t="s">
        <v>65</v>
      </c>
      <c r="N1949" s="1" t="s">
        <v>56</v>
      </c>
      <c r="O1949">
        <v>25291.200000000001</v>
      </c>
      <c r="P1949" t="b">
        <v>0</v>
      </c>
      <c r="Q1949">
        <v>2</v>
      </c>
      <c r="R1949">
        <v>1053.8</v>
      </c>
      <c r="S1949">
        <v>33.585000000000001</v>
      </c>
      <c r="T1949" s="2">
        <v>44743</v>
      </c>
      <c r="U1949" s="1" t="s">
        <v>51</v>
      </c>
      <c r="V1949">
        <v>0</v>
      </c>
      <c r="W1949" s="1" t="s">
        <v>40</v>
      </c>
      <c r="Y1949" s="1" t="s">
        <v>43</v>
      </c>
      <c r="Z1949" s="1" t="s">
        <v>42</v>
      </c>
      <c r="AA1949">
        <v>0.04</v>
      </c>
      <c r="AB1949" s="1" t="s">
        <v>43</v>
      </c>
      <c r="AC1949">
        <v>2</v>
      </c>
      <c r="AD1949" s="2">
        <v>44743</v>
      </c>
      <c r="AE1949" s="1" t="s">
        <v>53</v>
      </c>
      <c r="AF1949" s="1" t="s">
        <v>54</v>
      </c>
      <c r="AG1949" s="1" t="s">
        <v>63</v>
      </c>
      <c r="AH1949" s="1" t="s">
        <v>47</v>
      </c>
      <c r="AI1949">
        <v>25344</v>
      </c>
      <c r="AJ1949">
        <v>-52.799999999999272</v>
      </c>
    </row>
    <row r="1950" spans="1:36" x14ac:dyDescent="0.25">
      <c r="A1950">
        <v>11949</v>
      </c>
      <c r="B1950">
        <v>41</v>
      </c>
      <c r="C1950" s="1" t="s">
        <v>36</v>
      </c>
      <c r="D1950" s="1" t="s">
        <v>48</v>
      </c>
      <c r="E1950" s="2">
        <v>44260</v>
      </c>
      <c r="F1950" s="2">
        <v>44930</v>
      </c>
      <c r="G1950" s="1" t="s">
        <v>38</v>
      </c>
      <c r="H1950">
        <v>1196</v>
      </c>
      <c r="I1950">
        <v>20</v>
      </c>
      <c r="J1950">
        <v>1</v>
      </c>
      <c r="K1950">
        <v>62.59</v>
      </c>
      <c r="L1950">
        <v>20</v>
      </c>
      <c r="M1950" s="1" t="s">
        <v>67</v>
      </c>
      <c r="N1950" s="1" t="s">
        <v>40</v>
      </c>
      <c r="O1950">
        <v>23680.799999999999</v>
      </c>
      <c r="P1950" t="b">
        <v>1</v>
      </c>
      <c r="Q1950">
        <v>1.6666666666666667</v>
      </c>
      <c r="R1950">
        <v>1184.04</v>
      </c>
      <c r="S1950">
        <v>31.295000000000002</v>
      </c>
      <c r="T1950" s="2">
        <v>44256</v>
      </c>
      <c r="U1950" s="1" t="s">
        <v>51</v>
      </c>
      <c r="V1950">
        <v>1</v>
      </c>
      <c r="W1950" s="1" t="s">
        <v>40</v>
      </c>
      <c r="X1950">
        <v>670</v>
      </c>
      <c r="Y1950" s="1" t="s">
        <v>43</v>
      </c>
      <c r="Z1950" s="1" t="s">
        <v>52</v>
      </c>
      <c r="AA1950">
        <v>4.7619047619047616E-2</v>
      </c>
      <c r="AB1950" s="1" t="s">
        <v>43</v>
      </c>
      <c r="AC1950">
        <v>1</v>
      </c>
      <c r="AD1950" s="2">
        <v>44256</v>
      </c>
      <c r="AE1950" s="1" t="s">
        <v>53</v>
      </c>
      <c r="AF1950" s="1" t="s">
        <v>54</v>
      </c>
      <c r="AG1950" s="1" t="s">
        <v>63</v>
      </c>
      <c r="AH1950" s="1" t="s">
        <v>47</v>
      </c>
      <c r="AI1950">
        <v>23920</v>
      </c>
      <c r="AJ1950">
        <v>-239.20000000000073</v>
      </c>
    </row>
    <row r="1951" spans="1:36" x14ac:dyDescent="0.25">
      <c r="A1951">
        <v>11950</v>
      </c>
      <c r="B1951">
        <v>37</v>
      </c>
      <c r="C1951" s="1" t="s">
        <v>60</v>
      </c>
      <c r="D1951" s="1" t="s">
        <v>37</v>
      </c>
      <c r="E1951" s="2">
        <v>44426</v>
      </c>
      <c r="F1951" s="2">
        <v>45073</v>
      </c>
      <c r="G1951" s="1" t="s">
        <v>62</v>
      </c>
      <c r="H1951">
        <v>1120</v>
      </c>
      <c r="I1951">
        <v>30</v>
      </c>
      <c r="J1951">
        <v>2</v>
      </c>
      <c r="K1951">
        <v>31.17</v>
      </c>
      <c r="L1951">
        <v>10</v>
      </c>
      <c r="M1951" s="1" t="s">
        <v>65</v>
      </c>
      <c r="N1951" s="1" t="s">
        <v>56</v>
      </c>
      <c r="O1951">
        <v>33488</v>
      </c>
      <c r="P1951" t="b">
        <v>1</v>
      </c>
      <c r="Q1951">
        <v>2.5</v>
      </c>
      <c r="R1951">
        <v>1116.2666666666667</v>
      </c>
      <c r="S1951">
        <v>10.39</v>
      </c>
      <c r="T1951" s="2">
        <v>44409</v>
      </c>
      <c r="U1951" s="1" t="s">
        <v>51</v>
      </c>
      <c r="V1951">
        <v>0</v>
      </c>
      <c r="W1951" s="1" t="s">
        <v>40</v>
      </c>
      <c r="X1951">
        <v>647</v>
      </c>
      <c r="Y1951" s="1" t="s">
        <v>52</v>
      </c>
      <c r="Z1951" s="1" t="s">
        <v>42</v>
      </c>
      <c r="AA1951">
        <v>6.4516129032258063E-2</v>
      </c>
      <c r="AB1951" s="1" t="s">
        <v>43</v>
      </c>
      <c r="AC1951">
        <v>2</v>
      </c>
      <c r="AD1951" s="2">
        <v>44409</v>
      </c>
      <c r="AE1951" s="1" t="s">
        <v>44</v>
      </c>
      <c r="AF1951" s="1" t="s">
        <v>72</v>
      </c>
      <c r="AG1951" s="1" t="s">
        <v>55</v>
      </c>
      <c r="AH1951" s="1" t="s">
        <v>47</v>
      </c>
      <c r="AI1951">
        <v>33600</v>
      </c>
      <c r="AJ1951">
        <v>-112</v>
      </c>
    </row>
    <row r="1952" spans="1:36" x14ac:dyDescent="0.25">
      <c r="A1952">
        <v>11951</v>
      </c>
      <c r="B1952">
        <v>54</v>
      </c>
      <c r="C1952" s="1" t="s">
        <v>36</v>
      </c>
      <c r="D1952" s="1" t="s">
        <v>48</v>
      </c>
      <c r="E1952" s="2">
        <v>44445</v>
      </c>
      <c r="F1952" s="2">
        <v>44782</v>
      </c>
      <c r="G1952" s="1" t="s">
        <v>62</v>
      </c>
      <c r="H1952">
        <v>458</v>
      </c>
      <c r="I1952">
        <v>20</v>
      </c>
      <c r="J1952">
        <v>0</v>
      </c>
      <c r="K1952">
        <v>94.45</v>
      </c>
      <c r="L1952">
        <v>0</v>
      </c>
      <c r="M1952" s="1" t="s">
        <v>50</v>
      </c>
      <c r="N1952" s="1" t="s">
        <v>56</v>
      </c>
      <c r="O1952">
        <v>9160</v>
      </c>
      <c r="P1952" t="b">
        <v>1</v>
      </c>
      <c r="Q1952">
        <v>1.6666666666666667</v>
      </c>
      <c r="R1952">
        <v>458</v>
      </c>
      <c r="S1952">
        <v>94.45</v>
      </c>
      <c r="T1952" s="2">
        <v>44440</v>
      </c>
      <c r="U1952" s="1" t="s">
        <v>41</v>
      </c>
      <c r="V1952">
        <v>0</v>
      </c>
      <c r="W1952" s="1" t="s">
        <v>56</v>
      </c>
      <c r="X1952">
        <v>337</v>
      </c>
      <c r="Y1952" s="1" t="s">
        <v>43</v>
      </c>
      <c r="Z1952" s="1" t="s">
        <v>42</v>
      </c>
      <c r="AA1952">
        <v>0</v>
      </c>
      <c r="AB1952" s="1" t="s">
        <v>52</v>
      </c>
      <c r="AC1952">
        <v>2</v>
      </c>
      <c r="AD1952" s="2">
        <v>44440</v>
      </c>
      <c r="AE1952" s="1" t="s">
        <v>53</v>
      </c>
      <c r="AF1952" s="1" t="s">
        <v>54</v>
      </c>
      <c r="AG1952" s="1" t="s">
        <v>63</v>
      </c>
      <c r="AH1952" s="1" t="s">
        <v>68</v>
      </c>
      <c r="AI1952">
        <v>9160</v>
      </c>
      <c r="AJ1952">
        <v>0</v>
      </c>
    </row>
    <row r="1953" spans="1:36" x14ac:dyDescent="0.25">
      <c r="A1953">
        <v>11952</v>
      </c>
      <c r="B1953">
        <v>41</v>
      </c>
      <c r="C1953" s="1" t="s">
        <v>60</v>
      </c>
      <c r="D1953" s="1" t="s">
        <v>61</v>
      </c>
      <c r="E1953" s="2">
        <v>44442</v>
      </c>
      <c r="F1953" s="2">
        <v>44924</v>
      </c>
      <c r="G1953" s="1" t="s">
        <v>62</v>
      </c>
      <c r="H1953">
        <v>1085</v>
      </c>
      <c r="I1953">
        <v>18</v>
      </c>
      <c r="J1953">
        <v>1</v>
      </c>
      <c r="K1953">
        <v>115.7</v>
      </c>
      <c r="L1953">
        <v>10</v>
      </c>
      <c r="M1953" s="1" t="s">
        <v>67</v>
      </c>
      <c r="N1953" s="1" t="s">
        <v>40</v>
      </c>
      <c r="O1953">
        <v>19313</v>
      </c>
      <c r="P1953" t="b">
        <v>1</v>
      </c>
      <c r="Q1953">
        <v>1.5</v>
      </c>
      <c r="R1953">
        <v>1072.9444444444443</v>
      </c>
      <c r="S1953">
        <v>57.85</v>
      </c>
      <c r="T1953" s="2">
        <v>44440</v>
      </c>
      <c r="U1953" s="1" t="s">
        <v>51</v>
      </c>
      <c r="V1953">
        <v>1</v>
      </c>
      <c r="W1953" s="1" t="s">
        <v>40</v>
      </c>
      <c r="X1953">
        <v>482</v>
      </c>
      <c r="Y1953" s="1" t="s">
        <v>43</v>
      </c>
      <c r="Z1953" s="1" t="s">
        <v>42</v>
      </c>
      <c r="AA1953">
        <v>5.2631578947368418E-2</v>
      </c>
      <c r="AB1953" s="1" t="s">
        <v>52</v>
      </c>
      <c r="AC1953">
        <v>2</v>
      </c>
      <c r="AD1953" s="2">
        <v>44440</v>
      </c>
      <c r="AE1953" s="1" t="s">
        <v>53</v>
      </c>
      <c r="AF1953" s="1" t="s">
        <v>54</v>
      </c>
      <c r="AG1953" s="1" t="s">
        <v>63</v>
      </c>
      <c r="AH1953" s="1" t="s">
        <v>47</v>
      </c>
      <c r="AI1953">
        <v>19530</v>
      </c>
      <c r="AJ1953">
        <v>-217</v>
      </c>
    </row>
    <row r="1954" spans="1:36" x14ac:dyDescent="0.25">
      <c r="A1954">
        <v>11953</v>
      </c>
      <c r="B1954">
        <v>45</v>
      </c>
      <c r="C1954" s="1" t="s">
        <v>36</v>
      </c>
      <c r="D1954" s="1" t="s">
        <v>61</v>
      </c>
      <c r="E1954" s="2">
        <v>44783</v>
      </c>
      <c r="F1954" s="2">
        <v>44568</v>
      </c>
      <c r="G1954" s="1" t="s">
        <v>38</v>
      </c>
      <c r="H1954">
        <v>1353</v>
      </c>
      <c r="I1954">
        <v>4</v>
      </c>
      <c r="J1954">
        <v>3</v>
      </c>
      <c r="K1954">
        <v>42.22</v>
      </c>
      <c r="L1954">
        <v>20</v>
      </c>
      <c r="M1954" s="1" t="s">
        <v>65</v>
      </c>
      <c r="N1954" s="1" t="s">
        <v>56</v>
      </c>
      <c r="O1954">
        <v>5141.3999999999996</v>
      </c>
      <c r="P1954" t="b">
        <v>0</v>
      </c>
      <c r="Q1954">
        <v>0.33333333333333331</v>
      </c>
      <c r="R1954">
        <v>1285.3499999999999</v>
      </c>
      <c r="S1954">
        <v>10.555</v>
      </c>
      <c r="T1954" s="2">
        <v>44774</v>
      </c>
      <c r="U1954" s="1" t="s">
        <v>51</v>
      </c>
      <c r="V1954">
        <v>0</v>
      </c>
      <c r="W1954" s="1" t="s">
        <v>56</v>
      </c>
      <c r="Y1954" s="1" t="s">
        <v>52</v>
      </c>
      <c r="Z1954" s="1" t="s">
        <v>52</v>
      </c>
      <c r="AA1954">
        <v>0.6</v>
      </c>
      <c r="AB1954" s="1" t="s">
        <v>42</v>
      </c>
      <c r="AC1954">
        <v>1</v>
      </c>
      <c r="AD1954" s="2">
        <v>44774</v>
      </c>
      <c r="AE1954" s="1" t="s">
        <v>58</v>
      </c>
      <c r="AF1954" s="1" t="s">
        <v>72</v>
      </c>
      <c r="AG1954" s="1" t="s">
        <v>55</v>
      </c>
      <c r="AH1954" s="1" t="s">
        <v>47</v>
      </c>
      <c r="AI1954">
        <v>5412</v>
      </c>
      <c r="AJ1954">
        <v>-270.60000000000036</v>
      </c>
    </row>
    <row r="1955" spans="1:36" x14ac:dyDescent="0.25">
      <c r="A1955">
        <v>11954</v>
      </c>
      <c r="B1955">
        <v>61</v>
      </c>
      <c r="C1955" s="1" t="s">
        <v>36</v>
      </c>
      <c r="D1955" s="1" t="s">
        <v>69</v>
      </c>
      <c r="E1955" s="2">
        <v>44353</v>
      </c>
      <c r="F1955" s="2">
        <v>44655</v>
      </c>
      <c r="G1955" s="1" t="s">
        <v>38</v>
      </c>
      <c r="H1955">
        <v>1420</v>
      </c>
      <c r="I1955">
        <v>6</v>
      </c>
      <c r="J1955">
        <v>1</v>
      </c>
      <c r="K1955">
        <v>84.12</v>
      </c>
      <c r="L1955">
        <v>5</v>
      </c>
      <c r="M1955" s="1" t="s">
        <v>50</v>
      </c>
      <c r="N1955" s="1" t="s">
        <v>56</v>
      </c>
      <c r="O1955">
        <v>8449</v>
      </c>
      <c r="P1955" t="b">
        <v>1</v>
      </c>
      <c r="Q1955">
        <v>0.5</v>
      </c>
      <c r="R1955">
        <v>1408.1666666666667</v>
      </c>
      <c r="S1955">
        <v>42.06</v>
      </c>
      <c r="T1955" s="2">
        <v>44348</v>
      </c>
      <c r="U1955" s="1" t="s">
        <v>41</v>
      </c>
      <c r="V1955">
        <v>0</v>
      </c>
      <c r="W1955" s="1" t="s">
        <v>56</v>
      </c>
      <c r="X1955">
        <v>302</v>
      </c>
      <c r="Y1955" s="1" t="s">
        <v>43</v>
      </c>
      <c r="Z1955" s="1" t="s">
        <v>42</v>
      </c>
      <c r="AA1955">
        <v>0.14285714285714285</v>
      </c>
      <c r="AB1955" s="1" t="s">
        <v>42</v>
      </c>
      <c r="AC1955">
        <v>1</v>
      </c>
      <c r="AD1955" s="2">
        <v>44348</v>
      </c>
      <c r="AE1955" s="1" t="s">
        <v>58</v>
      </c>
      <c r="AF1955" s="1" t="s">
        <v>54</v>
      </c>
      <c r="AG1955" s="1" t="s">
        <v>63</v>
      </c>
      <c r="AH1955" s="1" t="s">
        <v>47</v>
      </c>
      <c r="AI1955">
        <v>8520</v>
      </c>
      <c r="AJ1955">
        <v>-71</v>
      </c>
    </row>
    <row r="1956" spans="1:36" x14ac:dyDescent="0.25">
      <c r="A1956">
        <v>11955</v>
      </c>
      <c r="B1956">
        <v>37</v>
      </c>
      <c r="C1956" s="1" t="s">
        <v>60</v>
      </c>
      <c r="D1956" s="1" t="s">
        <v>69</v>
      </c>
      <c r="E1956" s="2">
        <v>44931</v>
      </c>
      <c r="F1956" s="2">
        <v>45145</v>
      </c>
      <c r="G1956" s="1" t="s">
        <v>38</v>
      </c>
      <c r="H1956">
        <v>550</v>
      </c>
      <c r="I1956">
        <v>3</v>
      </c>
      <c r="J1956">
        <v>2</v>
      </c>
      <c r="K1956">
        <v>34.68</v>
      </c>
      <c r="L1956">
        <v>15</v>
      </c>
      <c r="M1956" s="1" t="s">
        <v>67</v>
      </c>
      <c r="N1956" s="1" t="s">
        <v>40</v>
      </c>
      <c r="O1956">
        <v>1567.5</v>
      </c>
      <c r="P1956" t="b">
        <v>1</v>
      </c>
      <c r="Q1956">
        <v>0.25</v>
      </c>
      <c r="R1956">
        <v>522.5</v>
      </c>
      <c r="S1956">
        <v>11.56</v>
      </c>
      <c r="T1956" s="2">
        <v>44927</v>
      </c>
      <c r="U1956" s="1" t="s">
        <v>51</v>
      </c>
      <c r="V1956">
        <v>1</v>
      </c>
      <c r="W1956" s="1" t="s">
        <v>56</v>
      </c>
      <c r="X1956">
        <v>214</v>
      </c>
      <c r="Y1956" s="1" t="s">
        <v>52</v>
      </c>
      <c r="Z1956" s="1" t="s">
        <v>42</v>
      </c>
      <c r="AA1956">
        <v>0.5</v>
      </c>
      <c r="AB1956" s="1" t="s">
        <v>42</v>
      </c>
      <c r="AC1956">
        <v>1</v>
      </c>
      <c r="AD1956" s="2">
        <v>44927</v>
      </c>
      <c r="AE1956" s="1" t="s">
        <v>58</v>
      </c>
      <c r="AF1956" s="1" t="s">
        <v>72</v>
      </c>
      <c r="AG1956" s="1" t="s">
        <v>55</v>
      </c>
      <c r="AH1956" s="1" t="s">
        <v>64</v>
      </c>
      <c r="AI1956">
        <v>1650</v>
      </c>
      <c r="AJ1956">
        <v>-82.5</v>
      </c>
    </row>
    <row r="1957" spans="1:36" x14ac:dyDescent="0.25">
      <c r="A1957">
        <v>11956</v>
      </c>
      <c r="B1957">
        <v>41</v>
      </c>
      <c r="C1957" s="1" t="s">
        <v>36</v>
      </c>
      <c r="D1957" s="1" t="s">
        <v>48</v>
      </c>
      <c r="E1957" s="2">
        <v>44898</v>
      </c>
      <c r="F1957" s="2">
        <v>45044</v>
      </c>
      <c r="G1957" s="1" t="s">
        <v>49</v>
      </c>
      <c r="H1957">
        <v>1415</v>
      </c>
      <c r="I1957">
        <v>18</v>
      </c>
      <c r="J1957">
        <v>1</v>
      </c>
      <c r="K1957">
        <v>111.71</v>
      </c>
      <c r="L1957">
        <v>15</v>
      </c>
      <c r="M1957" s="1" t="s">
        <v>50</v>
      </c>
      <c r="N1957" s="1" t="s">
        <v>56</v>
      </c>
      <c r="O1957">
        <v>25257.75</v>
      </c>
      <c r="P1957" t="b">
        <v>1</v>
      </c>
      <c r="Q1957">
        <v>1.5</v>
      </c>
      <c r="R1957">
        <v>1403.2083333333333</v>
      </c>
      <c r="S1957">
        <v>55.854999999999997</v>
      </c>
      <c r="T1957" s="2">
        <v>44896</v>
      </c>
      <c r="U1957" s="1" t="s">
        <v>51</v>
      </c>
      <c r="V1957">
        <v>0</v>
      </c>
      <c r="W1957" s="1" t="s">
        <v>40</v>
      </c>
      <c r="X1957">
        <v>146</v>
      </c>
      <c r="Y1957" s="1" t="s">
        <v>43</v>
      </c>
      <c r="Z1957" s="1" t="s">
        <v>42</v>
      </c>
      <c r="AA1957">
        <v>5.2631578947368418E-2</v>
      </c>
      <c r="AB1957" s="1" t="s">
        <v>43</v>
      </c>
      <c r="AC1957">
        <v>3</v>
      </c>
      <c r="AD1957" s="2">
        <v>44896</v>
      </c>
      <c r="AE1957" s="1" t="s">
        <v>53</v>
      </c>
      <c r="AF1957" s="1" t="s">
        <v>54</v>
      </c>
      <c r="AG1957" s="1" t="s">
        <v>63</v>
      </c>
      <c r="AH1957" s="1" t="s">
        <v>47</v>
      </c>
      <c r="AI1957">
        <v>25470</v>
      </c>
      <c r="AJ1957">
        <v>-212.25</v>
      </c>
    </row>
    <row r="1958" spans="1:36" x14ac:dyDescent="0.25">
      <c r="A1958">
        <v>11957</v>
      </c>
      <c r="B1958">
        <v>49</v>
      </c>
      <c r="C1958" s="1" t="s">
        <v>60</v>
      </c>
      <c r="D1958" s="1" t="s">
        <v>73</v>
      </c>
      <c r="E1958" s="2">
        <v>44760</v>
      </c>
      <c r="F1958" s="2">
        <v>45066</v>
      </c>
      <c r="G1958" s="1" t="s">
        <v>38</v>
      </c>
      <c r="H1958">
        <v>412</v>
      </c>
      <c r="I1958">
        <v>18</v>
      </c>
      <c r="J1958">
        <v>0</v>
      </c>
      <c r="K1958">
        <v>82.38</v>
      </c>
      <c r="L1958">
        <v>15</v>
      </c>
      <c r="M1958" s="1" t="s">
        <v>67</v>
      </c>
      <c r="N1958" s="1" t="s">
        <v>56</v>
      </c>
      <c r="O1958">
        <v>7354.2</v>
      </c>
      <c r="P1958" t="b">
        <v>1</v>
      </c>
      <c r="Q1958">
        <v>1.5</v>
      </c>
      <c r="R1958">
        <v>408.56666666666666</v>
      </c>
      <c r="S1958">
        <v>82.38</v>
      </c>
      <c r="T1958" s="2">
        <v>44743</v>
      </c>
      <c r="U1958" s="1" t="s">
        <v>51</v>
      </c>
      <c r="V1958">
        <v>0</v>
      </c>
      <c r="W1958" s="1" t="s">
        <v>56</v>
      </c>
      <c r="X1958">
        <v>306</v>
      </c>
      <c r="Y1958" s="1" t="s">
        <v>43</v>
      </c>
      <c r="Z1958" s="1" t="s">
        <v>42</v>
      </c>
      <c r="AA1958">
        <v>0</v>
      </c>
      <c r="AB1958" s="1" t="s">
        <v>42</v>
      </c>
      <c r="AC1958">
        <v>1</v>
      </c>
      <c r="AD1958" s="2">
        <v>44743</v>
      </c>
      <c r="AE1958" s="1" t="s">
        <v>53</v>
      </c>
      <c r="AF1958" s="1" t="s">
        <v>54</v>
      </c>
      <c r="AG1958" s="1" t="s">
        <v>63</v>
      </c>
      <c r="AH1958" s="1" t="s">
        <v>68</v>
      </c>
      <c r="AI1958">
        <v>7416</v>
      </c>
      <c r="AJ1958">
        <v>-61.800000000000182</v>
      </c>
    </row>
    <row r="1959" spans="1:36" x14ac:dyDescent="0.25">
      <c r="A1959">
        <v>11958</v>
      </c>
      <c r="B1959">
        <v>58</v>
      </c>
      <c r="C1959" s="1" t="s">
        <v>36</v>
      </c>
      <c r="D1959" s="1" t="s">
        <v>71</v>
      </c>
      <c r="E1959" s="2">
        <v>44284</v>
      </c>
      <c r="F1959" s="2">
        <v>44813</v>
      </c>
      <c r="G1959" s="1" t="s">
        <v>62</v>
      </c>
      <c r="H1959">
        <v>558</v>
      </c>
      <c r="I1959">
        <v>23</v>
      </c>
      <c r="J1959">
        <v>3</v>
      </c>
      <c r="K1959">
        <v>97.31</v>
      </c>
      <c r="L1959">
        <v>15</v>
      </c>
      <c r="M1959" s="1" t="s">
        <v>65</v>
      </c>
      <c r="N1959" s="1" t="s">
        <v>56</v>
      </c>
      <c r="O1959">
        <v>12750.3</v>
      </c>
      <c r="P1959" t="b">
        <v>1</v>
      </c>
      <c r="Q1959">
        <v>1.9166666666666667</v>
      </c>
      <c r="R1959">
        <v>554.3608695652174</v>
      </c>
      <c r="S1959">
        <v>24.327500000000001</v>
      </c>
      <c r="T1959" s="2">
        <v>44256</v>
      </c>
      <c r="U1959" s="1" t="s">
        <v>41</v>
      </c>
      <c r="V1959">
        <v>0</v>
      </c>
      <c r="W1959" s="1" t="s">
        <v>56</v>
      </c>
      <c r="X1959">
        <v>529</v>
      </c>
      <c r="Y1959" s="1" t="s">
        <v>43</v>
      </c>
      <c r="Z1959" s="1" t="s">
        <v>42</v>
      </c>
      <c r="AA1959">
        <v>0.125</v>
      </c>
      <c r="AB1959" s="1" t="s">
        <v>52</v>
      </c>
      <c r="AC1959">
        <v>2</v>
      </c>
      <c r="AD1959" s="2">
        <v>44256</v>
      </c>
      <c r="AE1959" s="1" t="s">
        <v>53</v>
      </c>
      <c r="AF1959" s="1" t="s">
        <v>72</v>
      </c>
      <c r="AG1959" s="1" t="s">
        <v>63</v>
      </c>
      <c r="AH1959" s="1" t="s">
        <v>64</v>
      </c>
      <c r="AI1959">
        <v>12834</v>
      </c>
      <c r="AJ1959">
        <v>-83.700000000000728</v>
      </c>
    </row>
    <row r="1960" spans="1:36" x14ac:dyDescent="0.25">
      <c r="A1960">
        <v>11959</v>
      </c>
      <c r="B1960">
        <v>53</v>
      </c>
      <c r="C1960" s="1" t="s">
        <v>60</v>
      </c>
      <c r="D1960" s="1" t="s">
        <v>37</v>
      </c>
      <c r="E1960" s="2">
        <v>44509</v>
      </c>
      <c r="F1960" s="2">
        <v>44446</v>
      </c>
      <c r="G1960" s="1" t="s">
        <v>62</v>
      </c>
      <c r="H1960">
        <v>406</v>
      </c>
      <c r="I1960">
        <v>35</v>
      </c>
      <c r="J1960">
        <v>1</v>
      </c>
      <c r="K1960">
        <v>62.59</v>
      </c>
      <c r="L1960">
        <v>10</v>
      </c>
      <c r="M1960" s="1" t="s">
        <v>65</v>
      </c>
      <c r="N1960" s="1" t="s">
        <v>56</v>
      </c>
      <c r="O1960">
        <v>14169.4</v>
      </c>
      <c r="P1960" t="b">
        <v>0</v>
      </c>
      <c r="Q1960">
        <v>2.9166666666666665</v>
      </c>
      <c r="R1960">
        <v>404.84</v>
      </c>
      <c r="S1960">
        <v>31.295000000000002</v>
      </c>
      <c r="T1960" s="2">
        <v>44501</v>
      </c>
      <c r="U1960" s="1" t="s">
        <v>41</v>
      </c>
      <c r="V1960">
        <v>0</v>
      </c>
      <c r="W1960" s="1" t="s">
        <v>40</v>
      </c>
      <c r="Y1960" s="1" t="s">
        <v>43</v>
      </c>
      <c r="Z1960" s="1" t="s">
        <v>42</v>
      </c>
      <c r="AA1960">
        <v>2.7777777777777776E-2</v>
      </c>
      <c r="AB1960" s="1" t="s">
        <v>52</v>
      </c>
      <c r="AC1960">
        <v>2</v>
      </c>
      <c r="AD1960" s="2">
        <v>44501</v>
      </c>
      <c r="AE1960" s="1" t="s">
        <v>44</v>
      </c>
      <c r="AF1960" s="1" t="s">
        <v>54</v>
      </c>
      <c r="AG1960" s="1" t="s">
        <v>63</v>
      </c>
      <c r="AH1960" s="1" t="s">
        <v>68</v>
      </c>
      <c r="AI1960">
        <v>14210</v>
      </c>
      <c r="AJ1960">
        <v>-40.600000000000364</v>
      </c>
    </row>
    <row r="1961" spans="1:36" x14ac:dyDescent="0.25">
      <c r="A1961">
        <v>11960</v>
      </c>
      <c r="B1961">
        <v>51</v>
      </c>
      <c r="C1961" s="1" t="s">
        <v>36</v>
      </c>
      <c r="D1961" s="1" t="s">
        <v>71</v>
      </c>
      <c r="E1961" s="2">
        <v>45047</v>
      </c>
      <c r="F1961" s="2">
        <v>44589</v>
      </c>
      <c r="G1961" s="1" t="s">
        <v>38</v>
      </c>
      <c r="H1961">
        <v>874</v>
      </c>
      <c r="I1961">
        <v>6</v>
      </c>
      <c r="J1961">
        <v>7</v>
      </c>
      <c r="K1961">
        <v>73.83</v>
      </c>
      <c r="L1961">
        <v>0</v>
      </c>
      <c r="M1961" s="1" t="s">
        <v>67</v>
      </c>
      <c r="N1961" s="1" t="s">
        <v>56</v>
      </c>
      <c r="O1961">
        <v>5244</v>
      </c>
      <c r="P1961" t="b">
        <v>0</v>
      </c>
      <c r="Q1961">
        <v>0.5</v>
      </c>
      <c r="R1961">
        <v>874</v>
      </c>
      <c r="S1961">
        <v>9.2287499999999998</v>
      </c>
      <c r="T1961" s="2">
        <v>45047</v>
      </c>
      <c r="U1961" s="1" t="s">
        <v>41</v>
      </c>
      <c r="V1961">
        <v>0</v>
      </c>
      <c r="W1961" s="1" t="s">
        <v>56</v>
      </c>
      <c r="Y1961" s="1" t="s">
        <v>43</v>
      </c>
      <c r="Z1961" s="1" t="s">
        <v>42</v>
      </c>
      <c r="AA1961">
        <v>1</v>
      </c>
      <c r="AB1961" s="1" t="s">
        <v>42</v>
      </c>
      <c r="AC1961">
        <v>1</v>
      </c>
      <c r="AD1961" s="2">
        <v>45047</v>
      </c>
      <c r="AE1961" s="1" t="s">
        <v>58</v>
      </c>
      <c r="AF1961" s="1" t="s">
        <v>78</v>
      </c>
      <c r="AG1961" s="1" t="s">
        <v>63</v>
      </c>
      <c r="AH1961" s="1" t="s">
        <v>59</v>
      </c>
      <c r="AI1961">
        <v>5244</v>
      </c>
      <c r="AJ1961">
        <v>0</v>
      </c>
    </row>
    <row r="1962" spans="1:36" x14ac:dyDescent="0.25">
      <c r="A1962">
        <v>11961</v>
      </c>
      <c r="B1962">
        <v>53</v>
      </c>
      <c r="C1962" s="1" t="s">
        <v>60</v>
      </c>
      <c r="D1962" s="1" t="s">
        <v>48</v>
      </c>
      <c r="E1962" s="2">
        <v>44262</v>
      </c>
      <c r="F1962" s="2">
        <v>44505</v>
      </c>
      <c r="G1962" s="1" t="s">
        <v>62</v>
      </c>
      <c r="H1962">
        <v>1290</v>
      </c>
      <c r="I1962">
        <v>26</v>
      </c>
      <c r="J1962">
        <v>3</v>
      </c>
      <c r="K1962">
        <v>65.680000000000007</v>
      </c>
      <c r="L1962">
        <v>0</v>
      </c>
      <c r="M1962" s="1" t="s">
        <v>39</v>
      </c>
      <c r="N1962" s="1" t="s">
        <v>56</v>
      </c>
      <c r="O1962">
        <v>33540</v>
      </c>
      <c r="P1962" t="b">
        <v>1</v>
      </c>
      <c r="Q1962">
        <v>2.1666666666666665</v>
      </c>
      <c r="R1962">
        <v>1290</v>
      </c>
      <c r="S1962">
        <v>16.420000000000002</v>
      </c>
      <c r="T1962" s="2">
        <v>44256</v>
      </c>
      <c r="U1962" s="1" t="s">
        <v>41</v>
      </c>
      <c r="V1962">
        <v>0</v>
      </c>
      <c r="W1962" s="1" t="s">
        <v>40</v>
      </c>
      <c r="X1962">
        <v>243</v>
      </c>
      <c r="Y1962" s="1" t="s">
        <v>43</v>
      </c>
      <c r="Z1962" s="1" t="s">
        <v>42</v>
      </c>
      <c r="AA1962">
        <v>0.1111111111111111</v>
      </c>
      <c r="AB1962" s="1" t="s">
        <v>43</v>
      </c>
      <c r="AC1962">
        <v>2</v>
      </c>
      <c r="AD1962" s="2">
        <v>44256</v>
      </c>
      <c r="AE1962" s="1" t="s">
        <v>44</v>
      </c>
      <c r="AF1962" s="1" t="s">
        <v>72</v>
      </c>
      <c r="AG1962" s="1" t="s">
        <v>63</v>
      </c>
      <c r="AH1962" s="1" t="s">
        <v>47</v>
      </c>
      <c r="AI1962">
        <v>33540</v>
      </c>
      <c r="AJ1962">
        <v>0</v>
      </c>
    </row>
    <row r="1963" spans="1:36" x14ac:dyDescent="0.25">
      <c r="A1963">
        <v>11962</v>
      </c>
      <c r="B1963">
        <v>19</v>
      </c>
      <c r="C1963" s="1" t="s">
        <v>36</v>
      </c>
      <c r="D1963" s="1" t="s">
        <v>48</v>
      </c>
      <c r="E1963" s="2">
        <v>44858</v>
      </c>
      <c r="F1963" s="2">
        <v>44957</v>
      </c>
      <c r="G1963" s="1" t="s">
        <v>49</v>
      </c>
      <c r="H1963">
        <v>726</v>
      </c>
      <c r="I1963">
        <v>21</v>
      </c>
      <c r="J1963">
        <v>0</v>
      </c>
      <c r="K1963">
        <v>38.69</v>
      </c>
      <c r="L1963">
        <v>10</v>
      </c>
      <c r="M1963" s="1" t="s">
        <v>50</v>
      </c>
      <c r="N1963" s="1" t="s">
        <v>56</v>
      </c>
      <c r="O1963">
        <v>15173.4</v>
      </c>
      <c r="P1963" t="b">
        <v>1</v>
      </c>
      <c r="Q1963">
        <v>1.75</v>
      </c>
      <c r="R1963">
        <v>722.54285714285709</v>
      </c>
      <c r="S1963">
        <v>38.69</v>
      </c>
      <c r="T1963" s="2">
        <v>44835</v>
      </c>
      <c r="U1963" s="1" t="s">
        <v>66</v>
      </c>
      <c r="V1963">
        <v>0</v>
      </c>
      <c r="W1963" s="1" t="s">
        <v>40</v>
      </c>
      <c r="X1963">
        <v>99</v>
      </c>
      <c r="Y1963" s="1" t="s">
        <v>52</v>
      </c>
      <c r="Z1963" s="1" t="s">
        <v>42</v>
      </c>
      <c r="AA1963">
        <v>0</v>
      </c>
      <c r="AB1963" s="1" t="s">
        <v>52</v>
      </c>
      <c r="AC1963">
        <v>3</v>
      </c>
      <c r="AD1963" s="2">
        <v>44835</v>
      </c>
      <c r="AE1963" s="1" t="s">
        <v>53</v>
      </c>
      <c r="AF1963" s="1" t="s">
        <v>54</v>
      </c>
      <c r="AG1963" s="1" t="s">
        <v>55</v>
      </c>
      <c r="AH1963" s="1" t="s">
        <v>59</v>
      </c>
      <c r="AI1963">
        <v>15246</v>
      </c>
      <c r="AJ1963">
        <v>-72.600000000000364</v>
      </c>
    </row>
    <row r="1964" spans="1:36" x14ac:dyDescent="0.25">
      <c r="A1964">
        <v>11963</v>
      </c>
      <c r="B1964">
        <v>32</v>
      </c>
      <c r="C1964" s="1" t="s">
        <v>60</v>
      </c>
      <c r="D1964" s="1" t="s">
        <v>71</v>
      </c>
      <c r="E1964" s="2">
        <v>44216</v>
      </c>
      <c r="F1964" s="2">
        <v>44901</v>
      </c>
      <c r="G1964" s="1" t="s">
        <v>62</v>
      </c>
      <c r="H1964">
        <v>1158</v>
      </c>
      <c r="I1964">
        <v>24</v>
      </c>
      <c r="J1964">
        <v>3</v>
      </c>
      <c r="K1964">
        <v>62.59</v>
      </c>
      <c r="L1964">
        <v>5</v>
      </c>
      <c r="M1964" s="1" t="s">
        <v>65</v>
      </c>
      <c r="N1964" s="1" t="s">
        <v>56</v>
      </c>
      <c r="O1964">
        <v>27734.1</v>
      </c>
      <c r="P1964" t="b">
        <v>1</v>
      </c>
      <c r="Q1964">
        <v>2</v>
      </c>
      <c r="R1964">
        <v>1155.5874999999999</v>
      </c>
      <c r="S1964">
        <v>15.647500000000001</v>
      </c>
      <c r="T1964" s="2">
        <v>44197</v>
      </c>
      <c r="U1964" s="1" t="s">
        <v>57</v>
      </c>
      <c r="V1964">
        <v>0</v>
      </c>
      <c r="W1964" s="1" t="s">
        <v>40</v>
      </c>
      <c r="X1964">
        <v>685</v>
      </c>
      <c r="Y1964" s="1" t="s">
        <v>43</v>
      </c>
      <c r="Z1964" s="1" t="s">
        <v>42</v>
      </c>
      <c r="AA1964">
        <v>0.12</v>
      </c>
      <c r="AB1964" s="1" t="s">
        <v>43</v>
      </c>
      <c r="AC1964">
        <v>2</v>
      </c>
      <c r="AD1964" s="2">
        <v>44197</v>
      </c>
      <c r="AE1964" s="1" t="s">
        <v>53</v>
      </c>
      <c r="AF1964" s="1" t="s">
        <v>72</v>
      </c>
      <c r="AG1964" s="1" t="s">
        <v>63</v>
      </c>
      <c r="AH1964" s="1" t="s">
        <v>47</v>
      </c>
      <c r="AI1964">
        <v>27792</v>
      </c>
      <c r="AJ1964">
        <v>-57.900000000001455</v>
      </c>
    </row>
    <row r="1965" spans="1:36" x14ac:dyDescent="0.25">
      <c r="A1965">
        <v>11964</v>
      </c>
      <c r="B1965">
        <v>51</v>
      </c>
      <c r="C1965" s="1" t="s">
        <v>36</v>
      </c>
      <c r="D1965" s="1" t="s">
        <v>37</v>
      </c>
      <c r="E1965" s="2">
        <v>44229</v>
      </c>
      <c r="F1965" s="2">
        <v>44998</v>
      </c>
      <c r="G1965" s="1" t="s">
        <v>49</v>
      </c>
      <c r="H1965">
        <v>1217</v>
      </c>
      <c r="I1965">
        <v>15</v>
      </c>
      <c r="J1965">
        <v>3</v>
      </c>
      <c r="K1965">
        <v>71.7</v>
      </c>
      <c r="L1965">
        <v>0</v>
      </c>
      <c r="M1965" s="1" t="s">
        <v>39</v>
      </c>
      <c r="N1965" s="1" t="s">
        <v>40</v>
      </c>
      <c r="O1965">
        <v>18255</v>
      </c>
      <c r="P1965" t="b">
        <v>1</v>
      </c>
      <c r="Q1965">
        <v>1.25</v>
      </c>
      <c r="R1965">
        <v>1217</v>
      </c>
      <c r="S1965">
        <v>17.925000000000001</v>
      </c>
      <c r="T1965" s="2">
        <v>44228</v>
      </c>
      <c r="U1965" s="1" t="s">
        <v>41</v>
      </c>
      <c r="V1965">
        <v>1</v>
      </c>
      <c r="W1965" s="1" t="s">
        <v>40</v>
      </c>
      <c r="X1965">
        <v>769</v>
      </c>
      <c r="Y1965" s="1" t="s">
        <v>43</v>
      </c>
      <c r="Z1965" s="1" t="s">
        <v>42</v>
      </c>
      <c r="AA1965">
        <v>0.1875</v>
      </c>
      <c r="AB1965" s="1" t="s">
        <v>52</v>
      </c>
      <c r="AC1965">
        <v>3</v>
      </c>
      <c r="AD1965" s="2">
        <v>44228</v>
      </c>
      <c r="AE1965" s="1" t="s">
        <v>53</v>
      </c>
      <c r="AF1965" s="1" t="s">
        <v>72</v>
      </c>
      <c r="AG1965" s="1" t="s">
        <v>63</v>
      </c>
      <c r="AH1965" s="1" t="s">
        <v>47</v>
      </c>
      <c r="AI1965">
        <v>18255</v>
      </c>
      <c r="AJ1965">
        <v>0</v>
      </c>
    </row>
    <row r="1966" spans="1:36" x14ac:dyDescent="0.25">
      <c r="A1966">
        <v>11965</v>
      </c>
      <c r="B1966">
        <v>53</v>
      </c>
      <c r="C1966" s="1" t="s">
        <v>36</v>
      </c>
      <c r="D1966" s="1" t="s">
        <v>71</v>
      </c>
      <c r="E1966" s="2">
        <v>45036</v>
      </c>
      <c r="F1966" s="2">
        <v>45142</v>
      </c>
      <c r="G1966" s="1" t="s">
        <v>38</v>
      </c>
      <c r="H1966">
        <v>1443</v>
      </c>
      <c r="I1966">
        <v>27</v>
      </c>
      <c r="J1966">
        <v>3</v>
      </c>
      <c r="K1966">
        <v>86.25</v>
      </c>
      <c r="L1966">
        <v>20</v>
      </c>
      <c r="M1966" s="1" t="s">
        <v>67</v>
      </c>
      <c r="N1966" s="1" t="s">
        <v>56</v>
      </c>
      <c r="O1966">
        <v>38672.400000000001</v>
      </c>
      <c r="P1966" t="b">
        <v>1</v>
      </c>
      <c r="Q1966">
        <v>2.25</v>
      </c>
      <c r="R1966">
        <v>1432.3111111111111</v>
      </c>
      <c r="S1966">
        <v>21.5625</v>
      </c>
      <c r="T1966" s="2">
        <v>45017</v>
      </c>
      <c r="U1966" s="1" t="s">
        <v>41</v>
      </c>
      <c r="V1966">
        <v>0</v>
      </c>
      <c r="W1966" s="1" t="s">
        <v>40</v>
      </c>
      <c r="X1966">
        <v>106</v>
      </c>
      <c r="Y1966" s="1" t="s">
        <v>43</v>
      </c>
      <c r="Z1966" s="1" t="s">
        <v>52</v>
      </c>
      <c r="AA1966">
        <v>0.10714285714285714</v>
      </c>
      <c r="AB1966" s="1" t="s">
        <v>43</v>
      </c>
      <c r="AC1966">
        <v>1</v>
      </c>
      <c r="AD1966" s="2">
        <v>45017</v>
      </c>
      <c r="AE1966" s="1" t="s">
        <v>44</v>
      </c>
      <c r="AF1966" s="1" t="s">
        <v>72</v>
      </c>
      <c r="AG1966" s="1" t="s">
        <v>63</v>
      </c>
      <c r="AH1966" s="1" t="s">
        <v>47</v>
      </c>
      <c r="AI1966">
        <v>38961</v>
      </c>
      <c r="AJ1966">
        <v>-288.59999999999854</v>
      </c>
    </row>
    <row r="1967" spans="1:36" x14ac:dyDescent="0.25">
      <c r="A1967">
        <v>11966</v>
      </c>
      <c r="B1967">
        <v>23</v>
      </c>
      <c r="C1967" s="1" t="s">
        <v>75</v>
      </c>
      <c r="D1967" s="1" t="s">
        <v>69</v>
      </c>
      <c r="E1967" s="2">
        <v>44989</v>
      </c>
      <c r="F1967" s="2">
        <v>44574</v>
      </c>
      <c r="G1967" s="1" t="s">
        <v>38</v>
      </c>
      <c r="H1967">
        <v>926</v>
      </c>
      <c r="I1967">
        <v>32</v>
      </c>
      <c r="J1967">
        <v>0</v>
      </c>
      <c r="K1967">
        <v>8.81</v>
      </c>
      <c r="L1967">
        <v>0</v>
      </c>
      <c r="M1967" s="1" t="s">
        <v>65</v>
      </c>
      <c r="N1967" s="1" t="s">
        <v>56</v>
      </c>
      <c r="O1967">
        <v>29632</v>
      </c>
      <c r="P1967" t="b">
        <v>0</v>
      </c>
      <c r="Q1967">
        <v>2.6666666666666665</v>
      </c>
      <c r="R1967">
        <v>926</v>
      </c>
      <c r="S1967">
        <v>8.81</v>
      </c>
      <c r="T1967" s="2">
        <v>44986</v>
      </c>
      <c r="U1967" s="1" t="s">
        <v>66</v>
      </c>
      <c r="V1967">
        <v>0</v>
      </c>
      <c r="W1967" s="1" t="s">
        <v>40</v>
      </c>
      <c r="Y1967" s="1" t="s">
        <v>42</v>
      </c>
      <c r="Z1967" s="1" t="s">
        <v>42</v>
      </c>
      <c r="AA1967">
        <v>0</v>
      </c>
      <c r="AB1967" s="1" t="s">
        <v>43</v>
      </c>
      <c r="AC1967">
        <v>1</v>
      </c>
      <c r="AD1967" s="2">
        <v>44986</v>
      </c>
      <c r="AE1967" s="1" t="s">
        <v>44</v>
      </c>
      <c r="AF1967" s="1" t="s">
        <v>54</v>
      </c>
      <c r="AG1967" s="1" t="s">
        <v>77</v>
      </c>
      <c r="AH1967" s="1" t="s">
        <v>59</v>
      </c>
      <c r="AI1967">
        <v>29632</v>
      </c>
      <c r="AJ1967">
        <v>0</v>
      </c>
    </row>
    <row r="1968" spans="1:36" x14ac:dyDescent="0.25">
      <c r="A1968">
        <v>11967</v>
      </c>
      <c r="B1968">
        <v>56</v>
      </c>
      <c r="C1968" s="1" t="s">
        <v>36</v>
      </c>
      <c r="D1968" s="1" t="s">
        <v>61</v>
      </c>
      <c r="E1968" s="2">
        <v>44754</v>
      </c>
      <c r="F1968" s="2">
        <v>44770</v>
      </c>
      <c r="G1968" s="1" t="s">
        <v>49</v>
      </c>
      <c r="H1968">
        <v>774</v>
      </c>
      <c r="I1968">
        <v>12</v>
      </c>
      <c r="J1968">
        <v>0</v>
      </c>
      <c r="K1968">
        <v>70.25</v>
      </c>
      <c r="L1968">
        <v>10</v>
      </c>
      <c r="M1968" s="1" t="s">
        <v>65</v>
      </c>
      <c r="N1968" s="1" t="s">
        <v>56</v>
      </c>
      <c r="O1968">
        <v>9210.6</v>
      </c>
      <c r="P1968" t="b">
        <v>1</v>
      </c>
      <c r="Q1968">
        <v>1</v>
      </c>
      <c r="R1968">
        <v>767.55000000000007</v>
      </c>
      <c r="S1968">
        <v>70.25</v>
      </c>
      <c r="T1968" s="2">
        <v>44743</v>
      </c>
      <c r="U1968" s="1" t="s">
        <v>41</v>
      </c>
      <c r="V1968">
        <v>0</v>
      </c>
      <c r="W1968" s="1" t="s">
        <v>56</v>
      </c>
      <c r="X1968">
        <v>16</v>
      </c>
      <c r="Y1968" s="1" t="s">
        <v>43</v>
      </c>
      <c r="Z1968" s="1" t="s">
        <v>42</v>
      </c>
      <c r="AA1968">
        <v>0</v>
      </c>
      <c r="AB1968" s="1" t="s">
        <v>52</v>
      </c>
      <c r="AC1968">
        <v>3</v>
      </c>
      <c r="AD1968" s="2">
        <v>44743</v>
      </c>
      <c r="AE1968" s="1" t="s">
        <v>74</v>
      </c>
      <c r="AF1968" s="1" t="s">
        <v>54</v>
      </c>
      <c r="AG1968" s="1" t="s">
        <v>63</v>
      </c>
      <c r="AH1968" s="1" t="s">
        <v>59</v>
      </c>
      <c r="AI1968">
        <v>9288</v>
      </c>
      <c r="AJ1968">
        <v>-77.399999999999636</v>
      </c>
    </row>
    <row r="1969" spans="1:36" x14ac:dyDescent="0.25">
      <c r="A1969">
        <v>11968</v>
      </c>
      <c r="B1969">
        <v>59</v>
      </c>
      <c r="C1969" s="1" t="s">
        <v>36</v>
      </c>
      <c r="D1969" s="1" t="s">
        <v>73</v>
      </c>
      <c r="E1969" s="2">
        <v>44269</v>
      </c>
      <c r="F1969" s="2">
        <v>44419</v>
      </c>
      <c r="G1969" s="1" t="s">
        <v>49</v>
      </c>
      <c r="H1969">
        <v>851</v>
      </c>
      <c r="I1969">
        <v>5</v>
      </c>
      <c r="J1969">
        <v>1</v>
      </c>
      <c r="K1969">
        <v>24.6</v>
      </c>
      <c r="L1969">
        <v>5</v>
      </c>
      <c r="M1969" s="1" t="s">
        <v>50</v>
      </c>
      <c r="N1969" s="1" t="s">
        <v>40</v>
      </c>
      <c r="O1969">
        <v>4212.45</v>
      </c>
      <c r="P1969" t="b">
        <v>1</v>
      </c>
      <c r="Q1969">
        <v>0.41666666666666669</v>
      </c>
      <c r="R1969">
        <v>842.49</v>
      </c>
      <c r="S1969">
        <v>12.3</v>
      </c>
      <c r="T1969" s="2">
        <v>44256</v>
      </c>
      <c r="U1969" s="1" t="s">
        <v>41</v>
      </c>
      <c r="V1969">
        <v>1</v>
      </c>
      <c r="W1969" s="1" t="s">
        <v>56</v>
      </c>
      <c r="X1969">
        <v>150</v>
      </c>
      <c r="Y1969" s="1" t="s">
        <v>52</v>
      </c>
      <c r="Z1969" s="1" t="s">
        <v>42</v>
      </c>
      <c r="AA1969">
        <v>0.16666666666666666</v>
      </c>
      <c r="AB1969" s="1" t="s">
        <v>42</v>
      </c>
      <c r="AC1969">
        <v>3</v>
      </c>
      <c r="AD1969" s="2">
        <v>44256</v>
      </c>
      <c r="AE1969" s="1" t="s">
        <v>58</v>
      </c>
      <c r="AF1969" s="1" t="s">
        <v>54</v>
      </c>
      <c r="AG1969" s="1" t="s">
        <v>70</v>
      </c>
      <c r="AH1969" s="1" t="s">
        <v>59</v>
      </c>
      <c r="AI1969">
        <v>4255</v>
      </c>
      <c r="AJ1969">
        <v>-42.550000000000182</v>
      </c>
    </row>
    <row r="1970" spans="1:36" x14ac:dyDescent="0.25">
      <c r="A1970">
        <v>11969</v>
      </c>
      <c r="B1970">
        <v>29</v>
      </c>
      <c r="C1970" s="1" t="s">
        <v>60</v>
      </c>
      <c r="D1970" s="1" t="s">
        <v>69</v>
      </c>
      <c r="E1970" s="2">
        <v>45062</v>
      </c>
      <c r="F1970" s="2">
        <v>44590</v>
      </c>
      <c r="G1970" s="1" t="s">
        <v>49</v>
      </c>
      <c r="H1970">
        <v>643</v>
      </c>
      <c r="I1970">
        <v>7</v>
      </c>
      <c r="J1970">
        <v>2</v>
      </c>
      <c r="K1970">
        <v>21.14</v>
      </c>
      <c r="L1970">
        <v>0</v>
      </c>
      <c r="M1970" s="1" t="s">
        <v>39</v>
      </c>
      <c r="N1970" s="1" t="s">
        <v>40</v>
      </c>
      <c r="O1970">
        <v>4501</v>
      </c>
      <c r="P1970" t="b">
        <v>0</v>
      </c>
      <c r="Q1970">
        <v>0.58333333333333337</v>
      </c>
      <c r="R1970">
        <v>643</v>
      </c>
      <c r="S1970">
        <v>7.0466666666666669</v>
      </c>
      <c r="T1970" s="2">
        <v>45047</v>
      </c>
      <c r="U1970" s="1" t="s">
        <v>57</v>
      </c>
      <c r="V1970">
        <v>1</v>
      </c>
      <c r="W1970" s="1" t="s">
        <v>56</v>
      </c>
      <c r="Y1970" s="1" t="s">
        <v>52</v>
      </c>
      <c r="Z1970" s="1" t="s">
        <v>42</v>
      </c>
      <c r="AA1970">
        <v>0.25</v>
      </c>
      <c r="AB1970" s="1" t="s">
        <v>42</v>
      </c>
      <c r="AC1970">
        <v>3</v>
      </c>
      <c r="AD1970" s="2">
        <v>45047</v>
      </c>
      <c r="AE1970" s="1" t="s">
        <v>74</v>
      </c>
      <c r="AF1970" s="1" t="s">
        <v>72</v>
      </c>
      <c r="AG1970" s="1" t="s">
        <v>70</v>
      </c>
      <c r="AH1970" s="1" t="s">
        <v>64</v>
      </c>
      <c r="AI1970">
        <v>4501</v>
      </c>
      <c r="AJ1970">
        <v>0</v>
      </c>
    </row>
    <row r="1971" spans="1:36" x14ac:dyDescent="0.25">
      <c r="A1971">
        <v>11970</v>
      </c>
      <c r="B1971">
        <v>20</v>
      </c>
      <c r="C1971" s="1" t="s">
        <v>60</v>
      </c>
      <c r="D1971" s="1" t="s">
        <v>61</v>
      </c>
      <c r="E1971" s="2">
        <v>45021</v>
      </c>
      <c r="F1971" s="2">
        <v>44877</v>
      </c>
      <c r="G1971" s="1" t="s">
        <v>62</v>
      </c>
      <c r="H1971">
        <v>927</v>
      </c>
      <c r="I1971">
        <v>22</v>
      </c>
      <c r="J1971">
        <v>1</v>
      </c>
      <c r="K1971">
        <v>76.66</v>
      </c>
      <c r="L1971">
        <v>10</v>
      </c>
      <c r="M1971" s="1" t="s">
        <v>50</v>
      </c>
      <c r="N1971" s="1" t="s">
        <v>56</v>
      </c>
      <c r="O1971">
        <v>20301.3</v>
      </c>
      <c r="P1971" t="b">
        <v>0</v>
      </c>
      <c r="Q1971">
        <v>1.8333333333333333</v>
      </c>
      <c r="R1971">
        <v>922.7863636363636</v>
      </c>
      <c r="S1971">
        <v>38.33</v>
      </c>
      <c r="T1971" s="2">
        <v>45017</v>
      </c>
      <c r="U1971" s="1" t="s">
        <v>66</v>
      </c>
      <c r="V1971">
        <v>0</v>
      </c>
      <c r="W1971" s="1" t="s">
        <v>40</v>
      </c>
      <c r="Y1971" s="1" t="s">
        <v>43</v>
      </c>
      <c r="Z1971" s="1" t="s">
        <v>42</v>
      </c>
      <c r="AA1971">
        <v>4.3478260869565216E-2</v>
      </c>
      <c r="AB1971" s="1" t="s">
        <v>43</v>
      </c>
      <c r="AC1971">
        <v>2</v>
      </c>
      <c r="AD1971" s="2">
        <v>45017</v>
      </c>
      <c r="AE1971" s="1" t="s">
        <v>53</v>
      </c>
      <c r="AF1971" s="1" t="s">
        <v>54</v>
      </c>
      <c r="AG1971" s="1" t="s">
        <v>63</v>
      </c>
      <c r="AH1971" s="1" t="s">
        <v>59</v>
      </c>
      <c r="AI1971">
        <v>20394</v>
      </c>
      <c r="AJ1971">
        <v>-92.700000000000728</v>
      </c>
    </row>
    <row r="1972" spans="1:36" x14ac:dyDescent="0.25">
      <c r="A1972">
        <v>11971</v>
      </c>
      <c r="B1972">
        <v>62</v>
      </c>
      <c r="C1972" s="1" t="s">
        <v>60</v>
      </c>
      <c r="D1972" s="1" t="s">
        <v>73</v>
      </c>
      <c r="E1972" s="2">
        <v>44539</v>
      </c>
      <c r="F1972" s="2">
        <v>44936</v>
      </c>
      <c r="G1972" s="1" t="s">
        <v>49</v>
      </c>
      <c r="H1972">
        <v>435</v>
      </c>
      <c r="I1972">
        <v>27</v>
      </c>
      <c r="J1972">
        <v>7</v>
      </c>
      <c r="K1972">
        <v>40.75</v>
      </c>
      <c r="L1972">
        <v>20</v>
      </c>
      <c r="M1972" s="1" t="s">
        <v>67</v>
      </c>
      <c r="N1972" s="1" t="s">
        <v>56</v>
      </c>
      <c r="O1972">
        <v>11658</v>
      </c>
      <c r="P1972" t="b">
        <v>1</v>
      </c>
      <c r="Q1972">
        <v>2.25</v>
      </c>
      <c r="R1972">
        <v>431.77777777777777</v>
      </c>
      <c r="S1972">
        <v>5.09375</v>
      </c>
      <c r="T1972" s="2">
        <v>44531</v>
      </c>
      <c r="U1972" s="1" t="s">
        <v>41</v>
      </c>
      <c r="V1972">
        <v>0</v>
      </c>
      <c r="W1972" s="1" t="s">
        <v>56</v>
      </c>
      <c r="X1972">
        <v>397</v>
      </c>
      <c r="Y1972" s="1" t="s">
        <v>52</v>
      </c>
      <c r="Z1972" s="1" t="s">
        <v>52</v>
      </c>
      <c r="AA1972">
        <v>0.25</v>
      </c>
      <c r="AB1972" s="1" t="s">
        <v>52</v>
      </c>
      <c r="AC1972">
        <v>3</v>
      </c>
      <c r="AD1972" s="2">
        <v>44531</v>
      </c>
      <c r="AE1972" s="1" t="s">
        <v>44</v>
      </c>
      <c r="AF1972" s="1" t="s">
        <v>78</v>
      </c>
      <c r="AG1972" s="1" t="s">
        <v>55</v>
      </c>
      <c r="AH1972" s="1" t="s">
        <v>68</v>
      </c>
      <c r="AI1972">
        <v>11745</v>
      </c>
      <c r="AJ1972">
        <v>-87</v>
      </c>
    </row>
    <row r="1973" spans="1:36" x14ac:dyDescent="0.25">
      <c r="A1973">
        <v>11972</v>
      </c>
      <c r="B1973">
        <v>35</v>
      </c>
      <c r="C1973" s="1" t="s">
        <v>36</v>
      </c>
      <c r="D1973" s="1" t="s">
        <v>73</v>
      </c>
      <c r="E1973" s="2">
        <v>44329</v>
      </c>
      <c r="F1973" s="2">
        <v>44392</v>
      </c>
      <c r="G1973" s="1" t="s">
        <v>49</v>
      </c>
      <c r="H1973">
        <v>576</v>
      </c>
      <c r="I1973">
        <v>15</v>
      </c>
      <c r="J1973">
        <v>1</v>
      </c>
      <c r="K1973">
        <v>55.7</v>
      </c>
      <c r="L1973">
        <v>15</v>
      </c>
      <c r="M1973" s="1" t="s">
        <v>65</v>
      </c>
      <c r="N1973" s="1" t="s">
        <v>56</v>
      </c>
      <c r="O1973">
        <v>8553.6</v>
      </c>
      <c r="P1973" t="b">
        <v>1</v>
      </c>
      <c r="Q1973">
        <v>1.25</v>
      </c>
      <c r="R1973">
        <v>570.24</v>
      </c>
      <c r="S1973">
        <v>27.85</v>
      </c>
      <c r="T1973" s="2">
        <v>44317</v>
      </c>
      <c r="U1973" s="1" t="s">
        <v>57</v>
      </c>
      <c r="V1973">
        <v>0</v>
      </c>
      <c r="W1973" s="1" t="s">
        <v>56</v>
      </c>
      <c r="X1973">
        <v>63</v>
      </c>
      <c r="Y1973" s="1" t="s">
        <v>52</v>
      </c>
      <c r="Z1973" s="1" t="s">
        <v>42</v>
      </c>
      <c r="AA1973">
        <v>6.25E-2</v>
      </c>
      <c r="AB1973" s="1" t="s">
        <v>42</v>
      </c>
      <c r="AC1973">
        <v>3</v>
      </c>
      <c r="AD1973" s="2">
        <v>44317</v>
      </c>
      <c r="AE1973" s="1" t="s">
        <v>53</v>
      </c>
      <c r="AF1973" s="1" t="s">
        <v>54</v>
      </c>
      <c r="AG1973" s="1" t="s">
        <v>63</v>
      </c>
      <c r="AH1973" s="1" t="s">
        <v>64</v>
      </c>
      <c r="AI1973">
        <v>8640</v>
      </c>
      <c r="AJ1973">
        <v>-86.399999999999636</v>
      </c>
    </row>
    <row r="1974" spans="1:36" x14ac:dyDescent="0.25">
      <c r="A1974">
        <v>11973</v>
      </c>
      <c r="B1974">
        <v>57</v>
      </c>
      <c r="C1974" s="1" t="s">
        <v>36</v>
      </c>
      <c r="D1974" s="1" t="s">
        <v>73</v>
      </c>
      <c r="E1974" s="2">
        <v>44251</v>
      </c>
      <c r="F1974" s="2">
        <v>44819</v>
      </c>
      <c r="G1974" s="1" t="s">
        <v>49</v>
      </c>
      <c r="H1974">
        <v>330</v>
      </c>
      <c r="I1974">
        <v>35</v>
      </c>
      <c r="J1974">
        <v>0</v>
      </c>
      <c r="K1974">
        <v>46.4</v>
      </c>
      <c r="L1974">
        <v>20</v>
      </c>
      <c r="M1974" s="1" t="s">
        <v>39</v>
      </c>
      <c r="N1974" s="1" t="s">
        <v>56</v>
      </c>
      <c r="O1974">
        <v>11484</v>
      </c>
      <c r="P1974" t="b">
        <v>1</v>
      </c>
      <c r="Q1974">
        <v>2.9166666666666665</v>
      </c>
      <c r="R1974">
        <v>328.1142857142857</v>
      </c>
      <c r="S1974">
        <v>46.4</v>
      </c>
      <c r="T1974" s="2">
        <v>44228</v>
      </c>
      <c r="U1974" s="1" t="s">
        <v>41</v>
      </c>
      <c r="V1974">
        <v>0</v>
      </c>
      <c r="W1974" s="1" t="s">
        <v>56</v>
      </c>
      <c r="X1974">
        <v>568</v>
      </c>
      <c r="Y1974" s="1" t="s">
        <v>52</v>
      </c>
      <c r="Z1974" s="1" t="s">
        <v>52</v>
      </c>
      <c r="AA1974">
        <v>0</v>
      </c>
      <c r="AB1974" s="1" t="s">
        <v>52</v>
      </c>
      <c r="AC1974">
        <v>3</v>
      </c>
      <c r="AD1974" s="2">
        <v>44228</v>
      </c>
      <c r="AE1974" s="1" t="s">
        <v>44</v>
      </c>
      <c r="AF1974" s="1" t="s">
        <v>54</v>
      </c>
      <c r="AG1974" s="1" t="s">
        <v>63</v>
      </c>
      <c r="AH1974" s="1" t="s">
        <v>68</v>
      </c>
      <c r="AI1974">
        <v>11550</v>
      </c>
      <c r="AJ1974">
        <v>-66</v>
      </c>
    </row>
    <row r="1975" spans="1:36" x14ac:dyDescent="0.25">
      <c r="A1975">
        <v>11974</v>
      </c>
      <c r="B1975">
        <v>38</v>
      </c>
      <c r="C1975" s="1" t="s">
        <v>60</v>
      </c>
      <c r="D1975" s="1" t="s">
        <v>48</v>
      </c>
      <c r="E1975" s="2">
        <v>44257</v>
      </c>
      <c r="F1975" s="2">
        <v>44718</v>
      </c>
      <c r="G1975" s="1" t="s">
        <v>62</v>
      </c>
      <c r="H1975">
        <v>546</v>
      </c>
      <c r="I1975">
        <v>26</v>
      </c>
      <c r="J1975">
        <v>2</v>
      </c>
      <c r="K1975">
        <v>79.56</v>
      </c>
      <c r="L1975">
        <v>20</v>
      </c>
      <c r="M1975" s="1" t="s">
        <v>50</v>
      </c>
      <c r="N1975" s="1" t="s">
        <v>56</v>
      </c>
      <c r="O1975">
        <v>14086.8</v>
      </c>
      <c r="P1975" t="b">
        <v>1</v>
      </c>
      <c r="Q1975">
        <v>2.1666666666666665</v>
      </c>
      <c r="R1975">
        <v>541.79999999999995</v>
      </c>
      <c r="S1975">
        <v>26.52</v>
      </c>
      <c r="T1975" s="2">
        <v>44256</v>
      </c>
      <c r="U1975" s="1" t="s">
        <v>51</v>
      </c>
      <c r="V1975">
        <v>0</v>
      </c>
      <c r="W1975" s="1" t="s">
        <v>40</v>
      </c>
      <c r="X1975">
        <v>461</v>
      </c>
      <c r="Y1975" s="1" t="s">
        <v>43</v>
      </c>
      <c r="Z1975" s="1" t="s">
        <v>52</v>
      </c>
      <c r="AA1975">
        <v>7.407407407407407E-2</v>
      </c>
      <c r="AB1975" s="1" t="s">
        <v>52</v>
      </c>
      <c r="AC1975">
        <v>2</v>
      </c>
      <c r="AD1975" s="2">
        <v>44256</v>
      </c>
      <c r="AE1975" s="1" t="s">
        <v>44</v>
      </c>
      <c r="AF1975" s="1" t="s">
        <v>72</v>
      </c>
      <c r="AG1975" s="1" t="s">
        <v>63</v>
      </c>
      <c r="AH1975" s="1" t="s">
        <v>64</v>
      </c>
      <c r="AI1975">
        <v>14196</v>
      </c>
      <c r="AJ1975">
        <v>-109.20000000000073</v>
      </c>
    </row>
    <row r="1976" spans="1:36" x14ac:dyDescent="0.25">
      <c r="A1976">
        <v>11975</v>
      </c>
      <c r="B1976">
        <v>32</v>
      </c>
      <c r="C1976" s="1" t="s">
        <v>36</v>
      </c>
      <c r="D1976" s="1" t="s">
        <v>73</v>
      </c>
      <c r="E1976" s="2">
        <v>45053</v>
      </c>
      <c r="F1976" s="2">
        <v>45202</v>
      </c>
      <c r="G1976" s="1" t="s">
        <v>38</v>
      </c>
      <c r="H1976">
        <v>710</v>
      </c>
      <c r="I1976">
        <v>23</v>
      </c>
      <c r="J1976">
        <v>3</v>
      </c>
      <c r="K1976">
        <v>59.06</v>
      </c>
      <c r="L1976">
        <v>5</v>
      </c>
      <c r="M1976" s="1" t="s">
        <v>39</v>
      </c>
      <c r="N1976" s="1" t="s">
        <v>56</v>
      </c>
      <c r="O1976">
        <v>16294.5</v>
      </c>
      <c r="P1976" t="b">
        <v>1</v>
      </c>
      <c r="Q1976">
        <v>1.9166666666666667</v>
      </c>
      <c r="R1976">
        <v>708.45652173913038</v>
      </c>
      <c r="S1976">
        <v>14.765000000000001</v>
      </c>
      <c r="T1976" s="2">
        <v>45047</v>
      </c>
      <c r="U1976" s="1" t="s">
        <v>57</v>
      </c>
      <c r="V1976">
        <v>0</v>
      </c>
      <c r="W1976" s="1" t="s">
        <v>40</v>
      </c>
      <c r="X1976">
        <v>149</v>
      </c>
      <c r="Y1976" s="1" t="s">
        <v>52</v>
      </c>
      <c r="Z1976" s="1" t="s">
        <v>42</v>
      </c>
      <c r="AA1976">
        <v>0.125</v>
      </c>
      <c r="AB1976" s="1" t="s">
        <v>52</v>
      </c>
      <c r="AC1976">
        <v>1</v>
      </c>
      <c r="AD1976" s="2">
        <v>45047</v>
      </c>
      <c r="AE1976" s="1" t="s">
        <v>53</v>
      </c>
      <c r="AF1976" s="1" t="s">
        <v>72</v>
      </c>
      <c r="AG1976" s="1" t="s">
        <v>63</v>
      </c>
      <c r="AH1976" s="1" t="s">
        <v>59</v>
      </c>
      <c r="AI1976">
        <v>16330</v>
      </c>
      <c r="AJ1976">
        <v>-35.5</v>
      </c>
    </row>
    <row r="1977" spans="1:36" x14ac:dyDescent="0.25">
      <c r="A1977">
        <v>11976</v>
      </c>
      <c r="B1977">
        <v>50</v>
      </c>
      <c r="C1977" s="1" t="s">
        <v>36</v>
      </c>
      <c r="D1977" s="1" t="s">
        <v>37</v>
      </c>
      <c r="E1977" s="2">
        <v>44716</v>
      </c>
      <c r="F1977" s="2">
        <v>44999</v>
      </c>
      <c r="G1977" s="1" t="s">
        <v>49</v>
      </c>
      <c r="H1977">
        <v>326</v>
      </c>
      <c r="I1977">
        <v>13</v>
      </c>
      <c r="J1977">
        <v>3</v>
      </c>
      <c r="K1977">
        <v>115.8</v>
      </c>
      <c r="L1977">
        <v>0</v>
      </c>
      <c r="M1977" s="1" t="s">
        <v>67</v>
      </c>
      <c r="N1977" s="1" t="s">
        <v>40</v>
      </c>
      <c r="O1977">
        <v>4238</v>
      </c>
      <c r="P1977" t="b">
        <v>1</v>
      </c>
      <c r="Q1977">
        <v>1.0833333333333333</v>
      </c>
      <c r="R1977">
        <v>326</v>
      </c>
      <c r="S1977">
        <v>28.95</v>
      </c>
      <c r="T1977" s="2">
        <v>44713</v>
      </c>
      <c r="U1977" s="1" t="s">
        <v>51</v>
      </c>
      <c r="V1977">
        <v>1</v>
      </c>
      <c r="W1977" s="1" t="s">
        <v>56</v>
      </c>
      <c r="X1977">
        <v>283</v>
      </c>
      <c r="Y1977" s="1" t="s">
        <v>43</v>
      </c>
      <c r="Z1977" s="1" t="s">
        <v>42</v>
      </c>
      <c r="AA1977">
        <v>0.21428571428571427</v>
      </c>
      <c r="AB1977" s="1" t="s">
        <v>42</v>
      </c>
      <c r="AC1977">
        <v>3</v>
      </c>
      <c r="AD1977" s="2">
        <v>44713</v>
      </c>
      <c r="AE1977" s="1" t="s">
        <v>53</v>
      </c>
      <c r="AF1977" s="1" t="s">
        <v>72</v>
      </c>
      <c r="AG1977" s="1" t="s">
        <v>63</v>
      </c>
      <c r="AH1977" s="1" t="s">
        <v>68</v>
      </c>
      <c r="AI1977">
        <v>4238</v>
      </c>
      <c r="AJ1977">
        <v>0</v>
      </c>
    </row>
    <row r="1978" spans="1:36" x14ac:dyDescent="0.25">
      <c r="A1978">
        <v>11977</v>
      </c>
      <c r="B1978">
        <v>52</v>
      </c>
      <c r="C1978" s="1" t="s">
        <v>36</v>
      </c>
      <c r="D1978" s="1" t="s">
        <v>71</v>
      </c>
      <c r="E1978" s="2">
        <v>44468</v>
      </c>
      <c r="F1978" s="2">
        <v>45036</v>
      </c>
      <c r="G1978" s="1" t="s">
        <v>38</v>
      </c>
      <c r="H1978">
        <v>372</v>
      </c>
      <c r="I1978">
        <v>26</v>
      </c>
      <c r="J1978">
        <v>2</v>
      </c>
      <c r="K1978">
        <v>45.52</v>
      </c>
      <c r="L1978">
        <v>15</v>
      </c>
      <c r="M1978" s="1" t="s">
        <v>65</v>
      </c>
      <c r="N1978" s="1" t="s">
        <v>56</v>
      </c>
      <c r="O1978">
        <v>9616.2000000000007</v>
      </c>
      <c r="P1978" t="b">
        <v>1</v>
      </c>
      <c r="Q1978">
        <v>2.1666666666666665</v>
      </c>
      <c r="R1978">
        <v>369.85384615384618</v>
      </c>
      <c r="S1978">
        <v>15.173333333333334</v>
      </c>
      <c r="T1978" s="2">
        <v>44440</v>
      </c>
      <c r="U1978" s="1" t="s">
        <v>41</v>
      </c>
      <c r="V1978">
        <v>0</v>
      </c>
      <c r="W1978" s="1" t="s">
        <v>56</v>
      </c>
      <c r="X1978">
        <v>568</v>
      </c>
      <c r="Y1978" s="1" t="s">
        <v>52</v>
      </c>
      <c r="Z1978" s="1" t="s">
        <v>42</v>
      </c>
      <c r="AA1978">
        <v>7.407407407407407E-2</v>
      </c>
      <c r="AB1978" s="1" t="s">
        <v>52</v>
      </c>
      <c r="AC1978">
        <v>1</v>
      </c>
      <c r="AD1978" s="2">
        <v>44440</v>
      </c>
      <c r="AE1978" s="1" t="s">
        <v>44</v>
      </c>
      <c r="AF1978" s="1" t="s">
        <v>72</v>
      </c>
      <c r="AG1978" s="1" t="s">
        <v>63</v>
      </c>
      <c r="AH1978" s="1" t="s">
        <v>68</v>
      </c>
      <c r="AI1978">
        <v>9672</v>
      </c>
      <c r="AJ1978">
        <v>-55.799999999999272</v>
      </c>
    </row>
    <row r="1979" spans="1:36" x14ac:dyDescent="0.25">
      <c r="A1979">
        <v>11978</v>
      </c>
      <c r="B1979">
        <v>43</v>
      </c>
      <c r="C1979" s="1" t="s">
        <v>60</v>
      </c>
      <c r="D1979" s="1" t="s">
        <v>37</v>
      </c>
      <c r="E1979" s="2">
        <v>44442</v>
      </c>
      <c r="F1979" s="2">
        <v>45081</v>
      </c>
      <c r="G1979" s="1" t="s">
        <v>62</v>
      </c>
      <c r="H1979">
        <v>1420</v>
      </c>
      <c r="I1979">
        <v>3</v>
      </c>
      <c r="J1979">
        <v>2</v>
      </c>
      <c r="K1979">
        <v>90.13</v>
      </c>
      <c r="L1979">
        <v>10</v>
      </c>
      <c r="M1979" s="1" t="s">
        <v>39</v>
      </c>
      <c r="N1979" s="1" t="s">
        <v>56</v>
      </c>
      <c r="O1979">
        <v>4118</v>
      </c>
      <c r="P1979" t="b">
        <v>1</v>
      </c>
      <c r="Q1979">
        <v>0.25</v>
      </c>
      <c r="R1979">
        <v>1372.6666666666667</v>
      </c>
      <c r="S1979">
        <v>30.043333333333333</v>
      </c>
      <c r="T1979" s="2">
        <v>44440</v>
      </c>
      <c r="U1979" s="1" t="s">
        <v>51</v>
      </c>
      <c r="V1979">
        <v>0</v>
      </c>
      <c r="W1979" s="1" t="s">
        <v>56</v>
      </c>
      <c r="X1979">
        <v>639</v>
      </c>
      <c r="Y1979" s="1" t="s">
        <v>43</v>
      </c>
      <c r="Z1979" s="1" t="s">
        <v>42</v>
      </c>
      <c r="AA1979">
        <v>0.5</v>
      </c>
      <c r="AB1979" s="1" t="s">
        <v>42</v>
      </c>
      <c r="AC1979">
        <v>2</v>
      </c>
      <c r="AD1979" s="2">
        <v>44440</v>
      </c>
      <c r="AE1979" s="1" t="s">
        <v>58</v>
      </c>
      <c r="AF1979" s="1" t="s">
        <v>72</v>
      </c>
      <c r="AG1979" s="1" t="s">
        <v>63</v>
      </c>
      <c r="AH1979" s="1" t="s">
        <v>47</v>
      </c>
      <c r="AI1979">
        <v>4260</v>
      </c>
      <c r="AJ1979">
        <v>-142</v>
      </c>
    </row>
    <row r="1980" spans="1:36" x14ac:dyDescent="0.25">
      <c r="A1980">
        <v>11979</v>
      </c>
      <c r="B1980">
        <v>25</v>
      </c>
      <c r="C1980" s="1" t="s">
        <v>60</v>
      </c>
      <c r="D1980" s="1" t="s">
        <v>71</v>
      </c>
      <c r="E1980" s="2">
        <v>44372</v>
      </c>
      <c r="F1980" s="2">
        <v>44439</v>
      </c>
      <c r="G1980" s="1" t="s">
        <v>38</v>
      </c>
      <c r="H1980">
        <v>972</v>
      </c>
      <c r="I1980">
        <v>29</v>
      </c>
      <c r="J1980">
        <v>1</v>
      </c>
      <c r="K1980">
        <v>34.590000000000003</v>
      </c>
      <c r="L1980">
        <v>15</v>
      </c>
      <c r="M1980" s="1" t="s">
        <v>67</v>
      </c>
      <c r="N1980" s="1" t="s">
        <v>56</v>
      </c>
      <c r="O1980">
        <v>28042.2</v>
      </c>
      <c r="P1980" t="b">
        <v>1</v>
      </c>
      <c r="Q1980">
        <v>2.4166666666666665</v>
      </c>
      <c r="R1980">
        <v>966.97241379310344</v>
      </c>
      <c r="S1980">
        <v>17.295000000000002</v>
      </c>
      <c r="T1980" s="2">
        <v>44348</v>
      </c>
      <c r="U1980" s="1" t="s">
        <v>66</v>
      </c>
      <c r="V1980">
        <v>0</v>
      </c>
      <c r="W1980" s="1" t="s">
        <v>40</v>
      </c>
      <c r="X1980">
        <v>67</v>
      </c>
      <c r="Y1980" s="1" t="s">
        <v>52</v>
      </c>
      <c r="Z1980" s="1" t="s">
        <v>42</v>
      </c>
      <c r="AA1980">
        <v>3.3333333333333333E-2</v>
      </c>
      <c r="AB1980" s="1" t="s">
        <v>43</v>
      </c>
      <c r="AC1980">
        <v>1</v>
      </c>
      <c r="AD1980" s="2">
        <v>44348</v>
      </c>
      <c r="AE1980" s="1" t="s">
        <v>44</v>
      </c>
      <c r="AF1980" s="1" t="s">
        <v>54</v>
      </c>
      <c r="AG1980" s="1" t="s">
        <v>55</v>
      </c>
      <c r="AH1980" s="1" t="s">
        <v>59</v>
      </c>
      <c r="AI1980">
        <v>28188</v>
      </c>
      <c r="AJ1980">
        <v>-145.79999999999927</v>
      </c>
    </row>
    <row r="1981" spans="1:36" x14ac:dyDescent="0.25">
      <c r="A1981">
        <v>11980</v>
      </c>
      <c r="B1981">
        <v>53</v>
      </c>
      <c r="C1981" s="1" t="s">
        <v>36</v>
      </c>
      <c r="D1981" s="1" t="s">
        <v>69</v>
      </c>
      <c r="E1981" s="2">
        <v>44824</v>
      </c>
      <c r="F1981" s="2">
        <v>44369</v>
      </c>
      <c r="G1981" s="1" t="s">
        <v>62</v>
      </c>
      <c r="H1981">
        <v>775</v>
      </c>
      <c r="I1981">
        <v>2</v>
      </c>
      <c r="J1981">
        <v>1</v>
      </c>
      <c r="K1981">
        <v>63.51</v>
      </c>
      <c r="L1981">
        <v>0</v>
      </c>
      <c r="M1981" s="1" t="s">
        <v>67</v>
      </c>
      <c r="N1981" s="1" t="s">
        <v>56</v>
      </c>
      <c r="O1981">
        <v>1550</v>
      </c>
      <c r="P1981" t="b">
        <v>0</v>
      </c>
      <c r="Q1981">
        <v>0.16666666666666666</v>
      </c>
      <c r="R1981">
        <v>775</v>
      </c>
      <c r="S1981">
        <v>31.754999999999999</v>
      </c>
      <c r="T1981" s="2">
        <v>44805</v>
      </c>
      <c r="U1981" s="1" t="s">
        <v>41</v>
      </c>
      <c r="V1981">
        <v>0</v>
      </c>
      <c r="W1981" s="1" t="s">
        <v>56</v>
      </c>
      <c r="Y1981" s="1" t="s">
        <v>43</v>
      </c>
      <c r="Z1981" s="1" t="s">
        <v>42</v>
      </c>
      <c r="AA1981">
        <v>0.33333333333333331</v>
      </c>
      <c r="AB1981" s="1" t="s">
        <v>42</v>
      </c>
      <c r="AC1981">
        <v>2</v>
      </c>
      <c r="AD1981" s="2">
        <v>44805</v>
      </c>
      <c r="AE1981" s="1" t="s">
        <v>58</v>
      </c>
      <c r="AF1981" s="1" t="s">
        <v>54</v>
      </c>
      <c r="AG1981" s="1" t="s">
        <v>63</v>
      </c>
      <c r="AH1981" s="1" t="s">
        <v>59</v>
      </c>
      <c r="AI1981">
        <v>1550</v>
      </c>
      <c r="AJ1981">
        <v>0</v>
      </c>
    </row>
    <row r="1982" spans="1:36" x14ac:dyDescent="0.25">
      <c r="A1982">
        <v>11981</v>
      </c>
      <c r="B1982">
        <v>47</v>
      </c>
      <c r="C1982" s="1" t="s">
        <v>36</v>
      </c>
      <c r="D1982" s="1" t="s">
        <v>69</v>
      </c>
      <c r="E1982" s="2">
        <v>44513</v>
      </c>
      <c r="F1982" s="2">
        <v>44519</v>
      </c>
      <c r="G1982" s="1" t="s">
        <v>62</v>
      </c>
      <c r="H1982">
        <v>586</v>
      </c>
      <c r="I1982">
        <v>28</v>
      </c>
      <c r="J1982">
        <v>2</v>
      </c>
      <c r="K1982">
        <v>68.55</v>
      </c>
      <c r="L1982">
        <v>5</v>
      </c>
      <c r="M1982" s="1" t="s">
        <v>65</v>
      </c>
      <c r="N1982" s="1" t="s">
        <v>56</v>
      </c>
      <c r="O1982">
        <v>16378.7</v>
      </c>
      <c r="P1982" t="b">
        <v>1</v>
      </c>
      <c r="Q1982">
        <v>2.3333333333333335</v>
      </c>
      <c r="R1982">
        <v>584.95357142857142</v>
      </c>
      <c r="S1982">
        <v>22.849999999999998</v>
      </c>
      <c r="T1982" s="2">
        <v>44501</v>
      </c>
      <c r="U1982" s="1" t="s">
        <v>51</v>
      </c>
      <c r="V1982">
        <v>0</v>
      </c>
      <c r="W1982" s="1" t="s">
        <v>40</v>
      </c>
      <c r="X1982">
        <v>6</v>
      </c>
      <c r="Y1982" s="1" t="s">
        <v>43</v>
      </c>
      <c r="Z1982" s="1" t="s">
        <v>42</v>
      </c>
      <c r="AA1982">
        <v>6.8965517241379309E-2</v>
      </c>
      <c r="AB1982" s="1" t="s">
        <v>52</v>
      </c>
      <c r="AC1982">
        <v>2</v>
      </c>
      <c r="AD1982" s="2">
        <v>44501</v>
      </c>
      <c r="AE1982" s="1" t="s">
        <v>44</v>
      </c>
      <c r="AF1982" s="1" t="s">
        <v>72</v>
      </c>
      <c r="AG1982" s="1" t="s">
        <v>63</v>
      </c>
      <c r="AH1982" s="1" t="s">
        <v>64</v>
      </c>
      <c r="AI1982">
        <v>16408</v>
      </c>
      <c r="AJ1982">
        <v>-29.299999999999272</v>
      </c>
    </row>
    <row r="1983" spans="1:36" x14ac:dyDescent="0.25">
      <c r="A1983">
        <v>11982</v>
      </c>
      <c r="B1983">
        <v>40</v>
      </c>
      <c r="C1983" s="1" t="s">
        <v>60</v>
      </c>
      <c r="D1983" s="1" t="s">
        <v>71</v>
      </c>
      <c r="E1983" s="2">
        <v>44979</v>
      </c>
      <c r="F1983" s="2">
        <v>44951</v>
      </c>
      <c r="G1983" s="1" t="s">
        <v>38</v>
      </c>
      <c r="H1983">
        <v>511</v>
      </c>
      <c r="I1983">
        <v>23</v>
      </c>
      <c r="J1983">
        <v>1</v>
      </c>
      <c r="K1983">
        <v>42.85</v>
      </c>
      <c r="L1983">
        <v>0</v>
      </c>
      <c r="M1983" s="1" t="s">
        <v>50</v>
      </c>
      <c r="N1983" s="1" t="s">
        <v>56</v>
      </c>
      <c r="O1983">
        <v>11753</v>
      </c>
      <c r="P1983" t="b">
        <v>0</v>
      </c>
      <c r="Q1983">
        <v>1.9166666666666667</v>
      </c>
      <c r="R1983">
        <v>511</v>
      </c>
      <c r="S1983">
        <v>21.425000000000001</v>
      </c>
      <c r="T1983" s="2">
        <v>44958</v>
      </c>
      <c r="U1983" s="1" t="s">
        <v>51</v>
      </c>
      <c r="V1983">
        <v>0</v>
      </c>
      <c r="W1983" s="1" t="s">
        <v>56</v>
      </c>
      <c r="Y1983" s="1" t="s">
        <v>52</v>
      </c>
      <c r="Z1983" s="1" t="s">
        <v>42</v>
      </c>
      <c r="AA1983">
        <v>4.1666666666666664E-2</v>
      </c>
      <c r="AB1983" s="1" t="s">
        <v>52</v>
      </c>
      <c r="AC1983">
        <v>1</v>
      </c>
      <c r="AD1983" s="2">
        <v>44958</v>
      </c>
      <c r="AE1983" s="1" t="s">
        <v>53</v>
      </c>
      <c r="AF1983" s="1" t="s">
        <v>54</v>
      </c>
      <c r="AG1983" s="1" t="s">
        <v>55</v>
      </c>
      <c r="AH1983" s="1" t="s">
        <v>64</v>
      </c>
      <c r="AI1983">
        <v>11753</v>
      </c>
      <c r="AJ1983">
        <v>0</v>
      </c>
    </row>
    <row r="1984" spans="1:36" x14ac:dyDescent="0.25">
      <c r="A1984">
        <v>11983</v>
      </c>
      <c r="B1984">
        <v>59</v>
      </c>
      <c r="C1984" s="1" t="s">
        <v>36</v>
      </c>
      <c r="D1984" s="1" t="s">
        <v>37</v>
      </c>
      <c r="E1984" s="2">
        <v>44901</v>
      </c>
      <c r="F1984" s="2">
        <v>44539</v>
      </c>
      <c r="G1984" s="1" t="s">
        <v>49</v>
      </c>
      <c r="H1984">
        <v>1399</v>
      </c>
      <c r="I1984">
        <v>6</v>
      </c>
      <c r="J1984">
        <v>1</v>
      </c>
      <c r="K1984">
        <v>59.25</v>
      </c>
      <c r="L1984">
        <v>10</v>
      </c>
      <c r="M1984" s="1" t="s">
        <v>65</v>
      </c>
      <c r="N1984" s="1" t="s">
        <v>40</v>
      </c>
      <c r="O1984">
        <v>8254.1</v>
      </c>
      <c r="P1984" t="b">
        <v>0</v>
      </c>
      <c r="Q1984">
        <v>0.5</v>
      </c>
      <c r="R1984">
        <v>1375.6833333333334</v>
      </c>
      <c r="S1984">
        <v>29.625</v>
      </c>
      <c r="T1984" s="2">
        <v>44896</v>
      </c>
      <c r="U1984" s="1" t="s">
        <v>41</v>
      </c>
      <c r="V1984">
        <v>1</v>
      </c>
      <c r="W1984" s="1" t="s">
        <v>56</v>
      </c>
      <c r="Y1984" s="1" t="s">
        <v>52</v>
      </c>
      <c r="Z1984" s="1" t="s">
        <v>42</v>
      </c>
      <c r="AA1984">
        <v>0.14285714285714285</v>
      </c>
      <c r="AB1984" s="1" t="s">
        <v>42</v>
      </c>
      <c r="AC1984">
        <v>3</v>
      </c>
      <c r="AD1984" s="2">
        <v>44896</v>
      </c>
      <c r="AE1984" s="1" t="s">
        <v>58</v>
      </c>
      <c r="AF1984" s="1" t="s">
        <v>54</v>
      </c>
      <c r="AG1984" s="1" t="s">
        <v>63</v>
      </c>
      <c r="AH1984" s="1" t="s">
        <v>47</v>
      </c>
      <c r="AI1984">
        <v>8394</v>
      </c>
      <c r="AJ1984">
        <v>-139.89999999999964</v>
      </c>
    </row>
    <row r="1985" spans="1:36" x14ac:dyDescent="0.25">
      <c r="A1985">
        <v>11984</v>
      </c>
      <c r="B1985">
        <v>61</v>
      </c>
      <c r="C1985" s="1" t="s">
        <v>36</v>
      </c>
      <c r="D1985" s="1" t="s">
        <v>71</v>
      </c>
      <c r="E1985" s="2">
        <v>44858</v>
      </c>
      <c r="F1985" s="2">
        <v>44424</v>
      </c>
      <c r="G1985" s="1" t="s">
        <v>38</v>
      </c>
      <c r="H1985">
        <v>700</v>
      </c>
      <c r="I1985">
        <v>11</v>
      </c>
      <c r="J1985">
        <v>3</v>
      </c>
      <c r="K1985">
        <v>37.119999999999997</v>
      </c>
      <c r="L1985">
        <v>15</v>
      </c>
      <c r="M1985" s="1" t="s">
        <v>65</v>
      </c>
      <c r="N1985" s="1" t="s">
        <v>56</v>
      </c>
      <c r="O1985">
        <v>7595</v>
      </c>
      <c r="P1985" t="b">
        <v>0</v>
      </c>
      <c r="Q1985">
        <v>0.91666666666666663</v>
      </c>
      <c r="R1985">
        <v>690.4545454545455</v>
      </c>
      <c r="S1985">
        <v>9.2799999999999994</v>
      </c>
      <c r="T1985" s="2">
        <v>44835</v>
      </c>
      <c r="U1985" s="1" t="s">
        <v>41</v>
      </c>
      <c r="V1985">
        <v>0</v>
      </c>
      <c r="W1985" s="1" t="s">
        <v>56</v>
      </c>
      <c r="Y1985" s="1" t="s">
        <v>52</v>
      </c>
      <c r="Z1985" s="1" t="s">
        <v>42</v>
      </c>
      <c r="AA1985">
        <v>0.25</v>
      </c>
      <c r="AB1985" s="1" t="s">
        <v>42</v>
      </c>
      <c r="AC1985">
        <v>1</v>
      </c>
      <c r="AD1985" s="2">
        <v>44835</v>
      </c>
      <c r="AE1985" s="1" t="s">
        <v>74</v>
      </c>
      <c r="AF1985" s="1" t="s">
        <v>72</v>
      </c>
      <c r="AG1985" s="1" t="s">
        <v>55</v>
      </c>
      <c r="AH1985" s="1" t="s">
        <v>64</v>
      </c>
      <c r="AI1985">
        <v>7700</v>
      </c>
      <c r="AJ1985">
        <v>-105</v>
      </c>
    </row>
    <row r="1986" spans="1:36" x14ac:dyDescent="0.25">
      <c r="A1986">
        <v>11985</v>
      </c>
      <c r="B1986">
        <v>31</v>
      </c>
      <c r="C1986" s="1" t="s">
        <v>36</v>
      </c>
      <c r="D1986" s="1" t="s">
        <v>73</v>
      </c>
      <c r="E1986" s="2">
        <v>44327</v>
      </c>
      <c r="F1986" s="2">
        <v>44628</v>
      </c>
      <c r="G1986" s="1" t="s">
        <v>62</v>
      </c>
      <c r="H1986">
        <v>954</v>
      </c>
      <c r="I1986">
        <v>34</v>
      </c>
      <c r="J1986">
        <v>2</v>
      </c>
      <c r="K1986">
        <v>5.69</v>
      </c>
      <c r="L1986">
        <v>20</v>
      </c>
      <c r="M1986" s="1" t="s">
        <v>39</v>
      </c>
      <c r="N1986" s="1" t="s">
        <v>40</v>
      </c>
      <c r="O1986">
        <v>32245.200000000001</v>
      </c>
      <c r="P1986" t="b">
        <v>1</v>
      </c>
      <c r="Q1986">
        <v>2.8333333333333335</v>
      </c>
      <c r="R1986">
        <v>948.38823529411764</v>
      </c>
      <c r="S1986">
        <v>1.8966666666666667</v>
      </c>
      <c r="T1986" s="2">
        <v>44317</v>
      </c>
      <c r="U1986" s="1" t="s">
        <v>57</v>
      </c>
      <c r="V1986">
        <v>1</v>
      </c>
      <c r="W1986" s="1" t="s">
        <v>40</v>
      </c>
      <c r="X1986">
        <v>301</v>
      </c>
      <c r="Y1986" s="1" t="s">
        <v>42</v>
      </c>
      <c r="Z1986" s="1" t="s">
        <v>52</v>
      </c>
      <c r="AA1986">
        <v>5.7142857142857141E-2</v>
      </c>
      <c r="AB1986" s="1" t="s">
        <v>43</v>
      </c>
      <c r="AC1986">
        <v>2</v>
      </c>
      <c r="AD1986" s="2">
        <v>44317</v>
      </c>
      <c r="AE1986" s="1" t="s">
        <v>44</v>
      </c>
      <c r="AF1986" s="1" t="s">
        <v>72</v>
      </c>
      <c r="AG1986" s="1" t="s">
        <v>77</v>
      </c>
      <c r="AH1986" s="1" t="s">
        <v>59</v>
      </c>
      <c r="AI1986">
        <v>32436</v>
      </c>
      <c r="AJ1986">
        <v>-190.79999999999927</v>
      </c>
    </row>
    <row r="1987" spans="1:36" x14ac:dyDescent="0.25">
      <c r="A1987">
        <v>11986</v>
      </c>
      <c r="B1987">
        <v>31</v>
      </c>
      <c r="C1987" s="1" t="s">
        <v>36</v>
      </c>
      <c r="D1987" s="1" t="s">
        <v>48</v>
      </c>
      <c r="E1987" s="2">
        <v>44298</v>
      </c>
      <c r="F1987" s="2">
        <v>44711</v>
      </c>
      <c r="G1987" s="1" t="s">
        <v>38</v>
      </c>
      <c r="H1987">
        <v>1357</v>
      </c>
      <c r="I1987">
        <v>17</v>
      </c>
      <c r="J1987">
        <v>2</v>
      </c>
      <c r="K1987">
        <v>29.8</v>
      </c>
      <c r="L1987">
        <v>0</v>
      </c>
      <c r="M1987" s="1" t="s">
        <v>39</v>
      </c>
      <c r="N1987" s="1" t="s">
        <v>56</v>
      </c>
      <c r="O1987">
        <v>23069</v>
      </c>
      <c r="P1987" t="b">
        <v>1</v>
      </c>
      <c r="Q1987">
        <v>1.4166666666666667</v>
      </c>
      <c r="R1987">
        <v>1357</v>
      </c>
      <c r="S1987">
        <v>9.9333333333333336</v>
      </c>
      <c r="T1987" s="2">
        <v>44287</v>
      </c>
      <c r="U1987" s="1" t="s">
        <v>57</v>
      </c>
      <c r="V1987">
        <v>0</v>
      </c>
      <c r="W1987" s="1" t="s">
        <v>40</v>
      </c>
      <c r="X1987">
        <v>413</v>
      </c>
      <c r="Y1987" s="1" t="s">
        <v>52</v>
      </c>
      <c r="Z1987" s="1" t="s">
        <v>42</v>
      </c>
      <c r="AA1987">
        <v>0.1111111111111111</v>
      </c>
      <c r="AB1987" s="1" t="s">
        <v>43</v>
      </c>
      <c r="AC1987">
        <v>1</v>
      </c>
      <c r="AD1987" s="2">
        <v>44287</v>
      </c>
      <c r="AE1987" s="1" t="s">
        <v>53</v>
      </c>
      <c r="AF1987" s="1" t="s">
        <v>72</v>
      </c>
      <c r="AG1987" s="1" t="s">
        <v>70</v>
      </c>
      <c r="AH1987" s="1" t="s">
        <v>47</v>
      </c>
      <c r="AI1987">
        <v>23069</v>
      </c>
      <c r="AJ1987">
        <v>0</v>
      </c>
    </row>
    <row r="1988" spans="1:36" x14ac:dyDescent="0.25">
      <c r="A1988">
        <v>11987</v>
      </c>
      <c r="B1988">
        <v>19</v>
      </c>
      <c r="C1988" s="1" t="s">
        <v>60</v>
      </c>
      <c r="D1988" s="1" t="s">
        <v>69</v>
      </c>
      <c r="E1988" s="2">
        <v>44506</v>
      </c>
      <c r="F1988" s="2">
        <v>44526</v>
      </c>
      <c r="G1988" s="1" t="s">
        <v>38</v>
      </c>
      <c r="H1988">
        <v>797</v>
      </c>
      <c r="I1988">
        <v>3</v>
      </c>
      <c r="J1988">
        <v>1</v>
      </c>
      <c r="K1988">
        <v>85.51</v>
      </c>
      <c r="L1988">
        <v>5</v>
      </c>
      <c r="M1988" s="1" t="s">
        <v>50</v>
      </c>
      <c r="N1988" s="1" t="s">
        <v>56</v>
      </c>
      <c r="O1988">
        <v>2351.15</v>
      </c>
      <c r="P1988" t="b">
        <v>1</v>
      </c>
      <c r="Q1988">
        <v>0.25</v>
      </c>
      <c r="R1988">
        <v>783.7166666666667</v>
      </c>
      <c r="S1988">
        <v>42.755000000000003</v>
      </c>
      <c r="T1988" s="2">
        <v>44501</v>
      </c>
      <c r="U1988" s="1" t="s">
        <v>66</v>
      </c>
      <c r="V1988">
        <v>0</v>
      </c>
      <c r="W1988" s="1" t="s">
        <v>56</v>
      </c>
      <c r="X1988">
        <v>20</v>
      </c>
      <c r="Y1988" s="1" t="s">
        <v>43</v>
      </c>
      <c r="Z1988" s="1" t="s">
        <v>42</v>
      </c>
      <c r="AA1988">
        <v>0.25</v>
      </c>
      <c r="AB1988" s="1" t="s">
        <v>42</v>
      </c>
      <c r="AC1988">
        <v>1</v>
      </c>
      <c r="AD1988" s="2">
        <v>44501</v>
      </c>
      <c r="AE1988" s="1" t="s">
        <v>58</v>
      </c>
      <c r="AF1988" s="1" t="s">
        <v>54</v>
      </c>
      <c r="AG1988" s="1" t="s">
        <v>63</v>
      </c>
      <c r="AH1988" s="1" t="s">
        <v>59</v>
      </c>
      <c r="AI1988">
        <v>2391</v>
      </c>
      <c r="AJ1988">
        <v>-39.849999999999909</v>
      </c>
    </row>
    <row r="1989" spans="1:36" x14ac:dyDescent="0.25">
      <c r="A1989">
        <v>11988</v>
      </c>
      <c r="B1989">
        <v>54</v>
      </c>
      <c r="C1989" s="1" t="s">
        <v>60</v>
      </c>
      <c r="D1989" s="1" t="s">
        <v>48</v>
      </c>
      <c r="E1989" s="2">
        <v>44978</v>
      </c>
      <c r="F1989" s="2">
        <v>44585</v>
      </c>
      <c r="G1989" s="1" t="s">
        <v>38</v>
      </c>
      <c r="H1989">
        <v>1147</v>
      </c>
      <c r="I1989">
        <v>34</v>
      </c>
      <c r="J1989">
        <v>2</v>
      </c>
      <c r="K1989">
        <v>93.66</v>
      </c>
      <c r="L1989">
        <v>5</v>
      </c>
      <c r="M1989" s="1" t="s">
        <v>67</v>
      </c>
      <c r="N1989" s="1" t="s">
        <v>56</v>
      </c>
      <c r="O1989">
        <v>38940.65</v>
      </c>
      <c r="P1989" t="b">
        <v>0</v>
      </c>
      <c r="Q1989">
        <v>2.8333333333333335</v>
      </c>
      <c r="R1989">
        <v>1145.3132352941177</v>
      </c>
      <c r="S1989">
        <v>31.22</v>
      </c>
      <c r="T1989" s="2">
        <v>44958</v>
      </c>
      <c r="U1989" s="1" t="s">
        <v>41</v>
      </c>
      <c r="V1989">
        <v>0</v>
      </c>
      <c r="W1989" s="1" t="s">
        <v>40</v>
      </c>
      <c r="Y1989" s="1" t="s">
        <v>43</v>
      </c>
      <c r="Z1989" s="1" t="s">
        <v>42</v>
      </c>
      <c r="AA1989">
        <v>5.7142857142857141E-2</v>
      </c>
      <c r="AB1989" s="1" t="s">
        <v>43</v>
      </c>
      <c r="AC1989">
        <v>1</v>
      </c>
      <c r="AD1989" s="2">
        <v>44958</v>
      </c>
      <c r="AE1989" s="1" t="s">
        <v>44</v>
      </c>
      <c r="AF1989" s="1" t="s">
        <v>72</v>
      </c>
      <c r="AG1989" s="1" t="s">
        <v>63</v>
      </c>
      <c r="AH1989" s="1" t="s">
        <v>47</v>
      </c>
      <c r="AI1989">
        <v>38998</v>
      </c>
      <c r="AJ1989">
        <v>-57.349999999998545</v>
      </c>
    </row>
    <row r="1990" spans="1:36" x14ac:dyDescent="0.25">
      <c r="A1990">
        <v>11989</v>
      </c>
      <c r="B1990">
        <v>22</v>
      </c>
      <c r="C1990" s="1" t="s">
        <v>36</v>
      </c>
      <c r="D1990" s="1" t="s">
        <v>73</v>
      </c>
      <c r="E1990" s="2">
        <v>44488</v>
      </c>
      <c r="F1990" s="2">
        <v>44482</v>
      </c>
      <c r="G1990" s="1" t="s">
        <v>62</v>
      </c>
      <c r="H1990">
        <v>397</v>
      </c>
      <c r="I1990">
        <v>22</v>
      </c>
      <c r="J1990">
        <v>3</v>
      </c>
      <c r="K1990">
        <v>37.22</v>
      </c>
      <c r="L1990">
        <v>15</v>
      </c>
      <c r="M1990" s="1" t="s">
        <v>39</v>
      </c>
      <c r="N1990" s="1" t="s">
        <v>56</v>
      </c>
      <c r="O1990">
        <v>8674.4500000000007</v>
      </c>
      <c r="P1990" t="b">
        <v>0</v>
      </c>
      <c r="Q1990">
        <v>1.8333333333333333</v>
      </c>
      <c r="R1990">
        <v>394.29318181818184</v>
      </c>
      <c r="S1990">
        <v>9.3049999999999997</v>
      </c>
      <c r="T1990" s="2">
        <v>44470</v>
      </c>
      <c r="U1990" s="1" t="s">
        <v>66</v>
      </c>
      <c r="V1990">
        <v>0</v>
      </c>
      <c r="W1990" s="1" t="s">
        <v>56</v>
      </c>
      <c r="Y1990" s="1" t="s">
        <v>52</v>
      </c>
      <c r="Z1990" s="1" t="s">
        <v>42</v>
      </c>
      <c r="AA1990">
        <v>0.13043478260869565</v>
      </c>
      <c r="AB1990" s="1" t="s">
        <v>42</v>
      </c>
      <c r="AC1990">
        <v>2</v>
      </c>
      <c r="AD1990" s="2">
        <v>44470</v>
      </c>
      <c r="AE1990" s="1" t="s">
        <v>53</v>
      </c>
      <c r="AF1990" s="1" t="s">
        <v>72</v>
      </c>
      <c r="AG1990" s="1" t="s">
        <v>55</v>
      </c>
      <c r="AH1990" s="1" t="s">
        <v>68</v>
      </c>
      <c r="AI1990">
        <v>8734</v>
      </c>
      <c r="AJ1990">
        <v>-59.549999999999272</v>
      </c>
    </row>
    <row r="1991" spans="1:36" x14ac:dyDescent="0.25">
      <c r="A1991">
        <v>11990</v>
      </c>
      <c r="B1991">
        <v>55</v>
      </c>
      <c r="C1991" s="1" t="s">
        <v>60</v>
      </c>
      <c r="D1991" s="1" t="s">
        <v>73</v>
      </c>
      <c r="E1991" s="2">
        <v>44918</v>
      </c>
      <c r="F1991" s="2">
        <v>45224</v>
      </c>
      <c r="G1991" s="1" t="s">
        <v>38</v>
      </c>
      <c r="H1991">
        <v>665</v>
      </c>
      <c r="I1991">
        <v>29</v>
      </c>
      <c r="J1991">
        <v>1</v>
      </c>
      <c r="K1991">
        <v>51.92</v>
      </c>
      <c r="L1991">
        <v>20</v>
      </c>
      <c r="M1991" s="1" t="s">
        <v>50</v>
      </c>
      <c r="N1991" s="1" t="s">
        <v>56</v>
      </c>
      <c r="O1991">
        <v>19152</v>
      </c>
      <c r="P1991" t="b">
        <v>1</v>
      </c>
      <c r="Q1991">
        <v>2.4166666666666665</v>
      </c>
      <c r="R1991">
        <v>660.41379310344826</v>
      </c>
      <c r="S1991">
        <v>25.96</v>
      </c>
      <c r="T1991" s="2">
        <v>44896</v>
      </c>
      <c r="U1991" s="1" t="s">
        <v>41</v>
      </c>
      <c r="V1991">
        <v>0</v>
      </c>
      <c r="W1991" s="1" t="s">
        <v>40</v>
      </c>
      <c r="X1991">
        <v>306</v>
      </c>
      <c r="Y1991" s="1" t="s">
        <v>52</v>
      </c>
      <c r="Z1991" s="1" t="s">
        <v>52</v>
      </c>
      <c r="AA1991">
        <v>3.3333333333333333E-2</v>
      </c>
      <c r="AB1991" s="1" t="s">
        <v>52</v>
      </c>
      <c r="AC1991">
        <v>1</v>
      </c>
      <c r="AD1991" s="2">
        <v>44896</v>
      </c>
      <c r="AE1991" s="1" t="s">
        <v>44</v>
      </c>
      <c r="AF1991" s="1" t="s">
        <v>54</v>
      </c>
      <c r="AG1991" s="1" t="s">
        <v>63</v>
      </c>
      <c r="AH1991" s="1" t="s">
        <v>64</v>
      </c>
      <c r="AI1991">
        <v>19285</v>
      </c>
      <c r="AJ1991">
        <v>-133</v>
      </c>
    </row>
    <row r="1992" spans="1:36" x14ac:dyDescent="0.25">
      <c r="A1992">
        <v>11991</v>
      </c>
      <c r="B1992">
        <v>62</v>
      </c>
      <c r="C1992" s="1" t="s">
        <v>60</v>
      </c>
      <c r="D1992" s="1" t="s">
        <v>69</v>
      </c>
      <c r="E1992" s="2">
        <v>44691</v>
      </c>
      <c r="F1992" s="2">
        <v>44627</v>
      </c>
      <c r="G1992" s="1" t="s">
        <v>49</v>
      </c>
      <c r="H1992">
        <v>762</v>
      </c>
      <c r="I1992">
        <v>29</v>
      </c>
      <c r="J1992">
        <v>3</v>
      </c>
      <c r="K1992">
        <v>9.3000000000000007</v>
      </c>
      <c r="L1992">
        <v>10</v>
      </c>
      <c r="M1992" s="1" t="s">
        <v>65</v>
      </c>
      <c r="N1992" s="1" t="s">
        <v>56</v>
      </c>
      <c r="O1992">
        <v>22021.8</v>
      </c>
      <c r="P1992" t="b">
        <v>0</v>
      </c>
      <c r="Q1992">
        <v>2.4166666666666665</v>
      </c>
      <c r="R1992">
        <v>759.37241379310342</v>
      </c>
      <c r="S1992">
        <v>2.3250000000000002</v>
      </c>
      <c r="T1992" s="2">
        <v>44682</v>
      </c>
      <c r="U1992" s="1" t="s">
        <v>41</v>
      </c>
      <c r="V1992">
        <v>0</v>
      </c>
      <c r="W1992" s="1" t="s">
        <v>40</v>
      </c>
      <c r="Y1992" s="1" t="s">
        <v>42</v>
      </c>
      <c r="Z1992" s="1" t="s">
        <v>42</v>
      </c>
      <c r="AA1992">
        <v>0.1</v>
      </c>
      <c r="AB1992" s="1" t="s">
        <v>43</v>
      </c>
      <c r="AC1992">
        <v>3</v>
      </c>
      <c r="AD1992" s="2">
        <v>44682</v>
      </c>
      <c r="AE1992" s="1" t="s">
        <v>44</v>
      </c>
      <c r="AF1992" s="1" t="s">
        <v>72</v>
      </c>
      <c r="AG1992" s="1" t="s">
        <v>77</v>
      </c>
      <c r="AH1992" s="1" t="s">
        <v>59</v>
      </c>
      <c r="AI1992">
        <v>22098</v>
      </c>
      <c r="AJ1992">
        <v>-76.200000000000728</v>
      </c>
    </row>
    <row r="1993" spans="1:36" x14ac:dyDescent="0.25">
      <c r="A1993">
        <v>11992</v>
      </c>
      <c r="B1993">
        <v>58</v>
      </c>
      <c r="C1993" s="1" t="s">
        <v>60</v>
      </c>
      <c r="D1993" s="1" t="s">
        <v>69</v>
      </c>
      <c r="E1993" s="2">
        <v>44557</v>
      </c>
      <c r="F1993" s="2">
        <v>44366</v>
      </c>
      <c r="G1993" s="1" t="s">
        <v>38</v>
      </c>
      <c r="H1993">
        <v>327</v>
      </c>
      <c r="I1993">
        <v>5</v>
      </c>
      <c r="J1993">
        <v>3</v>
      </c>
      <c r="K1993">
        <v>32.26</v>
      </c>
      <c r="L1993">
        <v>20</v>
      </c>
      <c r="M1993" s="1" t="s">
        <v>67</v>
      </c>
      <c r="N1993" s="1" t="s">
        <v>40</v>
      </c>
      <c r="O1993">
        <v>1569.6</v>
      </c>
      <c r="P1993" t="b">
        <v>0</v>
      </c>
      <c r="Q1993">
        <v>0.41666666666666669</v>
      </c>
      <c r="R1993">
        <v>313.91999999999996</v>
      </c>
      <c r="S1993">
        <v>8.0649999999999995</v>
      </c>
      <c r="T1993" s="2">
        <v>44531</v>
      </c>
      <c r="U1993" s="1" t="s">
        <v>41</v>
      </c>
      <c r="V1993">
        <v>1</v>
      </c>
      <c r="W1993" s="1" t="s">
        <v>56</v>
      </c>
      <c r="Y1993" s="1" t="s">
        <v>52</v>
      </c>
      <c r="Z1993" s="1" t="s">
        <v>52</v>
      </c>
      <c r="AA1993">
        <v>0.5</v>
      </c>
      <c r="AB1993" s="1" t="s">
        <v>42</v>
      </c>
      <c r="AC1993">
        <v>1</v>
      </c>
      <c r="AD1993" s="2">
        <v>44531</v>
      </c>
      <c r="AE1993" s="1" t="s">
        <v>58</v>
      </c>
      <c r="AF1993" s="1" t="s">
        <v>72</v>
      </c>
      <c r="AG1993" s="1" t="s">
        <v>55</v>
      </c>
      <c r="AH1993" s="1" t="s">
        <v>68</v>
      </c>
      <c r="AI1993">
        <v>1635</v>
      </c>
      <c r="AJ1993">
        <v>-65.400000000000091</v>
      </c>
    </row>
    <row r="1994" spans="1:36" x14ac:dyDescent="0.25">
      <c r="A1994">
        <v>11993</v>
      </c>
      <c r="B1994">
        <v>64</v>
      </c>
      <c r="C1994" s="1" t="s">
        <v>60</v>
      </c>
      <c r="D1994" s="1" t="s">
        <v>73</v>
      </c>
      <c r="E1994" s="2">
        <v>44534</v>
      </c>
      <c r="F1994" s="2">
        <v>44942</v>
      </c>
      <c r="G1994" s="1" t="s">
        <v>38</v>
      </c>
      <c r="H1994">
        <v>1012</v>
      </c>
      <c r="I1994">
        <v>10</v>
      </c>
      <c r="J1994">
        <v>2</v>
      </c>
      <c r="K1994">
        <v>94.61</v>
      </c>
      <c r="L1994">
        <v>15</v>
      </c>
      <c r="M1994" s="1" t="s">
        <v>65</v>
      </c>
      <c r="N1994" s="1" t="s">
        <v>56</v>
      </c>
      <c r="O1994">
        <v>9968.2000000000007</v>
      </c>
      <c r="P1994" t="b">
        <v>1</v>
      </c>
      <c r="Q1994">
        <v>0.83333333333333337</v>
      </c>
      <c r="R1994">
        <v>996.82</v>
      </c>
      <c r="S1994">
        <v>31.536666666666665</v>
      </c>
      <c r="T1994" s="2">
        <v>44531</v>
      </c>
      <c r="U1994" s="1" t="s">
        <v>41</v>
      </c>
      <c r="V1994">
        <v>0</v>
      </c>
      <c r="W1994" s="1" t="s">
        <v>56</v>
      </c>
      <c r="X1994">
        <v>408</v>
      </c>
      <c r="Y1994" s="1" t="s">
        <v>43</v>
      </c>
      <c r="Z1994" s="1" t="s">
        <v>42</v>
      </c>
      <c r="AA1994">
        <v>0.18181818181818182</v>
      </c>
      <c r="AB1994" s="1" t="s">
        <v>52</v>
      </c>
      <c r="AC1994">
        <v>1</v>
      </c>
      <c r="AD1994" s="2">
        <v>44531</v>
      </c>
      <c r="AE1994" s="1" t="s">
        <v>74</v>
      </c>
      <c r="AF1994" s="1" t="s">
        <v>72</v>
      </c>
      <c r="AG1994" s="1" t="s">
        <v>63</v>
      </c>
      <c r="AH1994" s="1" t="s">
        <v>47</v>
      </c>
      <c r="AI1994">
        <v>10120</v>
      </c>
      <c r="AJ1994">
        <v>-151.79999999999927</v>
      </c>
    </row>
    <row r="1995" spans="1:36" x14ac:dyDescent="0.25">
      <c r="A1995">
        <v>11994</v>
      </c>
      <c r="B1995">
        <v>31</v>
      </c>
      <c r="C1995" s="1" t="s">
        <v>60</v>
      </c>
      <c r="D1995" s="1" t="s">
        <v>61</v>
      </c>
      <c r="E1995" s="2">
        <v>44775</v>
      </c>
      <c r="F1995" s="2">
        <v>45087</v>
      </c>
      <c r="G1995" s="1" t="s">
        <v>38</v>
      </c>
      <c r="H1995">
        <v>572</v>
      </c>
      <c r="I1995">
        <v>10</v>
      </c>
      <c r="J1995">
        <v>3</v>
      </c>
      <c r="K1995">
        <v>74.69</v>
      </c>
      <c r="L1995">
        <v>10</v>
      </c>
      <c r="M1995" s="1" t="s">
        <v>67</v>
      </c>
      <c r="N1995" s="1" t="s">
        <v>56</v>
      </c>
      <c r="O1995">
        <v>5605.6</v>
      </c>
      <c r="P1995" t="b">
        <v>1</v>
      </c>
      <c r="Q1995">
        <v>0.83333333333333337</v>
      </c>
      <c r="R1995">
        <v>560.56000000000006</v>
      </c>
      <c r="S1995">
        <v>18.672499999999999</v>
      </c>
      <c r="T1995" s="2">
        <v>44774</v>
      </c>
      <c r="U1995" s="1" t="s">
        <v>57</v>
      </c>
      <c r="V1995">
        <v>0</v>
      </c>
      <c r="W1995" s="1" t="s">
        <v>56</v>
      </c>
      <c r="X1995">
        <v>312</v>
      </c>
      <c r="Y1995" s="1" t="s">
        <v>43</v>
      </c>
      <c r="Z1995" s="1" t="s">
        <v>42</v>
      </c>
      <c r="AA1995">
        <v>0.27272727272727271</v>
      </c>
      <c r="AB1995" s="1" t="s">
        <v>42</v>
      </c>
      <c r="AC1995">
        <v>1</v>
      </c>
      <c r="AD1995" s="2">
        <v>44774</v>
      </c>
      <c r="AE1995" s="1" t="s">
        <v>74</v>
      </c>
      <c r="AF1995" s="1" t="s">
        <v>72</v>
      </c>
      <c r="AG1995" s="1" t="s">
        <v>63</v>
      </c>
      <c r="AH1995" s="1" t="s">
        <v>64</v>
      </c>
      <c r="AI1995">
        <v>5720</v>
      </c>
      <c r="AJ1995">
        <v>-114.39999999999964</v>
      </c>
    </row>
    <row r="1996" spans="1:36" x14ac:dyDescent="0.25">
      <c r="A1996">
        <v>11995</v>
      </c>
      <c r="B1996">
        <v>56</v>
      </c>
      <c r="C1996" s="1" t="s">
        <v>60</v>
      </c>
      <c r="D1996" s="1" t="s">
        <v>48</v>
      </c>
      <c r="E1996" s="2">
        <v>44206</v>
      </c>
      <c r="F1996" s="2">
        <v>44718</v>
      </c>
      <c r="G1996" s="1" t="s">
        <v>38</v>
      </c>
      <c r="H1996">
        <v>1125</v>
      </c>
      <c r="I1996">
        <v>9</v>
      </c>
      <c r="J1996">
        <v>6</v>
      </c>
      <c r="K1996">
        <v>28.66</v>
      </c>
      <c r="L1996">
        <v>15</v>
      </c>
      <c r="M1996" s="1" t="s">
        <v>39</v>
      </c>
      <c r="N1996" s="1" t="s">
        <v>56</v>
      </c>
      <c r="O1996">
        <v>9956.25</v>
      </c>
      <c r="P1996" t="b">
        <v>1</v>
      </c>
      <c r="Q1996">
        <v>0.75</v>
      </c>
      <c r="R1996">
        <v>1106.25</v>
      </c>
      <c r="S1996">
        <v>4.0942857142857143</v>
      </c>
      <c r="T1996" s="2">
        <v>44197</v>
      </c>
      <c r="U1996" s="1" t="s">
        <v>41</v>
      </c>
      <c r="V1996">
        <v>0</v>
      </c>
      <c r="W1996" s="1" t="s">
        <v>56</v>
      </c>
      <c r="X1996">
        <v>512</v>
      </c>
      <c r="Y1996" s="1" t="s">
        <v>52</v>
      </c>
      <c r="Z1996" s="1" t="s">
        <v>42</v>
      </c>
      <c r="AA1996">
        <v>0.6</v>
      </c>
      <c r="AB1996" s="1" t="s">
        <v>52</v>
      </c>
      <c r="AC1996">
        <v>1</v>
      </c>
      <c r="AD1996" s="2">
        <v>44197</v>
      </c>
      <c r="AE1996" s="1" t="s">
        <v>74</v>
      </c>
      <c r="AF1996" s="1" t="s">
        <v>78</v>
      </c>
      <c r="AG1996" s="1" t="s">
        <v>70</v>
      </c>
      <c r="AH1996" s="1" t="s">
        <v>47</v>
      </c>
      <c r="AI1996">
        <v>10125</v>
      </c>
      <c r="AJ1996">
        <v>-168.75</v>
      </c>
    </row>
    <row r="1997" spans="1:36" x14ac:dyDescent="0.25">
      <c r="A1997">
        <v>11996</v>
      </c>
      <c r="B1997">
        <v>42</v>
      </c>
      <c r="C1997" s="1" t="s">
        <v>60</v>
      </c>
      <c r="D1997" s="1" t="s">
        <v>48</v>
      </c>
      <c r="E1997" s="2">
        <v>44245</v>
      </c>
      <c r="F1997" s="2">
        <v>45124</v>
      </c>
      <c r="G1997" s="1" t="s">
        <v>62</v>
      </c>
      <c r="H1997">
        <v>1450</v>
      </c>
      <c r="I1997">
        <v>21</v>
      </c>
      <c r="J1997">
        <v>3</v>
      </c>
      <c r="K1997">
        <v>34.61</v>
      </c>
      <c r="L1997">
        <v>20</v>
      </c>
      <c r="M1997" s="1" t="s">
        <v>65</v>
      </c>
      <c r="N1997" s="1" t="s">
        <v>56</v>
      </c>
      <c r="O1997">
        <v>30160</v>
      </c>
      <c r="P1997" t="b">
        <v>1</v>
      </c>
      <c r="Q1997">
        <v>1.75</v>
      </c>
      <c r="R1997">
        <v>1436.1904761904761</v>
      </c>
      <c r="S1997">
        <v>8.6524999999999999</v>
      </c>
      <c r="T1997" s="2">
        <v>44228</v>
      </c>
      <c r="U1997" s="1" t="s">
        <v>51</v>
      </c>
      <c r="V1997">
        <v>0</v>
      </c>
      <c r="W1997" s="1" t="s">
        <v>40</v>
      </c>
      <c r="X1997">
        <v>879</v>
      </c>
      <c r="Y1997" s="1" t="s">
        <v>52</v>
      </c>
      <c r="Z1997" s="1" t="s">
        <v>52</v>
      </c>
      <c r="AA1997">
        <v>0.13636363636363635</v>
      </c>
      <c r="AB1997" s="1" t="s">
        <v>43</v>
      </c>
      <c r="AC1997">
        <v>2</v>
      </c>
      <c r="AD1997" s="2">
        <v>44228</v>
      </c>
      <c r="AE1997" s="1" t="s">
        <v>53</v>
      </c>
      <c r="AF1997" s="1" t="s">
        <v>72</v>
      </c>
      <c r="AG1997" s="1" t="s">
        <v>55</v>
      </c>
      <c r="AH1997" s="1" t="s">
        <v>47</v>
      </c>
      <c r="AI1997">
        <v>30450</v>
      </c>
      <c r="AJ1997">
        <v>-290</v>
      </c>
    </row>
    <row r="1998" spans="1:36" x14ac:dyDescent="0.25">
      <c r="A1998">
        <v>11997</v>
      </c>
      <c r="B1998">
        <v>37</v>
      </c>
      <c r="C1998" s="1" t="s">
        <v>60</v>
      </c>
      <c r="D1998" s="1" t="s">
        <v>61</v>
      </c>
      <c r="E1998" s="2">
        <v>44683</v>
      </c>
      <c r="F1998" s="2">
        <v>44459</v>
      </c>
      <c r="G1998" s="1" t="s">
        <v>49</v>
      </c>
      <c r="H1998">
        <v>501</v>
      </c>
      <c r="I1998">
        <v>13</v>
      </c>
      <c r="J1998">
        <v>1</v>
      </c>
      <c r="K1998">
        <v>98.93</v>
      </c>
      <c r="L1998">
        <v>10</v>
      </c>
      <c r="M1998" s="1" t="s">
        <v>65</v>
      </c>
      <c r="N1998" s="1" t="s">
        <v>56</v>
      </c>
      <c r="O1998">
        <v>6513</v>
      </c>
      <c r="P1998" t="b">
        <v>0</v>
      </c>
      <c r="Q1998">
        <v>1.0833333333333333</v>
      </c>
      <c r="R1998">
        <v>501</v>
      </c>
      <c r="S1998">
        <v>49.465000000000003</v>
      </c>
      <c r="T1998" s="2">
        <v>44682</v>
      </c>
      <c r="U1998" s="1" t="s">
        <v>51</v>
      </c>
      <c r="V1998">
        <v>0</v>
      </c>
      <c r="W1998" s="1" t="s">
        <v>56</v>
      </c>
      <c r="Y1998" s="1" t="s">
        <v>43</v>
      </c>
      <c r="Z1998" s="1" t="s">
        <v>42</v>
      </c>
      <c r="AA1998">
        <v>7.1428571428571425E-2</v>
      </c>
      <c r="AB1998" s="1" t="s">
        <v>42</v>
      </c>
      <c r="AC1998">
        <v>3</v>
      </c>
      <c r="AD1998" s="2">
        <v>44682</v>
      </c>
      <c r="AE1998" s="1" t="s">
        <v>53</v>
      </c>
      <c r="AF1998" s="1" t="s">
        <v>54</v>
      </c>
      <c r="AG1998" s="1" t="s">
        <v>63</v>
      </c>
      <c r="AH1998" s="1" t="s">
        <v>64</v>
      </c>
      <c r="AI1998">
        <v>6513</v>
      </c>
      <c r="AJ1998">
        <v>0</v>
      </c>
    </row>
    <row r="1999" spans="1:36" x14ac:dyDescent="0.25">
      <c r="A1999">
        <v>11998</v>
      </c>
      <c r="B1999">
        <v>19</v>
      </c>
      <c r="C1999" s="1" t="s">
        <v>36</v>
      </c>
      <c r="D1999" s="1" t="s">
        <v>37</v>
      </c>
      <c r="E1999" s="2">
        <v>44819</v>
      </c>
      <c r="F1999" s="2">
        <v>45110</v>
      </c>
      <c r="G1999" s="1" t="s">
        <v>62</v>
      </c>
      <c r="H1999">
        <v>749</v>
      </c>
      <c r="I1999">
        <v>10</v>
      </c>
      <c r="J1999">
        <v>2</v>
      </c>
      <c r="K1999">
        <v>29.04</v>
      </c>
      <c r="L1999">
        <v>5</v>
      </c>
      <c r="M1999" s="1" t="s">
        <v>67</v>
      </c>
      <c r="N1999" s="1" t="s">
        <v>56</v>
      </c>
      <c r="O1999">
        <v>7452.55</v>
      </c>
      <c r="P1999" t="b">
        <v>1</v>
      </c>
      <c r="Q1999">
        <v>0.83333333333333337</v>
      </c>
      <c r="R1999">
        <v>745.255</v>
      </c>
      <c r="S1999">
        <v>9.68</v>
      </c>
      <c r="T1999" s="2">
        <v>44805</v>
      </c>
      <c r="U1999" s="1" t="s">
        <v>66</v>
      </c>
      <c r="V1999">
        <v>0</v>
      </c>
      <c r="W1999" s="1" t="s">
        <v>56</v>
      </c>
      <c r="X1999">
        <v>291</v>
      </c>
      <c r="Y1999" s="1" t="s">
        <v>52</v>
      </c>
      <c r="Z1999" s="1" t="s">
        <v>42</v>
      </c>
      <c r="AA1999">
        <v>0.18181818181818182</v>
      </c>
      <c r="AB1999" s="1" t="s">
        <v>42</v>
      </c>
      <c r="AC1999">
        <v>2</v>
      </c>
      <c r="AD1999" s="2">
        <v>44805</v>
      </c>
      <c r="AE1999" s="1" t="s">
        <v>74</v>
      </c>
      <c r="AF1999" s="1" t="s">
        <v>72</v>
      </c>
      <c r="AG1999" s="1" t="s">
        <v>70</v>
      </c>
      <c r="AH1999" s="1" t="s">
        <v>59</v>
      </c>
      <c r="AI1999">
        <v>7490</v>
      </c>
      <c r="AJ1999">
        <v>-37.449999999999818</v>
      </c>
    </row>
    <row r="2000" spans="1:36" x14ac:dyDescent="0.25">
      <c r="A2000">
        <v>11999</v>
      </c>
      <c r="B2000">
        <v>56</v>
      </c>
      <c r="C2000" s="1" t="s">
        <v>36</v>
      </c>
      <c r="D2000" s="1" t="s">
        <v>48</v>
      </c>
      <c r="E2000" s="2">
        <v>44517</v>
      </c>
      <c r="F2000" s="2">
        <v>45023</v>
      </c>
      <c r="G2000" s="1" t="s">
        <v>38</v>
      </c>
      <c r="H2000">
        <v>1411</v>
      </c>
      <c r="I2000">
        <v>11</v>
      </c>
      <c r="J2000">
        <v>2</v>
      </c>
      <c r="K2000">
        <v>43.43</v>
      </c>
      <c r="L2000">
        <v>15</v>
      </c>
      <c r="M2000" s="1" t="s">
        <v>50</v>
      </c>
      <c r="N2000" s="1" t="s">
        <v>56</v>
      </c>
      <c r="O2000">
        <v>15309.35</v>
      </c>
      <c r="P2000" t="b">
        <v>1</v>
      </c>
      <c r="Q2000">
        <v>0.91666666666666663</v>
      </c>
      <c r="R2000">
        <v>1391.7590909090909</v>
      </c>
      <c r="S2000">
        <v>14.476666666666667</v>
      </c>
      <c r="T2000" s="2">
        <v>44501</v>
      </c>
      <c r="U2000" s="1" t="s">
        <v>41</v>
      </c>
      <c r="V2000">
        <v>0</v>
      </c>
      <c r="W2000" s="1" t="s">
        <v>40</v>
      </c>
      <c r="X2000">
        <v>506</v>
      </c>
      <c r="Y2000" s="1" t="s">
        <v>52</v>
      </c>
      <c r="Z2000" s="1" t="s">
        <v>42</v>
      </c>
      <c r="AA2000">
        <v>0.16666666666666666</v>
      </c>
      <c r="AB2000" s="1" t="s">
        <v>52</v>
      </c>
      <c r="AC2000">
        <v>1</v>
      </c>
      <c r="AD2000" s="2">
        <v>44501</v>
      </c>
      <c r="AE2000" s="1" t="s">
        <v>74</v>
      </c>
      <c r="AF2000" s="1" t="s">
        <v>72</v>
      </c>
      <c r="AG2000" s="1" t="s">
        <v>55</v>
      </c>
      <c r="AH2000" s="1" t="s">
        <v>47</v>
      </c>
      <c r="AI2000">
        <v>15521</v>
      </c>
      <c r="AJ2000">
        <v>-211.64999999999964</v>
      </c>
    </row>
    <row r="2001" spans="1:36" x14ac:dyDescent="0.25">
      <c r="A2001">
        <v>12000</v>
      </c>
      <c r="B2001">
        <v>23</v>
      </c>
      <c r="C2001" s="1" t="s">
        <v>36</v>
      </c>
      <c r="D2001" s="1" t="s">
        <v>71</v>
      </c>
      <c r="E2001" s="2">
        <v>44927</v>
      </c>
      <c r="F2001" s="2">
        <v>45217</v>
      </c>
      <c r="G2001" s="1" t="s">
        <v>38</v>
      </c>
      <c r="H2001">
        <v>318</v>
      </c>
      <c r="I2001">
        <v>4</v>
      </c>
      <c r="J2001">
        <v>2</v>
      </c>
      <c r="K2001">
        <v>81.400000000000006</v>
      </c>
      <c r="L2001">
        <v>10</v>
      </c>
      <c r="M2001" s="1" t="s">
        <v>67</v>
      </c>
      <c r="N2001" s="1" t="s">
        <v>40</v>
      </c>
      <c r="O2001">
        <v>1224.3</v>
      </c>
      <c r="P2001" t="b">
        <v>1</v>
      </c>
      <c r="Q2001">
        <v>0.33333333333333331</v>
      </c>
      <c r="R2001">
        <v>306.07499999999999</v>
      </c>
      <c r="S2001">
        <v>27.133333333333336</v>
      </c>
      <c r="T2001" s="2">
        <v>44927</v>
      </c>
      <c r="U2001" s="1" t="s">
        <v>66</v>
      </c>
      <c r="V2001">
        <v>1</v>
      </c>
      <c r="W2001" s="1" t="s">
        <v>56</v>
      </c>
      <c r="X2001">
        <v>290</v>
      </c>
      <c r="Y2001" s="1" t="s">
        <v>43</v>
      </c>
      <c r="Z2001" s="1" t="s">
        <v>42</v>
      </c>
      <c r="AA2001">
        <v>0.4</v>
      </c>
      <c r="AB2001" s="1" t="s">
        <v>42</v>
      </c>
      <c r="AC2001">
        <v>1</v>
      </c>
      <c r="AD2001" s="2">
        <v>44927</v>
      </c>
      <c r="AE2001" s="1" t="s">
        <v>58</v>
      </c>
      <c r="AF2001" s="1" t="s">
        <v>72</v>
      </c>
      <c r="AG2001" s="1" t="s">
        <v>63</v>
      </c>
      <c r="AH2001" s="1" t="s">
        <v>68</v>
      </c>
      <c r="AI2001">
        <v>1272</v>
      </c>
      <c r="AJ2001">
        <v>-47.700000000000045</v>
      </c>
    </row>
    <row r="2002" spans="1:36" x14ac:dyDescent="0.25">
      <c r="A2002">
        <v>12001</v>
      </c>
      <c r="B2002">
        <v>34</v>
      </c>
      <c r="C2002" s="1" t="s">
        <v>60</v>
      </c>
      <c r="D2002" s="1" t="s">
        <v>73</v>
      </c>
      <c r="E2002" s="2">
        <v>44765</v>
      </c>
      <c r="F2002" s="2">
        <v>45027</v>
      </c>
      <c r="G2002" s="1" t="s">
        <v>62</v>
      </c>
      <c r="H2002">
        <v>1430</v>
      </c>
      <c r="I2002">
        <v>31</v>
      </c>
      <c r="J2002">
        <v>3</v>
      </c>
      <c r="K2002">
        <v>69.53</v>
      </c>
      <c r="L2002">
        <v>5</v>
      </c>
      <c r="M2002" s="1" t="s">
        <v>39</v>
      </c>
      <c r="N2002" s="1" t="s">
        <v>56</v>
      </c>
      <c r="O2002">
        <v>44258.5</v>
      </c>
      <c r="P2002" t="b">
        <v>1</v>
      </c>
      <c r="Q2002">
        <v>2.5833333333333335</v>
      </c>
      <c r="R2002">
        <v>1427.6935483870968</v>
      </c>
      <c r="S2002">
        <v>17.3825</v>
      </c>
      <c r="T2002" s="2">
        <v>44743</v>
      </c>
      <c r="U2002" s="1" t="s">
        <v>57</v>
      </c>
      <c r="V2002">
        <v>0</v>
      </c>
      <c r="W2002" s="1" t="s">
        <v>40</v>
      </c>
      <c r="X2002">
        <v>262</v>
      </c>
      <c r="Y2002" s="1" t="s">
        <v>43</v>
      </c>
      <c r="Z2002" s="1" t="s">
        <v>42</v>
      </c>
      <c r="AA2002">
        <v>9.375E-2</v>
      </c>
      <c r="AB2002" s="1" t="s">
        <v>43</v>
      </c>
      <c r="AC2002">
        <v>2</v>
      </c>
      <c r="AD2002" s="2">
        <v>44743</v>
      </c>
      <c r="AE2002" s="1" t="s">
        <v>44</v>
      </c>
      <c r="AF2002" s="1" t="s">
        <v>72</v>
      </c>
      <c r="AG2002" s="1" t="s">
        <v>63</v>
      </c>
      <c r="AH2002" s="1" t="s">
        <v>47</v>
      </c>
      <c r="AI2002">
        <v>44330</v>
      </c>
      <c r="AJ2002">
        <v>-71.5</v>
      </c>
    </row>
    <row r="2003" spans="1:36" x14ac:dyDescent="0.25">
      <c r="A2003">
        <v>12002</v>
      </c>
      <c r="B2003">
        <v>42</v>
      </c>
      <c r="C2003" s="1" t="s">
        <v>60</v>
      </c>
      <c r="D2003" s="1" t="s">
        <v>73</v>
      </c>
      <c r="E2003" s="2">
        <v>44991</v>
      </c>
      <c r="F2003" s="2">
        <v>44568</v>
      </c>
      <c r="G2003" s="1" t="s">
        <v>49</v>
      </c>
      <c r="H2003">
        <v>610</v>
      </c>
      <c r="I2003">
        <v>34</v>
      </c>
      <c r="J2003">
        <v>2</v>
      </c>
      <c r="K2003">
        <v>58</v>
      </c>
      <c r="L2003">
        <v>10</v>
      </c>
      <c r="M2003" s="1" t="s">
        <v>50</v>
      </c>
      <c r="N2003" s="1" t="s">
        <v>40</v>
      </c>
      <c r="O2003">
        <v>20679</v>
      </c>
      <c r="P2003" t="b">
        <v>0</v>
      </c>
      <c r="Q2003">
        <v>2.8333333333333335</v>
      </c>
      <c r="R2003">
        <v>608.20588235294122</v>
      </c>
      <c r="S2003">
        <v>19.333333333333332</v>
      </c>
      <c r="T2003" s="2">
        <v>44986</v>
      </c>
      <c r="U2003" s="1" t="s">
        <v>51</v>
      </c>
      <c r="V2003">
        <v>1</v>
      </c>
      <c r="W2003" s="1" t="s">
        <v>40</v>
      </c>
      <c r="Y2003" s="1" t="s">
        <v>52</v>
      </c>
      <c r="Z2003" s="1" t="s">
        <v>42</v>
      </c>
      <c r="AA2003">
        <v>5.7142857142857141E-2</v>
      </c>
      <c r="AB2003" s="1" t="s">
        <v>43</v>
      </c>
      <c r="AC2003">
        <v>3</v>
      </c>
      <c r="AD2003" s="2">
        <v>44986</v>
      </c>
      <c r="AE2003" s="1" t="s">
        <v>44</v>
      </c>
      <c r="AF2003" s="1" t="s">
        <v>72</v>
      </c>
      <c r="AG2003" s="1" t="s">
        <v>63</v>
      </c>
      <c r="AH2003" s="1" t="s">
        <v>64</v>
      </c>
      <c r="AI2003">
        <v>20740</v>
      </c>
      <c r="AJ2003">
        <v>-61</v>
      </c>
    </row>
    <row r="2004" spans="1:36" x14ac:dyDescent="0.25">
      <c r="A2004">
        <v>12003</v>
      </c>
      <c r="B2004">
        <v>45</v>
      </c>
      <c r="C2004" s="1" t="s">
        <v>36</v>
      </c>
      <c r="D2004" s="1" t="s">
        <v>61</v>
      </c>
      <c r="E2004" s="2">
        <v>44821</v>
      </c>
      <c r="F2004" s="2">
        <v>44651</v>
      </c>
      <c r="G2004" s="1" t="s">
        <v>38</v>
      </c>
      <c r="H2004">
        <v>711</v>
      </c>
      <c r="I2004">
        <v>35</v>
      </c>
      <c r="J2004">
        <v>5</v>
      </c>
      <c r="K2004">
        <v>108.47</v>
      </c>
      <c r="L2004">
        <v>15</v>
      </c>
      <c r="M2004" s="1" t="s">
        <v>65</v>
      </c>
      <c r="N2004" s="1" t="s">
        <v>56</v>
      </c>
      <c r="O2004">
        <v>24778.35</v>
      </c>
      <c r="P2004" t="b">
        <v>0</v>
      </c>
      <c r="Q2004">
        <v>2.9166666666666665</v>
      </c>
      <c r="R2004">
        <v>707.95285714285706</v>
      </c>
      <c r="S2004">
        <v>18.078333333333333</v>
      </c>
      <c r="T2004" s="2">
        <v>44805</v>
      </c>
      <c r="U2004" s="1" t="s">
        <v>51</v>
      </c>
      <c r="V2004">
        <v>0</v>
      </c>
      <c r="W2004" s="1" t="s">
        <v>40</v>
      </c>
      <c r="Y2004" s="1" t="s">
        <v>43</v>
      </c>
      <c r="Z2004" s="1" t="s">
        <v>42</v>
      </c>
      <c r="AA2004">
        <v>0.1388888888888889</v>
      </c>
      <c r="AB2004" s="1" t="s">
        <v>43</v>
      </c>
      <c r="AC2004">
        <v>1</v>
      </c>
      <c r="AD2004" s="2">
        <v>44805</v>
      </c>
      <c r="AE2004" s="1" t="s">
        <v>44</v>
      </c>
      <c r="AF2004" s="1" t="s">
        <v>45</v>
      </c>
      <c r="AG2004" s="1" t="s">
        <v>63</v>
      </c>
      <c r="AH2004" s="1" t="s">
        <v>59</v>
      </c>
      <c r="AI2004">
        <v>24885</v>
      </c>
      <c r="AJ2004">
        <v>-106.65000000000146</v>
      </c>
    </row>
    <row r="2005" spans="1:36" x14ac:dyDescent="0.25">
      <c r="A2005">
        <v>12004</v>
      </c>
      <c r="B2005">
        <v>19</v>
      </c>
      <c r="C2005" s="1" t="s">
        <v>36</v>
      </c>
      <c r="D2005" s="1" t="s">
        <v>48</v>
      </c>
      <c r="E2005" s="2">
        <v>44329</v>
      </c>
      <c r="F2005" s="2">
        <v>45050</v>
      </c>
      <c r="G2005" s="1" t="s">
        <v>62</v>
      </c>
      <c r="H2005">
        <v>1041</v>
      </c>
      <c r="I2005">
        <v>33</v>
      </c>
      <c r="J2005">
        <v>2</v>
      </c>
      <c r="K2005">
        <v>30.27</v>
      </c>
      <c r="L2005">
        <v>0</v>
      </c>
      <c r="M2005" s="1" t="s">
        <v>65</v>
      </c>
      <c r="N2005" s="1" t="s">
        <v>40</v>
      </c>
      <c r="O2005">
        <v>34353</v>
      </c>
      <c r="P2005" t="b">
        <v>1</v>
      </c>
      <c r="Q2005">
        <v>2.75</v>
      </c>
      <c r="R2005">
        <v>1041</v>
      </c>
      <c r="S2005">
        <v>10.09</v>
      </c>
      <c r="T2005" s="2">
        <v>44317</v>
      </c>
      <c r="U2005" s="1" t="s">
        <v>66</v>
      </c>
      <c r="V2005">
        <v>1</v>
      </c>
      <c r="W2005" s="1" t="s">
        <v>40</v>
      </c>
      <c r="X2005">
        <v>721</v>
      </c>
      <c r="Y2005" s="1" t="s">
        <v>52</v>
      </c>
      <c r="Z2005" s="1" t="s">
        <v>42</v>
      </c>
      <c r="AA2005">
        <v>5.8823529411764705E-2</v>
      </c>
      <c r="AB2005" s="1" t="s">
        <v>43</v>
      </c>
      <c r="AC2005">
        <v>2</v>
      </c>
      <c r="AD2005" s="2">
        <v>44317</v>
      </c>
      <c r="AE2005" s="1" t="s">
        <v>44</v>
      </c>
      <c r="AF2005" s="1" t="s">
        <v>72</v>
      </c>
      <c r="AG2005" s="1" t="s">
        <v>55</v>
      </c>
      <c r="AH2005" s="1" t="s">
        <v>47</v>
      </c>
      <c r="AI2005">
        <v>34353</v>
      </c>
      <c r="AJ2005">
        <v>0</v>
      </c>
    </row>
    <row r="2006" spans="1:36" x14ac:dyDescent="0.25">
      <c r="A2006">
        <v>12005</v>
      </c>
      <c r="B2006">
        <v>52</v>
      </c>
      <c r="C2006" s="1" t="s">
        <v>36</v>
      </c>
      <c r="D2006" s="1" t="s">
        <v>37</v>
      </c>
      <c r="E2006" s="2">
        <v>44779</v>
      </c>
      <c r="F2006" s="2">
        <v>44672</v>
      </c>
      <c r="G2006" s="1" t="s">
        <v>38</v>
      </c>
      <c r="H2006">
        <v>923</v>
      </c>
      <c r="I2006">
        <v>8</v>
      </c>
      <c r="J2006">
        <v>0</v>
      </c>
      <c r="K2006">
        <v>90.26</v>
      </c>
      <c r="L2006">
        <v>20</v>
      </c>
      <c r="M2006" s="1" t="s">
        <v>65</v>
      </c>
      <c r="N2006" s="1" t="s">
        <v>56</v>
      </c>
      <c r="O2006">
        <v>7199.4</v>
      </c>
      <c r="P2006" t="b">
        <v>0</v>
      </c>
      <c r="Q2006">
        <v>0.66666666666666663</v>
      </c>
      <c r="R2006">
        <v>899.92499999999995</v>
      </c>
      <c r="S2006">
        <v>90.26</v>
      </c>
      <c r="T2006" s="2">
        <v>44774</v>
      </c>
      <c r="U2006" s="1" t="s">
        <v>41</v>
      </c>
      <c r="V2006">
        <v>0</v>
      </c>
      <c r="W2006" s="1" t="s">
        <v>56</v>
      </c>
      <c r="Y2006" s="1" t="s">
        <v>43</v>
      </c>
      <c r="Z2006" s="1" t="s">
        <v>52</v>
      </c>
      <c r="AA2006">
        <v>0</v>
      </c>
      <c r="AB2006" s="1" t="s">
        <v>42</v>
      </c>
      <c r="AC2006">
        <v>1</v>
      </c>
      <c r="AD2006" s="2">
        <v>44774</v>
      </c>
      <c r="AE2006" s="1" t="s">
        <v>74</v>
      </c>
      <c r="AF2006" s="1" t="s">
        <v>54</v>
      </c>
      <c r="AG2006" s="1" t="s">
        <v>63</v>
      </c>
      <c r="AH2006" s="1" t="s">
        <v>59</v>
      </c>
      <c r="AI2006">
        <v>7384</v>
      </c>
      <c r="AJ2006">
        <v>-184.60000000000036</v>
      </c>
    </row>
    <row r="2007" spans="1:36" x14ac:dyDescent="0.25">
      <c r="A2007">
        <v>12006</v>
      </c>
      <c r="B2007">
        <v>54</v>
      </c>
      <c r="C2007" s="1" t="s">
        <v>60</v>
      </c>
      <c r="D2007" s="1" t="s">
        <v>48</v>
      </c>
      <c r="E2007" s="2">
        <v>44279</v>
      </c>
      <c r="F2007" s="2">
        <v>44784</v>
      </c>
      <c r="G2007" s="1" t="s">
        <v>38</v>
      </c>
      <c r="H2007">
        <v>1031</v>
      </c>
      <c r="I2007">
        <v>32</v>
      </c>
      <c r="J2007">
        <v>0</v>
      </c>
      <c r="K2007">
        <v>23.29</v>
      </c>
      <c r="L2007">
        <v>0</v>
      </c>
      <c r="M2007" s="1" t="s">
        <v>39</v>
      </c>
      <c r="N2007" s="1" t="s">
        <v>56</v>
      </c>
      <c r="O2007">
        <v>32992</v>
      </c>
      <c r="P2007" t="b">
        <v>1</v>
      </c>
      <c r="Q2007">
        <v>2.6666666666666665</v>
      </c>
      <c r="R2007">
        <v>1031</v>
      </c>
      <c r="S2007">
        <v>23.29</v>
      </c>
      <c r="T2007" s="2">
        <v>44256</v>
      </c>
      <c r="U2007" s="1" t="s">
        <v>41</v>
      </c>
      <c r="V2007">
        <v>0</v>
      </c>
      <c r="W2007" s="1" t="s">
        <v>40</v>
      </c>
      <c r="X2007">
        <v>505</v>
      </c>
      <c r="Y2007" s="1" t="s">
        <v>52</v>
      </c>
      <c r="Z2007" s="1" t="s">
        <v>42</v>
      </c>
      <c r="AA2007">
        <v>0</v>
      </c>
      <c r="AB2007" s="1" t="s">
        <v>43</v>
      </c>
      <c r="AC2007">
        <v>1</v>
      </c>
      <c r="AD2007" s="2">
        <v>44256</v>
      </c>
      <c r="AE2007" s="1" t="s">
        <v>44</v>
      </c>
      <c r="AF2007" s="1" t="s">
        <v>54</v>
      </c>
      <c r="AG2007" s="1" t="s">
        <v>70</v>
      </c>
      <c r="AH2007" s="1" t="s">
        <v>47</v>
      </c>
      <c r="AI2007">
        <v>32992</v>
      </c>
      <c r="AJ2007">
        <v>0</v>
      </c>
    </row>
    <row r="2008" spans="1:36" x14ac:dyDescent="0.25">
      <c r="A2008">
        <v>12007</v>
      </c>
      <c r="B2008">
        <v>22</v>
      </c>
      <c r="C2008" s="1" t="s">
        <v>36</v>
      </c>
      <c r="D2008" s="1" t="s">
        <v>73</v>
      </c>
      <c r="E2008" s="2">
        <v>44253</v>
      </c>
      <c r="F2008" s="2">
        <v>44785</v>
      </c>
      <c r="G2008" s="1" t="s">
        <v>62</v>
      </c>
      <c r="H2008">
        <v>934</v>
      </c>
      <c r="I2008">
        <v>33</v>
      </c>
      <c r="J2008">
        <v>1</v>
      </c>
      <c r="K2008">
        <v>75.81</v>
      </c>
      <c r="L2008">
        <v>10</v>
      </c>
      <c r="M2008" s="1" t="s">
        <v>65</v>
      </c>
      <c r="N2008" s="1" t="s">
        <v>56</v>
      </c>
      <c r="O2008">
        <v>30681.9</v>
      </c>
      <c r="P2008" t="b">
        <v>1</v>
      </c>
      <c r="Q2008">
        <v>2.75</v>
      </c>
      <c r="R2008">
        <v>929.75454545454545</v>
      </c>
      <c r="S2008">
        <v>37.905000000000001</v>
      </c>
      <c r="T2008" s="2">
        <v>44228</v>
      </c>
      <c r="U2008" s="1" t="s">
        <v>66</v>
      </c>
      <c r="V2008">
        <v>0</v>
      </c>
      <c r="W2008" s="1" t="s">
        <v>40</v>
      </c>
      <c r="X2008">
        <v>532</v>
      </c>
      <c r="Y2008" s="1" t="s">
        <v>43</v>
      </c>
      <c r="Z2008" s="1" t="s">
        <v>42</v>
      </c>
      <c r="AA2008">
        <v>2.9411764705882353E-2</v>
      </c>
      <c r="AB2008" s="1" t="s">
        <v>43</v>
      </c>
      <c r="AC2008">
        <v>2</v>
      </c>
      <c r="AD2008" s="2">
        <v>44228</v>
      </c>
      <c r="AE2008" s="1" t="s">
        <v>44</v>
      </c>
      <c r="AF2008" s="1" t="s">
        <v>54</v>
      </c>
      <c r="AG2008" s="1" t="s">
        <v>63</v>
      </c>
      <c r="AH2008" s="1" t="s">
        <v>59</v>
      </c>
      <c r="AI2008">
        <v>30822</v>
      </c>
      <c r="AJ2008">
        <v>-140.09999999999854</v>
      </c>
    </row>
    <row r="2009" spans="1:36" x14ac:dyDescent="0.25">
      <c r="A2009">
        <v>12008</v>
      </c>
      <c r="B2009">
        <v>18</v>
      </c>
      <c r="C2009" s="1" t="s">
        <v>60</v>
      </c>
      <c r="D2009" s="1" t="s">
        <v>69</v>
      </c>
      <c r="E2009" s="2">
        <v>44572</v>
      </c>
      <c r="F2009" s="2">
        <v>44517</v>
      </c>
      <c r="G2009" s="1" t="s">
        <v>38</v>
      </c>
      <c r="H2009">
        <v>797</v>
      </c>
      <c r="I2009">
        <v>8</v>
      </c>
      <c r="J2009">
        <v>3</v>
      </c>
      <c r="K2009">
        <v>105.12</v>
      </c>
      <c r="L2009">
        <v>10</v>
      </c>
      <c r="M2009" s="1" t="s">
        <v>65</v>
      </c>
      <c r="N2009" s="1" t="s">
        <v>56</v>
      </c>
      <c r="O2009">
        <v>6296.3</v>
      </c>
      <c r="P2009" t="b">
        <v>0</v>
      </c>
      <c r="Q2009">
        <v>0.66666666666666663</v>
      </c>
      <c r="R2009">
        <v>787.03750000000002</v>
      </c>
      <c r="S2009">
        <v>26.28</v>
      </c>
      <c r="T2009" s="2">
        <v>44562</v>
      </c>
      <c r="U2009" s="1" t="s">
        <v>66</v>
      </c>
      <c r="V2009">
        <v>0</v>
      </c>
      <c r="W2009" s="1" t="s">
        <v>56</v>
      </c>
      <c r="Y2009" s="1" t="s">
        <v>43</v>
      </c>
      <c r="Z2009" s="1" t="s">
        <v>42</v>
      </c>
      <c r="AA2009">
        <v>0.33333333333333331</v>
      </c>
      <c r="AB2009" s="1" t="s">
        <v>42</v>
      </c>
      <c r="AC2009">
        <v>1</v>
      </c>
      <c r="AD2009" s="2">
        <v>44562</v>
      </c>
      <c r="AE2009" s="1" t="s">
        <v>74</v>
      </c>
      <c r="AF2009" s="1" t="s">
        <v>72</v>
      </c>
      <c r="AG2009" s="1" t="s">
        <v>63</v>
      </c>
      <c r="AH2009" s="1" t="s">
        <v>59</v>
      </c>
      <c r="AI2009">
        <v>6376</v>
      </c>
      <c r="AJ2009">
        <v>-79.699999999999818</v>
      </c>
    </row>
    <row r="2010" spans="1:36" x14ac:dyDescent="0.25">
      <c r="A2010">
        <v>12009</v>
      </c>
      <c r="B2010">
        <v>57</v>
      </c>
      <c r="C2010" s="1" t="s">
        <v>60</v>
      </c>
      <c r="D2010" s="1" t="s">
        <v>71</v>
      </c>
      <c r="E2010" s="2">
        <v>44545</v>
      </c>
      <c r="F2010" s="2">
        <v>44722</v>
      </c>
      <c r="G2010" s="1" t="s">
        <v>62</v>
      </c>
      <c r="H2010">
        <v>543</v>
      </c>
      <c r="I2010">
        <v>14</v>
      </c>
      <c r="J2010">
        <v>1</v>
      </c>
      <c r="K2010">
        <v>57.66</v>
      </c>
      <c r="L2010">
        <v>15</v>
      </c>
      <c r="M2010" s="1" t="s">
        <v>50</v>
      </c>
      <c r="N2010" s="1" t="s">
        <v>56</v>
      </c>
      <c r="O2010">
        <v>7520.55</v>
      </c>
      <c r="P2010" t="b">
        <v>1</v>
      </c>
      <c r="Q2010">
        <v>1.1666666666666667</v>
      </c>
      <c r="R2010">
        <v>537.18214285714282</v>
      </c>
      <c r="S2010">
        <v>28.83</v>
      </c>
      <c r="T2010" s="2">
        <v>44531</v>
      </c>
      <c r="U2010" s="1" t="s">
        <v>41</v>
      </c>
      <c r="V2010">
        <v>0</v>
      </c>
      <c r="W2010" s="1" t="s">
        <v>56</v>
      </c>
      <c r="X2010">
        <v>177</v>
      </c>
      <c r="Y2010" s="1" t="s">
        <v>52</v>
      </c>
      <c r="Z2010" s="1" t="s">
        <v>42</v>
      </c>
      <c r="AA2010">
        <v>6.6666666666666666E-2</v>
      </c>
      <c r="AB2010" s="1" t="s">
        <v>42</v>
      </c>
      <c r="AC2010">
        <v>2</v>
      </c>
      <c r="AD2010" s="2">
        <v>44531</v>
      </c>
      <c r="AE2010" s="1" t="s">
        <v>53</v>
      </c>
      <c r="AF2010" s="1" t="s">
        <v>54</v>
      </c>
      <c r="AG2010" s="1" t="s">
        <v>63</v>
      </c>
      <c r="AH2010" s="1" t="s">
        <v>64</v>
      </c>
      <c r="AI2010">
        <v>7602</v>
      </c>
      <c r="AJ2010">
        <v>-81.449999999999818</v>
      </c>
    </row>
    <row r="2011" spans="1:36" x14ac:dyDescent="0.25">
      <c r="A2011">
        <v>12010</v>
      </c>
      <c r="B2011">
        <v>29</v>
      </c>
      <c r="C2011" s="1" t="s">
        <v>36</v>
      </c>
      <c r="D2011" s="1" t="s">
        <v>61</v>
      </c>
      <c r="E2011" s="2">
        <v>44467</v>
      </c>
      <c r="F2011" s="2">
        <v>44904</v>
      </c>
      <c r="G2011" s="1" t="s">
        <v>38</v>
      </c>
      <c r="H2011">
        <v>989</v>
      </c>
      <c r="I2011">
        <v>34</v>
      </c>
      <c r="J2011">
        <v>1</v>
      </c>
      <c r="K2011">
        <v>88.29</v>
      </c>
      <c r="L2011">
        <v>10</v>
      </c>
      <c r="M2011" s="1" t="s">
        <v>39</v>
      </c>
      <c r="N2011" s="1" t="s">
        <v>56</v>
      </c>
      <c r="O2011">
        <v>33527.1</v>
      </c>
      <c r="P2011" t="b">
        <v>1</v>
      </c>
      <c r="Q2011">
        <v>2.8333333333333335</v>
      </c>
      <c r="R2011">
        <v>986.09117647058815</v>
      </c>
      <c r="S2011">
        <v>44.145000000000003</v>
      </c>
      <c r="T2011" s="2">
        <v>44440</v>
      </c>
      <c r="U2011" s="1" t="s">
        <v>57</v>
      </c>
      <c r="V2011">
        <v>0</v>
      </c>
      <c r="W2011" s="1" t="s">
        <v>40</v>
      </c>
      <c r="X2011">
        <v>437</v>
      </c>
      <c r="Y2011" s="1" t="s">
        <v>43</v>
      </c>
      <c r="Z2011" s="1" t="s">
        <v>42</v>
      </c>
      <c r="AA2011">
        <v>2.8571428571428571E-2</v>
      </c>
      <c r="AB2011" s="1" t="s">
        <v>43</v>
      </c>
      <c r="AC2011">
        <v>1</v>
      </c>
      <c r="AD2011" s="2">
        <v>44440</v>
      </c>
      <c r="AE2011" s="1" t="s">
        <v>44</v>
      </c>
      <c r="AF2011" s="1" t="s">
        <v>54</v>
      </c>
      <c r="AG2011" s="1" t="s">
        <v>63</v>
      </c>
      <c r="AH2011" s="1" t="s">
        <v>59</v>
      </c>
      <c r="AI2011">
        <v>33626</v>
      </c>
      <c r="AJ2011">
        <v>-98.900000000001455</v>
      </c>
    </row>
    <row r="2012" spans="1:36" x14ac:dyDescent="0.25">
      <c r="A2012">
        <v>12011</v>
      </c>
      <c r="B2012">
        <v>53</v>
      </c>
      <c r="C2012" s="1" t="s">
        <v>36</v>
      </c>
      <c r="D2012" s="1" t="s">
        <v>69</v>
      </c>
      <c r="E2012" s="2">
        <v>44679</v>
      </c>
      <c r="F2012" s="2">
        <v>44728</v>
      </c>
      <c r="G2012" s="1" t="s">
        <v>62</v>
      </c>
      <c r="H2012">
        <v>876</v>
      </c>
      <c r="I2012">
        <v>8</v>
      </c>
      <c r="J2012">
        <v>2</v>
      </c>
      <c r="K2012">
        <v>99.35</v>
      </c>
      <c r="L2012">
        <v>5</v>
      </c>
      <c r="M2012" s="1" t="s">
        <v>65</v>
      </c>
      <c r="N2012" s="1" t="s">
        <v>40</v>
      </c>
      <c r="O2012">
        <v>6964.2</v>
      </c>
      <c r="P2012" t="b">
        <v>1</v>
      </c>
      <c r="Q2012">
        <v>0.66666666666666663</v>
      </c>
      <c r="R2012">
        <v>870.52499999999998</v>
      </c>
      <c r="S2012">
        <v>33.116666666666667</v>
      </c>
      <c r="T2012" s="2">
        <v>44652</v>
      </c>
      <c r="U2012" s="1" t="s">
        <v>41</v>
      </c>
      <c r="V2012">
        <v>1</v>
      </c>
      <c r="W2012" s="1" t="s">
        <v>56</v>
      </c>
      <c r="X2012">
        <v>49</v>
      </c>
      <c r="Y2012" s="1" t="s">
        <v>43</v>
      </c>
      <c r="Z2012" s="1" t="s">
        <v>42</v>
      </c>
      <c r="AA2012">
        <v>0.22222222222222221</v>
      </c>
      <c r="AB2012" s="1" t="s">
        <v>42</v>
      </c>
      <c r="AC2012">
        <v>2</v>
      </c>
      <c r="AD2012" s="2">
        <v>44652</v>
      </c>
      <c r="AE2012" s="1" t="s">
        <v>74</v>
      </c>
      <c r="AF2012" s="1" t="s">
        <v>72</v>
      </c>
      <c r="AG2012" s="1" t="s">
        <v>63</v>
      </c>
      <c r="AH2012" s="1" t="s">
        <v>59</v>
      </c>
      <c r="AI2012">
        <v>7008</v>
      </c>
      <c r="AJ2012">
        <v>-43.800000000000182</v>
      </c>
    </row>
    <row r="2013" spans="1:36" x14ac:dyDescent="0.25">
      <c r="A2013">
        <v>12012</v>
      </c>
      <c r="B2013">
        <v>62</v>
      </c>
      <c r="C2013" s="1" t="s">
        <v>60</v>
      </c>
      <c r="D2013" s="1" t="s">
        <v>37</v>
      </c>
      <c r="E2013" s="2">
        <v>44307</v>
      </c>
      <c r="F2013" s="2">
        <v>44361</v>
      </c>
      <c r="G2013" s="1" t="s">
        <v>38</v>
      </c>
      <c r="H2013">
        <v>814</v>
      </c>
      <c r="I2013">
        <v>7</v>
      </c>
      <c r="J2013">
        <v>1</v>
      </c>
      <c r="K2013">
        <v>20.64</v>
      </c>
      <c r="L2013">
        <v>20</v>
      </c>
      <c r="M2013" s="1" t="s">
        <v>50</v>
      </c>
      <c r="N2013" s="1" t="s">
        <v>56</v>
      </c>
      <c r="O2013">
        <v>5535.2</v>
      </c>
      <c r="P2013" t="b">
        <v>1</v>
      </c>
      <c r="Q2013">
        <v>0.58333333333333337</v>
      </c>
      <c r="R2013">
        <v>790.74285714285713</v>
      </c>
      <c r="S2013">
        <v>10.32</v>
      </c>
      <c r="T2013" s="2">
        <v>44287</v>
      </c>
      <c r="U2013" s="1" t="s">
        <v>41</v>
      </c>
      <c r="V2013">
        <v>0</v>
      </c>
      <c r="W2013" s="1" t="s">
        <v>56</v>
      </c>
      <c r="X2013">
        <v>54</v>
      </c>
      <c r="Y2013" s="1" t="s">
        <v>52</v>
      </c>
      <c r="Z2013" s="1" t="s">
        <v>52</v>
      </c>
      <c r="AA2013">
        <v>0.125</v>
      </c>
      <c r="AB2013" s="1" t="s">
        <v>42</v>
      </c>
      <c r="AC2013">
        <v>1</v>
      </c>
      <c r="AD2013" s="2">
        <v>44287</v>
      </c>
      <c r="AE2013" s="1" t="s">
        <v>74</v>
      </c>
      <c r="AF2013" s="1" t="s">
        <v>54</v>
      </c>
      <c r="AG2013" s="1" t="s">
        <v>70</v>
      </c>
      <c r="AH2013" s="1" t="s">
        <v>59</v>
      </c>
      <c r="AI2013">
        <v>5698</v>
      </c>
      <c r="AJ2013">
        <v>-162.80000000000018</v>
      </c>
    </row>
    <row r="2014" spans="1:36" x14ac:dyDescent="0.25">
      <c r="A2014">
        <v>12013</v>
      </c>
      <c r="B2014">
        <v>40</v>
      </c>
      <c r="C2014" s="1" t="s">
        <v>60</v>
      </c>
      <c r="D2014" s="1" t="s">
        <v>69</v>
      </c>
      <c r="E2014" s="2">
        <v>45065</v>
      </c>
      <c r="F2014" s="2">
        <v>45090</v>
      </c>
      <c r="G2014" s="1" t="s">
        <v>49</v>
      </c>
      <c r="H2014">
        <v>506</v>
      </c>
      <c r="I2014">
        <v>13</v>
      </c>
      <c r="J2014">
        <v>2</v>
      </c>
      <c r="K2014">
        <v>86.17</v>
      </c>
      <c r="L2014">
        <v>0</v>
      </c>
      <c r="M2014" s="1" t="s">
        <v>65</v>
      </c>
      <c r="N2014" s="1" t="s">
        <v>56</v>
      </c>
      <c r="O2014">
        <v>6578</v>
      </c>
      <c r="P2014" t="b">
        <v>1</v>
      </c>
      <c r="Q2014">
        <v>1.0833333333333333</v>
      </c>
      <c r="R2014">
        <v>506</v>
      </c>
      <c r="S2014">
        <v>28.723333333333333</v>
      </c>
      <c r="T2014" s="2">
        <v>45047</v>
      </c>
      <c r="U2014" s="1" t="s">
        <v>51</v>
      </c>
      <c r="V2014">
        <v>0</v>
      </c>
      <c r="W2014" s="1" t="s">
        <v>56</v>
      </c>
      <c r="X2014">
        <v>25</v>
      </c>
      <c r="Y2014" s="1" t="s">
        <v>43</v>
      </c>
      <c r="Z2014" s="1" t="s">
        <v>42</v>
      </c>
      <c r="AA2014">
        <v>0.14285714285714285</v>
      </c>
      <c r="AB2014" s="1" t="s">
        <v>42</v>
      </c>
      <c r="AC2014">
        <v>3</v>
      </c>
      <c r="AD2014" s="2">
        <v>45047</v>
      </c>
      <c r="AE2014" s="1" t="s">
        <v>53</v>
      </c>
      <c r="AF2014" s="1" t="s">
        <v>72</v>
      </c>
      <c r="AG2014" s="1" t="s">
        <v>63</v>
      </c>
      <c r="AH2014" s="1" t="s">
        <v>64</v>
      </c>
      <c r="AI2014">
        <v>6578</v>
      </c>
      <c r="AJ2014">
        <v>0</v>
      </c>
    </row>
    <row r="2015" spans="1:36" x14ac:dyDescent="0.25">
      <c r="A2015">
        <v>12014</v>
      </c>
      <c r="B2015">
        <v>41</v>
      </c>
      <c r="C2015" s="1" t="s">
        <v>36</v>
      </c>
      <c r="D2015" s="1" t="s">
        <v>69</v>
      </c>
      <c r="E2015" s="2">
        <v>45083</v>
      </c>
      <c r="F2015" s="2">
        <v>45016</v>
      </c>
      <c r="G2015" s="1" t="s">
        <v>38</v>
      </c>
      <c r="H2015">
        <v>1247</v>
      </c>
      <c r="I2015">
        <v>21</v>
      </c>
      <c r="J2015">
        <v>3</v>
      </c>
      <c r="K2015">
        <v>110.78</v>
      </c>
      <c r="L2015">
        <v>10</v>
      </c>
      <c r="M2015" s="1" t="s">
        <v>50</v>
      </c>
      <c r="N2015" s="1" t="s">
        <v>40</v>
      </c>
      <c r="O2015">
        <v>26062.3</v>
      </c>
      <c r="P2015" t="b">
        <v>0</v>
      </c>
      <c r="Q2015">
        <v>1.75</v>
      </c>
      <c r="R2015">
        <v>1241.0619047619048</v>
      </c>
      <c r="S2015">
        <v>27.695</v>
      </c>
      <c r="T2015" s="2">
        <v>45078</v>
      </c>
      <c r="U2015" s="1" t="s">
        <v>51</v>
      </c>
      <c r="V2015">
        <v>1</v>
      </c>
      <c r="W2015" s="1" t="s">
        <v>40</v>
      </c>
      <c r="Y2015" s="1" t="s">
        <v>43</v>
      </c>
      <c r="Z2015" s="1" t="s">
        <v>42</v>
      </c>
      <c r="AA2015">
        <v>0.13636363636363635</v>
      </c>
      <c r="AB2015" s="1" t="s">
        <v>43</v>
      </c>
      <c r="AC2015">
        <v>1</v>
      </c>
      <c r="AD2015" s="2">
        <v>45078</v>
      </c>
      <c r="AE2015" s="1" t="s">
        <v>53</v>
      </c>
      <c r="AF2015" s="1" t="s">
        <v>72</v>
      </c>
      <c r="AG2015" s="1" t="s">
        <v>63</v>
      </c>
      <c r="AH2015" s="1" t="s">
        <v>47</v>
      </c>
      <c r="AI2015">
        <v>26187</v>
      </c>
      <c r="AJ2015">
        <v>-124.70000000000073</v>
      </c>
    </row>
    <row r="2016" spans="1:36" x14ac:dyDescent="0.25">
      <c r="A2016">
        <v>12015</v>
      </c>
      <c r="B2016">
        <v>48</v>
      </c>
      <c r="C2016" s="1" t="s">
        <v>60</v>
      </c>
      <c r="D2016" s="1" t="s">
        <v>37</v>
      </c>
      <c r="E2016" s="2">
        <v>44272</v>
      </c>
      <c r="F2016" s="2">
        <v>44847</v>
      </c>
      <c r="G2016" s="1" t="s">
        <v>49</v>
      </c>
      <c r="H2016">
        <v>693</v>
      </c>
      <c r="I2016">
        <v>32</v>
      </c>
      <c r="J2016">
        <v>5</v>
      </c>
      <c r="K2016">
        <v>71.28</v>
      </c>
      <c r="L2016">
        <v>0</v>
      </c>
      <c r="M2016" s="1" t="s">
        <v>65</v>
      </c>
      <c r="N2016" s="1" t="s">
        <v>56</v>
      </c>
      <c r="O2016">
        <v>22176</v>
      </c>
      <c r="P2016" t="b">
        <v>1</v>
      </c>
      <c r="Q2016">
        <v>2.6666666666666665</v>
      </c>
      <c r="R2016">
        <v>693</v>
      </c>
      <c r="S2016">
        <v>11.88</v>
      </c>
      <c r="T2016" s="2">
        <v>44256</v>
      </c>
      <c r="U2016" s="1" t="s">
        <v>51</v>
      </c>
      <c r="V2016">
        <v>0</v>
      </c>
      <c r="W2016" s="1" t="s">
        <v>40</v>
      </c>
      <c r="X2016">
        <v>575</v>
      </c>
      <c r="Y2016" s="1" t="s">
        <v>43</v>
      </c>
      <c r="Z2016" s="1" t="s">
        <v>42</v>
      </c>
      <c r="AA2016">
        <v>0.15151515151515152</v>
      </c>
      <c r="AB2016" s="1" t="s">
        <v>43</v>
      </c>
      <c r="AC2016">
        <v>3</v>
      </c>
      <c r="AD2016" s="2">
        <v>44256</v>
      </c>
      <c r="AE2016" s="1" t="s">
        <v>44</v>
      </c>
      <c r="AF2016" s="1" t="s">
        <v>45</v>
      </c>
      <c r="AG2016" s="1" t="s">
        <v>63</v>
      </c>
      <c r="AH2016" s="1" t="s">
        <v>64</v>
      </c>
      <c r="AI2016">
        <v>22176</v>
      </c>
      <c r="AJ2016">
        <v>0</v>
      </c>
    </row>
    <row r="2017" spans="1:36" x14ac:dyDescent="0.25">
      <c r="A2017">
        <v>12016</v>
      </c>
      <c r="B2017">
        <v>28</v>
      </c>
      <c r="C2017" s="1" t="s">
        <v>60</v>
      </c>
      <c r="D2017" s="1" t="s">
        <v>69</v>
      </c>
      <c r="E2017" s="2">
        <v>44354</v>
      </c>
      <c r="F2017" s="2">
        <v>44993</v>
      </c>
      <c r="G2017" s="1" t="s">
        <v>49</v>
      </c>
      <c r="H2017">
        <v>1344</v>
      </c>
      <c r="I2017">
        <v>11</v>
      </c>
      <c r="J2017">
        <v>3</v>
      </c>
      <c r="K2017">
        <v>26.4</v>
      </c>
      <c r="L2017">
        <v>5</v>
      </c>
      <c r="M2017" s="1" t="s">
        <v>39</v>
      </c>
      <c r="N2017" s="1" t="s">
        <v>56</v>
      </c>
      <c r="O2017">
        <v>14716.8</v>
      </c>
      <c r="P2017" t="b">
        <v>1</v>
      </c>
      <c r="Q2017">
        <v>0.91666666666666663</v>
      </c>
      <c r="R2017">
        <v>1337.890909090909</v>
      </c>
      <c r="S2017">
        <v>6.6</v>
      </c>
      <c r="T2017" s="2">
        <v>44348</v>
      </c>
      <c r="U2017" s="1" t="s">
        <v>57</v>
      </c>
      <c r="V2017">
        <v>0</v>
      </c>
      <c r="W2017" s="1" t="s">
        <v>40</v>
      </c>
      <c r="X2017">
        <v>639</v>
      </c>
      <c r="Y2017" s="1" t="s">
        <v>52</v>
      </c>
      <c r="Z2017" s="1" t="s">
        <v>42</v>
      </c>
      <c r="AA2017">
        <v>0.25</v>
      </c>
      <c r="AB2017" s="1" t="s">
        <v>52</v>
      </c>
      <c r="AC2017">
        <v>3</v>
      </c>
      <c r="AD2017" s="2">
        <v>44348</v>
      </c>
      <c r="AE2017" s="1" t="s">
        <v>74</v>
      </c>
      <c r="AF2017" s="1" t="s">
        <v>72</v>
      </c>
      <c r="AG2017" s="1" t="s">
        <v>70</v>
      </c>
      <c r="AH2017" s="1" t="s">
        <v>47</v>
      </c>
      <c r="AI2017">
        <v>14784</v>
      </c>
      <c r="AJ2017">
        <v>-67.200000000000728</v>
      </c>
    </row>
    <row r="2018" spans="1:36" x14ac:dyDescent="0.25">
      <c r="A2018">
        <v>12017</v>
      </c>
      <c r="B2018">
        <v>27</v>
      </c>
      <c r="C2018" s="1" t="s">
        <v>60</v>
      </c>
      <c r="D2018" s="1" t="s">
        <v>61</v>
      </c>
      <c r="E2018" s="2">
        <v>44728</v>
      </c>
      <c r="F2018" s="2">
        <v>44738</v>
      </c>
      <c r="G2018" s="1" t="s">
        <v>49</v>
      </c>
      <c r="H2018">
        <v>1017</v>
      </c>
      <c r="I2018">
        <v>14</v>
      </c>
      <c r="J2018">
        <v>1</v>
      </c>
      <c r="K2018">
        <v>19.600000000000001</v>
      </c>
      <c r="L2018">
        <v>15</v>
      </c>
      <c r="M2018" s="1" t="s">
        <v>67</v>
      </c>
      <c r="N2018" s="1" t="s">
        <v>40</v>
      </c>
      <c r="O2018">
        <v>14085.45</v>
      </c>
      <c r="P2018" t="b">
        <v>1</v>
      </c>
      <c r="Q2018">
        <v>1.1666666666666667</v>
      </c>
      <c r="R2018">
        <v>1006.1035714285715</v>
      </c>
      <c r="S2018">
        <v>9.8000000000000007</v>
      </c>
      <c r="T2018" s="2">
        <v>44713</v>
      </c>
      <c r="U2018" s="1" t="s">
        <v>57</v>
      </c>
      <c r="V2018">
        <v>1</v>
      </c>
      <c r="W2018" s="1" t="s">
        <v>40</v>
      </c>
      <c r="X2018">
        <v>10</v>
      </c>
      <c r="Y2018" s="1" t="s">
        <v>42</v>
      </c>
      <c r="Z2018" s="1" t="s">
        <v>42</v>
      </c>
      <c r="AA2018">
        <v>6.6666666666666666E-2</v>
      </c>
      <c r="AB2018" s="1" t="s">
        <v>52</v>
      </c>
      <c r="AC2018">
        <v>3</v>
      </c>
      <c r="AD2018" s="2">
        <v>44713</v>
      </c>
      <c r="AE2018" s="1" t="s">
        <v>53</v>
      </c>
      <c r="AF2018" s="1" t="s">
        <v>54</v>
      </c>
      <c r="AG2018" s="1" t="s">
        <v>46</v>
      </c>
      <c r="AH2018" s="1" t="s">
        <v>47</v>
      </c>
      <c r="AI2018">
        <v>14238</v>
      </c>
      <c r="AJ2018">
        <v>-152.54999999999927</v>
      </c>
    </row>
    <row r="2019" spans="1:36" x14ac:dyDescent="0.25">
      <c r="A2019">
        <v>12018</v>
      </c>
      <c r="B2019">
        <v>20</v>
      </c>
      <c r="C2019" s="1" t="s">
        <v>36</v>
      </c>
      <c r="D2019" s="1" t="s">
        <v>76</v>
      </c>
      <c r="E2019" s="2">
        <v>44839</v>
      </c>
      <c r="F2019" s="2">
        <v>44896</v>
      </c>
      <c r="G2019" s="1" t="s">
        <v>62</v>
      </c>
      <c r="H2019">
        <v>501</v>
      </c>
      <c r="I2019">
        <v>11</v>
      </c>
      <c r="J2019">
        <v>3</v>
      </c>
      <c r="K2019">
        <v>34.869999999999997</v>
      </c>
      <c r="L2019">
        <v>10</v>
      </c>
      <c r="M2019" s="1" t="s">
        <v>39</v>
      </c>
      <c r="N2019" s="1" t="s">
        <v>56</v>
      </c>
      <c r="O2019">
        <v>5460.9</v>
      </c>
      <c r="P2019" t="b">
        <v>1</v>
      </c>
      <c r="Q2019">
        <v>0.91666666666666663</v>
      </c>
      <c r="R2019">
        <v>496.44545454545454</v>
      </c>
      <c r="S2019">
        <v>8.7174999999999994</v>
      </c>
      <c r="T2019" s="2">
        <v>44835</v>
      </c>
      <c r="U2019" s="1" t="s">
        <v>66</v>
      </c>
      <c r="V2019">
        <v>0</v>
      </c>
      <c r="W2019" s="1" t="s">
        <v>56</v>
      </c>
      <c r="X2019">
        <v>57</v>
      </c>
      <c r="Y2019" s="1" t="s">
        <v>52</v>
      </c>
      <c r="Z2019" s="1" t="s">
        <v>42</v>
      </c>
      <c r="AA2019">
        <v>0.25</v>
      </c>
      <c r="AB2019" s="1" t="s">
        <v>42</v>
      </c>
      <c r="AC2019">
        <v>2</v>
      </c>
      <c r="AD2019" s="2">
        <v>44835</v>
      </c>
      <c r="AE2019" s="1" t="s">
        <v>74</v>
      </c>
      <c r="AF2019" s="1" t="s">
        <v>72</v>
      </c>
      <c r="AG2019" s="1" t="s">
        <v>55</v>
      </c>
      <c r="AH2019" s="1" t="s">
        <v>64</v>
      </c>
      <c r="AI2019">
        <v>5511</v>
      </c>
      <c r="AJ2019">
        <v>-50.100000000000364</v>
      </c>
    </row>
    <row r="2020" spans="1:36" x14ac:dyDescent="0.25">
      <c r="A2020">
        <v>12019</v>
      </c>
      <c r="B2020">
        <v>31</v>
      </c>
      <c r="C2020" s="1" t="s">
        <v>60</v>
      </c>
      <c r="D2020" s="1" t="s">
        <v>48</v>
      </c>
      <c r="E2020" s="2">
        <v>44525</v>
      </c>
      <c r="F2020" s="2">
        <v>44912</v>
      </c>
      <c r="G2020" s="1" t="s">
        <v>62</v>
      </c>
      <c r="H2020">
        <v>419</v>
      </c>
      <c r="I2020">
        <v>2</v>
      </c>
      <c r="J2020">
        <v>0</v>
      </c>
      <c r="K2020">
        <v>16.899999999999999</v>
      </c>
      <c r="L2020">
        <v>20</v>
      </c>
      <c r="M2020" s="1" t="s">
        <v>50</v>
      </c>
      <c r="N2020" s="1" t="s">
        <v>56</v>
      </c>
      <c r="O2020">
        <v>754.2</v>
      </c>
      <c r="P2020" t="b">
        <v>1</v>
      </c>
      <c r="Q2020">
        <v>0.16666666666666666</v>
      </c>
      <c r="R2020">
        <v>377.1</v>
      </c>
      <c r="S2020">
        <v>16.899999999999999</v>
      </c>
      <c r="T2020" s="2">
        <v>44501</v>
      </c>
      <c r="U2020" s="1" t="s">
        <v>57</v>
      </c>
      <c r="V2020">
        <v>0</v>
      </c>
      <c r="W2020" s="1" t="s">
        <v>56</v>
      </c>
      <c r="X2020">
        <v>387</v>
      </c>
      <c r="Y2020" s="1" t="s">
        <v>42</v>
      </c>
      <c r="Z2020" s="1" t="s">
        <v>52</v>
      </c>
      <c r="AA2020">
        <v>0</v>
      </c>
      <c r="AB2020" s="1" t="s">
        <v>42</v>
      </c>
      <c r="AC2020">
        <v>2</v>
      </c>
      <c r="AD2020" s="2">
        <v>44501</v>
      </c>
      <c r="AE2020" s="1" t="s">
        <v>58</v>
      </c>
      <c r="AF2020" s="1" t="s">
        <v>54</v>
      </c>
      <c r="AG2020" s="1" t="s">
        <v>46</v>
      </c>
      <c r="AH2020" s="1" t="s">
        <v>68</v>
      </c>
      <c r="AI2020">
        <v>838</v>
      </c>
      <c r="AJ2020">
        <v>-83.799999999999955</v>
      </c>
    </row>
    <row r="2021" spans="1:36" x14ac:dyDescent="0.25">
      <c r="A2021">
        <v>12020</v>
      </c>
      <c r="B2021">
        <v>33</v>
      </c>
      <c r="C2021" s="1" t="s">
        <v>75</v>
      </c>
      <c r="D2021" s="1" t="s">
        <v>69</v>
      </c>
      <c r="E2021" s="2">
        <v>44318</v>
      </c>
      <c r="F2021" s="2">
        <v>44877</v>
      </c>
      <c r="G2021" s="1" t="s">
        <v>38</v>
      </c>
      <c r="H2021">
        <v>688</v>
      </c>
      <c r="I2021">
        <v>34</v>
      </c>
      <c r="J2021">
        <v>5</v>
      </c>
      <c r="K2021">
        <v>64.040000000000006</v>
      </c>
      <c r="L2021">
        <v>10</v>
      </c>
      <c r="M2021" s="1" t="s">
        <v>65</v>
      </c>
      <c r="N2021" s="1" t="s">
        <v>56</v>
      </c>
      <c r="O2021">
        <v>23323.200000000001</v>
      </c>
      <c r="P2021" t="b">
        <v>1</v>
      </c>
      <c r="Q2021">
        <v>2.8333333333333335</v>
      </c>
      <c r="R2021">
        <v>685.97647058823532</v>
      </c>
      <c r="S2021">
        <v>10.673333333333334</v>
      </c>
      <c r="T2021" s="2">
        <v>44317</v>
      </c>
      <c r="U2021" s="1" t="s">
        <v>57</v>
      </c>
      <c r="V2021">
        <v>0</v>
      </c>
      <c r="W2021" s="1" t="s">
        <v>40</v>
      </c>
      <c r="X2021">
        <v>559</v>
      </c>
      <c r="Y2021" s="1" t="s">
        <v>43</v>
      </c>
      <c r="Z2021" s="1" t="s">
        <v>42</v>
      </c>
      <c r="AA2021">
        <v>0.14285714285714285</v>
      </c>
      <c r="AB2021" s="1" t="s">
        <v>43</v>
      </c>
      <c r="AC2021">
        <v>1</v>
      </c>
      <c r="AD2021" s="2">
        <v>44317</v>
      </c>
      <c r="AE2021" s="1" t="s">
        <v>44</v>
      </c>
      <c r="AF2021" s="1" t="s">
        <v>45</v>
      </c>
      <c r="AG2021" s="1" t="s">
        <v>63</v>
      </c>
      <c r="AH2021" s="1" t="s">
        <v>64</v>
      </c>
      <c r="AI2021">
        <v>23392</v>
      </c>
      <c r="AJ2021">
        <v>-68.799999999999272</v>
      </c>
    </row>
    <row r="2022" spans="1:36" x14ac:dyDescent="0.25">
      <c r="A2022">
        <v>12021</v>
      </c>
      <c r="B2022">
        <v>27</v>
      </c>
      <c r="C2022" s="1" t="s">
        <v>36</v>
      </c>
      <c r="D2022" s="1" t="s">
        <v>61</v>
      </c>
      <c r="E2022" s="2">
        <v>44237</v>
      </c>
      <c r="F2022" s="2">
        <v>44839</v>
      </c>
      <c r="G2022" s="1" t="s">
        <v>38</v>
      </c>
      <c r="H2022">
        <v>533</v>
      </c>
      <c r="I2022">
        <v>17</v>
      </c>
      <c r="J2022">
        <v>3</v>
      </c>
      <c r="K2022">
        <v>13.02</v>
      </c>
      <c r="L2022">
        <v>10</v>
      </c>
      <c r="M2022" s="1" t="s">
        <v>39</v>
      </c>
      <c r="N2022" s="1" t="s">
        <v>56</v>
      </c>
      <c r="O2022">
        <v>8981.0499999999993</v>
      </c>
      <c r="P2022" t="b">
        <v>1</v>
      </c>
      <c r="Q2022">
        <v>1.4166666666666667</v>
      </c>
      <c r="R2022">
        <v>528.29705882352937</v>
      </c>
      <c r="S2022">
        <v>3.2549999999999999</v>
      </c>
      <c r="T2022" s="2">
        <v>44228</v>
      </c>
      <c r="U2022" s="1" t="s">
        <v>57</v>
      </c>
      <c r="V2022">
        <v>0</v>
      </c>
      <c r="W2022" s="1" t="s">
        <v>56</v>
      </c>
      <c r="X2022">
        <v>602</v>
      </c>
      <c r="Y2022" s="1" t="s">
        <v>42</v>
      </c>
      <c r="Z2022" s="1" t="s">
        <v>42</v>
      </c>
      <c r="AA2022">
        <v>0.16666666666666666</v>
      </c>
      <c r="AB2022" s="1" t="s">
        <v>52</v>
      </c>
      <c r="AC2022">
        <v>1</v>
      </c>
      <c r="AD2022" s="2">
        <v>44228</v>
      </c>
      <c r="AE2022" s="1" t="s">
        <v>53</v>
      </c>
      <c r="AF2022" s="1" t="s">
        <v>72</v>
      </c>
      <c r="AG2022" s="1" t="s">
        <v>46</v>
      </c>
      <c r="AH2022" s="1" t="s">
        <v>64</v>
      </c>
      <c r="AI2022">
        <v>9061</v>
      </c>
      <c r="AJ2022">
        <v>-79.950000000000728</v>
      </c>
    </row>
    <row r="2023" spans="1:36" x14ac:dyDescent="0.25">
      <c r="A2023">
        <v>12022</v>
      </c>
      <c r="B2023">
        <v>46</v>
      </c>
      <c r="C2023" s="1" t="s">
        <v>75</v>
      </c>
      <c r="D2023" s="1" t="s">
        <v>48</v>
      </c>
      <c r="E2023" s="2">
        <v>44363</v>
      </c>
      <c r="F2023" s="2">
        <v>44897</v>
      </c>
      <c r="G2023" s="1" t="s">
        <v>38</v>
      </c>
      <c r="H2023">
        <v>901</v>
      </c>
      <c r="I2023">
        <v>14</v>
      </c>
      <c r="J2023">
        <v>1</v>
      </c>
      <c r="K2023">
        <v>30.69</v>
      </c>
      <c r="L2023">
        <v>15</v>
      </c>
      <c r="M2023" s="1" t="s">
        <v>65</v>
      </c>
      <c r="N2023" s="1" t="s">
        <v>40</v>
      </c>
      <c r="O2023">
        <v>12478.85</v>
      </c>
      <c r="P2023" t="b">
        <v>1</v>
      </c>
      <c r="Q2023">
        <v>1.1666666666666667</v>
      </c>
      <c r="R2023">
        <v>891.34642857142865</v>
      </c>
      <c r="S2023">
        <v>15.345000000000001</v>
      </c>
      <c r="T2023" s="2">
        <v>44348</v>
      </c>
      <c r="U2023" s="1" t="s">
        <v>51</v>
      </c>
      <c r="V2023">
        <v>1</v>
      </c>
      <c r="W2023" s="1" t="s">
        <v>56</v>
      </c>
      <c r="X2023">
        <v>534</v>
      </c>
      <c r="Y2023" s="1" t="s">
        <v>52</v>
      </c>
      <c r="Z2023" s="1" t="s">
        <v>42</v>
      </c>
      <c r="AA2023">
        <v>6.6666666666666666E-2</v>
      </c>
      <c r="AB2023" s="1" t="s">
        <v>52</v>
      </c>
      <c r="AC2023">
        <v>1</v>
      </c>
      <c r="AD2023" s="2">
        <v>44348</v>
      </c>
      <c r="AE2023" s="1" t="s">
        <v>53</v>
      </c>
      <c r="AF2023" s="1" t="s">
        <v>54</v>
      </c>
      <c r="AG2023" s="1" t="s">
        <v>55</v>
      </c>
      <c r="AH2023" s="1" t="s">
        <v>59</v>
      </c>
      <c r="AI2023">
        <v>12614</v>
      </c>
      <c r="AJ2023">
        <v>-135.14999999999964</v>
      </c>
    </row>
    <row r="2024" spans="1:36" x14ac:dyDescent="0.25">
      <c r="A2024">
        <v>12023</v>
      </c>
      <c r="B2024">
        <v>27</v>
      </c>
      <c r="C2024" s="1" t="s">
        <v>36</v>
      </c>
      <c r="D2024" s="1" t="s">
        <v>48</v>
      </c>
      <c r="E2024" s="2">
        <v>44838</v>
      </c>
      <c r="F2024" s="2">
        <v>45046</v>
      </c>
      <c r="G2024" s="1" t="s">
        <v>38</v>
      </c>
      <c r="H2024">
        <v>1011</v>
      </c>
      <c r="I2024">
        <v>25</v>
      </c>
      <c r="J2024">
        <v>3</v>
      </c>
      <c r="K2024">
        <v>62.59</v>
      </c>
      <c r="L2024">
        <v>20</v>
      </c>
      <c r="M2024" s="1" t="s">
        <v>39</v>
      </c>
      <c r="N2024" s="1" t="s">
        <v>56</v>
      </c>
      <c r="O2024">
        <v>25072.799999999999</v>
      </c>
      <c r="P2024" t="b">
        <v>1</v>
      </c>
      <c r="Q2024">
        <v>2.0833333333333335</v>
      </c>
      <c r="R2024">
        <v>1002.9119999999999</v>
      </c>
      <c r="S2024">
        <v>15.647500000000001</v>
      </c>
      <c r="T2024" s="2">
        <v>44835</v>
      </c>
      <c r="U2024" s="1" t="s">
        <v>57</v>
      </c>
      <c r="V2024">
        <v>0</v>
      </c>
      <c r="W2024" s="1" t="s">
        <v>40</v>
      </c>
      <c r="X2024">
        <v>208</v>
      </c>
      <c r="Y2024" s="1" t="s">
        <v>43</v>
      </c>
      <c r="Z2024" s="1" t="s">
        <v>52</v>
      </c>
      <c r="AA2024">
        <v>0.11538461538461539</v>
      </c>
      <c r="AB2024" s="1" t="s">
        <v>43</v>
      </c>
      <c r="AC2024">
        <v>1</v>
      </c>
      <c r="AD2024" s="2">
        <v>44835</v>
      </c>
      <c r="AE2024" s="1" t="s">
        <v>44</v>
      </c>
      <c r="AF2024" s="1" t="s">
        <v>72</v>
      </c>
      <c r="AG2024" s="1" t="s">
        <v>63</v>
      </c>
      <c r="AH2024" s="1" t="s">
        <v>47</v>
      </c>
      <c r="AI2024">
        <v>25275</v>
      </c>
      <c r="AJ2024">
        <v>-202.20000000000073</v>
      </c>
    </row>
    <row r="2025" spans="1:36" x14ac:dyDescent="0.25">
      <c r="A2025">
        <v>12024</v>
      </c>
      <c r="B2025">
        <v>29</v>
      </c>
      <c r="C2025" s="1" t="s">
        <v>60</v>
      </c>
      <c r="D2025" s="1" t="s">
        <v>69</v>
      </c>
      <c r="E2025" s="2">
        <v>44219</v>
      </c>
      <c r="F2025" s="2">
        <v>44732</v>
      </c>
      <c r="G2025" s="1" t="s">
        <v>49</v>
      </c>
      <c r="H2025">
        <v>1281</v>
      </c>
      <c r="I2025">
        <v>27</v>
      </c>
      <c r="J2025">
        <v>0</v>
      </c>
      <c r="K2025">
        <v>59.5</v>
      </c>
      <c r="L2025">
        <v>20</v>
      </c>
      <c r="M2025" s="1" t="s">
        <v>50</v>
      </c>
      <c r="N2025" s="1" t="s">
        <v>56</v>
      </c>
      <c r="O2025">
        <v>34330.800000000003</v>
      </c>
      <c r="P2025" t="b">
        <v>1</v>
      </c>
      <c r="Q2025">
        <v>2.25</v>
      </c>
      <c r="R2025">
        <v>1271.5111111111112</v>
      </c>
      <c r="S2025">
        <v>59.5</v>
      </c>
      <c r="T2025" s="2">
        <v>44197</v>
      </c>
      <c r="U2025" s="1" t="s">
        <v>57</v>
      </c>
      <c r="V2025">
        <v>0</v>
      </c>
      <c r="W2025" s="1" t="s">
        <v>40</v>
      </c>
      <c r="X2025">
        <v>513</v>
      </c>
      <c r="Y2025" s="1" t="s">
        <v>52</v>
      </c>
      <c r="Z2025" s="1" t="s">
        <v>52</v>
      </c>
      <c r="AA2025">
        <v>0</v>
      </c>
      <c r="AB2025" s="1" t="s">
        <v>43</v>
      </c>
      <c r="AC2025">
        <v>3</v>
      </c>
      <c r="AD2025" s="2">
        <v>44197</v>
      </c>
      <c r="AE2025" s="1" t="s">
        <v>44</v>
      </c>
      <c r="AF2025" s="1" t="s">
        <v>54</v>
      </c>
      <c r="AG2025" s="1" t="s">
        <v>63</v>
      </c>
      <c r="AH2025" s="1" t="s">
        <v>47</v>
      </c>
      <c r="AI2025">
        <v>34587</v>
      </c>
      <c r="AJ2025">
        <v>-256.19999999999709</v>
      </c>
    </row>
    <row r="2026" spans="1:36" x14ac:dyDescent="0.25">
      <c r="A2026">
        <v>12025</v>
      </c>
      <c r="B2026">
        <v>47</v>
      </c>
      <c r="C2026" s="1" t="s">
        <v>60</v>
      </c>
      <c r="D2026" s="1" t="s">
        <v>61</v>
      </c>
      <c r="E2026" s="2">
        <v>44475</v>
      </c>
      <c r="F2026" s="2">
        <v>44543</v>
      </c>
      <c r="G2026" s="1" t="s">
        <v>38</v>
      </c>
      <c r="H2026">
        <v>1156</v>
      </c>
      <c r="I2026">
        <v>8</v>
      </c>
      <c r="J2026">
        <v>4</v>
      </c>
      <c r="K2026">
        <v>70.02</v>
      </c>
      <c r="L2026">
        <v>5</v>
      </c>
      <c r="M2026" s="1" t="s">
        <v>67</v>
      </c>
      <c r="N2026" s="1" t="s">
        <v>56</v>
      </c>
      <c r="O2026">
        <v>9190.2000000000007</v>
      </c>
      <c r="P2026" t="b">
        <v>1</v>
      </c>
      <c r="Q2026">
        <v>0.66666666666666663</v>
      </c>
      <c r="R2026">
        <v>1148.7750000000001</v>
      </c>
      <c r="S2026">
        <v>14.004</v>
      </c>
      <c r="T2026" s="2">
        <v>44470</v>
      </c>
      <c r="U2026" s="1" t="s">
        <v>51</v>
      </c>
      <c r="V2026">
        <v>0</v>
      </c>
      <c r="W2026" s="1" t="s">
        <v>56</v>
      </c>
      <c r="X2026">
        <v>68</v>
      </c>
      <c r="Y2026" s="1" t="s">
        <v>43</v>
      </c>
      <c r="Z2026" s="1" t="s">
        <v>42</v>
      </c>
      <c r="AA2026">
        <v>0.44444444444444442</v>
      </c>
      <c r="AB2026" s="1" t="s">
        <v>52</v>
      </c>
      <c r="AC2026">
        <v>1</v>
      </c>
      <c r="AD2026" s="2">
        <v>44470</v>
      </c>
      <c r="AE2026" s="1" t="s">
        <v>74</v>
      </c>
      <c r="AF2026" s="1" t="s">
        <v>45</v>
      </c>
      <c r="AG2026" s="1" t="s">
        <v>63</v>
      </c>
      <c r="AH2026" s="1" t="s">
        <v>47</v>
      </c>
      <c r="AI2026">
        <v>9248</v>
      </c>
      <c r="AJ2026">
        <v>-57.799999999999272</v>
      </c>
    </row>
    <row r="2027" spans="1:36" x14ac:dyDescent="0.25">
      <c r="A2027">
        <v>12026</v>
      </c>
      <c r="B2027">
        <v>58</v>
      </c>
      <c r="C2027" s="1" t="s">
        <v>60</v>
      </c>
      <c r="D2027" s="1" t="s">
        <v>73</v>
      </c>
      <c r="E2027" s="2">
        <v>44959</v>
      </c>
      <c r="F2027" s="2">
        <v>45102</v>
      </c>
      <c r="G2027" s="1" t="s">
        <v>62</v>
      </c>
      <c r="H2027">
        <v>375</v>
      </c>
      <c r="I2027">
        <v>17</v>
      </c>
      <c r="J2027">
        <v>2</v>
      </c>
      <c r="K2027">
        <v>86.15</v>
      </c>
      <c r="L2027">
        <v>0</v>
      </c>
      <c r="M2027" s="1" t="s">
        <v>39</v>
      </c>
      <c r="N2027" s="1" t="s">
        <v>40</v>
      </c>
      <c r="O2027">
        <v>6375</v>
      </c>
      <c r="P2027" t="b">
        <v>1</v>
      </c>
      <c r="Q2027">
        <v>1.4166666666666667</v>
      </c>
      <c r="R2027">
        <v>375</v>
      </c>
      <c r="S2027">
        <v>28.716666666666669</v>
      </c>
      <c r="T2027" s="2">
        <v>44958</v>
      </c>
      <c r="U2027" s="1" t="s">
        <v>41</v>
      </c>
      <c r="V2027">
        <v>1</v>
      </c>
      <c r="W2027" s="1" t="s">
        <v>56</v>
      </c>
      <c r="X2027">
        <v>143</v>
      </c>
      <c r="Y2027" s="1" t="s">
        <v>43</v>
      </c>
      <c r="Z2027" s="1" t="s">
        <v>42</v>
      </c>
      <c r="AA2027">
        <v>0.1111111111111111</v>
      </c>
      <c r="AB2027" s="1" t="s">
        <v>42</v>
      </c>
      <c r="AC2027">
        <v>2</v>
      </c>
      <c r="AD2027" s="2">
        <v>44958</v>
      </c>
      <c r="AE2027" s="1" t="s">
        <v>53</v>
      </c>
      <c r="AF2027" s="1" t="s">
        <v>72</v>
      </c>
      <c r="AG2027" s="1" t="s">
        <v>63</v>
      </c>
      <c r="AH2027" s="1" t="s">
        <v>68</v>
      </c>
      <c r="AI2027">
        <v>6375</v>
      </c>
      <c r="AJ2027">
        <v>0</v>
      </c>
    </row>
    <row r="2028" spans="1:36" x14ac:dyDescent="0.25">
      <c r="A2028">
        <v>12027</v>
      </c>
      <c r="B2028">
        <v>18</v>
      </c>
      <c r="C2028" s="1" t="s">
        <v>60</v>
      </c>
      <c r="D2028" s="1" t="s">
        <v>69</v>
      </c>
      <c r="E2028" s="2">
        <v>44665</v>
      </c>
      <c r="F2028" s="2">
        <v>44647</v>
      </c>
      <c r="G2028" s="1" t="s">
        <v>62</v>
      </c>
      <c r="H2028">
        <v>948</v>
      </c>
      <c r="I2028">
        <v>5</v>
      </c>
      <c r="J2028">
        <v>0</v>
      </c>
      <c r="K2028">
        <v>10.43</v>
      </c>
      <c r="L2028">
        <v>10</v>
      </c>
      <c r="M2028" s="1" t="s">
        <v>65</v>
      </c>
      <c r="N2028" s="1" t="s">
        <v>56</v>
      </c>
      <c r="O2028">
        <v>4645.2</v>
      </c>
      <c r="P2028" t="b">
        <v>0</v>
      </c>
      <c r="Q2028">
        <v>0.41666666666666669</v>
      </c>
      <c r="R2028">
        <v>929.04</v>
      </c>
      <c r="S2028">
        <v>10.43</v>
      </c>
      <c r="T2028" s="2">
        <v>44652</v>
      </c>
      <c r="U2028" s="1" t="s">
        <v>66</v>
      </c>
      <c r="V2028">
        <v>0</v>
      </c>
      <c r="W2028" s="1" t="s">
        <v>56</v>
      </c>
      <c r="Y2028" s="1" t="s">
        <v>42</v>
      </c>
      <c r="Z2028" s="1" t="s">
        <v>42</v>
      </c>
      <c r="AA2028">
        <v>0</v>
      </c>
      <c r="AB2028" s="1" t="s">
        <v>42</v>
      </c>
      <c r="AC2028">
        <v>2</v>
      </c>
      <c r="AD2028" s="2">
        <v>44652</v>
      </c>
      <c r="AE2028" s="1" t="s">
        <v>58</v>
      </c>
      <c r="AF2028" s="1" t="s">
        <v>54</v>
      </c>
      <c r="AG2028" s="1" t="s">
        <v>46</v>
      </c>
      <c r="AH2028" s="1" t="s">
        <v>59</v>
      </c>
      <c r="AI2028">
        <v>4740</v>
      </c>
      <c r="AJ2028">
        <v>-94.800000000000182</v>
      </c>
    </row>
    <row r="2029" spans="1:36" x14ac:dyDescent="0.25">
      <c r="A2029">
        <v>12028</v>
      </c>
      <c r="B2029">
        <v>22</v>
      </c>
      <c r="C2029" s="1" t="s">
        <v>36</v>
      </c>
      <c r="D2029" s="1" t="s">
        <v>37</v>
      </c>
      <c r="E2029" s="2">
        <v>44596</v>
      </c>
      <c r="F2029" s="2">
        <v>45162</v>
      </c>
      <c r="G2029" s="1" t="s">
        <v>62</v>
      </c>
      <c r="H2029">
        <v>949</v>
      </c>
      <c r="I2029">
        <v>12</v>
      </c>
      <c r="J2029">
        <v>0</v>
      </c>
      <c r="K2029">
        <v>14.27</v>
      </c>
      <c r="L2029">
        <v>5</v>
      </c>
      <c r="M2029" s="1" t="s">
        <v>65</v>
      </c>
      <c r="N2029" s="1" t="s">
        <v>56</v>
      </c>
      <c r="O2029">
        <v>11340.55</v>
      </c>
      <c r="P2029" t="b">
        <v>1</v>
      </c>
      <c r="Q2029">
        <v>1</v>
      </c>
      <c r="R2029">
        <v>945.04583333333323</v>
      </c>
      <c r="S2029">
        <v>14.27</v>
      </c>
      <c r="T2029" s="2">
        <v>44593</v>
      </c>
      <c r="U2029" s="1" t="s">
        <v>66</v>
      </c>
      <c r="V2029">
        <v>0</v>
      </c>
      <c r="W2029" s="1" t="s">
        <v>56</v>
      </c>
      <c r="X2029">
        <v>566</v>
      </c>
      <c r="Y2029" s="1" t="s">
        <v>42</v>
      </c>
      <c r="Z2029" s="1" t="s">
        <v>42</v>
      </c>
      <c r="AA2029">
        <v>0</v>
      </c>
      <c r="AB2029" s="1" t="s">
        <v>52</v>
      </c>
      <c r="AC2029">
        <v>2</v>
      </c>
      <c r="AD2029" s="2">
        <v>44593</v>
      </c>
      <c r="AE2029" s="1" t="s">
        <v>74</v>
      </c>
      <c r="AF2029" s="1" t="s">
        <v>54</v>
      </c>
      <c r="AG2029" s="1" t="s">
        <v>46</v>
      </c>
      <c r="AH2029" s="1" t="s">
        <v>59</v>
      </c>
      <c r="AI2029">
        <v>11388</v>
      </c>
      <c r="AJ2029">
        <v>-47.450000000000728</v>
      </c>
    </row>
    <row r="2030" spans="1:36" x14ac:dyDescent="0.25">
      <c r="A2030">
        <v>12029</v>
      </c>
      <c r="B2030">
        <v>37</v>
      </c>
      <c r="C2030" s="1" t="s">
        <v>60</v>
      </c>
      <c r="D2030" s="1" t="s">
        <v>48</v>
      </c>
      <c r="E2030" s="2">
        <v>44205</v>
      </c>
      <c r="F2030" s="2">
        <v>44894</v>
      </c>
      <c r="G2030" s="1" t="s">
        <v>62</v>
      </c>
      <c r="H2030">
        <v>795</v>
      </c>
      <c r="I2030">
        <v>18</v>
      </c>
      <c r="J2030">
        <v>1</v>
      </c>
      <c r="K2030">
        <v>12</v>
      </c>
      <c r="L2030">
        <v>0</v>
      </c>
      <c r="M2030" s="1" t="s">
        <v>65</v>
      </c>
      <c r="N2030" s="1" t="s">
        <v>56</v>
      </c>
      <c r="O2030">
        <v>14310</v>
      </c>
      <c r="P2030" t="b">
        <v>1</v>
      </c>
      <c r="Q2030">
        <v>1.5</v>
      </c>
      <c r="R2030">
        <v>795</v>
      </c>
      <c r="S2030">
        <v>6</v>
      </c>
      <c r="T2030" s="2">
        <v>44197</v>
      </c>
      <c r="U2030" s="1" t="s">
        <v>51</v>
      </c>
      <c r="V2030">
        <v>0</v>
      </c>
      <c r="W2030" s="1" t="s">
        <v>40</v>
      </c>
      <c r="X2030">
        <v>689</v>
      </c>
      <c r="Y2030" s="1" t="s">
        <v>42</v>
      </c>
      <c r="Z2030" s="1" t="s">
        <v>42</v>
      </c>
      <c r="AA2030">
        <v>5.2631578947368418E-2</v>
      </c>
      <c r="AB2030" s="1" t="s">
        <v>52</v>
      </c>
      <c r="AC2030">
        <v>2</v>
      </c>
      <c r="AD2030" s="2">
        <v>44197</v>
      </c>
      <c r="AE2030" s="1" t="s">
        <v>53</v>
      </c>
      <c r="AF2030" s="1" t="s">
        <v>54</v>
      </c>
      <c r="AG2030" s="1" t="s">
        <v>46</v>
      </c>
      <c r="AH2030" s="1" t="s">
        <v>59</v>
      </c>
      <c r="AI2030">
        <v>14310</v>
      </c>
      <c r="AJ2030">
        <v>0</v>
      </c>
    </row>
    <row r="2031" spans="1:36" x14ac:dyDescent="0.25">
      <c r="A2031">
        <v>12030</v>
      </c>
      <c r="B2031">
        <v>25</v>
      </c>
      <c r="C2031" s="1" t="s">
        <v>60</v>
      </c>
      <c r="D2031" s="1" t="s">
        <v>69</v>
      </c>
      <c r="E2031" s="2">
        <v>44209</v>
      </c>
      <c r="F2031" s="2">
        <v>45074</v>
      </c>
      <c r="G2031" s="1" t="s">
        <v>38</v>
      </c>
      <c r="H2031">
        <v>1129</v>
      </c>
      <c r="I2031">
        <v>26</v>
      </c>
      <c r="J2031">
        <v>1</v>
      </c>
      <c r="K2031">
        <v>53.66</v>
      </c>
      <c r="L2031">
        <v>5</v>
      </c>
      <c r="M2031" s="1" t="s">
        <v>50</v>
      </c>
      <c r="N2031" s="1" t="s">
        <v>56</v>
      </c>
      <c r="O2031">
        <v>29297.55</v>
      </c>
      <c r="P2031" t="b">
        <v>1</v>
      </c>
      <c r="Q2031">
        <v>2.1666666666666665</v>
      </c>
      <c r="R2031">
        <v>1126.8288461538461</v>
      </c>
      <c r="S2031">
        <v>26.83</v>
      </c>
      <c r="T2031" s="2">
        <v>44197</v>
      </c>
      <c r="U2031" s="1" t="s">
        <v>66</v>
      </c>
      <c r="V2031">
        <v>0</v>
      </c>
      <c r="W2031" s="1" t="s">
        <v>40</v>
      </c>
      <c r="X2031">
        <v>865</v>
      </c>
      <c r="Y2031" s="1" t="s">
        <v>52</v>
      </c>
      <c r="Z2031" s="1" t="s">
        <v>42</v>
      </c>
      <c r="AA2031">
        <v>3.7037037037037035E-2</v>
      </c>
      <c r="AB2031" s="1" t="s">
        <v>43</v>
      </c>
      <c r="AC2031">
        <v>1</v>
      </c>
      <c r="AD2031" s="2">
        <v>44197</v>
      </c>
      <c r="AE2031" s="1" t="s">
        <v>44</v>
      </c>
      <c r="AF2031" s="1" t="s">
        <v>54</v>
      </c>
      <c r="AG2031" s="1" t="s">
        <v>63</v>
      </c>
      <c r="AH2031" s="1" t="s">
        <v>47</v>
      </c>
      <c r="AI2031">
        <v>29354</v>
      </c>
      <c r="AJ2031">
        <v>-56.450000000000728</v>
      </c>
    </row>
    <row r="2032" spans="1:36" x14ac:dyDescent="0.25">
      <c r="A2032">
        <v>12031</v>
      </c>
      <c r="B2032">
        <v>60</v>
      </c>
      <c r="C2032" s="1" t="s">
        <v>60</v>
      </c>
      <c r="D2032" s="1" t="s">
        <v>48</v>
      </c>
      <c r="E2032" s="2">
        <v>45015</v>
      </c>
      <c r="F2032" s="2">
        <v>45078</v>
      </c>
      <c r="G2032" s="1" t="s">
        <v>62</v>
      </c>
      <c r="H2032">
        <v>782</v>
      </c>
      <c r="I2032">
        <v>31</v>
      </c>
      <c r="J2032">
        <v>1</v>
      </c>
      <c r="K2032">
        <v>9.81</v>
      </c>
      <c r="L2032">
        <v>20</v>
      </c>
      <c r="M2032" s="1" t="s">
        <v>50</v>
      </c>
      <c r="N2032" s="1" t="s">
        <v>56</v>
      </c>
      <c r="O2032">
        <v>24085.599999999999</v>
      </c>
      <c r="P2032" t="b">
        <v>1</v>
      </c>
      <c r="Q2032">
        <v>2.5833333333333335</v>
      </c>
      <c r="R2032">
        <v>776.95483870967735</v>
      </c>
      <c r="S2032">
        <v>4.9050000000000002</v>
      </c>
      <c r="T2032" s="2">
        <v>44986</v>
      </c>
      <c r="U2032" s="1" t="s">
        <v>41</v>
      </c>
      <c r="V2032">
        <v>0</v>
      </c>
      <c r="W2032" s="1" t="s">
        <v>40</v>
      </c>
      <c r="X2032">
        <v>63</v>
      </c>
      <c r="Y2032" s="1" t="s">
        <v>42</v>
      </c>
      <c r="Z2032" s="1" t="s">
        <v>52</v>
      </c>
      <c r="AA2032">
        <v>3.125E-2</v>
      </c>
      <c r="AB2032" s="1" t="s">
        <v>43</v>
      </c>
      <c r="AC2032">
        <v>2</v>
      </c>
      <c r="AD2032" s="2">
        <v>44986</v>
      </c>
      <c r="AE2032" s="1" t="s">
        <v>44</v>
      </c>
      <c r="AF2032" s="1" t="s">
        <v>54</v>
      </c>
      <c r="AG2032" s="1" t="s">
        <v>77</v>
      </c>
      <c r="AH2032" s="1" t="s">
        <v>59</v>
      </c>
      <c r="AI2032">
        <v>24242</v>
      </c>
      <c r="AJ2032">
        <v>-156.40000000000146</v>
      </c>
    </row>
    <row r="2033" spans="1:36" x14ac:dyDescent="0.25">
      <c r="A2033">
        <v>12032</v>
      </c>
      <c r="B2033">
        <v>29</v>
      </c>
      <c r="C2033" s="1" t="s">
        <v>36</v>
      </c>
      <c r="D2033" s="1" t="s">
        <v>61</v>
      </c>
      <c r="E2033" s="2">
        <v>45028</v>
      </c>
      <c r="F2033" s="2">
        <v>45175</v>
      </c>
      <c r="G2033" s="1" t="s">
        <v>38</v>
      </c>
      <c r="H2033">
        <v>1383</v>
      </c>
      <c r="I2033">
        <v>6</v>
      </c>
      <c r="J2033">
        <v>0</v>
      </c>
      <c r="K2033">
        <v>90.8</v>
      </c>
      <c r="L2033">
        <v>20</v>
      </c>
      <c r="M2033" s="1" t="s">
        <v>67</v>
      </c>
      <c r="N2033" s="1" t="s">
        <v>40</v>
      </c>
      <c r="O2033">
        <v>8021.4</v>
      </c>
      <c r="P2033" t="b">
        <v>1</v>
      </c>
      <c r="Q2033">
        <v>0.5</v>
      </c>
      <c r="R2033">
        <v>1336.8999999999999</v>
      </c>
      <c r="S2033">
        <v>90.8</v>
      </c>
      <c r="T2033" s="2">
        <v>45017</v>
      </c>
      <c r="U2033" s="1" t="s">
        <v>57</v>
      </c>
      <c r="V2033">
        <v>1</v>
      </c>
      <c r="W2033" s="1" t="s">
        <v>56</v>
      </c>
      <c r="X2033">
        <v>147</v>
      </c>
      <c r="Y2033" s="1" t="s">
        <v>43</v>
      </c>
      <c r="Z2033" s="1" t="s">
        <v>52</v>
      </c>
      <c r="AA2033">
        <v>0</v>
      </c>
      <c r="AB2033" s="1" t="s">
        <v>42</v>
      </c>
      <c r="AC2033">
        <v>1</v>
      </c>
      <c r="AD2033" s="2">
        <v>45017</v>
      </c>
      <c r="AE2033" s="1" t="s">
        <v>58</v>
      </c>
      <c r="AF2033" s="1" t="s">
        <v>54</v>
      </c>
      <c r="AG2033" s="1" t="s">
        <v>63</v>
      </c>
      <c r="AH2033" s="1" t="s">
        <v>47</v>
      </c>
      <c r="AI2033">
        <v>8298</v>
      </c>
      <c r="AJ2033">
        <v>-276.60000000000036</v>
      </c>
    </row>
    <row r="2034" spans="1:36" x14ac:dyDescent="0.25">
      <c r="A2034">
        <v>12033</v>
      </c>
      <c r="B2034">
        <v>18</v>
      </c>
      <c r="C2034" s="1" t="s">
        <v>60</v>
      </c>
      <c r="D2034" s="1" t="s">
        <v>71</v>
      </c>
      <c r="E2034" s="2">
        <v>44248</v>
      </c>
      <c r="F2034" s="2">
        <v>44949</v>
      </c>
      <c r="G2034" s="1" t="s">
        <v>49</v>
      </c>
      <c r="H2034">
        <v>1290</v>
      </c>
      <c r="I2034">
        <v>15</v>
      </c>
      <c r="J2034">
        <v>2</v>
      </c>
      <c r="K2034">
        <v>30.65</v>
      </c>
      <c r="L2034">
        <v>15</v>
      </c>
      <c r="M2034" s="1" t="s">
        <v>65</v>
      </c>
      <c r="N2034" s="1" t="s">
        <v>56</v>
      </c>
      <c r="O2034">
        <v>19156.5</v>
      </c>
      <c r="P2034" t="b">
        <v>1</v>
      </c>
      <c r="Q2034">
        <v>1.25</v>
      </c>
      <c r="R2034">
        <v>1277.0999999999999</v>
      </c>
      <c r="S2034">
        <v>10.216666666666667</v>
      </c>
      <c r="T2034" s="2">
        <v>44228</v>
      </c>
      <c r="U2034" s="1" t="s">
        <v>66</v>
      </c>
      <c r="V2034">
        <v>0</v>
      </c>
      <c r="W2034" s="1" t="s">
        <v>40</v>
      </c>
      <c r="X2034">
        <v>701</v>
      </c>
      <c r="Y2034" s="1" t="s">
        <v>52</v>
      </c>
      <c r="Z2034" s="1" t="s">
        <v>42</v>
      </c>
      <c r="AA2034">
        <v>0.125</v>
      </c>
      <c r="AB2034" s="1" t="s">
        <v>52</v>
      </c>
      <c r="AC2034">
        <v>3</v>
      </c>
      <c r="AD2034" s="2">
        <v>44228</v>
      </c>
      <c r="AE2034" s="1" t="s">
        <v>53</v>
      </c>
      <c r="AF2034" s="1" t="s">
        <v>72</v>
      </c>
      <c r="AG2034" s="1" t="s">
        <v>55</v>
      </c>
      <c r="AH2034" s="1" t="s">
        <v>47</v>
      </c>
      <c r="AI2034">
        <v>19350</v>
      </c>
      <c r="AJ2034">
        <v>-193.5</v>
      </c>
    </row>
    <row r="2035" spans="1:36" x14ac:dyDescent="0.25">
      <c r="A2035">
        <v>12034</v>
      </c>
      <c r="B2035">
        <v>37</v>
      </c>
      <c r="C2035" s="1" t="s">
        <v>60</v>
      </c>
      <c r="D2035" s="1" t="s">
        <v>69</v>
      </c>
      <c r="E2035" s="2">
        <v>44405</v>
      </c>
      <c r="F2035" s="2">
        <v>44655</v>
      </c>
      <c r="G2035" s="1" t="s">
        <v>62</v>
      </c>
      <c r="H2035">
        <v>918</v>
      </c>
      <c r="I2035">
        <v>26</v>
      </c>
      <c r="J2035">
        <v>3</v>
      </c>
      <c r="K2035">
        <v>113.01</v>
      </c>
      <c r="L2035">
        <v>10</v>
      </c>
      <c r="M2035" s="1" t="s">
        <v>67</v>
      </c>
      <c r="N2035" s="1" t="s">
        <v>56</v>
      </c>
      <c r="O2035">
        <v>23776.2</v>
      </c>
      <c r="P2035" t="b">
        <v>1</v>
      </c>
      <c r="Q2035">
        <v>2.1666666666666665</v>
      </c>
      <c r="R2035">
        <v>914.46923076923076</v>
      </c>
      <c r="S2035">
        <v>28.252500000000001</v>
      </c>
      <c r="T2035" s="2">
        <v>44378</v>
      </c>
      <c r="U2035" s="1" t="s">
        <v>51</v>
      </c>
      <c r="V2035">
        <v>0</v>
      </c>
      <c r="W2035" s="1" t="s">
        <v>40</v>
      </c>
      <c r="X2035">
        <v>250</v>
      </c>
      <c r="Y2035" s="1" t="s">
        <v>43</v>
      </c>
      <c r="Z2035" s="1" t="s">
        <v>42</v>
      </c>
      <c r="AA2035">
        <v>0.1111111111111111</v>
      </c>
      <c r="AB2035" s="1" t="s">
        <v>43</v>
      </c>
      <c r="AC2035">
        <v>2</v>
      </c>
      <c r="AD2035" s="2">
        <v>44378</v>
      </c>
      <c r="AE2035" s="1" t="s">
        <v>44</v>
      </c>
      <c r="AF2035" s="1" t="s">
        <v>72</v>
      </c>
      <c r="AG2035" s="1" t="s">
        <v>63</v>
      </c>
      <c r="AH2035" s="1" t="s">
        <v>59</v>
      </c>
      <c r="AI2035">
        <v>23868</v>
      </c>
      <c r="AJ2035">
        <v>-91.799999999999272</v>
      </c>
    </row>
    <row r="2036" spans="1:36" x14ac:dyDescent="0.25">
      <c r="A2036">
        <v>12035</v>
      </c>
      <c r="B2036">
        <v>45</v>
      </c>
      <c r="C2036" s="1" t="s">
        <v>60</v>
      </c>
      <c r="D2036" s="1" t="s">
        <v>73</v>
      </c>
      <c r="E2036" s="2">
        <v>44746</v>
      </c>
      <c r="F2036" s="2">
        <v>44599</v>
      </c>
      <c r="G2036" s="1" t="s">
        <v>49</v>
      </c>
      <c r="H2036">
        <v>849</v>
      </c>
      <c r="I2036">
        <v>12</v>
      </c>
      <c r="J2036">
        <v>2</v>
      </c>
      <c r="K2036">
        <v>60.94</v>
      </c>
      <c r="L2036">
        <v>10</v>
      </c>
      <c r="M2036" s="1" t="s">
        <v>65</v>
      </c>
      <c r="N2036" s="1" t="s">
        <v>56</v>
      </c>
      <c r="O2036">
        <v>10103.1</v>
      </c>
      <c r="P2036" t="b">
        <v>0</v>
      </c>
      <c r="Q2036">
        <v>1</v>
      </c>
      <c r="R2036">
        <v>841.92500000000007</v>
      </c>
      <c r="S2036">
        <v>20.313333333333333</v>
      </c>
      <c r="T2036" s="2">
        <v>44743</v>
      </c>
      <c r="U2036" s="1" t="s">
        <v>51</v>
      </c>
      <c r="V2036">
        <v>0</v>
      </c>
      <c r="W2036" s="1" t="s">
        <v>56</v>
      </c>
      <c r="Y2036" s="1" t="s">
        <v>43</v>
      </c>
      <c r="Z2036" s="1" t="s">
        <v>42</v>
      </c>
      <c r="AA2036">
        <v>0.15384615384615385</v>
      </c>
      <c r="AB2036" s="1" t="s">
        <v>52</v>
      </c>
      <c r="AC2036">
        <v>3</v>
      </c>
      <c r="AD2036" s="2">
        <v>44743</v>
      </c>
      <c r="AE2036" s="1" t="s">
        <v>74</v>
      </c>
      <c r="AF2036" s="1" t="s">
        <v>72</v>
      </c>
      <c r="AG2036" s="1" t="s">
        <v>63</v>
      </c>
      <c r="AH2036" s="1" t="s">
        <v>59</v>
      </c>
      <c r="AI2036">
        <v>10188</v>
      </c>
      <c r="AJ2036">
        <v>-84.899999999999636</v>
      </c>
    </row>
    <row r="2037" spans="1:36" x14ac:dyDescent="0.25">
      <c r="A2037">
        <v>12036</v>
      </c>
      <c r="B2037">
        <v>60</v>
      </c>
      <c r="C2037" s="1" t="s">
        <v>36</v>
      </c>
      <c r="D2037" s="1" t="s">
        <v>69</v>
      </c>
      <c r="E2037" s="2">
        <v>44808</v>
      </c>
      <c r="F2037" s="2">
        <v>44355</v>
      </c>
      <c r="G2037" s="1" t="s">
        <v>38</v>
      </c>
      <c r="H2037">
        <v>945</v>
      </c>
      <c r="I2037">
        <v>14</v>
      </c>
      <c r="J2037">
        <v>1</v>
      </c>
      <c r="K2037">
        <v>56.33</v>
      </c>
      <c r="L2037">
        <v>10</v>
      </c>
      <c r="M2037" s="1" t="s">
        <v>39</v>
      </c>
      <c r="N2037" s="1" t="s">
        <v>56</v>
      </c>
      <c r="O2037">
        <v>13135.5</v>
      </c>
      <c r="P2037" t="b">
        <v>0</v>
      </c>
      <c r="Q2037">
        <v>1.1666666666666667</v>
      </c>
      <c r="R2037">
        <v>938.25</v>
      </c>
      <c r="S2037">
        <v>28.164999999999999</v>
      </c>
      <c r="T2037" s="2">
        <v>44805</v>
      </c>
      <c r="U2037" s="1" t="s">
        <v>41</v>
      </c>
      <c r="V2037">
        <v>0</v>
      </c>
      <c r="W2037" s="1" t="s">
        <v>56</v>
      </c>
      <c r="Y2037" s="1" t="s">
        <v>52</v>
      </c>
      <c r="Z2037" s="1" t="s">
        <v>42</v>
      </c>
      <c r="AA2037">
        <v>6.6666666666666666E-2</v>
      </c>
      <c r="AB2037" s="1" t="s">
        <v>52</v>
      </c>
      <c r="AC2037">
        <v>1</v>
      </c>
      <c r="AD2037" s="2">
        <v>44805</v>
      </c>
      <c r="AE2037" s="1" t="s">
        <v>53</v>
      </c>
      <c r="AF2037" s="1" t="s">
        <v>54</v>
      </c>
      <c r="AG2037" s="1" t="s">
        <v>63</v>
      </c>
      <c r="AH2037" s="1" t="s">
        <v>59</v>
      </c>
      <c r="AI2037">
        <v>13230</v>
      </c>
      <c r="AJ2037">
        <v>-94.5</v>
      </c>
    </row>
    <row r="2038" spans="1:36" x14ac:dyDescent="0.25">
      <c r="A2038">
        <v>12037</v>
      </c>
      <c r="B2038">
        <v>54</v>
      </c>
      <c r="C2038" s="1" t="s">
        <v>36</v>
      </c>
      <c r="D2038" s="1" t="s">
        <v>48</v>
      </c>
      <c r="E2038" s="2">
        <v>44901</v>
      </c>
      <c r="F2038" s="2">
        <v>45115</v>
      </c>
      <c r="G2038" s="1" t="s">
        <v>38</v>
      </c>
      <c r="H2038">
        <v>801</v>
      </c>
      <c r="I2038">
        <v>1</v>
      </c>
      <c r="J2038">
        <v>3</v>
      </c>
      <c r="K2038">
        <v>94.76</v>
      </c>
      <c r="L2038">
        <v>5</v>
      </c>
      <c r="M2038" s="1" t="s">
        <v>39</v>
      </c>
      <c r="N2038" s="1" t="s">
        <v>56</v>
      </c>
      <c r="O2038">
        <v>760.95</v>
      </c>
      <c r="P2038" t="b">
        <v>1</v>
      </c>
      <c r="Q2038">
        <v>8.3333333333333329E-2</v>
      </c>
      <c r="R2038">
        <v>760.95</v>
      </c>
      <c r="S2038">
        <v>23.69</v>
      </c>
      <c r="T2038" s="2">
        <v>44896</v>
      </c>
      <c r="U2038" s="1" t="s">
        <v>41</v>
      </c>
      <c r="V2038">
        <v>0</v>
      </c>
      <c r="W2038" s="1" t="s">
        <v>56</v>
      </c>
      <c r="X2038">
        <v>214</v>
      </c>
      <c r="Y2038" s="1" t="s">
        <v>43</v>
      </c>
      <c r="Z2038" s="1" t="s">
        <v>42</v>
      </c>
      <c r="AA2038">
        <v>1.5</v>
      </c>
      <c r="AB2038" s="1" t="s">
        <v>42</v>
      </c>
      <c r="AC2038">
        <v>1</v>
      </c>
      <c r="AD2038" s="2">
        <v>44896</v>
      </c>
      <c r="AE2038" s="1" t="s">
        <v>58</v>
      </c>
      <c r="AF2038" s="1" t="s">
        <v>72</v>
      </c>
      <c r="AG2038" s="1" t="s">
        <v>63</v>
      </c>
      <c r="AH2038" s="1" t="s">
        <v>59</v>
      </c>
      <c r="AI2038">
        <v>801</v>
      </c>
      <c r="AJ2038">
        <v>-40.049999999999955</v>
      </c>
    </row>
    <row r="2039" spans="1:36" x14ac:dyDescent="0.25">
      <c r="A2039">
        <v>12038</v>
      </c>
      <c r="B2039">
        <v>64</v>
      </c>
      <c r="C2039" s="1" t="s">
        <v>60</v>
      </c>
      <c r="D2039" s="1" t="s">
        <v>61</v>
      </c>
      <c r="E2039" s="2">
        <v>44598</v>
      </c>
      <c r="F2039" s="2">
        <v>45222</v>
      </c>
      <c r="G2039" s="1" t="s">
        <v>38</v>
      </c>
      <c r="H2039">
        <v>1456</v>
      </c>
      <c r="I2039">
        <v>17</v>
      </c>
      <c r="J2039">
        <v>1</v>
      </c>
      <c r="K2039">
        <v>87.01</v>
      </c>
      <c r="L2039">
        <v>5</v>
      </c>
      <c r="M2039" s="1" t="s">
        <v>39</v>
      </c>
      <c r="N2039" s="1" t="s">
        <v>56</v>
      </c>
      <c r="O2039">
        <v>24679.200000000001</v>
      </c>
      <c r="P2039" t="b">
        <v>1</v>
      </c>
      <c r="Q2039">
        <v>1.4166666666666667</v>
      </c>
      <c r="R2039">
        <v>1451.7176470588236</v>
      </c>
      <c r="S2039">
        <v>43.505000000000003</v>
      </c>
      <c r="T2039" s="2">
        <v>44593</v>
      </c>
      <c r="U2039" s="1" t="s">
        <v>41</v>
      </c>
      <c r="V2039">
        <v>0</v>
      </c>
      <c r="W2039" s="1" t="s">
        <v>40</v>
      </c>
      <c r="X2039">
        <v>624</v>
      </c>
      <c r="Y2039" s="1" t="s">
        <v>43</v>
      </c>
      <c r="Z2039" s="1" t="s">
        <v>42</v>
      </c>
      <c r="AA2039">
        <v>5.5555555555555552E-2</v>
      </c>
      <c r="AB2039" s="1" t="s">
        <v>43</v>
      </c>
      <c r="AC2039">
        <v>1</v>
      </c>
      <c r="AD2039" s="2">
        <v>44593</v>
      </c>
      <c r="AE2039" s="1" t="s">
        <v>53</v>
      </c>
      <c r="AF2039" s="1" t="s">
        <v>54</v>
      </c>
      <c r="AG2039" s="1" t="s">
        <v>63</v>
      </c>
      <c r="AH2039" s="1" t="s">
        <v>47</v>
      </c>
      <c r="AI2039">
        <v>24752</v>
      </c>
      <c r="AJ2039">
        <v>-72.799999999999272</v>
      </c>
    </row>
    <row r="2040" spans="1:36" x14ac:dyDescent="0.25">
      <c r="A2040">
        <v>12039</v>
      </c>
      <c r="B2040">
        <v>54</v>
      </c>
      <c r="C2040" s="1" t="s">
        <v>60</v>
      </c>
      <c r="D2040" s="1" t="s">
        <v>37</v>
      </c>
      <c r="E2040" s="2">
        <v>44387</v>
      </c>
      <c r="F2040" s="2">
        <v>44555</v>
      </c>
      <c r="G2040" s="1" t="s">
        <v>38</v>
      </c>
      <c r="H2040">
        <v>1145</v>
      </c>
      <c r="I2040">
        <v>33</v>
      </c>
      <c r="J2040">
        <v>5</v>
      </c>
      <c r="K2040">
        <v>74.84</v>
      </c>
      <c r="L2040">
        <v>10</v>
      </c>
      <c r="M2040" s="1" t="s">
        <v>65</v>
      </c>
      <c r="N2040" s="1" t="s">
        <v>56</v>
      </c>
      <c r="O2040">
        <v>37670.5</v>
      </c>
      <c r="P2040" t="b">
        <v>1</v>
      </c>
      <c r="Q2040">
        <v>2.75</v>
      </c>
      <c r="R2040">
        <v>1141.530303030303</v>
      </c>
      <c r="S2040">
        <v>12.473333333333334</v>
      </c>
      <c r="T2040" s="2">
        <v>44378</v>
      </c>
      <c r="U2040" s="1" t="s">
        <v>41</v>
      </c>
      <c r="V2040">
        <v>0</v>
      </c>
      <c r="W2040" s="1" t="s">
        <v>40</v>
      </c>
      <c r="X2040">
        <v>168</v>
      </c>
      <c r="Y2040" s="1" t="s">
        <v>43</v>
      </c>
      <c r="Z2040" s="1" t="s">
        <v>42</v>
      </c>
      <c r="AA2040">
        <v>0.14705882352941177</v>
      </c>
      <c r="AB2040" s="1" t="s">
        <v>43</v>
      </c>
      <c r="AC2040">
        <v>1</v>
      </c>
      <c r="AD2040" s="2">
        <v>44378</v>
      </c>
      <c r="AE2040" s="1" t="s">
        <v>44</v>
      </c>
      <c r="AF2040" s="1" t="s">
        <v>45</v>
      </c>
      <c r="AG2040" s="1" t="s">
        <v>63</v>
      </c>
      <c r="AH2040" s="1" t="s">
        <v>47</v>
      </c>
      <c r="AI2040">
        <v>37785</v>
      </c>
      <c r="AJ2040">
        <v>-114.5</v>
      </c>
    </row>
    <row r="2041" spans="1:36" x14ac:dyDescent="0.25">
      <c r="A2041">
        <v>12040</v>
      </c>
      <c r="B2041">
        <v>29</v>
      </c>
      <c r="C2041" s="1" t="s">
        <v>60</v>
      </c>
      <c r="D2041" s="1" t="s">
        <v>73</v>
      </c>
      <c r="E2041" s="2">
        <v>44247</v>
      </c>
      <c r="F2041" s="2">
        <v>44478</v>
      </c>
      <c r="G2041" s="1" t="s">
        <v>38</v>
      </c>
      <c r="H2041">
        <v>352</v>
      </c>
      <c r="I2041">
        <v>29</v>
      </c>
      <c r="J2041">
        <v>2</v>
      </c>
      <c r="K2041">
        <v>112.54</v>
      </c>
      <c r="L2041">
        <v>15</v>
      </c>
      <c r="M2041" s="1" t="s">
        <v>39</v>
      </c>
      <c r="N2041" s="1" t="s">
        <v>56</v>
      </c>
      <c r="O2041">
        <v>10155.200000000001</v>
      </c>
      <c r="P2041" t="b">
        <v>1</v>
      </c>
      <c r="Q2041">
        <v>2.4166666666666665</v>
      </c>
      <c r="R2041">
        <v>350.17931034482763</v>
      </c>
      <c r="S2041">
        <v>37.513333333333335</v>
      </c>
      <c r="T2041" s="2">
        <v>44228</v>
      </c>
      <c r="U2041" s="1" t="s">
        <v>57</v>
      </c>
      <c r="V2041">
        <v>0</v>
      </c>
      <c r="W2041" s="1" t="s">
        <v>56</v>
      </c>
      <c r="X2041">
        <v>231</v>
      </c>
      <c r="Y2041" s="1" t="s">
        <v>43</v>
      </c>
      <c r="Z2041" s="1" t="s">
        <v>42</v>
      </c>
      <c r="AA2041">
        <v>6.6666666666666666E-2</v>
      </c>
      <c r="AB2041" s="1" t="s">
        <v>52</v>
      </c>
      <c r="AC2041">
        <v>1</v>
      </c>
      <c r="AD2041" s="2">
        <v>44228</v>
      </c>
      <c r="AE2041" s="1" t="s">
        <v>44</v>
      </c>
      <c r="AF2041" s="1" t="s">
        <v>72</v>
      </c>
      <c r="AG2041" s="1" t="s">
        <v>63</v>
      </c>
      <c r="AH2041" s="1" t="s">
        <v>68</v>
      </c>
      <c r="AI2041">
        <v>10208</v>
      </c>
      <c r="AJ2041">
        <v>-52.799999999999272</v>
      </c>
    </row>
    <row r="2042" spans="1:36" x14ac:dyDescent="0.25">
      <c r="A2042">
        <v>12041</v>
      </c>
      <c r="B2042">
        <v>41</v>
      </c>
      <c r="C2042" s="1" t="s">
        <v>60</v>
      </c>
      <c r="D2042" s="1" t="s">
        <v>61</v>
      </c>
      <c r="E2042" s="2">
        <v>44589</v>
      </c>
      <c r="F2042" s="2">
        <v>45083</v>
      </c>
      <c r="G2042" s="1" t="s">
        <v>62</v>
      </c>
      <c r="H2042">
        <v>749</v>
      </c>
      <c r="I2042">
        <v>31</v>
      </c>
      <c r="J2042">
        <v>2</v>
      </c>
      <c r="K2042">
        <v>53.56</v>
      </c>
      <c r="L2042">
        <v>0</v>
      </c>
      <c r="M2042" s="1" t="s">
        <v>65</v>
      </c>
      <c r="N2042" s="1" t="s">
        <v>40</v>
      </c>
      <c r="O2042">
        <v>23219</v>
      </c>
      <c r="P2042" t="b">
        <v>1</v>
      </c>
      <c r="Q2042">
        <v>2.5833333333333335</v>
      </c>
      <c r="R2042">
        <v>749</v>
      </c>
      <c r="S2042">
        <v>17.853333333333335</v>
      </c>
      <c r="T2042" s="2">
        <v>44562</v>
      </c>
      <c r="U2042" s="1" t="s">
        <v>51</v>
      </c>
      <c r="V2042">
        <v>1</v>
      </c>
      <c r="W2042" s="1" t="s">
        <v>40</v>
      </c>
      <c r="X2042">
        <v>494</v>
      </c>
      <c r="Y2042" s="1" t="s">
        <v>52</v>
      </c>
      <c r="Z2042" s="1" t="s">
        <v>42</v>
      </c>
      <c r="AA2042">
        <v>6.25E-2</v>
      </c>
      <c r="AB2042" s="1" t="s">
        <v>43</v>
      </c>
      <c r="AC2042">
        <v>2</v>
      </c>
      <c r="AD2042" s="2">
        <v>44562</v>
      </c>
      <c r="AE2042" s="1" t="s">
        <v>44</v>
      </c>
      <c r="AF2042" s="1" t="s">
        <v>72</v>
      </c>
      <c r="AG2042" s="1" t="s">
        <v>63</v>
      </c>
      <c r="AH2042" s="1" t="s">
        <v>59</v>
      </c>
      <c r="AI2042">
        <v>23219</v>
      </c>
      <c r="AJ2042">
        <v>0</v>
      </c>
    </row>
    <row r="2043" spans="1:36" x14ac:dyDescent="0.25">
      <c r="A2043">
        <v>12042</v>
      </c>
      <c r="B2043">
        <v>61</v>
      </c>
      <c r="C2043" s="1" t="s">
        <v>36</v>
      </c>
      <c r="D2043" s="1" t="s">
        <v>69</v>
      </c>
      <c r="E2043" s="2">
        <v>44849</v>
      </c>
      <c r="F2043" s="2">
        <v>45056</v>
      </c>
      <c r="G2043" s="1" t="s">
        <v>38</v>
      </c>
      <c r="H2043">
        <v>361</v>
      </c>
      <c r="I2043">
        <v>8</v>
      </c>
      <c r="J2043">
        <v>4</v>
      </c>
      <c r="K2043">
        <v>97.98</v>
      </c>
      <c r="L2043">
        <v>5</v>
      </c>
      <c r="M2043" s="1" t="s">
        <v>67</v>
      </c>
      <c r="N2043" s="1" t="s">
        <v>56</v>
      </c>
      <c r="O2043">
        <v>2869.95</v>
      </c>
      <c r="P2043" t="b">
        <v>1</v>
      </c>
      <c r="Q2043">
        <v>0.66666666666666663</v>
      </c>
      <c r="R2043">
        <v>358.74374999999998</v>
      </c>
      <c r="S2043">
        <v>19.596</v>
      </c>
      <c r="T2043" s="2">
        <v>44835</v>
      </c>
      <c r="U2043" s="1" t="s">
        <v>41</v>
      </c>
      <c r="V2043">
        <v>0</v>
      </c>
      <c r="W2043" s="1" t="s">
        <v>56</v>
      </c>
      <c r="X2043">
        <v>207</v>
      </c>
      <c r="Y2043" s="1" t="s">
        <v>43</v>
      </c>
      <c r="Z2043" s="1" t="s">
        <v>42</v>
      </c>
      <c r="AA2043">
        <v>0.44444444444444442</v>
      </c>
      <c r="AB2043" s="1" t="s">
        <v>42</v>
      </c>
      <c r="AC2043">
        <v>1</v>
      </c>
      <c r="AD2043" s="2">
        <v>44835</v>
      </c>
      <c r="AE2043" s="1" t="s">
        <v>74</v>
      </c>
      <c r="AF2043" s="1" t="s">
        <v>45</v>
      </c>
      <c r="AG2043" s="1" t="s">
        <v>63</v>
      </c>
      <c r="AH2043" s="1" t="s">
        <v>68</v>
      </c>
      <c r="AI2043">
        <v>2888</v>
      </c>
      <c r="AJ2043">
        <v>-18.050000000000182</v>
      </c>
    </row>
    <row r="2044" spans="1:36" x14ac:dyDescent="0.25">
      <c r="A2044">
        <v>12043</v>
      </c>
      <c r="B2044">
        <v>45</v>
      </c>
      <c r="C2044" s="1" t="s">
        <v>36</v>
      </c>
      <c r="D2044" s="1" t="s">
        <v>37</v>
      </c>
      <c r="E2044" s="2">
        <v>44876</v>
      </c>
      <c r="F2044" s="2">
        <v>45001</v>
      </c>
      <c r="G2044" s="1" t="s">
        <v>62</v>
      </c>
      <c r="H2044">
        <v>1346</v>
      </c>
      <c r="I2044">
        <v>30</v>
      </c>
      <c r="J2044">
        <v>1</v>
      </c>
      <c r="K2044">
        <v>48.71</v>
      </c>
      <c r="L2044">
        <v>10</v>
      </c>
      <c r="M2044" s="1" t="s">
        <v>50</v>
      </c>
      <c r="N2044" s="1" t="s">
        <v>56</v>
      </c>
      <c r="O2044">
        <v>40245.4</v>
      </c>
      <c r="P2044" t="b">
        <v>1</v>
      </c>
      <c r="Q2044">
        <v>2.5</v>
      </c>
      <c r="R2044">
        <v>1341.5133333333333</v>
      </c>
      <c r="S2044">
        <v>24.355</v>
      </c>
      <c r="T2044" s="2">
        <v>44866</v>
      </c>
      <c r="U2044" s="1" t="s">
        <v>51</v>
      </c>
      <c r="V2044">
        <v>0</v>
      </c>
      <c r="W2044" s="1" t="s">
        <v>40</v>
      </c>
      <c r="X2044">
        <v>125</v>
      </c>
      <c r="Y2044" s="1" t="s">
        <v>52</v>
      </c>
      <c r="Z2044" s="1" t="s">
        <v>42</v>
      </c>
      <c r="AA2044">
        <v>3.2258064516129031E-2</v>
      </c>
      <c r="AB2044" s="1" t="s">
        <v>43</v>
      </c>
      <c r="AC2044">
        <v>2</v>
      </c>
      <c r="AD2044" s="2">
        <v>44866</v>
      </c>
      <c r="AE2044" s="1" t="s">
        <v>44</v>
      </c>
      <c r="AF2044" s="1" t="s">
        <v>54</v>
      </c>
      <c r="AG2044" s="1" t="s">
        <v>63</v>
      </c>
      <c r="AH2044" s="1" t="s">
        <v>47</v>
      </c>
      <c r="AI2044">
        <v>40380</v>
      </c>
      <c r="AJ2044">
        <v>-134.59999999999854</v>
      </c>
    </row>
    <row r="2045" spans="1:36" x14ac:dyDescent="0.25">
      <c r="A2045">
        <v>12044</v>
      </c>
      <c r="B2045">
        <v>64</v>
      </c>
      <c r="C2045" s="1" t="s">
        <v>60</v>
      </c>
      <c r="D2045" s="1" t="s">
        <v>61</v>
      </c>
      <c r="E2045" s="2">
        <v>45019</v>
      </c>
      <c r="F2045" s="2">
        <v>45111</v>
      </c>
      <c r="G2045" s="1" t="s">
        <v>49</v>
      </c>
      <c r="H2045">
        <v>343</v>
      </c>
      <c r="I2045">
        <v>13</v>
      </c>
      <c r="J2045">
        <v>0</v>
      </c>
      <c r="K2045">
        <v>101.41</v>
      </c>
      <c r="L2045">
        <v>20</v>
      </c>
      <c r="M2045" s="1" t="s">
        <v>39</v>
      </c>
      <c r="N2045" s="1" t="s">
        <v>56</v>
      </c>
      <c r="O2045">
        <v>4390.3999999999996</v>
      </c>
      <c r="P2045" t="b">
        <v>1</v>
      </c>
      <c r="Q2045">
        <v>1.0833333333333333</v>
      </c>
      <c r="R2045">
        <v>337.72307692307692</v>
      </c>
      <c r="S2045">
        <v>101.41</v>
      </c>
      <c r="T2045" s="2">
        <v>45017</v>
      </c>
      <c r="U2045" s="1" t="s">
        <v>41</v>
      </c>
      <c r="V2045">
        <v>0</v>
      </c>
      <c r="W2045" s="1" t="s">
        <v>56</v>
      </c>
      <c r="X2045">
        <v>92</v>
      </c>
      <c r="Y2045" s="1" t="s">
        <v>43</v>
      </c>
      <c r="Z2045" s="1" t="s">
        <v>52</v>
      </c>
      <c r="AA2045">
        <v>0</v>
      </c>
      <c r="AB2045" s="1" t="s">
        <v>42</v>
      </c>
      <c r="AC2045">
        <v>3</v>
      </c>
      <c r="AD2045" s="2">
        <v>45017</v>
      </c>
      <c r="AE2045" s="1" t="s">
        <v>53</v>
      </c>
      <c r="AF2045" s="1" t="s">
        <v>54</v>
      </c>
      <c r="AG2045" s="1" t="s">
        <v>63</v>
      </c>
      <c r="AH2045" s="1" t="s">
        <v>68</v>
      </c>
      <c r="AI2045">
        <v>4459</v>
      </c>
      <c r="AJ2045">
        <v>-68.600000000000364</v>
      </c>
    </row>
    <row r="2046" spans="1:36" x14ac:dyDescent="0.25">
      <c r="A2046">
        <v>12045</v>
      </c>
      <c r="B2046">
        <v>32</v>
      </c>
      <c r="C2046" s="1" t="s">
        <v>36</v>
      </c>
      <c r="D2046" s="1" t="s">
        <v>71</v>
      </c>
      <c r="E2046" s="2">
        <v>44817</v>
      </c>
      <c r="F2046" s="2">
        <v>44955</v>
      </c>
      <c r="G2046" s="1" t="s">
        <v>62</v>
      </c>
      <c r="H2046">
        <v>1119</v>
      </c>
      <c r="I2046">
        <v>16</v>
      </c>
      <c r="J2046">
        <v>3</v>
      </c>
      <c r="K2046">
        <v>34.840000000000003</v>
      </c>
      <c r="L2046">
        <v>5</v>
      </c>
      <c r="M2046" s="1" t="s">
        <v>65</v>
      </c>
      <c r="N2046" s="1" t="s">
        <v>56</v>
      </c>
      <c r="O2046">
        <v>17848.05</v>
      </c>
      <c r="P2046" t="b">
        <v>1</v>
      </c>
      <c r="Q2046">
        <v>1.3333333333333333</v>
      </c>
      <c r="R2046">
        <v>1115.503125</v>
      </c>
      <c r="S2046">
        <v>8.7100000000000009</v>
      </c>
      <c r="T2046" s="2">
        <v>44805</v>
      </c>
      <c r="U2046" s="1" t="s">
        <v>57</v>
      </c>
      <c r="V2046">
        <v>0</v>
      </c>
      <c r="W2046" s="1" t="s">
        <v>40</v>
      </c>
      <c r="X2046">
        <v>138</v>
      </c>
      <c r="Y2046" s="1" t="s">
        <v>52</v>
      </c>
      <c r="Z2046" s="1" t="s">
        <v>42</v>
      </c>
      <c r="AA2046">
        <v>0.17647058823529413</v>
      </c>
      <c r="AB2046" s="1" t="s">
        <v>52</v>
      </c>
      <c r="AC2046">
        <v>2</v>
      </c>
      <c r="AD2046" s="2">
        <v>44805</v>
      </c>
      <c r="AE2046" s="1" t="s">
        <v>53</v>
      </c>
      <c r="AF2046" s="1" t="s">
        <v>72</v>
      </c>
      <c r="AG2046" s="1" t="s">
        <v>55</v>
      </c>
      <c r="AH2046" s="1" t="s">
        <v>47</v>
      </c>
      <c r="AI2046">
        <v>17904</v>
      </c>
      <c r="AJ2046">
        <v>-55.950000000000728</v>
      </c>
    </row>
    <row r="2047" spans="1:36" x14ac:dyDescent="0.25">
      <c r="A2047">
        <v>12046</v>
      </c>
      <c r="B2047">
        <v>23</v>
      </c>
      <c r="C2047" s="1" t="s">
        <v>60</v>
      </c>
      <c r="D2047" s="1" t="s">
        <v>73</v>
      </c>
      <c r="E2047" s="2">
        <v>44915</v>
      </c>
      <c r="F2047" s="2">
        <v>44373</v>
      </c>
      <c r="G2047" s="1" t="s">
        <v>38</v>
      </c>
      <c r="H2047">
        <v>958</v>
      </c>
      <c r="I2047">
        <v>2</v>
      </c>
      <c r="J2047">
        <v>1</v>
      </c>
      <c r="K2047">
        <v>38.270000000000003</v>
      </c>
      <c r="L2047">
        <v>0</v>
      </c>
      <c r="M2047" s="1" t="s">
        <v>65</v>
      </c>
      <c r="N2047" s="1" t="s">
        <v>56</v>
      </c>
      <c r="O2047">
        <v>1916</v>
      </c>
      <c r="P2047" t="b">
        <v>0</v>
      </c>
      <c r="Q2047">
        <v>0.16666666666666666</v>
      </c>
      <c r="R2047">
        <v>958</v>
      </c>
      <c r="S2047">
        <v>19.135000000000002</v>
      </c>
      <c r="T2047" s="2">
        <v>44896</v>
      </c>
      <c r="U2047" s="1" t="s">
        <v>66</v>
      </c>
      <c r="V2047">
        <v>0</v>
      </c>
      <c r="W2047" s="1" t="s">
        <v>56</v>
      </c>
      <c r="Y2047" s="1" t="s">
        <v>52</v>
      </c>
      <c r="Z2047" s="1" t="s">
        <v>42</v>
      </c>
      <c r="AA2047">
        <v>0.33333333333333331</v>
      </c>
      <c r="AB2047" s="1" t="s">
        <v>42</v>
      </c>
      <c r="AC2047">
        <v>1</v>
      </c>
      <c r="AD2047" s="2">
        <v>44896</v>
      </c>
      <c r="AE2047" s="1" t="s">
        <v>58</v>
      </c>
      <c r="AF2047" s="1" t="s">
        <v>54</v>
      </c>
      <c r="AG2047" s="1" t="s">
        <v>55</v>
      </c>
      <c r="AH2047" s="1" t="s">
        <v>59</v>
      </c>
      <c r="AI2047">
        <v>1916</v>
      </c>
      <c r="AJ2047">
        <v>0</v>
      </c>
    </row>
    <row r="2048" spans="1:36" x14ac:dyDescent="0.25">
      <c r="A2048">
        <v>12047</v>
      </c>
      <c r="B2048">
        <v>61</v>
      </c>
      <c r="C2048" s="1" t="s">
        <v>36</v>
      </c>
      <c r="D2048" s="1" t="s">
        <v>48</v>
      </c>
      <c r="E2048" s="2">
        <v>44496</v>
      </c>
      <c r="F2048" s="2">
        <v>44970</v>
      </c>
      <c r="G2048" s="1" t="s">
        <v>38</v>
      </c>
      <c r="H2048">
        <v>1027</v>
      </c>
      <c r="I2048">
        <v>18</v>
      </c>
      <c r="J2048">
        <v>1</v>
      </c>
      <c r="K2048">
        <v>82.95</v>
      </c>
      <c r="L2048">
        <v>5</v>
      </c>
      <c r="M2048" s="1" t="s">
        <v>67</v>
      </c>
      <c r="N2048" s="1" t="s">
        <v>56</v>
      </c>
      <c r="O2048">
        <v>18434.650000000001</v>
      </c>
      <c r="P2048" t="b">
        <v>1</v>
      </c>
      <c r="Q2048">
        <v>1.5</v>
      </c>
      <c r="R2048">
        <v>1024.1472222222224</v>
      </c>
      <c r="S2048">
        <v>41.475000000000001</v>
      </c>
      <c r="T2048" s="2">
        <v>44470</v>
      </c>
      <c r="U2048" s="1" t="s">
        <v>41</v>
      </c>
      <c r="V2048">
        <v>0</v>
      </c>
      <c r="W2048" s="1" t="s">
        <v>40</v>
      </c>
      <c r="X2048">
        <v>474</v>
      </c>
      <c r="Y2048" s="1" t="s">
        <v>43</v>
      </c>
      <c r="Z2048" s="1" t="s">
        <v>42</v>
      </c>
      <c r="AA2048">
        <v>5.2631578947368418E-2</v>
      </c>
      <c r="AB2048" s="1" t="s">
        <v>52</v>
      </c>
      <c r="AC2048">
        <v>1</v>
      </c>
      <c r="AD2048" s="2">
        <v>44470</v>
      </c>
      <c r="AE2048" s="1" t="s">
        <v>53</v>
      </c>
      <c r="AF2048" s="1" t="s">
        <v>54</v>
      </c>
      <c r="AG2048" s="1" t="s">
        <v>63</v>
      </c>
      <c r="AH2048" s="1" t="s">
        <v>47</v>
      </c>
      <c r="AI2048">
        <v>18486</v>
      </c>
      <c r="AJ2048">
        <v>-51.349999999998545</v>
      </c>
    </row>
    <row r="2049" spans="1:36" x14ac:dyDescent="0.25">
      <c r="A2049">
        <v>12048</v>
      </c>
      <c r="B2049">
        <v>37</v>
      </c>
      <c r="C2049" s="1" t="s">
        <v>36</v>
      </c>
      <c r="D2049" s="1" t="s">
        <v>61</v>
      </c>
      <c r="E2049" s="2">
        <v>44818</v>
      </c>
      <c r="F2049" s="2">
        <v>44801</v>
      </c>
      <c r="G2049" s="1" t="s">
        <v>62</v>
      </c>
      <c r="H2049">
        <v>1151</v>
      </c>
      <c r="I2049">
        <v>35</v>
      </c>
      <c r="J2049">
        <v>4</v>
      </c>
      <c r="K2049">
        <v>29.46</v>
      </c>
      <c r="L2049">
        <v>0</v>
      </c>
      <c r="M2049" s="1" t="s">
        <v>67</v>
      </c>
      <c r="N2049" s="1" t="s">
        <v>56</v>
      </c>
      <c r="O2049">
        <v>40285</v>
      </c>
      <c r="P2049" t="b">
        <v>0</v>
      </c>
      <c r="Q2049">
        <v>2.9166666666666665</v>
      </c>
      <c r="R2049">
        <v>1151</v>
      </c>
      <c r="S2049">
        <v>5.8920000000000003</v>
      </c>
      <c r="T2049" s="2">
        <v>44805</v>
      </c>
      <c r="U2049" s="1" t="s">
        <v>51</v>
      </c>
      <c r="V2049">
        <v>0</v>
      </c>
      <c r="W2049" s="1" t="s">
        <v>40</v>
      </c>
      <c r="Y2049" s="1" t="s">
        <v>52</v>
      </c>
      <c r="Z2049" s="1" t="s">
        <v>42</v>
      </c>
      <c r="AA2049">
        <v>0.1111111111111111</v>
      </c>
      <c r="AB2049" s="1" t="s">
        <v>43</v>
      </c>
      <c r="AC2049">
        <v>2</v>
      </c>
      <c r="AD2049" s="2">
        <v>44805</v>
      </c>
      <c r="AE2049" s="1" t="s">
        <v>44</v>
      </c>
      <c r="AF2049" s="1" t="s">
        <v>45</v>
      </c>
      <c r="AG2049" s="1" t="s">
        <v>70</v>
      </c>
      <c r="AH2049" s="1" t="s">
        <v>47</v>
      </c>
      <c r="AI2049">
        <v>40285</v>
      </c>
      <c r="AJ2049">
        <v>0</v>
      </c>
    </row>
    <row r="2050" spans="1:36" x14ac:dyDescent="0.25">
      <c r="A2050">
        <v>12049</v>
      </c>
      <c r="B2050">
        <v>31</v>
      </c>
      <c r="C2050" s="1" t="s">
        <v>60</v>
      </c>
      <c r="D2050" s="1" t="s">
        <v>61</v>
      </c>
      <c r="E2050" s="2">
        <v>44392</v>
      </c>
      <c r="F2050" s="2">
        <v>44982</v>
      </c>
      <c r="G2050" s="1" t="s">
        <v>38</v>
      </c>
      <c r="H2050">
        <v>346</v>
      </c>
      <c r="I2050">
        <v>19</v>
      </c>
      <c r="J2050">
        <v>2</v>
      </c>
      <c r="K2050">
        <v>31.35</v>
      </c>
      <c r="L2050">
        <v>0</v>
      </c>
      <c r="M2050" s="1" t="s">
        <v>50</v>
      </c>
      <c r="N2050" s="1" t="s">
        <v>56</v>
      </c>
      <c r="O2050">
        <v>6574</v>
      </c>
      <c r="P2050" t="b">
        <v>1</v>
      </c>
      <c r="Q2050">
        <v>1.5833333333333333</v>
      </c>
      <c r="R2050">
        <v>346</v>
      </c>
      <c r="S2050">
        <v>10.450000000000001</v>
      </c>
      <c r="T2050" s="2">
        <v>44378</v>
      </c>
      <c r="U2050" s="1" t="s">
        <v>57</v>
      </c>
      <c r="V2050">
        <v>0</v>
      </c>
      <c r="W2050" s="1" t="s">
        <v>56</v>
      </c>
      <c r="X2050">
        <v>590</v>
      </c>
      <c r="Y2050" s="1" t="s">
        <v>52</v>
      </c>
      <c r="Z2050" s="1" t="s">
        <v>42</v>
      </c>
      <c r="AA2050">
        <v>0.1</v>
      </c>
      <c r="AB2050" s="1" t="s">
        <v>42</v>
      </c>
      <c r="AC2050">
        <v>1</v>
      </c>
      <c r="AD2050" s="2">
        <v>44378</v>
      </c>
      <c r="AE2050" s="1" t="s">
        <v>53</v>
      </c>
      <c r="AF2050" s="1" t="s">
        <v>72</v>
      </c>
      <c r="AG2050" s="1" t="s">
        <v>55</v>
      </c>
      <c r="AH2050" s="1" t="s">
        <v>68</v>
      </c>
      <c r="AI2050">
        <v>6574</v>
      </c>
      <c r="AJ2050">
        <v>0</v>
      </c>
    </row>
    <row r="2051" spans="1:36" x14ac:dyDescent="0.25">
      <c r="A2051">
        <v>12050</v>
      </c>
      <c r="B2051">
        <v>19</v>
      </c>
      <c r="C2051" s="1" t="s">
        <v>36</v>
      </c>
      <c r="D2051" s="1" t="s">
        <v>71</v>
      </c>
      <c r="E2051" s="2">
        <v>44613</v>
      </c>
      <c r="F2051" s="2">
        <v>44533</v>
      </c>
      <c r="G2051" s="1" t="s">
        <v>62</v>
      </c>
      <c r="H2051">
        <v>1119</v>
      </c>
      <c r="I2051">
        <v>13</v>
      </c>
      <c r="J2051">
        <v>1</v>
      </c>
      <c r="K2051">
        <v>40.11</v>
      </c>
      <c r="L2051">
        <v>5</v>
      </c>
      <c r="M2051" s="1" t="s">
        <v>67</v>
      </c>
      <c r="N2051" s="1" t="s">
        <v>40</v>
      </c>
      <c r="O2051">
        <v>14491.05</v>
      </c>
      <c r="P2051" t="b">
        <v>0</v>
      </c>
      <c r="Q2051">
        <v>1.0833333333333333</v>
      </c>
      <c r="R2051">
        <v>1114.6961538461537</v>
      </c>
      <c r="S2051">
        <v>20.055</v>
      </c>
      <c r="T2051" s="2">
        <v>44593</v>
      </c>
      <c r="U2051" s="1" t="s">
        <v>66</v>
      </c>
      <c r="V2051">
        <v>1</v>
      </c>
      <c r="W2051" s="1" t="s">
        <v>40</v>
      </c>
      <c r="Y2051" s="1" t="s">
        <v>52</v>
      </c>
      <c r="Z2051" s="1" t="s">
        <v>42</v>
      </c>
      <c r="AA2051">
        <v>7.1428571428571425E-2</v>
      </c>
      <c r="AB2051" s="1" t="s">
        <v>52</v>
      </c>
      <c r="AC2051">
        <v>2</v>
      </c>
      <c r="AD2051" s="2">
        <v>44593</v>
      </c>
      <c r="AE2051" s="1" t="s">
        <v>53</v>
      </c>
      <c r="AF2051" s="1" t="s">
        <v>54</v>
      </c>
      <c r="AG2051" s="1" t="s">
        <v>55</v>
      </c>
      <c r="AH2051" s="1" t="s">
        <v>47</v>
      </c>
      <c r="AI2051">
        <v>14547</v>
      </c>
      <c r="AJ2051">
        <v>-55.950000000000728</v>
      </c>
    </row>
    <row r="2052" spans="1:36" x14ac:dyDescent="0.25">
      <c r="A2052">
        <v>12051</v>
      </c>
      <c r="B2052">
        <v>26</v>
      </c>
      <c r="C2052" s="1" t="s">
        <v>60</v>
      </c>
      <c r="D2052" s="1" t="s">
        <v>69</v>
      </c>
      <c r="E2052" s="2">
        <v>44860</v>
      </c>
      <c r="F2052" s="2">
        <v>44831</v>
      </c>
      <c r="G2052" s="1" t="s">
        <v>38</v>
      </c>
      <c r="H2052">
        <v>1347</v>
      </c>
      <c r="I2052">
        <v>4</v>
      </c>
      <c r="J2052">
        <v>3</v>
      </c>
      <c r="K2052">
        <v>83.08</v>
      </c>
      <c r="L2052">
        <v>0</v>
      </c>
      <c r="M2052" s="1" t="s">
        <v>50</v>
      </c>
      <c r="N2052" s="1" t="s">
        <v>56</v>
      </c>
      <c r="O2052">
        <v>5388</v>
      </c>
      <c r="P2052" t="b">
        <v>0</v>
      </c>
      <c r="Q2052">
        <v>0.33333333333333331</v>
      </c>
      <c r="R2052">
        <v>1347</v>
      </c>
      <c r="S2052">
        <v>20.77</v>
      </c>
      <c r="T2052" s="2">
        <v>44835</v>
      </c>
      <c r="U2052" s="1" t="s">
        <v>57</v>
      </c>
      <c r="V2052">
        <v>0</v>
      </c>
      <c r="W2052" s="1" t="s">
        <v>56</v>
      </c>
      <c r="Y2052" s="1" t="s">
        <v>43</v>
      </c>
      <c r="Z2052" s="1" t="s">
        <v>42</v>
      </c>
      <c r="AA2052">
        <v>0.6</v>
      </c>
      <c r="AB2052" s="1" t="s">
        <v>42</v>
      </c>
      <c r="AC2052">
        <v>1</v>
      </c>
      <c r="AD2052" s="2">
        <v>44835</v>
      </c>
      <c r="AE2052" s="1" t="s">
        <v>58</v>
      </c>
      <c r="AF2052" s="1" t="s">
        <v>72</v>
      </c>
      <c r="AG2052" s="1" t="s">
        <v>63</v>
      </c>
      <c r="AH2052" s="1" t="s">
        <v>47</v>
      </c>
      <c r="AI2052">
        <v>5388</v>
      </c>
      <c r="AJ2052">
        <v>0</v>
      </c>
    </row>
    <row r="2053" spans="1:36" x14ac:dyDescent="0.25">
      <c r="A2053">
        <v>12052</v>
      </c>
      <c r="B2053">
        <v>54</v>
      </c>
      <c r="C2053" s="1" t="s">
        <v>60</v>
      </c>
      <c r="D2053" s="1" t="s">
        <v>73</v>
      </c>
      <c r="E2053" s="2">
        <v>44616</v>
      </c>
      <c r="F2053" s="2">
        <v>45027</v>
      </c>
      <c r="G2053" s="1" t="s">
        <v>49</v>
      </c>
      <c r="H2053">
        <v>388</v>
      </c>
      <c r="I2053">
        <v>19</v>
      </c>
      <c r="J2053">
        <v>1</v>
      </c>
      <c r="K2053">
        <v>107.28</v>
      </c>
      <c r="L2053">
        <v>5</v>
      </c>
      <c r="M2053" s="1" t="s">
        <v>50</v>
      </c>
      <c r="N2053" s="1" t="s">
        <v>56</v>
      </c>
      <c r="O2053">
        <v>7352.6</v>
      </c>
      <c r="P2053" t="b">
        <v>1</v>
      </c>
      <c r="Q2053">
        <v>1.5833333333333333</v>
      </c>
      <c r="R2053">
        <v>386.97894736842107</v>
      </c>
      <c r="S2053">
        <v>53.64</v>
      </c>
      <c r="T2053" s="2">
        <v>44593</v>
      </c>
      <c r="U2053" s="1" t="s">
        <v>41</v>
      </c>
      <c r="V2053">
        <v>0</v>
      </c>
      <c r="W2053" s="1" t="s">
        <v>56</v>
      </c>
      <c r="X2053">
        <v>411</v>
      </c>
      <c r="Y2053" s="1" t="s">
        <v>43</v>
      </c>
      <c r="Z2053" s="1" t="s">
        <v>42</v>
      </c>
      <c r="AA2053">
        <v>0.05</v>
      </c>
      <c r="AB2053" s="1" t="s">
        <v>42</v>
      </c>
      <c r="AC2053">
        <v>3</v>
      </c>
      <c r="AD2053" s="2">
        <v>44593</v>
      </c>
      <c r="AE2053" s="1" t="s">
        <v>53</v>
      </c>
      <c r="AF2053" s="1" t="s">
        <v>54</v>
      </c>
      <c r="AG2053" s="1" t="s">
        <v>63</v>
      </c>
      <c r="AH2053" s="1" t="s">
        <v>68</v>
      </c>
      <c r="AI2053">
        <v>7372</v>
      </c>
      <c r="AJ2053">
        <v>-19.399999999999636</v>
      </c>
    </row>
    <row r="2054" spans="1:36" x14ac:dyDescent="0.25">
      <c r="A2054">
        <v>12053</v>
      </c>
      <c r="B2054">
        <v>41</v>
      </c>
      <c r="C2054" s="1" t="s">
        <v>60</v>
      </c>
      <c r="D2054" s="1" t="s">
        <v>73</v>
      </c>
      <c r="E2054" s="2">
        <v>44951</v>
      </c>
      <c r="F2054" s="2">
        <v>44398</v>
      </c>
      <c r="G2054" s="1" t="s">
        <v>62</v>
      </c>
      <c r="H2054">
        <v>1497</v>
      </c>
      <c r="I2054">
        <v>25</v>
      </c>
      <c r="J2054">
        <v>3</v>
      </c>
      <c r="K2054">
        <v>82.58</v>
      </c>
      <c r="L2054">
        <v>5</v>
      </c>
      <c r="M2054" s="1" t="s">
        <v>67</v>
      </c>
      <c r="N2054" s="1" t="s">
        <v>40</v>
      </c>
      <c r="O2054">
        <v>37350.15</v>
      </c>
      <c r="P2054" t="b">
        <v>0</v>
      </c>
      <c r="Q2054">
        <v>2.0833333333333335</v>
      </c>
      <c r="R2054">
        <v>1494.0060000000001</v>
      </c>
      <c r="S2054">
        <v>20.645</v>
      </c>
      <c r="T2054" s="2">
        <v>44927</v>
      </c>
      <c r="U2054" s="1" t="s">
        <v>51</v>
      </c>
      <c r="V2054">
        <v>1</v>
      </c>
      <c r="W2054" s="1" t="s">
        <v>40</v>
      </c>
      <c r="Y2054" s="1" t="s">
        <v>43</v>
      </c>
      <c r="Z2054" s="1" t="s">
        <v>42</v>
      </c>
      <c r="AA2054">
        <v>0.11538461538461539</v>
      </c>
      <c r="AB2054" s="1" t="s">
        <v>43</v>
      </c>
      <c r="AC2054">
        <v>2</v>
      </c>
      <c r="AD2054" s="2">
        <v>44927</v>
      </c>
      <c r="AE2054" s="1" t="s">
        <v>44</v>
      </c>
      <c r="AF2054" s="1" t="s">
        <v>72</v>
      </c>
      <c r="AG2054" s="1" t="s">
        <v>63</v>
      </c>
      <c r="AH2054" s="1" t="s">
        <v>47</v>
      </c>
      <c r="AI2054">
        <v>37425</v>
      </c>
      <c r="AJ2054">
        <v>-74.849999999998545</v>
      </c>
    </row>
    <row r="2055" spans="1:36" x14ac:dyDescent="0.25">
      <c r="A2055">
        <v>12054</v>
      </c>
      <c r="B2055">
        <v>43</v>
      </c>
      <c r="C2055" s="1" t="s">
        <v>60</v>
      </c>
      <c r="D2055" s="1" t="s">
        <v>48</v>
      </c>
      <c r="E2055" s="2">
        <v>44836</v>
      </c>
      <c r="F2055" s="2">
        <v>45238</v>
      </c>
      <c r="G2055" s="1" t="s">
        <v>62</v>
      </c>
      <c r="H2055">
        <v>1442</v>
      </c>
      <c r="I2055">
        <v>31</v>
      </c>
      <c r="J2055">
        <v>4</v>
      </c>
      <c r="K2055">
        <v>100.2</v>
      </c>
      <c r="L2055">
        <v>15</v>
      </c>
      <c r="M2055" s="1" t="s">
        <v>50</v>
      </c>
      <c r="N2055" s="1" t="s">
        <v>56</v>
      </c>
      <c r="O2055">
        <v>44485.7</v>
      </c>
      <c r="P2055" t="b">
        <v>1</v>
      </c>
      <c r="Q2055">
        <v>2.5833333333333335</v>
      </c>
      <c r="R2055">
        <v>1435.0225806451613</v>
      </c>
      <c r="S2055">
        <v>20.04</v>
      </c>
      <c r="T2055" s="2">
        <v>44835</v>
      </c>
      <c r="U2055" s="1" t="s">
        <v>51</v>
      </c>
      <c r="V2055">
        <v>0</v>
      </c>
      <c r="W2055" s="1" t="s">
        <v>40</v>
      </c>
      <c r="X2055">
        <v>402</v>
      </c>
      <c r="Y2055" s="1" t="s">
        <v>43</v>
      </c>
      <c r="Z2055" s="1" t="s">
        <v>42</v>
      </c>
      <c r="AA2055">
        <v>0.125</v>
      </c>
      <c r="AB2055" s="1" t="s">
        <v>43</v>
      </c>
      <c r="AC2055">
        <v>2</v>
      </c>
      <c r="AD2055" s="2">
        <v>44835</v>
      </c>
      <c r="AE2055" s="1" t="s">
        <v>44</v>
      </c>
      <c r="AF2055" s="1" t="s">
        <v>45</v>
      </c>
      <c r="AG2055" s="1" t="s">
        <v>63</v>
      </c>
      <c r="AH2055" s="1" t="s">
        <v>47</v>
      </c>
      <c r="AI2055">
        <v>44702</v>
      </c>
      <c r="AJ2055">
        <v>-216.30000000000291</v>
      </c>
    </row>
    <row r="2056" spans="1:36" x14ac:dyDescent="0.25">
      <c r="A2056">
        <v>12055</v>
      </c>
      <c r="B2056">
        <v>46</v>
      </c>
      <c r="C2056" s="1" t="s">
        <v>36</v>
      </c>
      <c r="D2056" s="1" t="s">
        <v>61</v>
      </c>
      <c r="E2056" s="2">
        <v>44813</v>
      </c>
      <c r="F2056" s="2">
        <v>44352</v>
      </c>
      <c r="G2056" s="1" t="s">
        <v>38</v>
      </c>
      <c r="H2056">
        <v>1034</v>
      </c>
      <c r="I2056">
        <v>4</v>
      </c>
      <c r="J2056">
        <v>4</v>
      </c>
      <c r="K2056">
        <v>67.510000000000005</v>
      </c>
      <c r="L2056">
        <v>20</v>
      </c>
      <c r="M2056" s="1" t="s">
        <v>39</v>
      </c>
      <c r="N2056" s="1" t="s">
        <v>56</v>
      </c>
      <c r="O2056">
        <v>3929.2</v>
      </c>
      <c r="P2056" t="b">
        <v>0</v>
      </c>
      <c r="Q2056">
        <v>0.33333333333333331</v>
      </c>
      <c r="R2056">
        <v>982.3</v>
      </c>
      <c r="S2056">
        <v>13.502000000000001</v>
      </c>
      <c r="T2056" s="2">
        <v>44805</v>
      </c>
      <c r="U2056" s="1" t="s">
        <v>51</v>
      </c>
      <c r="V2056">
        <v>0</v>
      </c>
      <c r="W2056" s="1" t="s">
        <v>56</v>
      </c>
      <c r="Y2056" s="1" t="s">
        <v>43</v>
      </c>
      <c r="Z2056" s="1" t="s">
        <v>52</v>
      </c>
      <c r="AA2056">
        <v>0.8</v>
      </c>
      <c r="AB2056" s="1" t="s">
        <v>42</v>
      </c>
      <c r="AC2056">
        <v>1</v>
      </c>
      <c r="AD2056" s="2">
        <v>44805</v>
      </c>
      <c r="AE2056" s="1" t="s">
        <v>58</v>
      </c>
      <c r="AF2056" s="1" t="s">
        <v>45</v>
      </c>
      <c r="AG2056" s="1" t="s">
        <v>63</v>
      </c>
      <c r="AH2056" s="1" t="s">
        <v>47</v>
      </c>
      <c r="AI2056">
        <v>4136</v>
      </c>
      <c r="AJ2056">
        <v>-206.80000000000018</v>
      </c>
    </row>
    <row r="2057" spans="1:36" x14ac:dyDescent="0.25">
      <c r="A2057">
        <v>12056</v>
      </c>
      <c r="B2057">
        <v>18</v>
      </c>
      <c r="C2057" s="1" t="s">
        <v>36</v>
      </c>
      <c r="D2057" s="1" t="s">
        <v>37</v>
      </c>
      <c r="E2057" s="2">
        <v>44718</v>
      </c>
      <c r="F2057" s="2">
        <v>44936</v>
      </c>
      <c r="G2057" s="1" t="s">
        <v>38</v>
      </c>
      <c r="H2057">
        <v>477</v>
      </c>
      <c r="I2057">
        <v>7</v>
      </c>
      <c r="J2057">
        <v>1</v>
      </c>
      <c r="K2057">
        <v>12.93</v>
      </c>
      <c r="L2057">
        <v>0</v>
      </c>
      <c r="M2057" s="1" t="s">
        <v>50</v>
      </c>
      <c r="N2057" s="1" t="s">
        <v>56</v>
      </c>
      <c r="O2057">
        <v>3339</v>
      </c>
      <c r="P2057" t="b">
        <v>1</v>
      </c>
      <c r="Q2057">
        <v>0.58333333333333337</v>
      </c>
      <c r="R2057">
        <v>477</v>
      </c>
      <c r="S2057">
        <v>6.4649999999999999</v>
      </c>
      <c r="T2057" s="2">
        <v>44713</v>
      </c>
      <c r="U2057" s="1" t="s">
        <v>66</v>
      </c>
      <c r="V2057">
        <v>0</v>
      </c>
      <c r="W2057" s="1" t="s">
        <v>56</v>
      </c>
      <c r="X2057">
        <v>218</v>
      </c>
      <c r="Y2057" s="1" t="s">
        <v>42</v>
      </c>
      <c r="Z2057" s="1" t="s">
        <v>42</v>
      </c>
      <c r="AA2057">
        <v>0.125</v>
      </c>
      <c r="AB2057" s="1" t="s">
        <v>42</v>
      </c>
      <c r="AC2057">
        <v>1</v>
      </c>
      <c r="AD2057" s="2">
        <v>44713</v>
      </c>
      <c r="AE2057" s="1" t="s">
        <v>74</v>
      </c>
      <c r="AF2057" s="1" t="s">
        <v>54</v>
      </c>
      <c r="AG2057" s="1" t="s">
        <v>46</v>
      </c>
      <c r="AH2057" s="1" t="s">
        <v>68</v>
      </c>
      <c r="AI2057">
        <v>3339</v>
      </c>
      <c r="AJ2057">
        <v>0</v>
      </c>
    </row>
    <row r="2058" spans="1:36" x14ac:dyDescent="0.25">
      <c r="A2058">
        <v>12057</v>
      </c>
      <c r="B2058">
        <v>52</v>
      </c>
      <c r="C2058" s="1" t="s">
        <v>36</v>
      </c>
      <c r="D2058" s="1" t="s">
        <v>61</v>
      </c>
      <c r="E2058" s="2">
        <v>44552</v>
      </c>
      <c r="F2058" s="2">
        <v>44507</v>
      </c>
      <c r="G2058" s="1" t="s">
        <v>62</v>
      </c>
      <c r="H2058">
        <v>1318</v>
      </c>
      <c r="I2058">
        <v>16</v>
      </c>
      <c r="J2058">
        <v>4</v>
      </c>
      <c r="K2058">
        <v>16.55</v>
      </c>
      <c r="L2058">
        <v>5</v>
      </c>
      <c r="M2058" s="1" t="s">
        <v>65</v>
      </c>
      <c r="N2058" s="1" t="s">
        <v>56</v>
      </c>
      <c r="O2058">
        <v>21022.1</v>
      </c>
      <c r="P2058" t="b">
        <v>0</v>
      </c>
      <c r="Q2058">
        <v>1.3333333333333333</v>
      </c>
      <c r="R2058">
        <v>1313.8812499999999</v>
      </c>
      <c r="S2058">
        <v>3.31</v>
      </c>
      <c r="T2058" s="2">
        <v>44531</v>
      </c>
      <c r="U2058" s="1" t="s">
        <v>41</v>
      </c>
      <c r="V2058">
        <v>0</v>
      </c>
      <c r="W2058" s="1" t="s">
        <v>40</v>
      </c>
      <c r="Y2058" s="1" t="s">
        <v>42</v>
      </c>
      <c r="Z2058" s="1" t="s">
        <v>42</v>
      </c>
      <c r="AA2058">
        <v>0.23529411764705882</v>
      </c>
      <c r="AB2058" s="1" t="s">
        <v>43</v>
      </c>
      <c r="AC2058">
        <v>2</v>
      </c>
      <c r="AD2058" s="2">
        <v>44531</v>
      </c>
      <c r="AE2058" s="1" t="s">
        <v>53</v>
      </c>
      <c r="AF2058" s="1" t="s">
        <v>45</v>
      </c>
      <c r="AG2058" s="1" t="s">
        <v>46</v>
      </c>
      <c r="AH2058" s="1" t="s">
        <v>47</v>
      </c>
      <c r="AI2058">
        <v>21088</v>
      </c>
      <c r="AJ2058">
        <v>-65.900000000001455</v>
      </c>
    </row>
    <row r="2059" spans="1:36" x14ac:dyDescent="0.25">
      <c r="A2059">
        <v>12058</v>
      </c>
      <c r="B2059">
        <v>23</v>
      </c>
      <c r="C2059" s="1" t="s">
        <v>36</v>
      </c>
      <c r="D2059" s="1" t="s">
        <v>48</v>
      </c>
      <c r="E2059" s="2">
        <v>44344</v>
      </c>
      <c r="F2059" s="2">
        <v>44555</v>
      </c>
      <c r="G2059" s="1" t="s">
        <v>62</v>
      </c>
      <c r="H2059">
        <v>1382</v>
      </c>
      <c r="I2059">
        <v>5</v>
      </c>
      <c r="J2059">
        <v>0</v>
      </c>
      <c r="K2059">
        <v>68.760000000000005</v>
      </c>
      <c r="L2059">
        <v>0</v>
      </c>
      <c r="M2059" s="1" t="s">
        <v>65</v>
      </c>
      <c r="N2059" s="1" t="s">
        <v>40</v>
      </c>
      <c r="O2059">
        <v>6910</v>
      </c>
      <c r="P2059" t="b">
        <v>1</v>
      </c>
      <c r="Q2059">
        <v>0.41666666666666669</v>
      </c>
      <c r="R2059">
        <v>1382</v>
      </c>
      <c r="S2059">
        <v>68.760000000000005</v>
      </c>
      <c r="T2059" s="2">
        <v>44317</v>
      </c>
      <c r="U2059" s="1" t="s">
        <v>66</v>
      </c>
      <c r="V2059">
        <v>1</v>
      </c>
      <c r="W2059" s="1" t="s">
        <v>56</v>
      </c>
      <c r="X2059">
        <v>211</v>
      </c>
      <c r="Y2059" s="1" t="s">
        <v>43</v>
      </c>
      <c r="Z2059" s="1" t="s">
        <v>42</v>
      </c>
      <c r="AA2059">
        <v>0</v>
      </c>
      <c r="AB2059" s="1" t="s">
        <v>42</v>
      </c>
      <c r="AC2059">
        <v>2</v>
      </c>
      <c r="AD2059" s="2">
        <v>44317</v>
      </c>
      <c r="AE2059" s="1" t="s">
        <v>58</v>
      </c>
      <c r="AF2059" s="1" t="s">
        <v>54</v>
      </c>
      <c r="AG2059" s="1" t="s">
        <v>63</v>
      </c>
      <c r="AH2059" s="1" t="s">
        <v>47</v>
      </c>
      <c r="AI2059">
        <v>6910</v>
      </c>
      <c r="AJ2059">
        <v>0</v>
      </c>
    </row>
    <row r="2060" spans="1:36" x14ac:dyDescent="0.25">
      <c r="A2060">
        <v>12059</v>
      </c>
      <c r="B2060">
        <v>54</v>
      </c>
      <c r="C2060" s="1" t="s">
        <v>36</v>
      </c>
      <c r="D2060" s="1" t="s">
        <v>76</v>
      </c>
      <c r="E2060" s="2">
        <v>44561</v>
      </c>
      <c r="F2060" s="2">
        <v>44604</v>
      </c>
      <c r="G2060" s="1" t="s">
        <v>38</v>
      </c>
      <c r="H2060">
        <v>1200</v>
      </c>
      <c r="I2060">
        <v>23</v>
      </c>
      <c r="J2060">
        <v>0</v>
      </c>
      <c r="K2060">
        <v>42.7</v>
      </c>
      <c r="L2060">
        <v>10</v>
      </c>
      <c r="M2060" s="1" t="s">
        <v>65</v>
      </c>
      <c r="N2060" s="1" t="s">
        <v>56</v>
      </c>
      <c r="O2060">
        <v>27540</v>
      </c>
      <c r="P2060" t="b">
        <v>1</v>
      </c>
      <c r="Q2060">
        <v>1.9166666666666667</v>
      </c>
      <c r="R2060">
        <v>1197.391304347826</v>
      </c>
      <c r="S2060">
        <v>42.7</v>
      </c>
      <c r="T2060" s="2">
        <v>44531</v>
      </c>
      <c r="U2060" s="1" t="s">
        <v>41</v>
      </c>
      <c r="V2060">
        <v>0</v>
      </c>
      <c r="W2060" s="1" t="s">
        <v>40</v>
      </c>
      <c r="X2060">
        <v>43</v>
      </c>
      <c r="Y2060" s="1" t="s">
        <v>52</v>
      </c>
      <c r="Z2060" s="1" t="s">
        <v>42</v>
      </c>
      <c r="AA2060">
        <v>0</v>
      </c>
      <c r="AB2060" s="1" t="s">
        <v>43</v>
      </c>
      <c r="AC2060">
        <v>1</v>
      </c>
      <c r="AD2060" s="2">
        <v>44531</v>
      </c>
      <c r="AE2060" s="1" t="s">
        <v>53</v>
      </c>
      <c r="AF2060" s="1" t="s">
        <v>54</v>
      </c>
      <c r="AG2060" s="1" t="s">
        <v>55</v>
      </c>
      <c r="AH2060" s="1" t="s">
        <v>47</v>
      </c>
      <c r="AI2060">
        <v>27600</v>
      </c>
      <c r="AJ2060">
        <v>-60</v>
      </c>
    </row>
    <row r="2061" spans="1:36" x14ac:dyDescent="0.25">
      <c r="A2061">
        <v>12060</v>
      </c>
      <c r="B2061">
        <v>22</v>
      </c>
      <c r="C2061" s="1" t="s">
        <v>60</v>
      </c>
      <c r="D2061" s="1" t="s">
        <v>71</v>
      </c>
      <c r="E2061" s="2">
        <v>44560</v>
      </c>
      <c r="F2061" s="2">
        <v>44552</v>
      </c>
      <c r="G2061" s="1" t="s">
        <v>38</v>
      </c>
      <c r="H2061">
        <v>737</v>
      </c>
      <c r="I2061">
        <v>32</v>
      </c>
      <c r="J2061">
        <v>0</v>
      </c>
      <c r="K2061">
        <v>30.37</v>
      </c>
      <c r="L2061">
        <v>5</v>
      </c>
      <c r="M2061" s="1" t="s">
        <v>67</v>
      </c>
      <c r="N2061" s="1" t="s">
        <v>40</v>
      </c>
      <c r="O2061">
        <v>23547.15</v>
      </c>
      <c r="P2061" t="b">
        <v>0</v>
      </c>
      <c r="Q2061">
        <v>2.6666666666666665</v>
      </c>
      <c r="R2061">
        <v>735.84843750000005</v>
      </c>
      <c r="S2061">
        <v>30.37</v>
      </c>
      <c r="T2061" s="2">
        <v>44531</v>
      </c>
      <c r="U2061" s="1" t="s">
        <v>66</v>
      </c>
      <c r="V2061">
        <v>1</v>
      </c>
      <c r="W2061" s="1" t="s">
        <v>40</v>
      </c>
      <c r="Y2061" s="1" t="s">
        <v>52</v>
      </c>
      <c r="Z2061" s="1" t="s">
        <v>42</v>
      </c>
      <c r="AA2061">
        <v>0</v>
      </c>
      <c r="AB2061" s="1" t="s">
        <v>43</v>
      </c>
      <c r="AC2061">
        <v>1</v>
      </c>
      <c r="AD2061" s="2">
        <v>44531</v>
      </c>
      <c r="AE2061" s="1" t="s">
        <v>44</v>
      </c>
      <c r="AF2061" s="1" t="s">
        <v>54</v>
      </c>
      <c r="AG2061" s="1" t="s">
        <v>55</v>
      </c>
      <c r="AH2061" s="1" t="s">
        <v>59</v>
      </c>
      <c r="AI2061">
        <v>23584</v>
      </c>
      <c r="AJ2061">
        <v>-36.849999999998545</v>
      </c>
    </row>
    <row r="2062" spans="1:36" x14ac:dyDescent="0.25">
      <c r="A2062">
        <v>12061</v>
      </c>
      <c r="B2062">
        <v>50</v>
      </c>
      <c r="C2062" s="1" t="s">
        <v>36</v>
      </c>
      <c r="D2062" s="1" t="s">
        <v>61</v>
      </c>
      <c r="E2062" s="2">
        <v>44848</v>
      </c>
      <c r="F2062" s="2">
        <v>45114</v>
      </c>
      <c r="G2062" s="1" t="s">
        <v>38</v>
      </c>
      <c r="H2062">
        <v>725</v>
      </c>
      <c r="I2062">
        <v>24</v>
      </c>
      <c r="J2062">
        <v>1</v>
      </c>
      <c r="K2062">
        <v>58.62</v>
      </c>
      <c r="L2062">
        <v>5</v>
      </c>
      <c r="M2062" s="1" t="s">
        <v>65</v>
      </c>
      <c r="N2062" s="1" t="s">
        <v>56</v>
      </c>
      <c r="O2062">
        <v>17363.75</v>
      </c>
      <c r="P2062" t="b">
        <v>1</v>
      </c>
      <c r="Q2062">
        <v>2</v>
      </c>
      <c r="R2062">
        <v>723.48958333333337</v>
      </c>
      <c r="S2062">
        <v>29.31</v>
      </c>
      <c r="T2062" s="2">
        <v>44835</v>
      </c>
      <c r="U2062" s="1" t="s">
        <v>51</v>
      </c>
      <c r="V2062">
        <v>0</v>
      </c>
      <c r="W2062" s="1" t="s">
        <v>40</v>
      </c>
      <c r="X2062">
        <v>266</v>
      </c>
      <c r="Y2062" s="1" t="s">
        <v>52</v>
      </c>
      <c r="Z2062" s="1" t="s">
        <v>42</v>
      </c>
      <c r="AA2062">
        <v>0.04</v>
      </c>
      <c r="AB2062" s="1" t="s">
        <v>52</v>
      </c>
      <c r="AC2062">
        <v>1</v>
      </c>
      <c r="AD2062" s="2">
        <v>44835</v>
      </c>
      <c r="AE2062" s="1" t="s">
        <v>53</v>
      </c>
      <c r="AF2062" s="1" t="s">
        <v>54</v>
      </c>
      <c r="AG2062" s="1" t="s">
        <v>63</v>
      </c>
      <c r="AH2062" s="1" t="s">
        <v>59</v>
      </c>
      <c r="AI2062">
        <v>17400</v>
      </c>
      <c r="AJ2062">
        <v>-36.25</v>
      </c>
    </row>
    <row r="2063" spans="1:36" x14ac:dyDescent="0.25">
      <c r="A2063">
        <v>12062</v>
      </c>
      <c r="B2063">
        <v>31</v>
      </c>
      <c r="C2063" s="1" t="s">
        <v>60</v>
      </c>
      <c r="D2063" s="1" t="s">
        <v>61</v>
      </c>
      <c r="E2063" s="2">
        <v>44898</v>
      </c>
      <c r="F2063" s="2">
        <v>44358</v>
      </c>
      <c r="G2063" s="1" t="s">
        <v>62</v>
      </c>
      <c r="H2063">
        <v>1267</v>
      </c>
      <c r="I2063">
        <v>25</v>
      </c>
      <c r="J2063">
        <v>4</v>
      </c>
      <c r="K2063">
        <v>81.650000000000006</v>
      </c>
      <c r="L2063">
        <v>20</v>
      </c>
      <c r="M2063" s="1" t="s">
        <v>67</v>
      </c>
      <c r="N2063" s="1" t="s">
        <v>56</v>
      </c>
      <c r="O2063">
        <v>31421.599999999999</v>
      </c>
      <c r="P2063" t="b">
        <v>0</v>
      </c>
      <c r="Q2063">
        <v>2.0833333333333335</v>
      </c>
      <c r="R2063">
        <v>1256.864</v>
      </c>
      <c r="S2063">
        <v>16.330000000000002</v>
      </c>
      <c r="T2063" s="2">
        <v>44896</v>
      </c>
      <c r="U2063" s="1" t="s">
        <v>57</v>
      </c>
      <c r="V2063">
        <v>0</v>
      </c>
      <c r="W2063" s="1" t="s">
        <v>40</v>
      </c>
      <c r="Y2063" s="1" t="s">
        <v>43</v>
      </c>
      <c r="Z2063" s="1" t="s">
        <v>52</v>
      </c>
      <c r="AA2063">
        <v>0.15384615384615385</v>
      </c>
      <c r="AB2063" s="1" t="s">
        <v>43</v>
      </c>
      <c r="AC2063">
        <v>2</v>
      </c>
      <c r="AD2063" s="2">
        <v>44896</v>
      </c>
      <c r="AE2063" s="1" t="s">
        <v>44</v>
      </c>
      <c r="AF2063" s="1" t="s">
        <v>45</v>
      </c>
      <c r="AG2063" s="1" t="s">
        <v>63</v>
      </c>
      <c r="AH2063" s="1" t="s">
        <v>47</v>
      </c>
      <c r="AI2063">
        <v>31675</v>
      </c>
      <c r="AJ2063">
        <v>-253.40000000000146</v>
      </c>
    </row>
    <row r="2064" spans="1:36" x14ac:dyDescent="0.25">
      <c r="A2064">
        <v>12063</v>
      </c>
      <c r="B2064">
        <v>29</v>
      </c>
      <c r="C2064" s="1" t="s">
        <v>36</v>
      </c>
      <c r="D2064" s="1" t="s">
        <v>37</v>
      </c>
      <c r="E2064" s="2">
        <v>44598</v>
      </c>
      <c r="F2064" s="2">
        <v>44355</v>
      </c>
      <c r="G2064" s="1" t="s">
        <v>38</v>
      </c>
      <c r="H2064">
        <v>785</v>
      </c>
      <c r="I2064">
        <v>28</v>
      </c>
      <c r="J2064">
        <v>1</v>
      </c>
      <c r="K2064">
        <v>49.27</v>
      </c>
      <c r="L2064">
        <v>0</v>
      </c>
      <c r="M2064" s="1" t="s">
        <v>65</v>
      </c>
      <c r="N2064" s="1" t="s">
        <v>56</v>
      </c>
      <c r="O2064">
        <v>21980</v>
      </c>
      <c r="P2064" t="b">
        <v>0</v>
      </c>
      <c r="Q2064">
        <v>2.3333333333333335</v>
      </c>
      <c r="R2064">
        <v>785</v>
      </c>
      <c r="S2064">
        <v>24.635000000000002</v>
      </c>
      <c r="T2064" s="2">
        <v>44593</v>
      </c>
      <c r="U2064" s="1" t="s">
        <v>57</v>
      </c>
      <c r="V2064">
        <v>0</v>
      </c>
      <c r="W2064" s="1" t="s">
        <v>40</v>
      </c>
      <c r="Y2064" s="1" t="s">
        <v>52</v>
      </c>
      <c r="Z2064" s="1" t="s">
        <v>42</v>
      </c>
      <c r="AA2064">
        <v>3.4482758620689655E-2</v>
      </c>
      <c r="AB2064" s="1" t="s">
        <v>43</v>
      </c>
      <c r="AC2064">
        <v>1</v>
      </c>
      <c r="AD2064" s="2">
        <v>44593</v>
      </c>
      <c r="AE2064" s="1" t="s">
        <v>44</v>
      </c>
      <c r="AF2064" s="1" t="s">
        <v>54</v>
      </c>
      <c r="AG2064" s="1" t="s">
        <v>63</v>
      </c>
      <c r="AH2064" s="1" t="s">
        <v>59</v>
      </c>
      <c r="AI2064">
        <v>21980</v>
      </c>
      <c r="AJ2064">
        <v>0</v>
      </c>
    </row>
    <row r="2065" spans="1:36" x14ac:dyDescent="0.25">
      <c r="A2065">
        <v>12064</v>
      </c>
      <c r="B2065">
        <v>59</v>
      </c>
      <c r="C2065" s="1" t="s">
        <v>36</v>
      </c>
      <c r="D2065" s="1" t="s">
        <v>71</v>
      </c>
      <c r="E2065" s="2">
        <v>44802</v>
      </c>
      <c r="F2065" s="2">
        <v>44756</v>
      </c>
      <c r="G2065" s="1" t="s">
        <v>62</v>
      </c>
      <c r="H2065">
        <v>759</v>
      </c>
      <c r="I2065">
        <v>19</v>
      </c>
      <c r="J2065">
        <v>2</v>
      </c>
      <c r="K2065">
        <v>97.29</v>
      </c>
      <c r="L2065">
        <v>20</v>
      </c>
      <c r="M2065" s="1" t="s">
        <v>50</v>
      </c>
      <c r="N2065" s="1" t="s">
        <v>56</v>
      </c>
      <c r="O2065">
        <v>14269.2</v>
      </c>
      <c r="P2065" t="b">
        <v>0</v>
      </c>
      <c r="Q2065">
        <v>1.5833333333333333</v>
      </c>
      <c r="R2065">
        <v>751.01052631578955</v>
      </c>
      <c r="S2065">
        <v>32.43</v>
      </c>
      <c r="T2065" s="2">
        <v>44774</v>
      </c>
      <c r="U2065" s="1" t="s">
        <v>41</v>
      </c>
      <c r="V2065">
        <v>0</v>
      </c>
      <c r="W2065" s="1" t="s">
        <v>40</v>
      </c>
      <c r="Y2065" s="1" t="s">
        <v>43</v>
      </c>
      <c r="Z2065" s="1" t="s">
        <v>52</v>
      </c>
      <c r="AA2065">
        <v>0.1</v>
      </c>
      <c r="AB2065" s="1" t="s">
        <v>52</v>
      </c>
      <c r="AC2065">
        <v>2</v>
      </c>
      <c r="AD2065" s="2">
        <v>44774</v>
      </c>
      <c r="AE2065" s="1" t="s">
        <v>53</v>
      </c>
      <c r="AF2065" s="1" t="s">
        <v>72</v>
      </c>
      <c r="AG2065" s="1" t="s">
        <v>63</v>
      </c>
      <c r="AH2065" s="1" t="s">
        <v>59</v>
      </c>
      <c r="AI2065">
        <v>14421</v>
      </c>
      <c r="AJ2065">
        <v>-151.79999999999927</v>
      </c>
    </row>
    <row r="2066" spans="1:36" x14ac:dyDescent="0.25">
      <c r="A2066">
        <v>12065</v>
      </c>
      <c r="B2066">
        <v>37</v>
      </c>
      <c r="C2066" s="1" t="s">
        <v>60</v>
      </c>
      <c r="D2066" s="1" t="s">
        <v>71</v>
      </c>
      <c r="E2066" s="2">
        <v>44688</v>
      </c>
      <c r="F2066" s="2">
        <v>44379</v>
      </c>
      <c r="G2066" s="1" t="s">
        <v>62</v>
      </c>
      <c r="H2066">
        <v>1220</v>
      </c>
      <c r="I2066">
        <v>7</v>
      </c>
      <c r="J2066">
        <v>1</v>
      </c>
      <c r="K2066">
        <v>89.93</v>
      </c>
      <c r="L2066">
        <v>20</v>
      </c>
      <c r="M2066" s="1" t="s">
        <v>67</v>
      </c>
      <c r="N2066" s="1" t="s">
        <v>56</v>
      </c>
      <c r="O2066">
        <v>8296</v>
      </c>
      <c r="P2066" t="b">
        <v>0</v>
      </c>
      <c r="Q2066">
        <v>0.58333333333333337</v>
      </c>
      <c r="R2066">
        <v>1185.1428571428571</v>
      </c>
      <c r="S2066">
        <v>44.965000000000003</v>
      </c>
      <c r="T2066" s="2">
        <v>44682</v>
      </c>
      <c r="U2066" s="1" t="s">
        <v>51</v>
      </c>
      <c r="V2066">
        <v>0</v>
      </c>
      <c r="W2066" s="1" t="s">
        <v>56</v>
      </c>
      <c r="Y2066" s="1" t="s">
        <v>43</v>
      </c>
      <c r="Z2066" s="1" t="s">
        <v>52</v>
      </c>
      <c r="AA2066">
        <v>0.125</v>
      </c>
      <c r="AB2066" s="1" t="s">
        <v>42</v>
      </c>
      <c r="AC2066">
        <v>2</v>
      </c>
      <c r="AD2066" s="2">
        <v>44682</v>
      </c>
      <c r="AE2066" s="1" t="s">
        <v>74</v>
      </c>
      <c r="AF2066" s="1" t="s">
        <v>54</v>
      </c>
      <c r="AG2066" s="1" t="s">
        <v>63</v>
      </c>
      <c r="AH2066" s="1" t="s">
        <v>47</v>
      </c>
      <c r="AI2066">
        <v>8540</v>
      </c>
      <c r="AJ2066">
        <v>-244</v>
      </c>
    </row>
    <row r="2067" spans="1:36" x14ac:dyDescent="0.25">
      <c r="A2067">
        <v>12066</v>
      </c>
      <c r="B2067">
        <v>41</v>
      </c>
      <c r="C2067" s="1" t="s">
        <v>36</v>
      </c>
      <c r="D2067" s="1" t="s">
        <v>61</v>
      </c>
      <c r="E2067" s="2">
        <v>44425</v>
      </c>
      <c r="F2067" s="2">
        <v>44887</v>
      </c>
      <c r="G2067" s="1" t="s">
        <v>62</v>
      </c>
      <c r="H2067">
        <v>1425</v>
      </c>
      <c r="I2067">
        <v>17</v>
      </c>
      <c r="J2067">
        <v>5</v>
      </c>
      <c r="K2067">
        <v>89.52</v>
      </c>
      <c r="L2067">
        <v>20</v>
      </c>
      <c r="M2067" s="1" t="s">
        <v>65</v>
      </c>
      <c r="N2067" s="1" t="s">
        <v>56</v>
      </c>
      <c r="O2067">
        <v>23940</v>
      </c>
      <c r="P2067" t="b">
        <v>1</v>
      </c>
      <c r="Q2067">
        <v>1.4166666666666667</v>
      </c>
      <c r="R2067">
        <v>1408.2352941176471</v>
      </c>
      <c r="S2067">
        <v>14.92</v>
      </c>
      <c r="T2067" s="2">
        <v>44409</v>
      </c>
      <c r="U2067" s="1" t="s">
        <v>51</v>
      </c>
      <c r="V2067">
        <v>0</v>
      </c>
      <c r="W2067" s="1" t="s">
        <v>40</v>
      </c>
      <c r="X2067">
        <v>462</v>
      </c>
      <c r="Y2067" s="1" t="s">
        <v>43</v>
      </c>
      <c r="Z2067" s="1" t="s">
        <v>52</v>
      </c>
      <c r="AA2067">
        <v>0.27777777777777779</v>
      </c>
      <c r="AB2067" s="1" t="s">
        <v>43</v>
      </c>
      <c r="AC2067">
        <v>2</v>
      </c>
      <c r="AD2067" s="2">
        <v>44409</v>
      </c>
      <c r="AE2067" s="1" t="s">
        <v>53</v>
      </c>
      <c r="AF2067" s="1" t="s">
        <v>45</v>
      </c>
      <c r="AG2067" s="1" t="s">
        <v>63</v>
      </c>
      <c r="AH2067" s="1" t="s">
        <v>47</v>
      </c>
      <c r="AI2067">
        <v>24225</v>
      </c>
      <c r="AJ2067">
        <v>-285</v>
      </c>
    </row>
    <row r="2068" spans="1:36" x14ac:dyDescent="0.25">
      <c r="A2068">
        <v>12067</v>
      </c>
      <c r="B2068">
        <v>60</v>
      </c>
      <c r="C2068" s="1" t="s">
        <v>36</v>
      </c>
      <c r="D2068" s="1" t="s">
        <v>73</v>
      </c>
      <c r="E2068" s="2">
        <v>44771</v>
      </c>
      <c r="F2068" s="2">
        <v>45065</v>
      </c>
      <c r="G2068" s="1" t="s">
        <v>49</v>
      </c>
      <c r="H2068">
        <v>1338</v>
      </c>
      <c r="I2068">
        <v>2</v>
      </c>
      <c r="J2068">
        <v>1</v>
      </c>
      <c r="K2068">
        <v>118.3</v>
      </c>
      <c r="L2068">
        <v>20</v>
      </c>
      <c r="M2068" s="1" t="s">
        <v>50</v>
      </c>
      <c r="N2068" s="1" t="s">
        <v>40</v>
      </c>
      <c r="O2068">
        <v>2408.4</v>
      </c>
      <c r="P2068" t="b">
        <v>1</v>
      </c>
      <c r="Q2068">
        <v>0.16666666666666666</v>
      </c>
      <c r="R2068">
        <v>1204.2</v>
      </c>
      <c r="S2068">
        <v>59.15</v>
      </c>
      <c r="T2068" s="2">
        <v>44743</v>
      </c>
      <c r="U2068" s="1" t="s">
        <v>41</v>
      </c>
      <c r="V2068">
        <v>1</v>
      </c>
      <c r="W2068" s="1" t="s">
        <v>56</v>
      </c>
      <c r="X2068">
        <v>294</v>
      </c>
      <c r="Y2068" s="1" t="s">
        <v>43</v>
      </c>
      <c r="Z2068" s="1" t="s">
        <v>52</v>
      </c>
      <c r="AA2068">
        <v>0.33333333333333331</v>
      </c>
      <c r="AB2068" s="1" t="s">
        <v>42</v>
      </c>
      <c r="AC2068">
        <v>3</v>
      </c>
      <c r="AD2068" s="2">
        <v>44743</v>
      </c>
      <c r="AE2068" s="1" t="s">
        <v>58</v>
      </c>
      <c r="AF2068" s="1" t="s">
        <v>54</v>
      </c>
      <c r="AG2068" s="1" t="s">
        <v>63</v>
      </c>
      <c r="AH2068" s="1" t="s">
        <v>47</v>
      </c>
      <c r="AI2068">
        <v>2676</v>
      </c>
      <c r="AJ2068">
        <v>-267.59999999999991</v>
      </c>
    </row>
    <row r="2069" spans="1:36" x14ac:dyDescent="0.25">
      <c r="A2069">
        <v>12068</v>
      </c>
      <c r="B2069">
        <v>51</v>
      </c>
      <c r="C2069" s="1" t="s">
        <v>36</v>
      </c>
      <c r="D2069" s="1" t="s">
        <v>37</v>
      </c>
      <c r="E2069" s="2">
        <v>45048</v>
      </c>
      <c r="F2069" s="2">
        <v>44734</v>
      </c>
      <c r="G2069" s="1" t="s">
        <v>49</v>
      </c>
      <c r="H2069">
        <v>1047</v>
      </c>
      <c r="I2069">
        <v>16</v>
      </c>
      <c r="J2069">
        <v>1</v>
      </c>
      <c r="K2069">
        <v>38.950000000000003</v>
      </c>
      <c r="L2069">
        <v>15</v>
      </c>
      <c r="M2069" s="1" t="s">
        <v>67</v>
      </c>
      <c r="N2069" s="1" t="s">
        <v>40</v>
      </c>
      <c r="O2069">
        <v>16594.95</v>
      </c>
      <c r="P2069" t="b">
        <v>0</v>
      </c>
      <c r="Q2069">
        <v>1.3333333333333333</v>
      </c>
      <c r="R2069">
        <v>1037.184375</v>
      </c>
      <c r="S2069">
        <v>19.475000000000001</v>
      </c>
      <c r="T2069" s="2">
        <v>45047</v>
      </c>
      <c r="U2069" s="1" t="s">
        <v>41</v>
      </c>
      <c r="V2069">
        <v>1</v>
      </c>
      <c r="W2069" s="1" t="s">
        <v>40</v>
      </c>
      <c r="Y2069" s="1" t="s">
        <v>52</v>
      </c>
      <c r="Z2069" s="1" t="s">
        <v>42</v>
      </c>
      <c r="AA2069">
        <v>5.8823529411764705E-2</v>
      </c>
      <c r="AB2069" s="1" t="s">
        <v>52</v>
      </c>
      <c r="AC2069">
        <v>3</v>
      </c>
      <c r="AD2069" s="2">
        <v>45047</v>
      </c>
      <c r="AE2069" s="1" t="s">
        <v>53</v>
      </c>
      <c r="AF2069" s="1" t="s">
        <v>54</v>
      </c>
      <c r="AG2069" s="1" t="s">
        <v>55</v>
      </c>
      <c r="AH2069" s="1" t="s">
        <v>47</v>
      </c>
      <c r="AI2069">
        <v>16752</v>
      </c>
      <c r="AJ2069">
        <v>-157.04999999999927</v>
      </c>
    </row>
    <row r="2070" spans="1:36" x14ac:dyDescent="0.25">
      <c r="A2070">
        <v>12069</v>
      </c>
      <c r="B2070">
        <v>42</v>
      </c>
      <c r="C2070" s="1" t="s">
        <v>60</v>
      </c>
      <c r="D2070" s="1" t="s">
        <v>61</v>
      </c>
      <c r="E2070" s="2">
        <v>44733</v>
      </c>
      <c r="F2070" s="2">
        <v>44575</v>
      </c>
      <c r="G2070" s="1" t="s">
        <v>62</v>
      </c>
      <c r="H2070">
        <v>350</v>
      </c>
      <c r="I2070">
        <v>18</v>
      </c>
      <c r="J2070">
        <v>2</v>
      </c>
      <c r="K2070">
        <v>79.14</v>
      </c>
      <c r="L2070">
        <v>0</v>
      </c>
      <c r="M2070" s="1" t="s">
        <v>50</v>
      </c>
      <c r="N2070" s="1" t="s">
        <v>56</v>
      </c>
      <c r="O2070">
        <v>6300</v>
      </c>
      <c r="P2070" t="b">
        <v>0</v>
      </c>
      <c r="Q2070">
        <v>1.5</v>
      </c>
      <c r="R2070">
        <v>350</v>
      </c>
      <c r="S2070">
        <v>26.38</v>
      </c>
      <c r="T2070" s="2">
        <v>44713</v>
      </c>
      <c r="U2070" s="1" t="s">
        <v>51</v>
      </c>
      <c r="V2070">
        <v>0</v>
      </c>
      <c r="W2070" s="1" t="s">
        <v>56</v>
      </c>
      <c r="Y2070" s="1" t="s">
        <v>43</v>
      </c>
      <c r="Z2070" s="1" t="s">
        <v>42</v>
      </c>
      <c r="AA2070">
        <v>0.10526315789473684</v>
      </c>
      <c r="AB2070" s="1" t="s">
        <v>42</v>
      </c>
      <c r="AC2070">
        <v>2</v>
      </c>
      <c r="AD2070" s="2">
        <v>44713</v>
      </c>
      <c r="AE2070" s="1" t="s">
        <v>53</v>
      </c>
      <c r="AF2070" s="1" t="s">
        <v>72</v>
      </c>
      <c r="AG2070" s="1" t="s">
        <v>63</v>
      </c>
      <c r="AH2070" s="1" t="s">
        <v>68</v>
      </c>
      <c r="AI2070">
        <v>6300</v>
      </c>
      <c r="AJ2070">
        <v>0</v>
      </c>
    </row>
    <row r="2071" spans="1:36" x14ac:dyDescent="0.25">
      <c r="A2071">
        <v>12070</v>
      </c>
      <c r="B2071">
        <v>41</v>
      </c>
      <c r="C2071" s="1" t="s">
        <v>60</v>
      </c>
      <c r="D2071" s="1" t="s">
        <v>61</v>
      </c>
      <c r="E2071" s="2">
        <v>44464</v>
      </c>
      <c r="F2071" s="2">
        <v>44987</v>
      </c>
      <c r="G2071" s="1" t="s">
        <v>38</v>
      </c>
      <c r="H2071">
        <v>608</v>
      </c>
      <c r="I2071">
        <v>1</v>
      </c>
      <c r="J2071">
        <v>2</v>
      </c>
      <c r="K2071">
        <v>103.38</v>
      </c>
      <c r="L2071">
        <v>0</v>
      </c>
      <c r="M2071" s="1" t="s">
        <v>50</v>
      </c>
      <c r="N2071" s="1" t="s">
        <v>56</v>
      </c>
      <c r="O2071">
        <v>608</v>
      </c>
      <c r="P2071" t="b">
        <v>1</v>
      </c>
      <c r="Q2071">
        <v>8.3333333333333329E-2</v>
      </c>
      <c r="R2071">
        <v>608</v>
      </c>
      <c r="S2071">
        <v>34.46</v>
      </c>
      <c r="T2071" s="2">
        <v>44440</v>
      </c>
      <c r="U2071" s="1" t="s">
        <v>51</v>
      </c>
      <c r="V2071">
        <v>0</v>
      </c>
      <c r="W2071" s="1" t="s">
        <v>56</v>
      </c>
      <c r="X2071">
        <v>523</v>
      </c>
      <c r="Y2071" s="1" t="s">
        <v>43</v>
      </c>
      <c r="Z2071" s="1" t="s">
        <v>42</v>
      </c>
      <c r="AA2071">
        <v>1</v>
      </c>
      <c r="AB2071" s="1" t="s">
        <v>42</v>
      </c>
      <c r="AC2071">
        <v>1</v>
      </c>
      <c r="AD2071" s="2">
        <v>44440</v>
      </c>
      <c r="AE2071" s="1" t="s">
        <v>58</v>
      </c>
      <c r="AF2071" s="1" t="s">
        <v>72</v>
      </c>
      <c r="AG2071" s="1" t="s">
        <v>63</v>
      </c>
      <c r="AH2071" s="1" t="s">
        <v>64</v>
      </c>
      <c r="AI2071">
        <v>608</v>
      </c>
      <c r="AJ2071">
        <v>0</v>
      </c>
    </row>
    <row r="2072" spans="1:36" x14ac:dyDescent="0.25">
      <c r="A2072">
        <v>12071</v>
      </c>
      <c r="B2072">
        <v>56</v>
      </c>
      <c r="C2072" s="1" t="s">
        <v>60</v>
      </c>
      <c r="D2072" s="1" t="s">
        <v>48</v>
      </c>
      <c r="E2072" s="2">
        <v>44601</v>
      </c>
      <c r="F2072" s="2">
        <v>45114</v>
      </c>
      <c r="G2072" s="1" t="s">
        <v>38</v>
      </c>
      <c r="H2072">
        <v>1357</v>
      </c>
      <c r="I2072">
        <v>3</v>
      </c>
      <c r="J2072">
        <v>2</v>
      </c>
      <c r="K2072">
        <v>62.59</v>
      </c>
      <c r="L2072">
        <v>5</v>
      </c>
      <c r="M2072" s="1" t="s">
        <v>50</v>
      </c>
      <c r="N2072" s="1" t="s">
        <v>40</v>
      </c>
      <c r="O2072">
        <v>4003.15</v>
      </c>
      <c r="P2072" t="b">
        <v>1</v>
      </c>
      <c r="Q2072">
        <v>0.25</v>
      </c>
      <c r="R2072">
        <v>1334.3833333333334</v>
      </c>
      <c r="S2072">
        <v>20.863333333333333</v>
      </c>
      <c r="T2072" s="2">
        <v>44593</v>
      </c>
      <c r="U2072" s="1" t="s">
        <v>41</v>
      </c>
      <c r="V2072">
        <v>1</v>
      </c>
      <c r="W2072" s="1" t="s">
        <v>56</v>
      </c>
      <c r="X2072">
        <v>513</v>
      </c>
      <c r="Y2072" s="1" t="s">
        <v>43</v>
      </c>
      <c r="Z2072" s="1" t="s">
        <v>42</v>
      </c>
      <c r="AA2072">
        <v>0.5</v>
      </c>
      <c r="AB2072" s="1" t="s">
        <v>42</v>
      </c>
      <c r="AC2072">
        <v>1</v>
      </c>
      <c r="AD2072" s="2">
        <v>44593</v>
      </c>
      <c r="AE2072" s="1" t="s">
        <v>58</v>
      </c>
      <c r="AF2072" s="1" t="s">
        <v>72</v>
      </c>
      <c r="AG2072" s="1" t="s">
        <v>63</v>
      </c>
      <c r="AH2072" s="1" t="s">
        <v>47</v>
      </c>
      <c r="AI2072">
        <v>4071</v>
      </c>
      <c r="AJ2072">
        <v>-67.849999999999909</v>
      </c>
    </row>
    <row r="2073" spans="1:36" x14ac:dyDescent="0.25">
      <c r="A2073">
        <v>12072</v>
      </c>
      <c r="B2073">
        <v>48</v>
      </c>
      <c r="C2073" s="1" t="s">
        <v>60</v>
      </c>
      <c r="D2073" s="1" t="s">
        <v>48</v>
      </c>
      <c r="E2073" s="2">
        <v>44989</v>
      </c>
      <c r="F2073" s="2">
        <v>44822</v>
      </c>
      <c r="G2073" s="1" t="s">
        <v>62</v>
      </c>
      <c r="H2073">
        <v>1304</v>
      </c>
      <c r="I2073">
        <v>21</v>
      </c>
      <c r="J2073">
        <v>2</v>
      </c>
      <c r="K2073">
        <v>95.79</v>
      </c>
      <c r="L2073">
        <v>0</v>
      </c>
      <c r="M2073" s="1" t="s">
        <v>67</v>
      </c>
      <c r="N2073" s="1" t="s">
        <v>56</v>
      </c>
      <c r="O2073">
        <v>27384</v>
      </c>
      <c r="P2073" t="b">
        <v>0</v>
      </c>
      <c r="Q2073">
        <v>1.75</v>
      </c>
      <c r="R2073">
        <v>1304</v>
      </c>
      <c r="S2073">
        <v>31.930000000000003</v>
      </c>
      <c r="T2073" s="2">
        <v>44986</v>
      </c>
      <c r="U2073" s="1" t="s">
        <v>51</v>
      </c>
      <c r="V2073">
        <v>0</v>
      </c>
      <c r="W2073" s="1" t="s">
        <v>40</v>
      </c>
      <c r="Y2073" s="1" t="s">
        <v>43</v>
      </c>
      <c r="Z2073" s="1" t="s">
        <v>42</v>
      </c>
      <c r="AA2073">
        <v>9.0909090909090912E-2</v>
      </c>
      <c r="AB2073" s="1" t="s">
        <v>43</v>
      </c>
      <c r="AC2073">
        <v>2</v>
      </c>
      <c r="AD2073" s="2">
        <v>44986</v>
      </c>
      <c r="AE2073" s="1" t="s">
        <v>53</v>
      </c>
      <c r="AF2073" s="1" t="s">
        <v>72</v>
      </c>
      <c r="AG2073" s="1" t="s">
        <v>63</v>
      </c>
      <c r="AH2073" s="1" t="s">
        <v>47</v>
      </c>
      <c r="AI2073">
        <v>27384</v>
      </c>
      <c r="AJ2073">
        <v>0</v>
      </c>
    </row>
    <row r="2074" spans="1:36" x14ac:dyDescent="0.25">
      <c r="A2074">
        <v>12073</v>
      </c>
      <c r="B2074">
        <v>64</v>
      </c>
      <c r="C2074" s="1" t="s">
        <v>60</v>
      </c>
      <c r="D2074" s="1" t="s">
        <v>73</v>
      </c>
      <c r="E2074" s="2">
        <v>44207</v>
      </c>
      <c r="F2074" s="2">
        <v>45071</v>
      </c>
      <c r="G2074" s="1" t="s">
        <v>62</v>
      </c>
      <c r="H2074">
        <v>934</v>
      </c>
      <c r="I2074">
        <v>30</v>
      </c>
      <c r="J2074">
        <v>1</v>
      </c>
      <c r="K2074">
        <v>52.66</v>
      </c>
      <c r="L2074">
        <v>20</v>
      </c>
      <c r="M2074" s="1" t="s">
        <v>67</v>
      </c>
      <c r="N2074" s="1" t="s">
        <v>56</v>
      </c>
      <c r="O2074">
        <v>27833.200000000001</v>
      </c>
      <c r="P2074" t="b">
        <v>1</v>
      </c>
      <c r="Q2074">
        <v>2.5</v>
      </c>
      <c r="R2074">
        <v>927.77333333333331</v>
      </c>
      <c r="S2074">
        <v>26.33</v>
      </c>
      <c r="T2074" s="2">
        <v>44197</v>
      </c>
      <c r="U2074" s="1" t="s">
        <v>41</v>
      </c>
      <c r="V2074">
        <v>0</v>
      </c>
      <c r="W2074" s="1" t="s">
        <v>40</v>
      </c>
      <c r="X2074">
        <v>864</v>
      </c>
      <c r="Y2074" s="1" t="s">
        <v>52</v>
      </c>
      <c r="Z2074" s="1" t="s">
        <v>52</v>
      </c>
      <c r="AA2074">
        <v>3.2258064516129031E-2</v>
      </c>
      <c r="AB2074" s="1" t="s">
        <v>43</v>
      </c>
      <c r="AC2074">
        <v>2</v>
      </c>
      <c r="AD2074" s="2">
        <v>44197</v>
      </c>
      <c r="AE2074" s="1" t="s">
        <v>44</v>
      </c>
      <c r="AF2074" s="1" t="s">
        <v>54</v>
      </c>
      <c r="AG2074" s="1" t="s">
        <v>63</v>
      </c>
      <c r="AH2074" s="1" t="s">
        <v>59</v>
      </c>
      <c r="AI2074">
        <v>28020</v>
      </c>
      <c r="AJ2074">
        <v>-186.79999999999927</v>
      </c>
    </row>
    <row r="2075" spans="1:36" x14ac:dyDescent="0.25">
      <c r="A2075">
        <v>12074</v>
      </c>
      <c r="B2075">
        <v>60</v>
      </c>
      <c r="C2075" s="1" t="s">
        <v>36</v>
      </c>
      <c r="D2075" s="1" t="s">
        <v>37</v>
      </c>
      <c r="E2075" s="2">
        <v>44516</v>
      </c>
      <c r="F2075" s="2">
        <v>45098</v>
      </c>
      <c r="G2075" s="1" t="s">
        <v>62</v>
      </c>
      <c r="H2075">
        <v>504</v>
      </c>
      <c r="I2075">
        <v>11</v>
      </c>
      <c r="J2075">
        <v>2</v>
      </c>
      <c r="K2075">
        <v>72.91</v>
      </c>
      <c r="L2075">
        <v>10</v>
      </c>
      <c r="M2075" s="1" t="s">
        <v>39</v>
      </c>
      <c r="N2075" s="1" t="s">
        <v>56</v>
      </c>
      <c r="O2075">
        <v>5493.6</v>
      </c>
      <c r="P2075" t="b">
        <v>1</v>
      </c>
      <c r="Q2075">
        <v>0.91666666666666663</v>
      </c>
      <c r="R2075">
        <v>499.41818181818184</v>
      </c>
      <c r="S2075">
        <v>24.303333333333331</v>
      </c>
      <c r="T2075" s="2">
        <v>44501</v>
      </c>
      <c r="U2075" s="1" t="s">
        <v>41</v>
      </c>
      <c r="V2075">
        <v>0</v>
      </c>
      <c r="W2075" s="1" t="s">
        <v>56</v>
      </c>
      <c r="X2075">
        <v>582</v>
      </c>
      <c r="Y2075" s="1" t="s">
        <v>43</v>
      </c>
      <c r="Z2075" s="1" t="s">
        <v>42</v>
      </c>
      <c r="AA2075">
        <v>0.16666666666666666</v>
      </c>
      <c r="AB2075" s="1" t="s">
        <v>42</v>
      </c>
      <c r="AC2075">
        <v>2</v>
      </c>
      <c r="AD2075" s="2">
        <v>44501</v>
      </c>
      <c r="AE2075" s="1" t="s">
        <v>74</v>
      </c>
      <c r="AF2075" s="1" t="s">
        <v>72</v>
      </c>
      <c r="AG2075" s="1" t="s">
        <v>63</v>
      </c>
      <c r="AH2075" s="1" t="s">
        <v>64</v>
      </c>
      <c r="AI2075">
        <v>5544</v>
      </c>
      <c r="AJ2075">
        <v>-50.399999999999636</v>
      </c>
    </row>
    <row r="2076" spans="1:36" x14ac:dyDescent="0.25">
      <c r="A2076">
        <v>12075</v>
      </c>
      <c r="B2076">
        <v>40</v>
      </c>
      <c r="C2076" s="1" t="s">
        <v>60</v>
      </c>
      <c r="D2076" s="1" t="s">
        <v>69</v>
      </c>
      <c r="E2076" s="2">
        <v>44909</v>
      </c>
      <c r="F2076" s="2">
        <v>44554</v>
      </c>
      <c r="G2076" s="1" t="s">
        <v>38</v>
      </c>
      <c r="H2076">
        <v>1039</v>
      </c>
      <c r="I2076">
        <v>22</v>
      </c>
      <c r="J2076">
        <v>4</v>
      </c>
      <c r="K2076">
        <v>11.4</v>
      </c>
      <c r="L2076">
        <v>0</v>
      </c>
      <c r="M2076" s="1" t="s">
        <v>39</v>
      </c>
      <c r="N2076" s="1" t="s">
        <v>56</v>
      </c>
      <c r="O2076">
        <v>22858</v>
      </c>
      <c r="P2076" t="b">
        <v>0</v>
      </c>
      <c r="Q2076">
        <v>1.8333333333333333</v>
      </c>
      <c r="R2076">
        <v>1039</v>
      </c>
      <c r="S2076">
        <v>2.2800000000000002</v>
      </c>
      <c r="T2076" s="2">
        <v>44896</v>
      </c>
      <c r="U2076" s="1" t="s">
        <v>51</v>
      </c>
      <c r="V2076">
        <v>0</v>
      </c>
      <c r="W2076" s="1" t="s">
        <v>40</v>
      </c>
      <c r="Y2076" s="1" t="s">
        <v>42</v>
      </c>
      <c r="Z2076" s="1" t="s">
        <v>42</v>
      </c>
      <c r="AA2076">
        <v>0.17391304347826086</v>
      </c>
      <c r="AB2076" s="1" t="s">
        <v>43</v>
      </c>
      <c r="AC2076">
        <v>1</v>
      </c>
      <c r="AD2076" s="2">
        <v>44896</v>
      </c>
      <c r="AE2076" s="1" t="s">
        <v>53</v>
      </c>
      <c r="AF2076" s="1" t="s">
        <v>45</v>
      </c>
      <c r="AG2076" s="1" t="s">
        <v>46</v>
      </c>
      <c r="AH2076" s="1" t="s">
        <v>47</v>
      </c>
      <c r="AI2076">
        <v>22858</v>
      </c>
      <c r="AJ2076">
        <v>0</v>
      </c>
    </row>
    <row r="2077" spans="1:36" x14ac:dyDescent="0.25">
      <c r="A2077">
        <v>12076</v>
      </c>
      <c r="B2077">
        <v>61</v>
      </c>
      <c r="C2077" s="1" t="s">
        <v>36</v>
      </c>
      <c r="D2077" s="1" t="s">
        <v>48</v>
      </c>
      <c r="E2077" s="2">
        <v>44322</v>
      </c>
      <c r="F2077" s="2">
        <v>44665</v>
      </c>
      <c r="G2077" s="1" t="s">
        <v>62</v>
      </c>
      <c r="H2077">
        <v>1393</v>
      </c>
      <c r="I2077">
        <v>25</v>
      </c>
      <c r="J2077">
        <v>4</v>
      </c>
      <c r="K2077">
        <v>118.36</v>
      </c>
      <c r="L2077">
        <v>10</v>
      </c>
      <c r="M2077" s="1" t="s">
        <v>39</v>
      </c>
      <c r="N2077" s="1" t="s">
        <v>40</v>
      </c>
      <c r="O2077">
        <v>34685.699999999997</v>
      </c>
      <c r="P2077" t="b">
        <v>1</v>
      </c>
      <c r="Q2077">
        <v>2.0833333333333335</v>
      </c>
      <c r="R2077">
        <v>1387.4279999999999</v>
      </c>
      <c r="S2077">
        <v>23.672000000000001</v>
      </c>
      <c r="T2077" s="2">
        <v>44317</v>
      </c>
      <c r="U2077" s="1" t="s">
        <v>41</v>
      </c>
      <c r="V2077">
        <v>1</v>
      </c>
      <c r="W2077" s="1" t="s">
        <v>40</v>
      </c>
      <c r="X2077">
        <v>343</v>
      </c>
      <c r="Y2077" s="1" t="s">
        <v>43</v>
      </c>
      <c r="Z2077" s="1" t="s">
        <v>42</v>
      </c>
      <c r="AA2077">
        <v>0.15384615384615385</v>
      </c>
      <c r="AB2077" s="1" t="s">
        <v>43</v>
      </c>
      <c r="AC2077">
        <v>2</v>
      </c>
      <c r="AD2077" s="2">
        <v>44317</v>
      </c>
      <c r="AE2077" s="1" t="s">
        <v>44</v>
      </c>
      <c r="AF2077" s="1" t="s">
        <v>45</v>
      </c>
      <c r="AG2077" s="1" t="s">
        <v>63</v>
      </c>
      <c r="AH2077" s="1" t="s">
        <v>47</v>
      </c>
      <c r="AI2077">
        <v>34825</v>
      </c>
      <c r="AJ2077">
        <v>-139.30000000000291</v>
      </c>
    </row>
    <row r="2078" spans="1:36" x14ac:dyDescent="0.25">
      <c r="A2078">
        <v>12077</v>
      </c>
      <c r="B2078">
        <v>55</v>
      </c>
      <c r="C2078" s="1" t="s">
        <v>36</v>
      </c>
      <c r="D2078" s="1" t="s">
        <v>69</v>
      </c>
      <c r="E2078" s="2">
        <v>44502</v>
      </c>
      <c r="F2078" s="2">
        <v>45142</v>
      </c>
      <c r="G2078" s="1" t="s">
        <v>38</v>
      </c>
      <c r="H2078">
        <v>832</v>
      </c>
      <c r="I2078">
        <v>3</v>
      </c>
      <c r="J2078">
        <v>4</v>
      </c>
      <c r="K2078">
        <v>97</v>
      </c>
      <c r="L2078">
        <v>15</v>
      </c>
      <c r="M2078" s="1" t="s">
        <v>39</v>
      </c>
      <c r="N2078" s="1" t="s">
        <v>56</v>
      </c>
      <c r="O2078">
        <v>2371.1999999999998</v>
      </c>
      <c r="P2078" t="b">
        <v>1</v>
      </c>
      <c r="Q2078">
        <v>0.25</v>
      </c>
      <c r="R2078">
        <v>790.4</v>
      </c>
      <c r="S2078">
        <v>19.399999999999999</v>
      </c>
      <c r="T2078" s="2">
        <v>44501</v>
      </c>
      <c r="U2078" s="1" t="s">
        <v>41</v>
      </c>
      <c r="V2078">
        <v>0</v>
      </c>
      <c r="W2078" s="1" t="s">
        <v>56</v>
      </c>
      <c r="X2078">
        <v>640</v>
      </c>
      <c r="Y2078" s="1" t="s">
        <v>43</v>
      </c>
      <c r="Z2078" s="1" t="s">
        <v>42</v>
      </c>
      <c r="AA2078">
        <v>1</v>
      </c>
      <c r="AB2078" s="1" t="s">
        <v>42</v>
      </c>
      <c r="AC2078">
        <v>1</v>
      </c>
      <c r="AD2078" s="2">
        <v>44501</v>
      </c>
      <c r="AE2078" s="1" t="s">
        <v>58</v>
      </c>
      <c r="AF2078" s="1" t="s">
        <v>45</v>
      </c>
      <c r="AG2078" s="1" t="s">
        <v>63</v>
      </c>
      <c r="AH2078" s="1" t="s">
        <v>59</v>
      </c>
      <c r="AI2078">
        <v>2496</v>
      </c>
      <c r="AJ2078">
        <v>-124.80000000000018</v>
      </c>
    </row>
    <row r="2079" spans="1:36" x14ac:dyDescent="0.25">
      <c r="A2079">
        <v>12078</v>
      </c>
      <c r="B2079">
        <v>37</v>
      </c>
      <c r="C2079" s="1" t="s">
        <v>36</v>
      </c>
      <c r="D2079" s="1" t="s">
        <v>71</v>
      </c>
      <c r="E2079" s="2">
        <v>44898</v>
      </c>
      <c r="F2079" s="2">
        <v>45104</v>
      </c>
      <c r="G2079" s="1" t="s">
        <v>62</v>
      </c>
      <c r="H2079">
        <v>407</v>
      </c>
      <c r="I2079">
        <v>30</v>
      </c>
      <c r="J2079">
        <v>4</v>
      </c>
      <c r="K2079">
        <v>104.91</v>
      </c>
      <c r="L2079">
        <v>5</v>
      </c>
      <c r="M2079" s="1" t="s">
        <v>67</v>
      </c>
      <c r="N2079" s="1" t="s">
        <v>56</v>
      </c>
      <c r="O2079">
        <v>12189.65</v>
      </c>
      <c r="P2079" t="b">
        <v>1</v>
      </c>
      <c r="Q2079">
        <v>2.5</v>
      </c>
      <c r="R2079">
        <v>406.32166666666666</v>
      </c>
      <c r="S2079">
        <v>20.981999999999999</v>
      </c>
      <c r="T2079" s="2">
        <v>44896</v>
      </c>
      <c r="U2079" s="1" t="s">
        <v>51</v>
      </c>
      <c r="V2079">
        <v>0</v>
      </c>
      <c r="W2079" s="1" t="s">
        <v>56</v>
      </c>
      <c r="X2079">
        <v>206</v>
      </c>
      <c r="Y2079" s="1" t="s">
        <v>43</v>
      </c>
      <c r="Z2079" s="1" t="s">
        <v>42</v>
      </c>
      <c r="AA2079">
        <v>0.12903225806451613</v>
      </c>
      <c r="AB2079" s="1" t="s">
        <v>52</v>
      </c>
      <c r="AC2079">
        <v>2</v>
      </c>
      <c r="AD2079" s="2">
        <v>44896</v>
      </c>
      <c r="AE2079" s="1" t="s">
        <v>44</v>
      </c>
      <c r="AF2079" s="1" t="s">
        <v>45</v>
      </c>
      <c r="AG2079" s="1" t="s">
        <v>63</v>
      </c>
      <c r="AH2079" s="1" t="s">
        <v>68</v>
      </c>
      <c r="AI2079">
        <v>12210</v>
      </c>
      <c r="AJ2079">
        <v>-20.350000000000364</v>
      </c>
    </row>
    <row r="2080" spans="1:36" x14ac:dyDescent="0.25">
      <c r="A2080">
        <v>12079</v>
      </c>
      <c r="B2080">
        <v>40</v>
      </c>
      <c r="C2080" s="1" t="s">
        <v>60</v>
      </c>
      <c r="D2080" s="1" t="s">
        <v>48</v>
      </c>
      <c r="E2080" s="2">
        <v>44707</v>
      </c>
      <c r="F2080" s="2">
        <v>44904</v>
      </c>
      <c r="G2080" s="1" t="s">
        <v>38</v>
      </c>
      <c r="H2080">
        <v>1175</v>
      </c>
      <c r="I2080">
        <v>24</v>
      </c>
      <c r="J2080">
        <v>1</v>
      </c>
      <c r="K2080">
        <v>84.84</v>
      </c>
      <c r="L2080">
        <v>5</v>
      </c>
      <c r="M2080" s="1" t="s">
        <v>39</v>
      </c>
      <c r="N2080" s="1" t="s">
        <v>56</v>
      </c>
      <c r="O2080">
        <v>28141.25</v>
      </c>
      <c r="P2080" t="b">
        <v>1</v>
      </c>
      <c r="Q2080">
        <v>2</v>
      </c>
      <c r="R2080">
        <v>1172.5520833333333</v>
      </c>
      <c r="S2080">
        <v>42.42</v>
      </c>
      <c r="T2080" s="2">
        <v>44682</v>
      </c>
      <c r="U2080" s="1" t="s">
        <v>51</v>
      </c>
      <c r="V2080">
        <v>0</v>
      </c>
      <c r="W2080" s="1" t="s">
        <v>40</v>
      </c>
      <c r="X2080">
        <v>197</v>
      </c>
      <c r="Y2080" s="1" t="s">
        <v>43</v>
      </c>
      <c r="Z2080" s="1" t="s">
        <v>42</v>
      </c>
      <c r="AA2080">
        <v>0.04</v>
      </c>
      <c r="AB2080" s="1" t="s">
        <v>43</v>
      </c>
      <c r="AC2080">
        <v>1</v>
      </c>
      <c r="AD2080" s="2">
        <v>44682</v>
      </c>
      <c r="AE2080" s="1" t="s">
        <v>53</v>
      </c>
      <c r="AF2080" s="1" t="s">
        <v>54</v>
      </c>
      <c r="AG2080" s="1" t="s">
        <v>63</v>
      </c>
      <c r="AH2080" s="1" t="s">
        <v>47</v>
      </c>
      <c r="AI2080">
        <v>28200</v>
      </c>
      <c r="AJ2080">
        <v>-58.75</v>
      </c>
    </row>
    <row r="2081" spans="1:36" x14ac:dyDescent="0.25">
      <c r="A2081">
        <v>12080</v>
      </c>
      <c r="B2081">
        <v>62</v>
      </c>
      <c r="C2081" s="1" t="s">
        <v>36</v>
      </c>
      <c r="D2081" s="1" t="s">
        <v>48</v>
      </c>
      <c r="E2081" s="2">
        <v>44285</v>
      </c>
      <c r="F2081" s="2">
        <v>44964</v>
      </c>
      <c r="G2081" s="1" t="s">
        <v>62</v>
      </c>
      <c r="H2081">
        <v>550</v>
      </c>
      <c r="I2081">
        <v>23</v>
      </c>
      <c r="J2081">
        <v>6</v>
      </c>
      <c r="K2081">
        <v>26.4</v>
      </c>
      <c r="L2081">
        <v>5</v>
      </c>
      <c r="M2081" s="1" t="s">
        <v>65</v>
      </c>
      <c r="N2081" s="1" t="s">
        <v>56</v>
      </c>
      <c r="O2081">
        <v>12622.5</v>
      </c>
      <c r="P2081" t="b">
        <v>1</v>
      </c>
      <c r="Q2081">
        <v>1.9166666666666667</v>
      </c>
      <c r="R2081">
        <v>548.804347826087</v>
      </c>
      <c r="S2081">
        <v>3.7714285714285714</v>
      </c>
      <c r="T2081" s="2">
        <v>44256</v>
      </c>
      <c r="U2081" s="1" t="s">
        <v>41</v>
      </c>
      <c r="V2081">
        <v>0</v>
      </c>
      <c r="W2081" s="1" t="s">
        <v>56</v>
      </c>
      <c r="X2081">
        <v>679</v>
      </c>
      <c r="Y2081" s="1" t="s">
        <v>52</v>
      </c>
      <c r="Z2081" s="1" t="s">
        <v>42</v>
      </c>
      <c r="AA2081">
        <v>0.25</v>
      </c>
      <c r="AB2081" s="1" t="s">
        <v>52</v>
      </c>
      <c r="AC2081">
        <v>2</v>
      </c>
      <c r="AD2081" s="2">
        <v>44256</v>
      </c>
      <c r="AE2081" s="1" t="s">
        <v>53</v>
      </c>
      <c r="AF2081" s="1" t="s">
        <v>78</v>
      </c>
      <c r="AG2081" s="1" t="s">
        <v>70</v>
      </c>
      <c r="AH2081" s="1" t="s">
        <v>64</v>
      </c>
      <c r="AI2081">
        <v>12650</v>
      </c>
      <c r="AJ2081">
        <v>-27.5</v>
      </c>
    </row>
    <row r="2082" spans="1:36" x14ac:dyDescent="0.25">
      <c r="A2082">
        <v>12081</v>
      </c>
      <c r="B2082">
        <v>33</v>
      </c>
      <c r="C2082" s="1" t="s">
        <v>36</v>
      </c>
      <c r="D2082" s="1" t="s">
        <v>37</v>
      </c>
      <c r="E2082" s="2">
        <v>44551</v>
      </c>
      <c r="F2082" s="2">
        <v>44695</v>
      </c>
      <c r="G2082" s="1" t="s">
        <v>38</v>
      </c>
      <c r="H2082">
        <v>434</v>
      </c>
      <c r="I2082">
        <v>8</v>
      </c>
      <c r="J2082">
        <v>4</v>
      </c>
      <c r="K2082">
        <v>8.57</v>
      </c>
      <c r="L2082">
        <v>15</v>
      </c>
      <c r="M2082" s="1" t="s">
        <v>39</v>
      </c>
      <c r="N2082" s="1" t="s">
        <v>40</v>
      </c>
      <c r="O2082">
        <v>3406.9</v>
      </c>
      <c r="P2082" t="b">
        <v>1</v>
      </c>
      <c r="Q2082">
        <v>0.66666666666666663</v>
      </c>
      <c r="R2082">
        <v>425.86250000000001</v>
      </c>
      <c r="S2082">
        <v>1.714</v>
      </c>
      <c r="T2082" s="2">
        <v>44531</v>
      </c>
      <c r="U2082" s="1" t="s">
        <v>57</v>
      </c>
      <c r="V2082">
        <v>1</v>
      </c>
      <c r="W2082" s="1" t="s">
        <v>56</v>
      </c>
      <c r="X2082">
        <v>144</v>
      </c>
      <c r="Y2082" s="1" t="s">
        <v>42</v>
      </c>
      <c r="Z2082" s="1" t="s">
        <v>42</v>
      </c>
      <c r="AA2082">
        <v>0.44444444444444442</v>
      </c>
      <c r="AB2082" s="1" t="s">
        <v>42</v>
      </c>
      <c r="AC2082">
        <v>1</v>
      </c>
      <c r="AD2082" s="2">
        <v>44531</v>
      </c>
      <c r="AE2082" s="1" t="s">
        <v>74</v>
      </c>
      <c r="AF2082" s="1" t="s">
        <v>45</v>
      </c>
      <c r="AG2082" s="1" t="s">
        <v>77</v>
      </c>
      <c r="AH2082" s="1" t="s">
        <v>68</v>
      </c>
      <c r="AI2082">
        <v>3472</v>
      </c>
      <c r="AJ2082">
        <v>-65.099999999999909</v>
      </c>
    </row>
    <row r="2083" spans="1:36" x14ac:dyDescent="0.25">
      <c r="A2083">
        <v>12082</v>
      </c>
      <c r="B2083">
        <v>59</v>
      </c>
      <c r="C2083" s="1" t="s">
        <v>60</v>
      </c>
      <c r="D2083" s="1" t="s">
        <v>73</v>
      </c>
      <c r="E2083" s="2">
        <v>44824</v>
      </c>
      <c r="F2083" s="2">
        <v>45140</v>
      </c>
      <c r="G2083" s="1" t="s">
        <v>38</v>
      </c>
      <c r="H2083">
        <v>1413</v>
      </c>
      <c r="I2083">
        <v>4</v>
      </c>
      <c r="J2083">
        <v>2</v>
      </c>
      <c r="K2083">
        <v>104.44</v>
      </c>
      <c r="L2083">
        <v>20</v>
      </c>
      <c r="M2083" s="1" t="s">
        <v>65</v>
      </c>
      <c r="N2083" s="1" t="s">
        <v>56</v>
      </c>
      <c r="O2083">
        <v>5369.4</v>
      </c>
      <c r="P2083" t="b">
        <v>1</v>
      </c>
      <c r="Q2083">
        <v>0.33333333333333331</v>
      </c>
      <c r="R2083">
        <v>1342.35</v>
      </c>
      <c r="S2083">
        <v>34.813333333333333</v>
      </c>
      <c r="T2083" s="2">
        <v>44805</v>
      </c>
      <c r="U2083" s="1" t="s">
        <v>41</v>
      </c>
      <c r="V2083">
        <v>0</v>
      </c>
      <c r="W2083" s="1" t="s">
        <v>56</v>
      </c>
      <c r="X2083">
        <v>316</v>
      </c>
      <c r="Y2083" s="1" t="s">
        <v>43</v>
      </c>
      <c r="Z2083" s="1" t="s">
        <v>52</v>
      </c>
      <c r="AA2083">
        <v>0.4</v>
      </c>
      <c r="AB2083" s="1" t="s">
        <v>42</v>
      </c>
      <c r="AC2083">
        <v>1</v>
      </c>
      <c r="AD2083" s="2">
        <v>44805</v>
      </c>
      <c r="AE2083" s="1" t="s">
        <v>58</v>
      </c>
      <c r="AF2083" s="1" t="s">
        <v>72</v>
      </c>
      <c r="AG2083" s="1" t="s">
        <v>63</v>
      </c>
      <c r="AH2083" s="1" t="s">
        <v>47</v>
      </c>
      <c r="AI2083">
        <v>5652</v>
      </c>
      <c r="AJ2083">
        <v>-282.60000000000036</v>
      </c>
    </row>
    <row r="2084" spans="1:36" x14ac:dyDescent="0.25">
      <c r="A2084">
        <v>12083</v>
      </c>
      <c r="B2084">
        <v>25</v>
      </c>
      <c r="C2084" s="1" t="s">
        <v>60</v>
      </c>
      <c r="D2084" s="1" t="s">
        <v>69</v>
      </c>
      <c r="E2084" s="2">
        <v>44548</v>
      </c>
      <c r="F2084" s="2">
        <v>44581</v>
      </c>
      <c r="G2084" s="1" t="s">
        <v>62</v>
      </c>
      <c r="H2084">
        <v>988</v>
      </c>
      <c r="I2084">
        <v>31</v>
      </c>
      <c r="J2084">
        <v>1</v>
      </c>
      <c r="K2084">
        <v>50.58</v>
      </c>
      <c r="L2084">
        <v>10</v>
      </c>
      <c r="M2084" s="1" t="s">
        <v>65</v>
      </c>
      <c r="N2084" s="1" t="s">
        <v>40</v>
      </c>
      <c r="O2084">
        <v>30529.200000000001</v>
      </c>
      <c r="P2084" t="b">
        <v>1</v>
      </c>
      <c r="Q2084">
        <v>2.5833333333333335</v>
      </c>
      <c r="R2084">
        <v>984.81290322580651</v>
      </c>
      <c r="S2084">
        <v>25.29</v>
      </c>
      <c r="T2084" s="2">
        <v>44531</v>
      </c>
      <c r="U2084" s="1" t="s">
        <v>66</v>
      </c>
      <c r="V2084">
        <v>1</v>
      </c>
      <c r="W2084" s="1" t="s">
        <v>40</v>
      </c>
      <c r="X2084">
        <v>33</v>
      </c>
      <c r="Y2084" s="1" t="s">
        <v>52</v>
      </c>
      <c r="Z2084" s="1" t="s">
        <v>42</v>
      </c>
      <c r="AA2084">
        <v>3.125E-2</v>
      </c>
      <c r="AB2084" s="1" t="s">
        <v>43</v>
      </c>
      <c r="AC2084">
        <v>2</v>
      </c>
      <c r="AD2084" s="2">
        <v>44531</v>
      </c>
      <c r="AE2084" s="1" t="s">
        <v>44</v>
      </c>
      <c r="AF2084" s="1" t="s">
        <v>54</v>
      </c>
      <c r="AG2084" s="1" t="s">
        <v>63</v>
      </c>
      <c r="AH2084" s="1" t="s">
        <v>59</v>
      </c>
      <c r="AI2084">
        <v>30628</v>
      </c>
      <c r="AJ2084">
        <v>-98.799999999999272</v>
      </c>
    </row>
    <row r="2085" spans="1:36" x14ac:dyDescent="0.25">
      <c r="A2085">
        <v>12084</v>
      </c>
      <c r="B2085">
        <v>38</v>
      </c>
      <c r="C2085" s="1" t="s">
        <v>36</v>
      </c>
      <c r="D2085" s="1" t="s">
        <v>48</v>
      </c>
      <c r="E2085" s="2">
        <v>44885</v>
      </c>
      <c r="F2085" s="2">
        <v>45048</v>
      </c>
      <c r="G2085" s="1" t="s">
        <v>38</v>
      </c>
      <c r="H2085">
        <v>706</v>
      </c>
      <c r="I2085">
        <v>29</v>
      </c>
      <c r="J2085">
        <v>1</v>
      </c>
      <c r="K2085">
        <v>35.340000000000003</v>
      </c>
      <c r="L2085">
        <v>0</v>
      </c>
      <c r="M2085" s="1" t="s">
        <v>50</v>
      </c>
      <c r="N2085" s="1" t="s">
        <v>56</v>
      </c>
      <c r="O2085">
        <v>20474</v>
      </c>
      <c r="P2085" t="b">
        <v>1</v>
      </c>
      <c r="Q2085">
        <v>2.4166666666666665</v>
      </c>
      <c r="R2085">
        <v>706</v>
      </c>
      <c r="S2085">
        <v>17.670000000000002</v>
      </c>
      <c r="T2085" s="2">
        <v>44866</v>
      </c>
      <c r="U2085" s="1" t="s">
        <v>51</v>
      </c>
      <c r="V2085">
        <v>0</v>
      </c>
      <c r="W2085" s="1" t="s">
        <v>40</v>
      </c>
      <c r="X2085">
        <v>163</v>
      </c>
      <c r="Y2085" s="1" t="s">
        <v>52</v>
      </c>
      <c r="Z2085" s="1" t="s">
        <v>42</v>
      </c>
      <c r="AA2085">
        <v>3.3333333333333333E-2</v>
      </c>
      <c r="AB2085" s="1" t="s">
        <v>43</v>
      </c>
      <c r="AC2085">
        <v>1</v>
      </c>
      <c r="AD2085" s="2">
        <v>44866</v>
      </c>
      <c r="AE2085" s="1" t="s">
        <v>44</v>
      </c>
      <c r="AF2085" s="1" t="s">
        <v>54</v>
      </c>
      <c r="AG2085" s="1" t="s">
        <v>55</v>
      </c>
      <c r="AH2085" s="1" t="s">
        <v>59</v>
      </c>
      <c r="AI2085">
        <v>20474</v>
      </c>
      <c r="AJ2085">
        <v>0</v>
      </c>
    </row>
    <row r="2086" spans="1:36" x14ac:dyDescent="0.25">
      <c r="A2086">
        <v>12085</v>
      </c>
      <c r="B2086">
        <v>18</v>
      </c>
      <c r="C2086" s="1" t="s">
        <v>60</v>
      </c>
      <c r="D2086" s="1" t="s">
        <v>48</v>
      </c>
      <c r="E2086" s="2">
        <v>44210</v>
      </c>
      <c r="F2086" s="2">
        <v>44391</v>
      </c>
      <c r="G2086" s="1" t="s">
        <v>62</v>
      </c>
      <c r="H2086">
        <v>401</v>
      </c>
      <c r="I2086">
        <v>13</v>
      </c>
      <c r="J2086">
        <v>2</v>
      </c>
      <c r="K2086">
        <v>69.59</v>
      </c>
      <c r="L2086">
        <v>20</v>
      </c>
      <c r="M2086" s="1" t="s">
        <v>50</v>
      </c>
      <c r="N2086" s="1" t="s">
        <v>56</v>
      </c>
      <c r="O2086">
        <v>5132.8</v>
      </c>
      <c r="P2086" t="b">
        <v>1</v>
      </c>
      <c r="Q2086">
        <v>1.0833333333333333</v>
      </c>
      <c r="R2086">
        <v>394.83076923076925</v>
      </c>
      <c r="S2086">
        <v>23.196666666666669</v>
      </c>
      <c r="T2086" s="2">
        <v>44197</v>
      </c>
      <c r="U2086" s="1" t="s">
        <v>66</v>
      </c>
      <c r="V2086">
        <v>0</v>
      </c>
      <c r="W2086" s="1" t="s">
        <v>56</v>
      </c>
      <c r="X2086">
        <v>181</v>
      </c>
      <c r="Y2086" s="1" t="s">
        <v>43</v>
      </c>
      <c r="Z2086" s="1" t="s">
        <v>52</v>
      </c>
      <c r="AA2086">
        <v>0.14285714285714285</v>
      </c>
      <c r="AB2086" s="1" t="s">
        <v>42</v>
      </c>
      <c r="AC2086">
        <v>2</v>
      </c>
      <c r="AD2086" s="2">
        <v>44197</v>
      </c>
      <c r="AE2086" s="1" t="s">
        <v>53</v>
      </c>
      <c r="AF2086" s="1" t="s">
        <v>72</v>
      </c>
      <c r="AG2086" s="1" t="s">
        <v>63</v>
      </c>
      <c r="AH2086" s="1" t="s">
        <v>68</v>
      </c>
      <c r="AI2086">
        <v>5213</v>
      </c>
      <c r="AJ2086">
        <v>-80.199999999999818</v>
      </c>
    </row>
    <row r="2087" spans="1:36" x14ac:dyDescent="0.25">
      <c r="A2087">
        <v>12086</v>
      </c>
      <c r="B2087">
        <v>25</v>
      </c>
      <c r="C2087" s="1" t="s">
        <v>60</v>
      </c>
      <c r="D2087" s="1" t="s">
        <v>37</v>
      </c>
      <c r="E2087" s="2">
        <v>44453</v>
      </c>
      <c r="F2087" s="2">
        <v>45084</v>
      </c>
      <c r="G2087" s="1" t="s">
        <v>62</v>
      </c>
      <c r="H2087">
        <v>992</v>
      </c>
      <c r="I2087">
        <v>9</v>
      </c>
      <c r="J2087">
        <v>4</v>
      </c>
      <c r="K2087">
        <v>53.4</v>
      </c>
      <c r="L2087">
        <v>5</v>
      </c>
      <c r="M2087" s="1" t="s">
        <v>50</v>
      </c>
      <c r="N2087" s="1" t="s">
        <v>56</v>
      </c>
      <c r="O2087">
        <v>8878.4</v>
      </c>
      <c r="P2087" t="b">
        <v>1</v>
      </c>
      <c r="Q2087">
        <v>0.75</v>
      </c>
      <c r="R2087">
        <v>986.48888888888882</v>
      </c>
      <c r="S2087">
        <v>10.68</v>
      </c>
      <c r="T2087" s="2">
        <v>44440</v>
      </c>
      <c r="U2087" s="1" t="s">
        <v>66</v>
      </c>
      <c r="V2087">
        <v>0</v>
      </c>
      <c r="W2087" s="1" t="s">
        <v>56</v>
      </c>
      <c r="X2087">
        <v>631</v>
      </c>
      <c r="Y2087" s="1" t="s">
        <v>52</v>
      </c>
      <c r="Z2087" s="1" t="s">
        <v>42</v>
      </c>
      <c r="AA2087">
        <v>0.4</v>
      </c>
      <c r="AB2087" s="1" t="s">
        <v>52</v>
      </c>
      <c r="AC2087">
        <v>2</v>
      </c>
      <c r="AD2087" s="2">
        <v>44440</v>
      </c>
      <c r="AE2087" s="1" t="s">
        <v>74</v>
      </c>
      <c r="AF2087" s="1" t="s">
        <v>45</v>
      </c>
      <c r="AG2087" s="1" t="s">
        <v>63</v>
      </c>
      <c r="AH2087" s="1" t="s">
        <v>59</v>
      </c>
      <c r="AI2087">
        <v>8928</v>
      </c>
      <c r="AJ2087">
        <v>-49.600000000000364</v>
      </c>
    </row>
    <row r="2088" spans="1:36" x14ac:dyDescent="0.25">
      <c r="A2088">
        <v>12087</v>
      </c>
      <c r="B2088">
        <v>46</v>
      </c>
      <c r="C2088" s="1" t="s">
        <v>60</v>
      </c>
      <c r="D2088" s="1" t="s">
        <v>37</v>
      </c>
      <c r="E2088" s="2">
        <v>44405</v>
      </c>
      <c r="F2088" s="2">
        <v>44489</v>
      </c>
      <c r="G2088" s="1" t="s">
        <v>62</v>
      </c>
      <c r="H2088">
        <v>1469</v>
      </c>
      <c r="I2088">
        <v>21</v>
      </c>
      <c r="J2088">
        <v>2</v>
      </c>
      <c r="K2088">
        <v>79.94</v>
      </c>
      <c r="L2088">
        <v>5</v>
      </c>
      <c r="M2088" s="1" t="s">
        <v>39</v>
      </c>
      <c r="N2088" s="1" t="s">
        <v>56</v>
      </c>
      <c r="O2088">
        <v>30775.55</v>
      </c>
      <c r="P2088" t="b">
        <v>1</v>
      </c>
      <c r="Q2088">
        <v>1.75</v>
      </c>
      <c r="R2088">
        <v>1465.5023809523809</v>
      </c>
      <c r="S2088">
        <v>26.646666666666665</v>
      </c>
      <c r="T2088" s="2">
        <v>44378</v>
      </c>
      <c r="U2088" s="1" t="s">
        <v>51</v>
      </c>
      <c r="V2088">
        <v>0</v>
      </c>
      <c r="W2088" s="1" t="s">
        <v>40</v>
      </c>
      <c r="X2088">
        <v>84</v>
      </c>
      <c r="Y2088" s="1" t="s">
        <v>43</v>
      </c>
      <c r="Z2088" s="1" t="s">
        <v>42</v>
      </c>
      <c r="AA2088">
        <v>9.0909090909090912E-2</v>
      </c>
      <c r="AB2088" s="1" t="s">
        <v>43</v>
      </c>
      <c r="AC2088">
        <v>2</v>
      </c>
      <c r="AD2088" s="2">
        <v>44378</v>
      </c>
      <c r="AE2088" s="1" t="s">
        <v>53</v>
      </c>
      <c r="AF2088" s="1" t="s">
        <v>72</v>
      </c>
      <c r="AG2088" s="1" t="s">
        <v>63</v>
      </c>
      <c r="AH2088" s="1" t="s">
        <v>47</v>
      </c>
      <c r="AI2088">
        <v>30849</v>
      </c>
      <c r="AJ2088">
        <v>-73.450000000000728</v>
      </c>
    </row>
    <row r="2089" spans="1:36" x14ac:dyDescent="0.25">
      <c r="A2089">
        <v>12088</v>
      </c>
      <c r="B2089">
        <v>49</v>
      </c>
      <c r="C2089" s="1" t="s">
        <v>60</v>
      </c>
      <c r="D2089" s="1" t="s">
        <v>73</v>
      </c>
      <c r="E2089" s="2">
        <v>44477</v>
      </c>
      <c r="F2089" s="2">
        <v>44995</v>
      </c>
      <c r="G2089" s="1" t="s">
        <v>38</v>
      </c>
      <c r="H2089">
        <v>703</v>
      </c>
      <c r="I2089">
        <v>3</v>
      </c>
      <c r="J2089">
        <v>1</v>
      </c>
      <c r="K2089">
        <v>60.64</v>
      </c>
      <c r="L2089">
        <v>20</v>
      </c>
      <c r="M2089" s="1" t="s">
        <v>67</v>
      </c>
      <c r="N2089" s="1" t="s">
        <v>56</v>
      </c>
      <c r="O2089">
        <v>1968.4</v>
      </c>
      <c r="P2089" t="b">
        <v>1</v>
      </c>
      <c r="Q2089">
        <v>0.25</v>
      </c>
      <c r="R2089">
        <v>656.13333333333333</v>
      </c>
      <c r="S2089">
        <v>30.32</v>
      </c>
      <c r="T2089" s="2">
        <v>44470</v>
      </c>
      <c r="U2089" s="1" t="s">
        <v>51</v>
      </c>
      <c r="V2089">
        <v>0</v>
      </c>
      <c r="W2089" s="1" t="s">
        <v>56</v>
      </c>
      <c r="X2089">
        <v>518</v>
      </c>
      <c r="Y2089" s="1" t="s">
        <v>43</v>
      </c>
      <c r="Z2089" s="1" t="s">
        <v>52</v>
      </c>
      <c r="AA2089">
        <v>0.25</v>
      </c>
      <c r="AB2089" s="1" t="s">
        <v>42</v>
      </c>
      <c r="AC2089">
        <v>1</v>
      </c>
      <c r="AD2089" s="2">
        <v>44470</v>
      </c>
      <c r="AE2089" s="1" t="s">
        <v>58</v>
      </c>
      <c r="AF2089" s="1" t="s">
        <v>54</v>
      </c>
      <c r="AG2089" s="1" t="s">
        <v>63</v>
      </c>
      <c r="AH2089" s="1" t="s">
        <v>59</v>
      </c>
      <c r="AI2089">
        <v>2109</v>
      </c>
      <c r="AJ2089">
        <v>-140.59999999999991</v>
      </c>
    </row>
    <row r="2090" spans="1:36" x14ac:dyDescent="0.25">
      <c r="A2090">
        <v>12089</v>
      </c>
      <c r="B2090">
        <v>55</v>
      </c>
      <c r="C2090" s="1" t="s">
        <v>36</v>
      </c>
      <c r="D2090" s="1" t="s">
        <v>69</v>
      </c>
      <c r="E2090" s="2">
        <v>44639</v>
      </c>
      <c r="F2090" s="2">
        <v>44523</v>
      </c>
      <c r="G2090" s="1" t="s">
        <v>62</v>
      </c>
      <c r="H2090">
        <v>1113</v>
      </c>
      <c r="I2090">
        <v>25</v>
      </c>
      <c r="J2090">
        <v>4</v>
      </c>
      <c r="K2090">
        <v>85.18</v>
      </c>
      <c r="L2090">
        <v>10</v>
      </c>
      <c r="M2090" s="1" t="s">
        <v>65</v>
      </c>
      <c r="N2090" s="1" t="s">
        <v>56</v>
      </c>
      <c r="O2090">
        <v>27713.7</v>
      </c>
      <c r="P2090" t="b">
        <v>0</v>
      </c>
      <c r="Q2090">
        <v>2.0833333333333335</v>
      </c>
      <c r="R2090">
        <v>1108.548</v>
      </c>
      <c r="S2090">
        <v>17.036000000000001</v>
      </c>
      <c r="T2090" s="2">
        <v>44621</v>
      </c>
      <c r="U2090" s="1" t="s">
        <v>41</v>
      </c>
      <c r="V2090">
        <v>0</v>
      </c>
      <c r="W2090" s="1" t="s">
        <v>40</v>
      </c>
      <c r="Y2090" s="1" t="s">
        <v>43</v>
      </c>
      <c r="Z2090" s="1" t="s">
        <v>42</v>
      </c>
      <c r="AA2090">
        <v>0.15384615384615385</v>
      </c>
      <c r="AB2090" s="1" t="s">
        <v>43</v>
      </c>
      <c r="AC2090">
        <v>2</v>
      </c>
      <c r="AD2090" s="2">
        <v>44621</v>
      </c>
      <c r="AE2090" s="1" t="s">
        <v>44</v>
      </c>
      <c r="AF2090" s="1" t="s">
        <v>45</v>
      </c>
      <c r="AG2090" s="1" t="s">
        <v>63</v>
      </c>
      <c r="AH2090" s="1" t="s">
        <v>47</v>
      </c>
      <c r="AI2090">
        <v>27825</v>
      </c>
      <c r="AJ2090">
        <v>-111.29999999999927</v>
      </c>
    </row>
    <row r="2091" spans="1:36" x14ac:dyDescent="0.25">
      <c r="A2091">
        <v>12090</v>
      </c>
      <c r="B2091">
        <v>22</v>
      </c>
      <c r="C2091" s="1" t="s">
        <v>60</v>
      </c>
      <c r="D2091" s="1" t="s">
        <v>71</v>
      </c>
      <c r="E2091" s="2">
        <v>45036</v>
      </c>
      <c r="F2091" s="2">
        <v>45001</v>
      </c>
      <c r="G2091" s="1" t="s">
        <v>62</v>
      </c>
      <c r="H2091">
        <v>1325</v>
      </c>
      <c r="I2091">
        <v>25</v>
      </c>
      <c r="J2091">
        <v>1</v>
      </c>
      <c r="K2091">
        <v>103.14</v>
      </c>
      <c r="L2091">
        <v>20</v>
      </c>
      <c r="M2091" s="1" t="s">
        <v>67</v>
      </c>
      <c r="N2091" s="1" t="s">
        <v>56</v>
      </c>
      <c r="O2091">
        <v>32860</v>
      </c>
      <c r="P2091" t="b">
        <v>0</v>
      </c>
      <c r="Q2091">
        <v>2.0833333333333335</v>
      </c>
      <c r="R2091">
        <v>1314.4</v>
      </c>
      <c r="S2091">
        <v>51.57</v>
      </c>
      <c r="T2091" s="2">
        <v>45017</v>
      </c>
      <c r="U2091" s="1" t="s">
        <v>66</v>
      </c>
      <c r="V2091">
        <v>0</v>
      </c>
      <c r="W2091" s="1" t="s">
        <v>40</v>
      </c>
      <c r="Y2091" s="1" t="s">
        <v>43</v>
      </c>
      <c r="Z2091" s="1" t="s">
        <v>52</v>
      </c>
      <c r="AA2091">
        <v>3.8461538461538464E-2</v>
      </c>
      <c r="AB2091" s="1" t="s">
        <v>43</v>
      </c>
      <c r="AC2091">
        <v>2</v>
      </c>
      <c r="AD2091" s="2">
        <v>45017</v>
      </c>
      <c r="AE2091" s="1" t="s">
        <v>44</v>
      </c>
      <c r="AF2091" s="1" t="s">
        <v>54</v>
      </c>
      <c r="AG2091" s="1" t="s">
        <v>63</v>
      </c>
      <c r="AH2091" s="1" t="s">
        <v>47</v>
      </c>
      <c r="AI2091">
        <v>33125</v>
      </c>
      <c r="AJ2091">
        <v>-265</v>
      </c>
    </row>
    <row r="2092" spans="1:36" x14ac:dyDescent="0.25">
      <c r="A2092">
        <v>12091</v>
      </c>
      <c r="B2092">
        <v>64</v>
      </c>
      <c r="C2092" s="1" t="s">
        <v>36</v>
      </c>
      <c r="D2092" s="1" t="s">
        <v>73</v>
      </c>
      <c r="E2092" s="2">
        <v>45033</v>
      </c>
      <c r="F2092" s="2">
        <v>44796</v>
      </c>
      <c r="G2092" s="1" t="s">
        <v>62</v>
      </c>
      <c r="H2092">
        <v>1442</v>
      </c>
      <c r="I2092">
        <v>12</v>
      </c>
      <c r="J2092">
        <v>3</v>
      </c>
      <c r="K2092">
        <v>27.49</v>
      </c>
      <c r="L2092">
        <v>15</v>
      </c>
      <c r="M2092" s="1" t="s">
        <v>67</v>
      </c>
      <c r="N2092" s="1" t="s">
        <v>56</v>
      </c>
      <c r="O2092">
        <v>17087.7</v>
      </c>
      <c r="P2092" t="b">
        <v>0</v>
      </c>
      <c r="Q2092">
        <v>1</v>
      </c>
      <c r="R2092">
        <v>1423.9750000000001</v>
      </c>
      <c r="S2092">
        <v>6.8724999999999996</v>
      </c>
      <c r="T2092" s="2">
        <v>45017</v>
      </c>
      <c r="U2092" s="1" t="s">
        <v>41</v>
      </c>
      <c r="V2092">
        <v>0</v>
      </c>
      <c r="W2092" s="1" t="s">
        <v>40</v>
      </c>
      <c r="Y2092" s="1" t="s">
        <v>52</v>
      </c>
      <c r="Z2092" s="1" t="s">
        <v>42</v>
      </c>
      <c r="AA2092">
        <v>0.23076923076923078</v>
      </c>
      <c r="AB2092" s="1" t="s">
        <v>52</v>
      </c>
      <c r="AC2092">
        <v>2</v>
      </c>
      <c r="AD2092" s="2">
        <v>45017</v>
      </c>
      <c r="AE2092" s="1" t="s">
        <v>74</v>
      </c>
      <c r="AF2092" s="1" t="s">
        <v>72</v>
      </c>
      <c r="AG2092" s="1" t="s">
        <v>70</v>
      </c>
      <c r="AH2092" s="1" t="s">
        <v>47</v>
      </c>
      <c r="AI2092">
        <v>17304</v>
      </c>
      <c r="AJ2092">
        <v>-216.29999999999927</v>
      </c>
    </row>
    <row r="2093" spans="1:36" x14ac:dyDescent="0.25">
      <c r="A2093">
        <v>12092</v>
      </c>
      <c r="B2093">
        <v>39</v>
      </c>
      <c r="C2093" s="1" t="s">
        <v>36</v>
      </c>
      <c r="D2093" s="1" t="s">
        <v>71</v>
      </c>
      <c r="E2093" s="2">
        <v>44585</v>
      </c>
      <c r="F2093" s="2">
        <v>44939</v>
      </c>
      <c r="G2093" s="1" t="s">
        <v>62</v>
      </c>
      <c r="H2093">
        <v>1154</v>
      </c>
      <c r="I2093">
        <v>29</v>
      </c>
      <c r="J2093">
        <v>6</v>
      </c>
      <c r="K2093">
        <v>42.88</v>
      </c>
      <c r="L2093">
        <v>5</v>
      </c>
      <c r="M2093" s="1" t="s">
        <v>39</v>
      </c>
      <c r="N2093" s="1" t="s">
        <v>56</v>
      </c>
      <c r="O2093">
        <v>33408.300000000003</v>
      </c>
      <c r="P2093" t="b">
        <v>1</v>
      </c>
      <c r="Q2093">
        <v>2.4166666666666665</v>
      </c>
      <c r="R2093">
        <v>1152.0103448275863</v>
      </c>
      <c r="S2093">
        <v>6.1257142857142863</v>
      </c>
      <c r="T2093" s="2">
        <v>44562</v>
      </c>
      <c r="U2093" s="1" t="s">
        <v>51</v>
      </c>
      <c r="V2093">
        <v>0</v>
      </c>
      <c r="W2093" s="1" t="s">
        <v>40</v>
      </c>
      <c r="X2093">
        <v>354</v>
      </c>
      <c r="Y2093" s="1" t="s">
        <v>52</v>
      </c>
      <c r="Z2093" s="1" t="s">
        <v>42</v>
      </c>
      <c r="AA2093">
        <v>0.2</v>
      </c>
      <c r="AB2093" s="1" t="s">
        <v>43</v>
      </c>
      <c r="AC2093">
        <v>2</v>
      </c>
      <c r="AD2093" s="2">
        <v>44562</v>
      </c>
      <c r="AE2093" s="1" t="s">
        <v>44</v>
      </c>
      <c r="AF2093" s="1" t="s">
        <v>78</v>
      </c>
      <c r="AG2093" s="1" t="s">
        <v>55</v>
      </c>
      <c r="AH2093" s="1" t="s">
        <v>47</v>
      </c>
      <c r="AI2093">
        <v>33466</v>
      </c>
      <c r="AJ2093">
        <v>-57.69999999999709</v>
      </c>
    </row>
    <row r="2094" spans="1:36" x14ac:dyDescent="0.25">
      <c r="A2094">
        <v>12093</v>
      </c>
      <c r="B2094">
        <v>64</v>
      </c>
      <c r="C2094" s="1" t="s">
        <v>36</v>
      </c>
      <c r="D2094" s="1" t="s">
        <v>61</v>
      </c>
      <c r="E2094" s="2">
        <v>44813</v>
      </c>
      <c r="F2094" s="2">
        <v>44429</v>
      </c>
      <c r="G2094" s="1" t="s">
        <v>38</v>
      </c>
      <c r="H2094">
        <v>1326</v>
      </c>
      <c r="I2094">
        <v>11</v>
      </c>
      <c r="J2094">
        <v>0</v>
      </c>
      <c r="K2094">
        <v>55.23</v>
      </c>
      <c r="L2094">
        <v>10</v>
      </c>
      <c r="M2094" s="1" t="s">
        <v>67</v>
      </c>
      <c r="N2094" s="1" t="s">
        <v>56</v>
      </c>
      <c r="O2094">
        <v>14453.4</v>
      </c>
      <c r="P2094" t="b">
        <v>0</v>
      </c>
      <c r="Q2094">
        <v>0.91666666666666663</v>
      </c>
      <c r="R2094">
        <v>1313.9454545454546</v>
      </c>
      <c r="S2094">
        <v>55.23</v>
      </c>
      <c r="T2094" s="2">
        <v>44805</v>
      </c>
      <c r="U2094" s="1" t="s">
        <v>41</v>
      </c>
      <c r="V2094">
        <v>0</v>
      </c>
      <c r="W2094" s="1" t="s">
        <v>40</v>
      </c>
      <c r="Y2094" s="1" t="s">
        <v>52</v>
      </c>
      <c r="Z2094" s="1" t="s">
        <v>42</v>
      </c>
      <c r="AA2094">
        <v>0</v>
      </c>
      <c r="AB2094" s="1" t="s">
        <v>52</v>
      </c>
      <c r="AC2094">
        <v>1</v>
      </c>
      <c r="AD2094" s="2">
        <v>44805</v>
      </c>
      <c r="AE2094" s="1" t="s">
        <v>74</v>
      </c>
      <c r="AF2094" s="1" t="s">
        <v>54</v>
      </c>
      <c r="AG2094" s="1" t="s">
        <v>63</v>
      </c>
      <c r="AH2094" s="1" t="s">
        <v>47</v>
      </c>
      <c r="AI2094">
        <v>14586</v>
      </c>
      <c r="AJ2094">
        <v>-132.60000000000036</v>
      </c>
    </row>
    <row r="2095" spans="1:36" x14ac:dyDescent="0.25">
      <c r="A2095">
        <v>12094</v>
      </c>
      <c r="B2095">
        <v>51</v>
      </c>
      <c r="C2095" s="1" t="s">
        <v>36</v>
      </c>
      <c r="D2095" s="1" t="s">
        <v>48</v>
      </c>
      <c r="E2095" s="2">
        <v>44679</v>
      </c>
      <c r="F2095" s="2">
        <v>44482</v>
      </c>
      <c r="G2095" s="1" t="s">
        <v>38</v>
      </c>
      <c r="H2095">
        <v>1241</v>
      </c>
      <c r="I2095">
        <v>11</v>
      </c>
      <c r="J2095">
        <v>3</v>
      </c>
      <c r="K2095">
        <v>115.64</v>
      </c>
      <c r="L2095">
        <v>0</v>
      </c>
      <c r="M2095" s="1" t="s">
        <v>67</v>
      </c>
      <c r="N2095" s="1" t="s">
        <v>56</v>
      </c>
      <c r="O2095">
        <v>13651</v>
      </c>
      <c r="P2095" t="b">
        <v>0</v>
      </c>
      <c r="Q2095">
        <v>0.91666666666666663</v>
      </c>
      <c r="R2095">
        <v>1241</v>
      </c>
      <c r="S2095">
        <v>28.91</v>
      </c>
      <c r="T2095" s="2">
        <v>44652</v>
      </c>
      <c r="U2095" s="1" t="s">
        <v>41</v>
      </c>
      <c r="V2095">
        <v>0</v>
      </c>
      <c r="W2095" s="1" t="s">
        <v>40</v>
      </c>
      <c r="Y2095" s="1" t="s">
        <v>43</v>
      </c>
      <c r="Z2095" s="1" t="s">
        <v>42</v>
      </c>
      <c r="AA2095">
        <v>0.25</v>
      </c>
      <c r="AB2095" s="1" t="s">
        <v>52</v>
      </c>
      <c r="AC2095">
        <v>1</v>
      </c>
      <c r="AD2095" s="2">
        <v>44652</v>
      </c>
      <c r="AE2095" s="1" t="s">
        <v>74</v>
      </c>
      <c r="AF2095" s="1" t="s">
        <v>72</v>
      </c>
      <c r="AG2095" s="1" t="s">
        <v>63</v>
      </c>
      <c r="AH2095" s="1" t="s">
        <v>47</v>
      </c>
      <c r="AI2095">
        <v>13651</v>
      </c>
      <c r="AJ2095">
        <v>0</v>
      </c>
    </row>
    <row r="2096" spans="1:36" x14ac:dyDescent="0.25">
      <c r="A2096">
        <v>12095</v>
      </c>
      <c r="B2096">
        <v>18</v>
      </c>
      <c r="C2096" s="1" t="s">
        <v>36</v>
      </c>
      <c r="D2096" s="1" t="s">
        <v>69</v>
      </c>
      <c r="E2096" s="2">
        <v>44343</v>
      </c>
      <c r="F2096" s="2">
        <v>45066</v>
      </c>
      <c r="G2096" s="1" t="s">
        <v>38</v>
      </c>
      <c r="H2096">
        <v>1320</v>
      </c>
      <c r="I2096">
        <v>26</v>
      </c>
      <c r="J2096">
        <v>3</v>
      </c>
      <c r="K2096">
        <v>47.01</v>
      </c>
      <c r="L2096">
        <v>5</v>
      </c>
      <c r="M2096" s="1" t="s">
        <v>50</v>
      </c>
      <c r="N2096" s="1" t="s">
        <v>56</v>
      </c>
      <c r="O2096">
        <v>34254</v>
      </c>
      <c r="P2096" t="b">
        <v>1</v>
      </c>
      <c r="Q2096">
        <v>2.1666666666666665</v>
      </c>
      <c r="R2096">
        <v>1317.4615384615386</v>
      </c>
      <c r="S2096">
        <v>11.7525</v>
      </c>
      <c r="T2096" s="2">
        <v>44317</v>
      </c>
      <c r="U2096" s="1" t="s">
        <v>66</v>
      </c>
      <c r="V2096">
        <v>0</v>
      </c>
      <c r="W2096" s="1" t="s">
        <v>40</v>
      </c>
      <c r="X2096">
        <v>723</v>
      </c>
      <c r="Y2096" s="1" t="s">
        <v>52</v>
      </c>
      <c r="Z2096" s="1" t="s">
        <v>42</v>
      </c>
      <c r="AA2096">
        <v>0.1111111111111111</v>
      </c>
      <c r="AB2096" s="1" t="s">
        <v>43</v>
      </c>
      <c r="AC2096">
        <v>1</v>
      </c>
      <c r="AD2096" s="2">
        <v>44317</v>
      </c>
      <c r="AE2096" s="1" t="s">
        <v>44</v>
      </c>
      <c r="AF2096" s="1" t="s">
        <v>72</v>
      </c>
      <c r="AG2096" s="1" t="s">
        <v>63</v>
      </c>
      <c r="AH2096" s="1" t="s">
        <v>47</v>
      </c>
      <c r="AI2096">
        <v>34320</v>
      </c>
      <c r="AJ2096">
        <v>-66</v>
      </c>
    </row>
    <row r="2097" spans="1:36" x14ac:dyDescent="0.25">
      <c r="A2097">
        <v>12096</v>
      </c>
      <c r="B2097">
        <v>43</v>
      </c>
      <c r="C2097" s="1" t="s">
        <v>60</v>
      </c>
      <c r="D2097" s="1" t="s">
        <v>73</v>
      </c>
      <c r="E2097" s="2">
        <v>44475</v>
      </c>
      <c r="F2097" s="2">
        <v>45203</v>
      </c>
      <c r="G2097" s="1" t="s">
        <v>38</v>
      </c>
      <c r="H2097">
        <v>476</v>
      </c>
      <c r="I2097">
        <v>14</v>
      </c>
      <c r="J2097">
        <v>2</v>
      </c>
      <c r="K2097">
        <v>48.83</v>
      </c>
      <c r="L2097">
        <v>20</v>
      </c>
      <c r="M2097" s="1" t="s">
        <v>50</v>
      </c>
      <c r="N2097" s="1" t="s">
        <v>56</v>
      </c>
      <c r="O2097">
        <v>6568.8</v>
      </c>
      <c r="P2097" t="b">
        <v>1</v>
      </c>
      <c r="Q2097">
        <v>1.1666666666666667</v>
      </c>
      <c r="R2097">
        <v>469.2</v>
      </c>
      <c r="S2097">
        <v>16.276666666666667</v>
      </c>
      <c r="T2097" s="2">
        <v>44470</v>
      </c>
      <c r="U2097" s="1" t="s">
        <v>51</v>
      </c>
      <c r="V2097">
        <v>0</v>
      </c>
      <c r="W2097" s="1" t="s">
        <v>56</v>
      </c>
      <c r="X2097">
        <v>728</v>
      </c>
      <c r="Y2097" s="1" t="s">
        <v>52</v>
      </c>
      <c r="Z2097" s="1" t="s">
        <v>52</v>
      </c>
      <c r="AA2097">
        <v>0.13333333333333333</v>
      </c>
      <c r="AB2097" s="1" t="s">
        <v>42</v>
      </c>
      <c r="AC2097">
        <v>1</v>
      </c>
      <c r="AD2097" s="2">
        <v>44470</v>
      </c>
      <c r="AE2097" s="1" t="s">
        <v>53</v>
      </c>
      <c r="AF2097" s="1" t="s">
        <v>72</v>
      </c>
      <c r="AG2097" s="1" t="s">
        <v>63</v>
      </c>
      <c r="AH2097" s="1" t="s">
        <v>68</v>
      </c>
      <c r="AI2097">
        <v>6664</v>
      </c>
      <c r="AJ2097">
        <v>-95.199999999999818</v>
      </c>
    </row>
    <row r="2098" spans="1:36" x14ac:dyDescent="0.25">
      <c r="A2098">
        <v>12097</v>
      </c>
      <c r="B2098">
        <v>60</v>
      </c>
      <c r="C2098" s="1" t="s">
        <v>36</v>
      </c>
      <c r="D2098" s="1" t="s">
        <v>48</v>
      </c>
      <c r="E2098" s="2">
        <v>44717</v>
      </c>
      <c r="F2098" s="2">
        <v>44524</v>
      </c>
      <c r="G2098" s="1" t="s">
        <v>38</v>
      </c>
      <c r="H2098">
        <v>1172</v>
      </c>
      <c r="I2098">
        <v>16</v>
      </c>
      <c r="J2098">
        <v>0</v>
      </c>
      <c r="K2098">
        <v>80.150000000000006</v>
      </c>
      <c r="L2098">
        <v>10</v>
      </c>
      <c r="M2098" s="1" t="s">
        <v>65</v>
      </c>
      <c r="N2098" s="1" t="s">
        <v>40</v>
      </c>
      <c r="O2098">
        <v>18634.8</v>
      </c>
      <c r="P2098" t="b">
        <v>0</v>
      </c>
      <c r="Q2098">
        <v>1.3333333333333333</v>
      </c>
      <c r="R2098">
        <v>1164.675</v>
      </c>
      <c r="S2098">
        <v>80.150000000000006</v>
      </c>
      <c r="T2098" s="2">
        <v>44713</v>
      </c>
      <c r="U2098" s="1" t="s">
        <v>41</v>
      </c>
      <c r="V2098">
        <v>1</v>
      </c>
      <c r="W2098" s="1" t="s">
        <v>40</v>
      </c>
      <c r="Y2098" s="1" t="s">
        <v>43</v>
      </c>
      <c r="Z2098" s="1" t="s">
        <v>42</v>
      </c>
      <c r="AA2098">
        <v>0</v>
      </c>
      <c r="AB2098" s="1" t="s">
        <v>52</v>
      </c>
      <c r="AC2098">
        <v>1</v>
      </c>
      <c r="AD2098" s="2">
        <v>44713</v>
      </c>
      <c r="AE2098" s="1" t="s">
        <v>53</v>
      </c>
      <c r="AF2098" s="1" t="s">
        <v>54</v>
      </c>
      <c r="AG2098" s="1" t="s">
        <v>63</v>
      </c>
      <c r="AH2098" s="1" t="s">
        <v>47</v>
      </c>
      <c r="AI2098">
        <v>18752</v>
      </c>
      <c r="AJ2098">
        <v>-117.20000000000073</v>
      </c>
    </row>
    <row r="2099" spans="1:36" x14ac:dyDescent="0.25">
      <c r="A2099">
        <v>12098</v>
      </c>
      <c r="B2099">
        <v>27</v>
      </c>
      <c r="C2099" s="1" t="s">
        <v>36</v>
      </c>
      <c r="D2099" s="1" t="s">
        <v>69</v>
      </c>
      <c r="E2099" s="2">
        <v>44826</v>
      </c>
      <c r="F2099" s="2">
        <v>44730</v>
      </c>
      <c r="G2099" s="1" t="s">
        <v>62</v>
      </c>
      <c r="H2099">
        <v>776</v>
      </c>
      <c r="I2099">
        <v>10</v>
      </c>
      <c r="J2099">
        <v>4</v>
      </c>
      <c r="K2099">
        <v>53.21</v>
      </c>
      <c r="L2099">
        <v>5</v>
      </c>
      <c r="M2099" s="1" t="s">
        <v>65</v>
      </c>
      <c r="N2099" s="1" t="s">
        <v>56</v>
      </c>
      <c r="O2099">
        <v>7721.2</v>
      </c>
      <c r="P2099" t="b">
        <v>0</v>
      </c>
      <c r="Q2099">
        <v>0.83333333333333337</v>
      </c>
      <c r="R2099">
        <v>772.12</v>
      </c>
      <c r="S2099">
        <v>10.641999999999999</v>
      </c>
      <c r="T2099" s="2">
        <v>44805</v>
      </c>
      <c r="U2099" s="1" t="s">
        <v>57</v>
      </c>
      <c r="V2099">
        <v>0</v>
      </c>
      <c r="W2099" s="1" t="s">
        <v>56</v>
      </c>
      <c r="Y2099" s="1" t="s">
        <v>52</v>
      </c>
      <c r="Z2099" s="1" t="s">
        <v>42</v>
      </c>
      <c r="AA2099">
        <v>0.36363636363636365</v>
      </c>
      <c r="AB2099" s="1" t="s">
        <v>42</v>
      </c>
      <c r="AC2099">
        <v>2</v>
      </c>
      <c r="AD2099" s="2">
        <v>44805</v>
      </c>
      <c r="AE2099" s="1" t="s">
        <v>74</v>
      </c>
      <c r="AF2099" s="1" t="s">
        <v>45</v>
      </c>
      <c r="AG2099" s="1" t="s">
        <v>63</v>
      </c>
      <c r="AH2099" s="1" t="s">
        <v>59</v>
      </c>
      <c r="AI2099">
        <v>7760</v>
      </c>
      <c r="AJ2099">
        <v>-38.800000000000182</v>
      </c>
    </row>
    <row r="2100" spans="1:36" x14ac:dyDescent="0.25">
      <c r="A2100">
        <v>12099</v>
      </c>
      <c r="B2100">
        <v>47</v>
      </c>
      <c r="C2100" s="1" t="s">
        <v>36</v>
      </c>
      <c r="D2100" s="1" t="s">
        <v>69</v>
      </c>
      <c r="E2100" s="2">
        <v>44802</v>
      </c>
      <c r="F2100" s="2">
        <v>44590</v>
      </c>
      <c r="G2100" s="1" t="s">
        <v>62</v>
      </c>
      <c r="H2100">
        <v>697</v>
      </c>
      <c r="I2100">
        <v>31</v>
      </c>
      <c r="J2100">
        <v>6</v>
      </c>
      <c r="K2100">
        <v>114.39</v>
      </c>
      <c r="L2100">
        <v>0</v>
      </c>
      <c r="M2100" s="1" t="s">
        <v>50</v>
      </c>
      <c r="N2100" s="1" t="s">
        <v>40</v>
      </c>
      <c r="O2100">
        <v>21607</v>
      </c>
      <c r="P2100" t="b">
        <v>0</v>
      </c>
      <c r="Q2100">
        <v>2.5833333333333335</v>
      </c>
      <c r="R2100">
        <v>697</v>
      </c>
      <c r="S2100">
        <v>16.341428571428573</v>
      </c>
      <c r="T2100" s="2">
        <v>44774</v>
      </c>
      <c r="U2100" s="1" t="s">
        <v>51</v>
      </c>
      <c r="V2100">
        <v>1</v>
      </c>
      <c r="W2100" s="1" t="s">
        <v>40</v>
      </c>
      <c r="Y2100" s="1" t="s">
        <v>43</v>
      </c>
      <c r="Z2100" s="1" t="s">
        <v>42</v>
      </c>
      <c r="AA2100">
        <v>0.1875</v>
      </c>
      <c r="AB2100" s="1" t="s">
        <v>43</v>
      </c>
      <c r="AC2100">
        <v>2</v>
      </c>
      <c r="AD2100" s="2">
        <v>44774</v>
      </c>
      <c r="AE2100" s="1" t="s">
        <v>44</v>
      </c>
      <c r="AF2100" s="1" t="s">
        <v>78</v>
      </c>
      <c r="AG2100" s="1" t="s">
        <v>63</v>
      </c>
      <c r="AH2100" s="1" t="s">
        <v>64</v>
      </c>
      <c r="AI2100">
        <v>21607</v>
      </c>
      <c r="AJ2100">
        <v>0</v>
      </c>
    </row>
    <row r="2101" spans="1:36" x14ac:dyDescent="0.25">
      <c r="A2101">
        <v>12100</v>
      </c>
      <c r="B2101">
        <v>35</v>
      </c>
      <c r="C2101" s="1" t="s">
        <v>36</v>
      </c>
      <c r="D2101" s="1" t="s">
        <v>69</v>
      </c>
      <c r="E2101" s="2">
        <v>44630</v>
      </c>
      <c r="F2101" s="2">
        <v>44914</v>
      </c>
      <c r="G2101" s="1" t="s">
        <v>38</v>
      </c>
      <c r="H2101">
        <v>519</v>
      </c>
      <c r="I2101">
        <v>31</v>
      </c>
      <c r="J2101">
        <v>3</v>
      </c>
      <c r="K2101">
        <v>107.86</v>
      </c>
      <c r="L2101">
        <v>0</v>
      </c>
      <c r="M2101" s="1" t="s">
        <v>39</v>
      </c>
      <c r="N2101" s="1" t="s">
        <v>56</v>
      </c>
      <c r="O2101">
        <v>16089</v>
      </c>
      <c r="P2101" t="b">
        <v>1</v>
      </c>
      <c r="Q2101">
        <v>2.5833333333333335</v>
      </c>
      <c r="R2101">
        <v>519</v>
      </c>
      <c r="S2101">
        <v>26.965</v>
      </c>
      <c r="T2101" s="2">
        <v>44621</v>
      </c>
      <c r="U2101" s="1" t="s">
        <v>57</v>
      </c>
      <c r="V2101">
        <v>0</v>
      </c>
      <c r="W2101" s="1" t="s">
        <v>40</v>
      </c>
      <c r="X2101">
        <v>284</v>
      </c>
      <c r="Y2101" s="1" t="s">
        <v>43</v>
      </c>
      <c r="Z2101" s="1" t="s">
        <v>42</v>
      </c>
      <c r="AA2101">
        <v>9.375E-2</v>
      </c>
      <c r="AB2101" s="1" t="s">
        <v>52</v>
      </c>
      <c r="AC2101">
        <v>1</v>
      </c>
      <c r="AD2101" s="2">
        <v>44621</v>
      </c>
      <c r="AE2101" s="1" t="s">
        <v>44</v>
      </c>
      <c r="AF2101" s="1" t="s">
        <v>72</v>
      </c>
      <c r="AG2101" s="1" t="s">
        <v>63</v>
      </c>
      <c r="AH2101" s="1" t="s">
        <v>64</v>
      </c>
      <c r="AI2101">
        <v>16089</v>
      </c>
      <c r="AJ2101">
        <v>0</v>
      </c>
    </row>
    <row r="2102" spans="1:36" x14ac:dyDescent="0.25">
      <c r="A2102">
        <v>12101</v>
      </c>
      <c r="B2102">
        <v>34</v>
      </c>
      <c r="C2102" s="1" t="s">
        <v>60</v>
      </c>
      <c r="D2102" s="1" t="s">
        <v>48</v>
      </c>
      <c r="E2102" s="2">
        <v>44340</v>
      </c>
      <c r="F2102" s="2">
        <v>44488</v>
      </c>
      <c r="G2102" s="1" t="s">
        <v>49</v>
      </c>
      <c r="H2102">
        <v>472</v>
      </c>
      <c r="I2102">
        <v>10</v>
      </c>
      <c r="J2102">
        <v>3</v>
      </c>
      <c r="K2102">
        <v>62.59</v>
      </c>
      <c r="L2102">
        <v>20</v>
      </c>
      <c r="M2102" s="1" t="s">
        <v>39</v>
      </c>
      <c r="N2102" s="1" t="s">
        <v>56</v>
      </c>
      <c r="O2102">
        <v>4625.6000000000004</v>
      </c>
      <c r="P2102" t="b">
        <v>1</v>
      </c>
      <c r="Q2102">
        <v>0.83333333333333337</v>
      </c>
      <c r="R2102">
        <v>462.56000000000006</v>
      </c>
      <c r="S2102">
        <v>15.647500000000001</v>
      </c>
      <c r="T2102" s="2">
        <v>44317</v>
      </c>
      <c r="U2102" s="1" t="s">
        <v>57</v>
      </c>
      <c r="V2102">
        <v>0</v>
      </c>
      <c r="W2102" s="1" t="s">
        <v>56</v>
      </c>
      <c r="X2102">
        <v>148</v>
      </c>
      <c r="Y2102" s="1" t="s">
        <v>43</v>
      </c>
      <c r="Z2102" s="1" t="s">
        <v>52</v>
      </c>
      <c r="AA2102">
        <v>0.27272727272727271</v>
      </c>
      <c r="AB2102" s="1" t="s">
        <v>42</v>
      </c>
      <c r="AC2102">
        <v>3</v>
      </c>
      <c r="AD2102" s="2">
        <v>44317</v>
      </c>
      <c r="AE2102" s="1" t="s">
        <v>74</v>
      </c>
      <c r="AF2102" s="1" t="s">
        <v>72</v>
      </c>
      <c r="AG2102" s="1" t="s">
        <v>63</v>
      </c>
      <c r="AH2102" s="1" t="s">
        <v>68</v>
      </c>
      <c r="AI2102">
        <v>4720</v>
      </c>
      <c r="AJ2102">
        <v>-94.399999999999636</v>
      </c>
    </row>
    <row r="2103" spans="1:36" x14ac:dyDescent="0.25">
      <c r="A2103">
        <v>12102</v>
      </c>
      <c r="B2103">
        <v>43</v>
      </c>
      <c r="C2103" s="1" t="s">
        <v>60</v>
      </c>
      <c r="D2103" s="1" t="s">
        <v>73</v>
      </c>
      <c r="E2103" s="2">
        <v>44485</v>
      </c>
      <c r="F2103" s="2">
        <v>44804</v>
      </c>
      <c r="G2103" s="1" t="s">
        <v>62</v>
      </c>
      <c r="H2103">
        <v>1035</v>
      </c>
      <c r="I2103">
        <v>26</v>
      </c>
      <c r="J2103">
        <v>1</v>
      </c>
      <c r="K2103">
        <v>79.150000000000006</v>
      </c>
      <c r="L2103">
        <v>15</v>
      </c>
      <c r="M2103" s="1" t="s">
        <v>65</v>
      </c>
      <c r="N2103" s="1" t="s">
        <v>56</v>
      </c>
      <c r="O2103">
        <v>26754.75</v>
      </c>
      <c r="P2103" t="b">
        <v>1</v>
      </c>
      <c r="Q2103">
        <v>2.1666666666666665</v>
      </c>
      <c r="R2103">
        <v>1029.0288461538462</v>
      </c>
      <c r="S2103">
        <v>39.575000000000003</v>
      </c>
      <c r="T2103" s="2">
        <v>44470</v>
      </c>
      <c r="U2103" s="1" t="s">
        <v>51</v>
      </c>
      <c r="V2103">
        <v>0</v>
      </c>
      <c r="W2103" s="1" t="s">
        <v>40</v>
      </c>
      <c r="X2103">
        <v>319</v>
      </c>
      <c r="Y2103" s="1" t="s">
        <v>43</v>
      </c>
      <c r="Z2103" s="1" t="s">
        <v>42</v>
      </c>
      <c r="AA2103">
        <v>3.7037037037037035E-2</v>
      </c>
      <c r="AB2103" s="1" t="s">
        <v>43</v>
      </c>
      <c r="AC2103">
        <v>2</v>
      </c>
      <c r="AD2103" s="2">
        <v>44470</v>
      </c>
      <c r="AE2103" s="1" t="s">
        <v>44</v>
      </c>
      <c r="AF2103" s="1" t="s">
        <v>54</v>
      </c>
      <c r="AG2103" s="1" t="s">
        <v>63</v>
      </c>
      <c r="AH2103" s="1" t="s">
        <v>47</v>
      </c>
      <c r="AI2103">
        <v>26910</v>
      </c>
      <c r="AJ2103">
        <v>-155.25</v>
      </c>
    </row>
    <row r="2104" spans="1:36" x14ac:dyDescent="0.25">
      <c r="A2104">
        <v>12103</v>
      </c>
      <c r="B2104">
        <v>25</v>
      </c>
      <c r="C2104" s="1" t="s">
        <v>36</v>
      </c>
      <c r="D2104" s="1" t="s">
        <v>37</v>
      </c>
      <c r="E2104" s="2">
        <v>44582</v>
      </c>
      <c r="F2104" s="2">
        <v>44787</v>
      </c>
      <c r="G2104" s="1" t="s">
        <v>49</v>
      </c>
      <c r="H2104">
        <v>801</v>
      </c>
      <c r="I2104">
        <v>20</v>
      </c>
      <c r="J2104">
        <v>1</v>
      </c>
      <c r="K2104">
        <v>11.67</v>
      </c>
      <c r="L2104">
        <v>20</v>
      </c>
      <c r="M2104" s="1" t="s">
        <v>50</v>
      </c>
      <c r="N2104" s="1" t="s">
        <v>56</v>
      </c>
      <c r="O2104">
        <v>15859.8</v>
      </c>
      <c r="P2104" t="b">
        <v>1</v>
      </c>
      <c r="Q2104">
        <v>1.6666666666666667</v>
      </c>
      <c r="R2104">
        <v>792.99</v>
      </c>
      <c r="S2104">
        <v>5.835</v>
      </c>
      <c r="T2104" s="2">
        <v>44562</v>
      </c>
      <c r="U2104" s="1" t="s">
        <v>66</v>
      </c>
      <c r="V2104">
        <v>0</v>
      </c>
      <c r="W2104" s="1" t="s">
        <v>40</v>
      </c>
      <c r="X2104">
        <v>205</v>
      </c>
      <c r="Y2104" s="1" t="s">
        <v>42</v>
      </c>
      <c r="Z2104" s="1" t="s">
        <v>52</v>
      </c>
      <c r="AA2104">
        <v>4.7619047619047616E-2</v>
      </c>
      <c r="AB2104" s="1" t="s">
        <v>52</v>
      </c>
      <c r="AC2104">
        <v>3</v>
      </c>
      <c r="AD2104" s="2">
        <v>44562</v>
      </c>
      <c r="AE2104" s="1" t="s">
        <v>53</v>
      </c>
      <c r="AF2104" s="1" t="s">
        <v>54</v>
      </c>
      <c r="AG2104" s="1" t="s">
        <v>46</v>
      </c>
      <c r="AH2104" s="1" t="s">
        <v>59</v>
      </c>
      <c r="AI2104">
        <v>16020</v>
      </c>
      <c r="AJ2104">
        <v>-160.20000000000073</v>
      </c>
    </row>
    <row r="2105" spans="1:36" x14ac:dyDescent="0.25">
      <c r="A2105">
        <v>12104</v>
      </c>
      <c r="B2105">
        <v>64</v>
      </c>
      <c r="C2105" s="1" t="s">
        <v>60</v>
      </c>
      <c r="D2105" s="1" t="s">
        <v>48</v>
      </c>
      <c r="E2105" s="2">
        <v>44210</v>
      </c>
      <c r="F2105" s="2">
        <v>44403</v>
      </c>
      <c r="G2105" s="1" t="s">
        <v>62</v>
      </c>
      <c r="H2105">
        <v>1060</v>
      </c>
      <c r="I2105">
        <v>9</v>
      </c>
      <c r="J2105">
        <v>2</v>
      </c>
      <c r="K2105">
        <v>85.01</v>
      </c>
      <c r="L2105">
        <v>10</v>
      </c>
      <c r="M2105" s="1" t="s">
        <v>39</v>
      </c>
      <c r="N2105" s="1" t="s">
        <v>56</v>
      </c>
      <c r="O2105">
        <v>9434</v>
      </c>
      <c r="P2105" t="b">
        <v>1</v>
      </c>
      <c r="Q2105">
        <v>0.75</v>
      </c>
      <c r="R2105">
        <v>1048.2222222222222</v>
      </c>
      <c r="S2105">
        <v>28.33666666666667</v>
      </c>
      <c r="T2105" s="2">
        <v>44197</v>
      </c>
      <c r="U2105" s="1" t="s">
        <v>41</v>
      </c>
      <c r="V2105">
        <v>0</v>
      </c>
      <c r="W2105" s="1" t="s">
        <v>56</v>
      </c>
      <c r="X2105">
        <v>193</v>
      </c>
      <c r="Y2105" s="1" t="s">
        <v>43</v>
      </c>
      <c r="Z2105" s="1" t="s">
        <v>42</v>
      </c>
      <c r="AA2105">
        <v>0.2</v>
      </c>
      <c r="AB2105" s="1" t="s">
        <v>52</v>
      </c>
      <c r="AC2105">
        <v>2</v>
      </c>
      <c r="AD2105" s="2">
        <v>44197</v>
      </c>
      <c r="AE2105" s="1" t="s">
        <v>74</v>
      </c>
      <c r="AF2105" s="1" t="s">
        <v>72</v>
      </c>
      <c r="AG2105" s="1" t="s">
        <v>63</v>
      </c>
      <c r="AH2105" s="1" t="s">
        <v>47</v>
      </c>
      <c r="AI2105">
        <v>9540</v>
      </c>
      <c r="AJ2105">
        <v>-106</v>
      </c>
    </row>
    <row r="2106" spans="1:36" x14ac:dyDescent="0.25">
      <c r="A2106">
        <v>12105</v>
      </c>
      <c r="B2106">
        <v>57</v>
      </c>
      <c r="C2106" s="1" t="s">
        <v>36</v>
      </c>
      <c r="D2106" s="1" t="s">
        <v>69</v>
      </c>
      <c r="E2106" s="2">
        <v>44453</v>
      </c>
      <c r="F2106" s="2">
        <v>44874</v>
      </c>
      <c r="G2106" s="1" t="s">
        <v>62</v>
      </c>
      <c r="H2106">
        <v>430</v>
      </c>
      <c r="I2106">
        <v>15</v>
      </c>
      <c r="J2106">
        <v>2</v>
      </c>
      <c r="K2106">
        <v>86.33</v>
      </c>
      <c r="L2106">
        <v>20</v>
      </c>
      <c r="M2106" s="1" t="s">
        <v>67</v>
      </c>
      <c r="N2106" s="1" t="s">
        <v>56</v>
      </c>
      <c r="O2106">
        <v>6364</v>
      </c>
      <c r="P2106" t="b">
        <v>1</v>
      </c>
      <c r="Q2106">
        <v>1.25</v>
      </c>
      <c r="R2106">
        <v>424.26666666666665</v>
      </c>
      <c r="S2106">
        <v>28.776666666666667</v>
      </c>
      <c r="T2106" s="2">
        <v>44440</v>
      </c>
      <c r="U2106" s="1" t="s">
        <v>41</v>
      </c>
      <c r="V2106">
        <v>0</v>
      </c>
      <c r="W2106" s="1" t="s">
        <v>56</v>
      </c>
      <c r="X2106">
        <v>421</v>
      </c>
      <c r="Y2106" s="1" t="s">
        <v>43</v>
      </c>
      <c r="Z2106" s="1" t="s">
        <v>52</v>
      </c>
      <c r="AA2106">
        <v>0.125</v>
      </c>
      <c r="AB2106" s="1" t="s">
        <v>42</v>
      </c>
      <c r="AC2106">
        <v>2</v>
      </c>
      <c r="AD2106" s="2">
        <v>44440</v>
      </c>
      <c r="AE2106" s="1" t="s">
        <v>53</v>
      </c>
      <c r="AF2106" s="1" t="s">
        <v>72</v>
      </c>
      <c r="AG2106" s="1" t="s">
        <v>63</v>
      </c>
      <c r="AH2106" s="1" t="s">
        <v>68</v>
      </c>
      <c r="AI2106">
        <v>6450</v>
      </c>
      <c r="AJ2106">
        <v>-86</v>
      </c>
    </row>
    <row r="2107" spans="1:36" x14ac:dyDescent="0.25">
      <c r="A2107">
        <v>12106</v>
      </c>
      <c r="B2107">
        <v>29</v>
      </c>
      <c r="C2107" s="1" t="s">
        <v>60</v>
      </c>
      <c r="D2107" s="1" t="s">
        <v>73</v>
      </c>
      <c r="E2107" s="2">
        <v>44542</v>
      </c>
      <c r="F2107" s="2">
        <v>45044</v>
      </c>
      <c r="G2107" s="1" t="s">
        <v>38</v>
      </c>
      <c r="H2107">
        <v>1436</v>
      </c>
      <c r="I2107">
        <v>9</v>
      </c>
      <c r="J2107">
        <v>2</v>
      </c>
      <c r="K2107">
        <v>46.31</v>
      </c>
      <c r="L2107">
        <v>10</v>
      </c>
      <c r="M2107" s="1" t="s">
        <v>65</v>
      </c>
      <c r="N2107" s="1" t="s">
        <v>56</v>
      </c>
      <c r="O2107">
        <v>12780.4</v>
      </c>
      <c r="P2107" t="b">
        <v>1</v>
      </c>
      <c r="Q2107">
        <v>0.75</v>
      </c>
      <c r="R2107">
        <v>1420.0444444444445</v>
      </c>
      <c r="S2107">
        <v>15.436666666666667</v>
      </c>
      <c r="T2107" s="2">
        <v>44531</v>
      </c>
      <c r="U2107" s="1" t="s">
        <v>57</v>
      </c>
      <c r="V2107">
        <v>0</v>
      </c>
      <c r="W2107" s="1" t="s">
        <v>56</v>
      </c>
      <c r="X2107">
        <v>502</v>
      </c>
      <c r="Y2107" s="1" t="s">
        <v>52</v>
      </c>
      <c r="Z2107" s="1" t="s">
        <v>42</v>
      </c>
      <c r="AA2107">
        <v>0.2</v>
      </c>
      <c r="AB2107" s="1" t="s">
        <v>52</v>
      </c>
      <c r="AC2107">
        <v>1</v>
      </c>
      <c r="AD2107" s="2">
        <v>44531</v>
      </c>
      <c r="AE2107" s="1" t="s">
        <v>74</v>
      </c>
      <c r="AF2107" s="1" t="s">
        <v>72</v>
      </c>
      <c r="AG2107" s="1" t="s">
        <v>63</v>
      </c>
      <c r="AH2107" s="1" t="s">
        <v>47</v>
      </c>
      <c r="AI2107">
        <v>12924</v>
      </c>
      <c r="AJ2107">
        <v>-143.60000000000036</v>
      </c>
    </row>
    <row r="2108" spans="1:36" x14ac:dyDescent="0.25">
      <c r="A2108">
        <v>12107</v>
      </c>
      <c r="B2108">
        <v>44</v>
      </c>
      <c r="C2108" s="1" t="s">
        <v>60</v>
      </c>
      <c r="D2108" s="1" t="s">
        <v>61</v>
      </c>
      <c r="E2108" s="2">
        <v>44894</v>
      </c>
      <c r="F2108" s="2">
        <v>45173</v>
      </c>
      <c r="G2108" s="1" t="s">
        <v>38</v>
      </c>
      <c r="H2108">
        <v>1097</v>
      </c>
      <c r="I2108">
        <v>7</v>
      </c>
      <c r="J2108">
        <v>2</v>
      </c>
      <c r="K2108">
        <v>30.26</v>
      </c>
      <c r="L2108">
        <v>15</v>
      </c>
      <c r="M2108" s="1" t="s">
        <v>65</v>
      </c>
      <c r="N2108" s="1" t="s">
        <v>40</v>
      </c>
      <c r="O2108">
        <v>7514.45</v>
      </c>
      <c r="P2108" t="b">
        <v>1</v>
      </c>
      <c r="Q2108">
        <v>0.58333333333333337</v>
      </c>
      <c r="R2108">
        <v>1073.492857142857</v>
      </c>
      <c r="S2108">
        <v>10.086666666666668</v>
      </c>
      <c r="T2108" s="2">
        <v>44866</v>
      </c>
      <c r="U2108" s="1" t="s">
        <v>51</v>
      </c>
      <c r="V2108">
        <v>1</v>
      </c>
      <c r="W2108" s="1" t="s">
        <v>56</v>
      </c>
      <c r="X2108">
        <v>279</v>
      </c>
      <c r="Y2108" s="1" t="s">
        <v>52</v>
      </c>
      <c r="Z2108" s="1" t="s">
        <v>42</v>
      </c>
      <c r="AA2108">
        <v>0.25</v>
      </c>
      <c r="AB2108" s="1" t="s">
        <v>42</v>
      </c>
      <c r="AC2108">
        <v>1</v>
      </c>
      <c r="AD2108" s="2">
        <v>44866</v>
      </c>
      <c r="AE2108" s="1" t="s">
        <v>74</v>
      </c>
      <c r="AF2108" s="1" t="s">
        <v>72</v>
      </c>
      <c r="AG2108" s="1" t="s">
        <v>55</v>
      </c>
      <c r="AH2108" s="1" t="s">
        <v>47</v>
      </c>
      <c r="AI2108">
        <v>7679</v>
      </c>
      <c r="AJ2108">
        <v>-164.55000000000018</v>
      </c>
    </row>
    <row r="2109" spans="1:36" x14ac:dyDescent="0.25">
      <c r="A2109">
        <v>12108</v>
      </c>
      <c r="B2109">
        <v>25</v>
      </c>
      <c r="C2109" s="1" t="s">
        <v>60</v>
      </c>
      <c r="D2109" s="1" t="s">
        <v>71</v>
      </c>
      <c r="E2109" s="2">
        <v>44541</v>
      </c>
      <c r="F2109" s="2">
        <v>44766</v>
      </c>
      <c r="G2109" s="1" t="s">
        <v>38</v>
      </c>
      <c r="H2109">
        <v>1098</v>
      </c>
      <c r="I2109">
        <v>26</v>
      </c>
      <c r="J2109">
        <v>2</v>
      </c>
      <c r="K2109">
        <v>110.23</v>
      </c>
      <c r="L2109">
        <v>20</v>
      </c>
      <c r="M2109" s="1" t="s">
        <v>67</v>
      </c>
      <c r="N2109" s="1" t="s">
        <v>56</v>
      </c>
      <c r="O2109">
        <v>28328.400000000001</v>
      </c>
      <c r="P2109" t="b">
        <v>1</v>
      </c>
      <c r="Q2109">
        <v>2.1666666666666665</v>
      </c>
      <c r="R2109">
        <v>1089.5538461538463</v>
      </c>
      <c r="S2109">
        <v>36.743333333333332</v>
      </c>
      <c r="T2109" s="2">
        <v>44531</v>
      </c>
      <c r="U2109" s="1" t="s">
        <v>66</v>
      </c>
      <c r="V2109">
        <v>0</v>
      </c>
      <c r="W2109" s="1" t="s">
        <v>40</v>
      </c>
      <c r="X2109">
        <v>225</v>
      </c>
      <c r="Y2109" s="1" t="s">
        <v>43</v>
      </c>
      <c r="Z2109" s="1" t="s">
        <v>52</v>
      </c>
      <c r="AA2109">
        <v>7.407407407407407E-2</v>
      </c>
      <c r="AB2109" s="1" t="s">
        <v>43</v>
      </c>
      <c r="AC2109">
        <v>1</v>
      </c>
      <c r="AD2109" s="2">
        <v>44531</v>
      </c>
      <c r="AE2109" s="1" t="s">
        <v>44</v>
      </c>
      <c r="AF2109" s="1" t="s">
        <v>72</v>
      </c>
      <c r="AG2109" s="1" t="s">
        <v>63</v>
      </c>
      <c r="AH2109" s="1" t="s">
        <v>47</v>
      </c>
      <c r="AI2109">
        <v>28548</v>
      </c>
      <c r="AJ2109">
        <v>-219.59999999999854</v>
      </c>
    </row>
    <row r="2110" spans="1:36" x14ac:dyDescent="0.25">
      <c r="A2110">
        <v>12109</v>
      </c>
      <c r="B2110">
        <v>41</v>
      </c>
      <c r="C2110" s="1" t="s">
        <v>60</v>
      </c>
      <c r="D2110" s="1" t="s">
        <v>69</v>
      </c>
      <c r="E2110" s="2">
        <v>44596</v>
      </c>
      <c r="F2110" s="2">
        <v>44435</v>
      </c>
      <c r="G2110" s="1" t="s">
        <v>62</v>
      </c>
      <c r="H2110">
        <v>1229</v>
      </c>
      <c r="I2110">
        <v>24</v>
      </c>
      <c r="J2110">
        <v>4</v>
      </c>
      <c r="K2110">
        <v>54.07</v>
      </c>
      <c r="L2110">
        <v>0</v>
      </c>
      <c r="M2110" s="1" t="s">
        <v>67</v>
      </c>
      <c r="N2110" s="1" t="s">
        <v>56</v>
      </c>
      <c r="O2110">
        <v>29496</v>
      </c>
      <c r="P2110" t="b">
        <v>0</v>
      </c>
      <c r="Q2110">
        <v>2</v>
      </c>
      <c r="R2110">
        <v>1229</v>
      </c>
      <c r="S2110">
        <v>10.814</v>
      </c>
      <c r="T2110" s="2">
        <v>44593</v>
      </c>
      <c r="U2110" s="1" t="s">
        <v>51</v>
      </c>
      <c r="V2110">
        <v>0</v>
      </c>
      <c r="W2110" s="1" t="s">
        <v>40</v>
      </c>
      <c r="Y2110" s="1" t="s">
        <v>52</v>
      </c>
      <c r="Z2110" s="1" t="s">
        <v>42</v>
      </c>
      <c r="AA2110">
        <v>0.16</v>
      </c>
      <c r="AB2110" s="1" t="s">
        <v>43</v>
      </c>
      <c r="AC2110">
        <v>2</v>
      </c>
      <c r="AD2110" s="2">
        <v>44593</v>
      </c>
      <c r="AE2110" s="1" t="s">
        <v>53</v>
      </c>
      <c r="AF2110" s="1" t="s">
        <v>45</v>
      </c>
      <c r="AG2110" s="1" t="s">
        <v>63</v>
      </c>
      <c r="AH2110" s="1" t="s">
        <v>47</v>
      </c>
      <c r="AI2110">
        <v>29496</v>
      </c>
      <c r="AJ2110">
        <v>0</v>
      </c>
    </row>
    <row r="2111" spans="1:36" x14ac:dyDescent="0.25">
      <c r="A2111">
        <v>12110</v>
      </c>
      <c r="B2111">
        <v>63</v>
      </c>
      <c r="C2111" s="1" t="s">
        <v>36</v>
      </c>
      <c r="D2111" s="1" t="s">
        <v>61</v>
      </c>
      <c r="E2111" s="2">
        <v>44403</v>
      </c>
      <c r="F2111" s="2">
        <v>44956</v>
      </c>
      <c r="G2111" s="1" t="s">
        <v>38</v>
      </c>
      <c r="H2111">
        <v>1022</v>
      </c>
      <c r="I2111">
        <v>12</v>
      </c>
      <c r="J2111">
        <v>2</v>
      </c>
      <c r="K2111">
        <v>80.180000000000007</v>
      </c>
      <c r="L2111">
        <v>10</v>
      </c>
      <c r="M2111" s="1" t="s">
        <v>65</v>
      </c>
      <c r="N2111" s="1" t="s">
        <v>56</v>
      </c>
      <c r="O2111">
        <v>12161.8</v>
      </c>
      <c r="P2111" t="b">
        <v>1</v>
      </c>
      <c r="Q2111">
        <v>1</v>
      </c>
      <c r="R2111">
        <v>1013.4833333333332</v>
      </c>
      <c r="S2111">
        <v>26.72666666666667</v>
      </c>
      <c r="T2111" s="2">
        <v>44378</v>
      </c>
      <c r="U2111" s="1" t="s">
        <v>41</v>
      </c>
      <c r="V2111">
        <v>0</v>
      </c>
      <c r="W2111" s="1" t="s">
        <v>56</v>
      </c>
      <c r="X2111">
        <v>553</v>
      </c>
      <c r="Y2111" s="1" t="s">
        <v>43</v>
      </c>
      <c r="Z2111" s="1" t="s">
        <v>42</v>
      </c>
      <c r="AA2111">
        <v>0.15384615384615385</v>
      </c>
      <c r="AB2111" s="1" t="s">
        <v>52</v>
      </c>
      <c r="AC2111">
        <v>1</v>
      </c>
      <c r="AD2111" s="2">
        <v>44378</v>
      </c>
      <c r="AE2111" s="1" t="s">
        <v>74</v>
      </c>
      <c r="AF2111" s="1" t="s">
        <v>72</v>
      </c>
      <c r="AG2111" s="1" t="s">
        <v>63</v>
      </c>
      <c r="AH2111" s="1" t="s">
        <v>47</v>
      </c>
      <c r="AI2111">
        <v>12264</v>
      </c>
      <c r="AJ2111">
        <v>-102.20000000000073</v>
      </c>
    </row>
    <row r="2112" spans="1:36" x14ac:dyDescent="0.25">
      <c r="A2112">
        <v>12111</v>
      </c>
      <c r="B2112">
        <v>21</v>
      </c>
      <c r="C2112" s="1" t="s">
        <v>60</v>
      </c>
      <c r="D2112" s="1" t="s">
        <v>37</v>
      </c>
      <c r="E2112" s="2">
        <v>45054</v>
      </c>
      <c r="F2112" s="2">
        <v>45003</v>
      </c>
      <c r="G2112" s="1" t="s">
        <v>62</v>
      </c>
      <c r="H2112">
        <v>1343</v>
      </c>
      <c r="I2112">
        <v>20</v>
      </c>
      <c r="J2112">
        <v>0</v>
      </c>
      <c r="K2112">
        <v>8.83</v>
      </c>
      <c r="L2112">
        <v>10</v>
      </c>
      <c r="M2112" s="1" t="s">
        <v>67</v>
      </c>
      <c r="N2112" s="1" t="s">
        <v>56</v>
      </c>
      <c r="O2112">
        <v>26725.7</v>
      </c>
      <c r="P2112" t="b">
        <v>0</v>
      </c>
      <c r="Q2112">
        <v>1.6666666666666667</v>
      </c>
      <c r="R2112">
        <v>1336.2850000000001</v>
      </c>
      <c r="S2112">
        <v>8.83</v>
      </c>
      <c r="T2112" s="2">
        <v>45047</v>
      </c>
      <c r="U2112" s="1" t="s">
        <v>66</v>
      </c>
      <c r="V2112">
        <v>0</v>
      </c>
      <c r="W2112" s="1" t="s">
        <v>40</v>
      </c>
      <c r="Y2112" s="1" t="s">
        <v>42</v>
      </c>
      <c r="Z2112" s="1" t="s">
        <v>42</v>
      </c>
      <c r="AA2112">
        <v>0</v>
      </c>
      <c r="AB2112" s="1" t="s">
        <v>43</v>
      </c>
      <c r="AC2112">
        <v>2</v>
      </c>
      <c r="AD2112" s="2">
        <v>45047</v>
      </c>
      <c r="AE2112" s="1" t="s">
        <v>53</v>
      </c>
      <c r="AF2112" s="1" t="s">
        <v>54</v>
      </c>
      <c r="AG2112" s="1" t="s">
        <v>77</v>
      </c>
      <c r="AH2112" s="1" t="s">
        <v>47</v>
      </c>
      <c r="AI2112">
        <v>26860</v>
      </c>
      <c r="AJ2112">
        <v>-134.29999999999927</v>
      </c>
    </row>
    <row r="2113" spans="1:36" x14ac:dyDescent="0.25">
      <c r="A2113">
        <v>12112</v>
      </c>
      <c r="B2113">
        <v>50</v>
      </c>
      <c r="C2113" s="1" t="s">
        <v>75</v>
      </c>
      <c r="D2113" s="1" t="s">
        <v>69</v>
      </c>
      <c r="E2113" s="2">
        <v>44368</v>
      </c>
      <c r="F2113" s="2">
        <v>44355</v>
      </c>
      <c r="G2113" s="1" t="s">
        <v>38</v>
      </c>
      <c r="H2113">
        <v>514</v>
      </c>
      <c r="I2113">
        <v>14</v>
      </c>
      <c r="J2113">
        <v>2</v>
      </c>
      <c r="K2113">
        <v>52.62</v>
      </c>
      <c r="L2113">
        <v>0</v>
      </c>
      <c r="M2113" s="1" t="s">
        <v>39</v>
      </c>
      <c r="N2113" s="1" t="s">
        <v>56</v>
      </c>
      <c r="O2113">
        <v>7196</v>
      </c>
      <c r="P2113" t="b">
        <v>0</v>
      </c>
      <c r="Q2113">
        <v>1.1666666666666667</v>
      </c>
      <c r="R2113">
        <v>514</v>
      </c>
      <c r="S2113">
        <v>17.54</v>
      </c>
      <c r="T2113" s="2">
        <v>44348</v>
      </c>
      <c r="U2113" s="1" t="s">
        <v>51</v>
      </c>
      <c r="V2113">
        <v>0</v>
      </c>
      <c r="W2113" s="1" t="s">
        <v>56</v>
      </c>
      <c r="Y2113" s="1" t="s">
        <v>52</v>
      </c>
      <c r="Z2113" s="1" t="s">
        <v>42</v>
      </c>
      <c r="AA2113">
        <v>0.13333333333333333</v>
      </c>
      <c r="AB2113" s="1" t="s">
        <v>42</v>
      </c>
      <c r="AC2113">
        <v>1</v>
      </c>
      <c r="AD2113" s="2">
        <v>44348</v>
      </c>
      <c r="AE2113" s="1" t="s">
        <v>53</v>
      </c>
      <c r="AF2113" s="1" t="s">
        <v>72</v>
      </c>
      <c r="AG2113" s="1" t="s">
        <v>63</v>
      </c>
      <c r="AH2113" s="1" t="s">
        <v>64</v>
      </c>
      <c r="AI2113">
        <v>7196</v>
      </c>
      <c r="AJ2113">
        <v>0</v>
      </c>
    </row>
    <row r="2114" spans="1:36" x14ac:dyDescent="0.25">
      <c r="A2114">
        <v>12113</v>
      </c>
      <c r="B2114">
        <v>18</v>
      </c>
      <c r="C2114" s="1" t="s">
        <v>36</v>
      </c>
      <c r="D2114" s="1" t="s">
        <v>61</v>
      </c>
      <c r="E2114" s="2">
        <v>44660</v>
      </c>
      <c r="F2114" s="2">
        <v>44824</v>
      </c>
      <c r="G2114" s="1" t="s">
        <v>49</v>
      </c>
      <c r="H2114">
        <v>787</v>
      </c>
      <c r="I2114">
        <v>22</v>
      </c>
      <c r="J2114">
        <v>2</v>
      </c>
      <c r="K2114">
        <v>98.98</v>
      </c>
      <c r="L2114">
        <v>20</v>
      </c>
      <c r="M2114" s="1" t="s">
        <v>65</v>
      </c>
      <c r="N2114" s="1" t="s">
        <v>56</v>
      </c>
      <c r="O2114">
        <v>17156.599999999999</v>
      </c>
      <c r="P2114" t="b">
        <v>1</v>
      </c>
      <c r="Q2114">
        <v>1.8333333333333333</v>
      </c>
      <c r="R2114">
        <v>779.84545454545446</v>
      </c>
      <c r="S2114">
        <v>32.993333333333332</v>
      </c>
      <c r="T2114" s="2">
        <v>44652</v>
      </c>
      <c r="U2114" s="1" t="s">
        <v>66</v>
      </c>
      <c r="V2114">
        <v>0</v>
      </c>
      <c r="W2114" s="1" t="s">
        <v>40</v>
      </c>
      <c r="X2114">
        <v>164</v>
      </c>
      <c r="Y2114" s="1" t="s">
        <v>43</v>
      </c>
      <c r="Z2114" s="1" t="s">
        <v>52</v>
      </c>
      <c r="AA2114">
        <v>8.6956521739130432E-2</v>
      </c>
      <c r="AB2114" s="1" t="s">
        <v>52</v>
      </c>
      <c r="AC2114">
        <v>3</v>
      </c>
      <c r="AD2114" s="2">
        <v>44652</v>
      </c>
      <c r="AE2114" s="1" t="s">
        <v>53</v>
      </c>
      <c r="AF2114" s="1" t="s">
        <v>72</v>
      </c>
      <c r="AG2114" s="1" t="s">
        <v>63</v>
      </c>
      <c r="AH2114" s="1" t="s">
        <v>59</v>
      </c>
      <c r="AI2114">
        <v>17314</v>
      </c>
      <c r="AJ2114">
        <v>-157.40000000000146</v>
      </c>
    </row>
    <row r="2115" spans="1:36" x14ac:dyDescent="0.25">
      <c r="A2115">
        <v>12114</v>
      </c>
      <c r="B2115">
        <v>36</v>
      </c>
      <c r="C2115" s="1" t="s">
        <v>60</v>
      </c>
      <c r="D2115" s="1" t="s">
        <v>69</v>
      </c>
      <c r="E2115" s="2">
        <v>44466</v>
      </c>
      <c r="F2115" s="2">
        <v>44562</v>
      </c>
      <c r="G2115" s="1" t="s">
        <v>38</v>
      </c>
      <c r="H2115">
        <v>612</v>
      </c>
      <c r="I2115">
        <v>16</v>
      </c>
      <c r="J2115">
        <v>3</v>
      </c>
      <c r="K2115">
        <v>49.57</v>
      </c>
      <c r="L2115">
        <v>15</v>
      </c>
      <c r="M2115" s="1" t="s">
        <v>39</v>
      </c>
      <c r="N2115" s="1" t="s">
        <v>40</v>
      </c>
      <c r="O2115">
        <v>9700.2000000000007</v>
      </c>
      <c r="P2115" t="b">
        <v>1</v>
      </c>
      <c r="Q2115">
        <v>1.3333333333333333</v>
      </c>
      <c r="R2115">
        <v>606.26250000000005</v>
      </c>
      <c r="S2115">
        <v>12.3925</v>
      </c>
      <c r="T2115" s="2">
        <v>44440</v>
      </c>
      <c r="U2115" s="1" t="s">
        <v>51</v>
      </c>
      <c r="V2115">
        <v>1</v>
      </c>
      <c r="W2115" s="1" t="s">
        <v>56</v>
      </c>
      <c r="X2115">
        <v>96</v>
      </c>
      <c r="Y2115" s="1" t="s">
        <v>52</v>
      </c>
      <c r="Z2115" s="1" t="s">
        <v>42</v>
      </c>
      <c r="AA2115">
        <v>0.17647058823529413</v>
      </c>
      <c r="AB2115" s="1" t="s">
        <v>52</v>
      </c>
      <c r="AC2115">
        <v>1</v>
      </c>
      <c r="AD2115" s="2">
        <v>44440</v>
      </c>
      <c r="AE2115" s="1" t="s">
        <v>53</v>
      </c>
      <c r="AF2115" s="1" t="s">
        <v>72</v>
      </c>
      <c r="AG2115" s="1" t="s">
        <v>63</v>
      </c>
      <c r="AH2115" s="1" t="s">
        <v>64</v>
      </c>
      <c r="AI2115">
        <v>9792</v>
      </c>
      <c r="AJ2115">
        <v>-91.799999999999272</v>
      </c>
    </row>
    <row r="2116" spans="1:36" x14ac:dyDescent="0.25">
      <c r="A2116">
        <v>12115</v>
      </c>
      <c r="B2116">
        <v>48</v>
      </c>
      <c r="C2116" s="1" t="s">
        <v>36</v>
      </c>
      <c r="D2116" s="1" t="s">
        <v>48</v>
      </c>
      <c r="E2116" s="2">
        <v>44417</v>
      </c>
      <c r="F2116" s="2">
        <v>45032</v>
      </c>
      <c r="G2116" s="1" t="s">
        <v>38</v>
      </c>
      <c r="H2116">
        <v>378</v>
      </c>
      <c r="I2116">
        <v>29</v>
      </c>
      <c r="J2116">
        <v>2</v>
      </c>
      <c r="K2116">
        <v>74.36</v>
      </c>
      <c r="L2116">
        <v>5</v>
      </c>
      <c r="M2116" s="1" t="s">
        <v>65</v>
      </c>
      <c r="N2116" s="1" t="s">
        <v>56</v>
      </c>
      <c r="O2116">
        <v>10943.1</v>
      </c>
      <c r="P2116" t="b">
        <v>1</v>
      </c>
      <c r="Q2116">
        <v>2.4166666666666665</v>
      </c>
      <c r="R2116">
        <v>377.34827586206899</v>
      </c>
      <c r="S2116">
        <v>24.786666666666665</v>
      </c>
      <c r="T2116" s="2">
        <v>44409</v>
      </c>
      <c r="U2116" s="1" t="s">
        <v>51</v>
      </c>
      <c r="V2116">
        <v>0</v>
      </c>
      <c r="W2116" s="1" t="s">
        <v>56</v>
      </c>
      <c r="X2116">
        <v>615</v>
      </c>
      <c r="Y2116" s="1" t="s">
        <v>43</v>
      </c>
      <c r="Z2116" s="1" t="s">
        <v>42</v>
      </c>
      <c r="AA2116">
        <v>6.6666666666666666E-2</v>
      </c>
      <c r="AB2116" s="1" t="s">
        <v>52</v>
      </c>
      <c r="AC2116">
        <v>1</v>
      </c>
      <c r="AD2116" s="2">
        <v>44409</v>
      </c>
      <c r="AE2116" s="1" t="s">
        <v>44</v>
      </c>
      <c r="AF2116" s="1" t="s">
        <v>72</v>
      </c>
      <c r="AG2116" s="1" t="s">
        <v>63</v>
      </c>
      <c r="AH2116" s="1" t="s">
        <v>68</v>
      </c>
      <c r="AI2116">
        <v>10962</v>
      </c>
      <c r="AJ2116">
        <v>-18.899999999999636</v>
      </c>
    </row>
    <row r="2117" spans="1:36" x14ac:dyDescent="0.25">
      <c r="A2117">
        <v>12116</v>
      </c>
      <c r="B2117">
        <v>33</v>
      </c>
      <c r="C2117" s="1" t="s">
        <v>36</v>
      </c>
      <c r="D2117" s="1" t="s">
        <v>73</v>
      </c>
      <c r="E2117" s="2">
        <v>44348</v>
      </c>
      <c r="F2117" s="2">
        <v>45082</v>
      </c>
      <c r="G2117" s="1" t="s">
        <v>38</v>
      </c>
      <c r="H2117">
        <v>479</v>
      </c>
      <c r="I2117">
        <v>32</v>
      </c>
      <c r="J2117">
        <v>3</v>
      </c>
      <c r="K2117">
        <v>29.13</v>
      </c>
      <c r="L2117">
        <v>20</v>
      </c>
      <c r="M2117" s="1" t="s">
        <v>39</v>
      </c>
      <c r="N2117" s="1" t="s">
        <v>56</v>
      </c>
      <c r="O2117">
        <v>15232.2</v>
      </c>
      <c r="P2117" t="b">
        <v>1</v>
      </c>
      <c r="Q2117">
        <v>2.6666666666666665</v>
      </c>
      <c r="R2117">
        <v>476.00625000000002</v>
      </c>
      <c r="S2117">
        <v>7.2824999999999998</v>
      </c>
      <c r="T2117" s="2">
        <v>44348</v>
      </c>
      <c r="U2117" s="1" t="s">
        <v>57</v>
      </c>
      <c r="V2117">
        <v>0</v>
      </c>
      <c r="W2117" s="1" t="s">
        <v>40</v>
      </c>
      <c r="X2117">
        <v>734</v>
      </c>
      <c r="Y2117" s="1" t="s">
        <v>52</v>
      </c>
      <c r="Z2117" s="1" t="s">
        <v>52</v>
      </c>
      <c r="AA2117">
        <v>9.0909090909090912E-2</v>
      </c>
      <c r="AB2117" s="1" t="s">
        <v>52</v>
      </c>
      <c r="AC2117">
        <v>1</v>
      </c>
      <c r="AD2117" s="2">
        <v>44348</v>
      </c>
      <c r="AE2117" s="1" t="s">
        <v>44</v>
      </c>
      <c r="AF2117" s="1" t="s">
        <v>72</v>
      </c>
      <c r="AG2117" s="1" t="s">
        <v>70</v>
      </c>
      <c r="AH2117" s="1" t="s">
        <v>68</v>
      </c>
      <c r="AI2117">
        <v>15328</v>
      </c>
      <c r="AJ2117">
        <v>-95.799999999999272</v>
      </c>
    </row>
    <row r="2118" spans="1:36" x14ac:dyDescent="0.25">
      <c r="A2118">
        <v>12117</v>
      </c>
      <c r="B2118">
        <v>31</v>
      </c>
      <c r="C2118" s="1" t="s">
        <v>36</v>
      </c>
      <c r="D2118" s="1" t="s">
        <v>61</v>
      </c>
      <c r="E2118" s="2">
        <v>44819</v>
      </c>
      <c r="F2118" s="2">
        <v>44899</v>
      </c>
      <c r="G2118" s="1" t="s">
        <v>38</v>
      </c>
      <c r="H2118">
        <v>1303</v>
      </c>
      <c r="I2118">
        <v>19</v>
      </c>
      <c r="J2118">
        <v>2</v>
      </c>
      <c r="K2118">
        <v>52.9</v>
      </c>
      <c r="L2118">
        <v>20</v>
      </c>
      <c r="M2118" s="1" t="s">
        <v>50</v>
      </c>
      <c r="N2118" s="1" t="s">
        <v>40</v>
      </c>
      <c r="O2118">
        <v>24496.400000000001</v>
      </c>
      <c r="P2118" t="b">
        <v>1</v>
      </c>
      <c r="Q2118">
        <v>1.5833333333333333</v>
      </c>
      <c r="R2118">
        <v>1289.284210526316</v>
      </c>
      <c r="S2118">
        <v>17.633333333333333</v>
      </c>
      <c r="T2118" s="2">
        <v>44805</v>
      </c>
      <c r="U2118" s="1" t="s">
        <v>57</v>
      </c>
      <c r="V2118">
        <v>1</v>
      </c>
      <c r="W2118" s="1" t="s">
        <v>40</v>
      </c>
      <c r="X2118">
        <v>80</v>
      </c>
      <c r="Y2118" s="1" t="s">
        <v>52</v>
      </c>
      <c r="Z2118" s="1" t="s">
        <v>52</v>
      </c>
      <c r="AA2118">
        <v>0.1</v>
      </c>
      <c r="AB2118" s="1" t="s">
        <v>43</v>
      </c>
      <c r="AC2118">
        <v>1</v>
      </c>
      <c r="AD2118" s="2">
        <v>44805</v>
      </c>
      <c r="AE2118" s="1" t="s">
        <v>53</v>
      </c>
      <c r="AF2118" s="1" t="s">
        <v>72</v>
      </c>
      <c r="AG2118" s="1" t="s">
        <v>63</v>
      </c>
      <c r="AH2118" s="1" t="s">
        <v>47</v>
      </c>
      <c r="AI2118">
        <v>24757</v>
      </c>
      <c r="AJ2118">
        <v>-260.59999999999854</v>
      </c>
    </row>
    <row r="2119" spans="1:36" x14ac:dyDescent="0.25">
      <c r="A2119">
        <v>12118</v>
      </c>
      <c r="B2119">
        <v>22</v>
      </c>
      <c r="C2119" s="1" t="s">
        <v>60</v>
      </c>
      <c r="D2119" s="1" t="s">
        <v>73</v>
      </c>
      <c r="E2119" s="2">
        <v>44379</v>
      </c>
      <c r="F2119" s="2">
        <v>44844</v>
      </c>
      <c r="G2119" s="1" t="s">
        <v>38</v>
      </c>
      <c r="H2119">
        <v>974</v>
      </c>
      <c r="I2119">
        <v>35</v>
      </c>
      <c r="J2119">
        <v>4</v>
      </c>
      <c r="K2119">
        <v>111.68</v>
      </c>
      <c r="L2119">
        <v>10</v>
      </c>
      <c r="M2119" s="1" t="s">
        <v>39</v>
      </c>
      <c r="N2119" s="1" t="s">
        <v>40</v>
      </c>
      <c r="O2119">
        <v>33992.6</v>
      </c>
      <c r="P2119" t="b">
        <v>1</v>
      </c>
      <c r="Q2119">
        <v>2.9166666666666665</v>
      </c>
      <c r="R2119">
        <v>971.21714285714279</v>
      </c>
      <c r="S2119">
        <v>22.336000000000002</v>
      </c>
      <c r="T2119" s="2">
        <v>44378</v>
      </c>
      <c r="U2119" s="1" t="s">
        <v>66</v>
      </c>
      <c r="V2119">
        <v>1</v>
      </c>
      <c r="W2119" s="1" t="s">
        <v>40</v>
      </c>
      <c r="X2119">
        <v>465</v>
      </c>
      <c r="Y2119" s="1" t="s">
        <v>43</v>
      </c>
      <c r="Z2119" s="1" t="s">
        <v>42</v>
      </c>
      <c r="AA2119">
        <v>0.1111111111111111</v>
      </c>
      <c r="AB2119" s="1" t="s">
        <v>43</v>
      </c>
      <c r="AC2119">
        <v>1</v>
      </c>
      <c r="AD2119" s="2">
        <v>44378</v>
      </c>
      <c r="AE2119" s="1" t="s">
        <v>44</v>
      </c>
      <c r="AF2119" s="1" t="s">
        <v>45</v>
      </c>
      <c r="AG2119" s="1" t="s">
        <v>63</v>
      </c>
      <c r="AH2119" s="1" t="s">
        <v>59</v>
      </c>
      <c r="AI2119">
        <v>34090</v>
      </c>
      <c r="AJ2119">
        <v>-97.400000000001455</v>
      </c>
    </row>
    <row r="2120" spans="1:36" x14ac:dyDescent="0.25">
      <c r="A2120">
        <v>12119</v>
      </c>
      <c r="B2120">
        <v>58</v>
      </c>
      <c r="C2120" s="1" t="s">
        <v>36</v>
      </c>
      <c r="D2120" s="1" t="s">
        <v>48</v>
      </c>
      <c r="E2120" s="2">
        <v>44595</v>
      </c>
      <c r="F2120" s="2">
        <v>45041</v>
      </c>
      <c r="G2120" s="1" t="s">
        <v>62</v>
      </c>
      <c r="H2120">
        <v>313</v>
      </c>
      <c r="I2120">
        <v>32</v>
      </c>
      <c r="J2120">
        <v>1</v>
      </c>
      <c r="K2120">
        <v>70.14</v>
      </c>
      <c r="L2120">
        <v>10</v>
      </c>
      <c r="M2120" s="1" t="s">
        <v>67</v>
      </c>
      <c r="N2120" s="1" t="s">
        <v>56</v>
      </c>
      <c r="O2120">
        <v>9984.7000000000007</v>
      </c>
      <c r="P2120" t="b">
        <v>1</v>
      </c>
      <c r="Q2120">
        <v>2.6666666666666665</v>
      </c>
      <c r="R2120">
        <v>312.02187500000002</v>
      </c>
      <c r="S2120">
        <v>35.07</v>
      </c>
      <c r="T2120" s="2">
        <v>44593</v>
      </c>
      <c r="U2120" s="1" t="s">
        <v>41</v>
      </c>
      <c r="V2120">
        <v>0</v>
      </c>
      <c r="W2120" s="1" t="s">
        <v>56</v>
      </c>
      <c r="X2120">
        <v>446</v>
      </c>
      <c r="Y2120" s="1" t="s">
        <v>43</v>
      </c>
      <c r="Z2120" s="1" t="s">
        <v>42</v>
      </c>
      <c r="AA2120">
        <v>3.0303030303030304E-2</v>
      </c>
      <c r="AB2120" s="1" t="s">
        <v>52</v>
      </c>
      <c r="AC2120">
        <v>2</v>
      </c>
      <c r="AD2120" s="2">
        <v>44593</v>
      </c>
      <c r="AE2120" s="1" t="s">
        <v>44</v>
      </c>
      <c r="AF2120" s="1" t="s">
        <v>54</v>
      </c>
      <c r="AG2120" s="1" t="s">
        <v>63</v>
      </c>
      <c r="AH2120" s="1" t="s">
        <v>68</v>
      </c>
      <c r="AI2120">
        <v>10016</v>
      </c>
      <c r="AJ2120">
        <v>-31.299999999999272</v>
      </c>
    </row>
    <row r="2121" spans="1:36" x14ac:dyDescent="0.25">
      <c r="A2121">
        <v>12120</v>
      </c>
      <c r="B2121">
        <v>43</v>
      </c>
      <c r="C2121" s="1" t="s">
        <v>36</v>
      </c>
      <c r="D2121" s="1" t="s">
        <v>48</v>
      </c>
      <c r="E2121" s="2">
        <v>45047</v>
      </c>
      <c r="F2121" s="2">
        <v>44850</v>
      </c>
      <c r="G2121" s="1" t="s">
        <v>38</v>
      </c>
      <c r="H2121">
        <v>1158</v>
      </c>
      <c r="I2121">
        <v>20</v>
      </c>
      <c r="J2121">
        <v>1</v>
      </c>
      <c r="K2121">
        <v>108.72</v>
      </c>
      <c r="L2121">
        <v>15</v>
      </c>
      <c r="M2121" s="1" t="s">
        <v>50</v>
      </c>
      <c r="N2121" s="1" t="s">
        <v>56</v>
      </c>
      <c r="O2121">
        <v>22986.3</v>
      </c>
      <c r="P2121" t="b">
        <v>0</v>
      </c>
      <c r="Q2121">
        <v>1.6666666666666667</v>
      </c>
      <c r="R2121">
        <v>1149.3150000000001</v>
      </c>
      <c r="S2121">
        <v>54.36</v>
      </c>
      <c r="T2121" s="2">
        <v>45047</v>
      </c>
      <c r="U2121" s="1" t="s">
        <v>51</v>
      </c>
      <c r="V2121">
        <v>0</v>
      </c>
      <c r="W2121" s="1" t="s">
        <v>40</v>
      </c>
      <c r="Y2121" s="1" t="s">
        <v>43</v>
      </c>
      <c r="Z2121" s="1" t="s">
        <v>42</v>
      </c>
      <c r="AA2121">
        <v>4.7619047619047616E-2</v>
      </c>
      <c r="AB2121" s="1" t="s">
        <v>43</v>
      </c>
      <c r="AC2121">
        <v>1</v>
      </c>
      <c r="AD2121" s="2">
        <v>45047</v>
      </c>
      <c r="AE2121" s="1" t="s">
        <v>53</v>
      </c>
      <c r="AF2121" s="1" t="s">
        <v>54</v>
      </c>
      <c r="AG2121" s="1" t="s">
        <v>63</v>
      </c>
      <c r="AH2121" s="1" t="s">
        <v>47</v>
      </c>
      <c r="AI2121">
        <v>23160</v>
      </c>
      <c r="AJ2121">
        <v>-173.70000000000073</v>
      </c>
    </row>
    <row r="2122" spans="1:36" x14ac:dyDescent="0.25">
      <c r="A2122">
        <v>12121</v>
      </c>
      <c r="B2122">
        <v>45</v>
      </c>
      <c r="C2122" s="1" t="s">
        <v>60</v>
      </c>
      <c r="D2122" s="1" t="s">
        <v>73</v>
      </c>
      <c r="E2122" s="2">
        <v>44268</v>
      </c>
      <c r="F2122" s="2">
        <v>45129</v>
      </c>
      <c r="G2122" s="1" t="s">
        <v>38</v>
      </c>
      <c r="H2122">
        <v>545</v>
      </c>
      <c r="I2122">
        <v>20</v>
      </c>
      <c r="J2122">
        <v>1</v>
      </c>
      <c r="K2122">
        <v>108.73</v>
      </c>
      <c r="L2122">
        <v>15</v>
      </c>
      <c r="M2122" s="1" t="s">
        <v>65</v>
      </c>
      <c r="N2122" s="1" t="s">
        <v>56</v>
      </c>
      <c r="O2122">
        <v>10818.25</v>
      </c>
      <c r="P2122" t="b">
        <v>1</v>
      </c>
      <c r="Q2122">
        <v>1.6666666666666667</v>
      </c>
      <c r="R2122">
        <v>540.91250000000002</v>
      </c>
      <c r="S2122">
        <v>54.365000000000002</v>
      </c>
      <c r="T2122" s="2">
        <v>44256</v>
      </c>
      <c r="U2122" s="1" t="s">
        <v>51</v>
      </c>
      <c r="V2122">
        <v>0</v>
      </c>
      <c r="W2122" s="1" t="s">
        <v>56</v>
      </c>
      <c r="X2122">
        <v>861</v>
      </c>
      <c r="Y2122" s="1" t="s">
        <v>43</v>
      </c>
      <c r="Z2122" s="1" t="s">
        <v>42</v>
      </c>
      <c r="AA2122">
        <v>4.7619047619047616E-2</v>
      </c>
      <c r="AB2122" s="1" t="s">
        <v>52</v>
      </c>
      <c r="AC2122">
        <v>1</v>
      </c>
      <c r="AD2122" s="2">
        <v>44256</v>
      </c>
      <c r="AE2122" s="1" t="s">
        <v>53</v>
      </c>
      <c r="AF2122" s="1" t="s">
        <v>54</v>
      </c>
      <c r="AG2122" s="1" t="s">
        <v>63</v>
      </c>
      <c r="AH2122" s="1" t="s">
        <v>64</v>
      </c>
      <c r="AI2122">
        <v>10900</v>
      </c>
      <c r="AJ2122">
        <v>-81.75</v>
      </c>
    </row>
    <row r="2123" spans="1:36" x14ac:dyDescent="0.25">
      <c r="A2123">
        <v>12122</v>
      </c>
      <c r="B2123">
        <v>19</v>
      </c>
      <c r="C2123" s="1" t="s">
        <v>60</v>
      </c>
      <c r="D2123" s="1" t="s">
        <v>61</v>
      </c>
      <c r="E2123" s="2">
        <v>44614</v>
      </c>
      <c r="F2123" s="2">
        <v>45046</v>
      </c>
      <c r="G2123" s="1" t="s">
        <v>49</v>
      </c>
      <c r="H2123">
        <v>1337</v>
      </c>
      <c r="I2123">
        <v>8</v>
      </c>
      <c r="J2123">
        <v>1</v>
      </c>
      <c r="K2123">
        <v>113.58</v>
      </c>
      <c r="L2123">
        <v>15</v>
      </c>
      <c r="M2123" s="1" t="s">
        <v>39</v>
      </c>
      <c r="N2123" s="1" t="s">
        <v>40</v>
      </c>
      <c r="O2123">
        <v>10495.45</v>
      </c>
      <c r="P2123" t="b">
        <v>1</v>
      </c>
      <c r="Q2123">
        <v>0.66666666666666663</v>
      </c>
      <c r="R2123">
        <v>1311.9312500000001</v>
      </c>
      <c r="S2123">
        <v>56.79</v>
      </c>
      <c r="T2123" s="2">
        <v>44593</v>
      </c>
      <c r="U2123" s="1" t="s">
        <v>66</v>
      </c>
      <c r="V2123">
        <v>1</v>
      </c>
      <c r="W2123" s="1" t="s">
        <v>56</v>
      </c>
      <c r="X2123">
        <v>432</v>
      </c>
      <c r="Y2123" s="1" t="s">
        <v>43</v>
      </c>
      <c r="Z2123" s="1" t="s">
        <v>42</v>
      </c>
      <c r="AA2123">
        <v>0.1111111111111111</v>
      </c>
      <c r="AB2123" s="1" t="s">
        <v>52</v>
      </c>
      <c r="AC2123">
        <v>3</v>
      </c>
      <c r="AD2123" s="2">
        <v>44593</v>
      </c>
      <c r="AE2123" s="1" t="s">
        <v>74</v>
      </c>
      <c r="AF2123" s="1" t="s">
        <v>54</v>
      </c>
      <c r="AG2123" s="1" t="s">
        <v>63</v>
      </c>
      <c r="AH2123" s="1" t="s">
        <v>47</v>
      </c>
      <c r="AI2123">
        <v>10696</v>
      </c>
      <c r="AJ2123">
        <v>-200.54999999999927</v>
      </c>
    </row>
    <row r="2124" spans="1:36" x14ac:dyDescent="0.25">
      <c r="A2124">
        <v>12123</v>
      </c>
      <c r="B2124">
        <v>23</v>
      </c>
      <c r="C2124" s="1" t="s">
        <v>36</v>
      </c>
      <c r="D2124" s="1" t="s">
        <v>73</v>
      </c>
      <c r="E2124" s="2">
        <v>45094</v>
      </c>
      <c r="F2124" s="2">
        <v>44592</v>
      </c>
      <c r="G2124" s="1" t="s">
        <v>38</v>
      </c>
      <c r="H2124">
        <v>398</v>
      </c>
      <c r="I2124">
        <v>35</v>
      </c>
      <c r="J2124">
        <v>2</v>
      </c>
      <c r="K2124">
        <v>107.97</v>
      </c>
      <c r="L2124">
        <v>0</v>
      </c>
      <c r="M2124" s="1" t="s">
        <v>65</v>
      </c>
      <c r="N2124" s="1" t="s">
        <v>56</v>
      </c>
      <c r="O2124">
        <v>13930</v>
      </c>
      <c r="P2124" t="b">
        <v>0</v>
      </c>
      <c r="Q2124">
        <v>2.9166666666666665</v>
      </c>
      <c r="R2124">
        <v>398</v>
      </c>
      <c r="S2124">
        <v>35.99</v>
      </c>
      <c r="T2124" s="2">
        <v>45078</v>
      </c>
      <c r="U2124" s="1" t="s">
        <v>66</v>
      </c>
      <c r="V2124">
        <v>0</v>
      </c>
      <c r="W2124" s="1" t="s">
        <v>40</v>
      </c>
      <c r="Y2124" s="1" t="s">
        <v>43</v>
      </c>
      <c r="Z2124" s="1" t="s">
        <v>42</v>
      </c>
      <c r="AA2124">
        <v>5.5555555555555552E-2</v>
      </c>
      <c r="AB2124" s="1" t="s">
        <v>52</v>
      </c>
      <c r="AC2124">
        <v>1</v>
      </c>
      <c r="AD2124" s="2">
        <v>45078</v>
      </c>
      <c r="AE2124" s="1" t="s">
        <v>44</v>
      </c>
      <c r="AF2124" s="1" t="s">
        <v>72</v>
      </c>
      <c r="AG2124" s="1" t="s">
        <v>63</v>
      </c>
      <c r="AH2124" s="1" t="s">
        <v>68</v>
      </c>
      <c r="AI2124">
        <v>13930</v>
      </c>
      <c r="AJ2124">
        <v>0</v>
      </c>
    </row>
    <row r="2125" spans="1:36" x14ac:dyDescent="0.25">
      <c r="A2125">
        <v>12124</v>
      </c>
      <c r="B2125">
        <v>26</v>
      </c>
      <c r="C2125" s="1" t="s">
        <v>60</v>
      </c>
      <c r="D2125" s="1" t="s">
        <v>73</v>
      </c>
      <c r="E2125" s="2">
        <v>44479</v>
      </c>
      <c r="F2125" s="2">
        <v>44825</v>
      </c>
      <c r="G2125" s="1" t="s">
        <v>49</v>
      </c>
      <c r="H2125">
        <v>332</v>
      </c>
      <c r="I2125">
        <v>13</v>
      </c>
      <c r="J2125">
        <v>3</v>
      </c>
      <c r="K2125">
        <v>5.38</v>
      </c>
      <c r="L2125">
        <v>5</v>
      </c>
      <c r="M2125" s="1" t="s">
        <v>50</v>
      </c>
      <c r="N2125" s="1" t="s">
        <v>56</v>
      </c>
      <c r="O2125">
        <v>4299.3999999999996</v>
      </c>
      <c r="P2125" t="b">
        <v>1</v>
      </c>
      <c r="Q2125">
        <v>1.0833333333333333</v>
      </c>
      <c r="R2125">
        <v>330.72307692307692</v>
      </c>
      <c r="S2125">
        <v>1.345</v>
      </c>
      <c r="T2125" s="2">
        <v>44470</v>
      </c>
      <c r="U2125" s="1" t="s">
        <v>57</v>
      </c>
      <c r="V2125">
        <v>0</v>
      </c>
      <c r="W2125" s="1" t="s">
        <v>56</v>
      </c>
      <c r="X2125">
        <v>346</v>
      </c>
      <c r="Y2125" s="1" t="s">
        <v>42</v>
      </c>
      <c r="Z2125" s="1" t="s">
        <v>42</v>
      </c>
      <c r="AA2125">
        <v>0.21428571428571427</v>
      </c>
      <c r="AB2125" s="1" t="s">
        <v>42</v>
      </c>
      <c r="AC2125">
        <v>3</v>
      </c>
      <c r="AD2125" s="2">
        <v>44470</v>
      </c>
      <c r="AE2125" s="1" t="s">
        <v>53</v>
      </c>
      <c r="AF2125" s="1" t="s">
        <v>72</v>
      </c>
      <c r="AG2125" s="1" t="s">
        <v>77</v>
      </c>
      <c r="AH2125" s="1" t="s">
        <v>68</v>
      </c>
      <c r="AI2125">
        <v>4316</v>
      </c>
      <c r="AJ2125">
        <v>-16.600000000000364</v>
      </c>
    </row>
    <row r="2126" spans="1:36" x14ac:dyDescent="0.25">
      <c r="A2126">
        <v>12125</v>
      </c>
      <c r="B2126">
        <v>50</v>
      </c>
      <c r="C2126" s="1" t="s">
        <v>36</v>
      </c>
      <c r="D2126" s="1" t="s">
        <v>71</v>
      </c>
      <c r="E2126" s="2">
        <v>44270</v>
      </c>
      <c r="F2126" s="2">
        <v>44656</v>
      </c>
      <c r="G2126" s="1" t="s">
        <v>49</v>
      </c>
      <c r="H2126">
        <v>556</v>
      </c>
      <c r="I2126">
        <v>6</v>
      </c>
      <c r="J2126">
        <v>7</v>
      </c>
      <c r="K2126">
        <v>112.41</v>
      </c>
      <c r="L2126">
        <v>5</v>
      </c>
      <c r="M2126" s="1" t="s">
        <v>67</v>
      </c>
      <c r="N2126" s="1" t="s">
        <v>56</v>
      </c>
      <c r="O2126">
        <v>3308.2</v>
      </c>
      <c r="P2126" t="b">
        <v>1</v>
      </c>
      <c r="Q2126">
        <v>0.5</v>
      </c>
      <c r="R2126">
        <v>551.36666666666667</v>
      </c>
      <c r="S2126">
        <v>14.05125</v>
      </c>
      <c r="T2126" s="2">
        <v>44256</v>
      </c>
      <c r="U2126" s="1" t="s">
        <v>51</v>
      </c>
      <c r="V2126">
        <v>0</v>
      </c>
      <c r="W2126" s="1" t="s">
        <v>56</v>
      </c>
      <c r="X2126">
        <v>386</v>
      </c>
      <c r="Y2126" s="1" t="s">
        <v>43</v>
      </c>
      <c r="Z2126" s="1" t="s">
        <v>42</v>
      </c>
      <c r="AA2126">
        <v>1</v>
      </c>
      <c r="AB2126" s="1" t="s">
        <v>42</v>
      </c>
      <c r="AC2126">
        <v>3</v>
      </c>
      <c r="AD2126" s="2">
        <v>44256</v>
      </c>
      <c r="AE2126" s="1" t="s">
        <v>58</v>
      </c>
      <c r="AF2126" s="1" t="s">
        <v>78</v>
      </c>
      <c r="AG2126" s="1" t="s">
        <v>63</v>
      </c>
      <c r="AH2126" s="1" t="s">
        <v>64</v>
      </c>
      <c r="AI2126">
        <v>3336</v>
      </c>
      <c r="AJ2126">
        <v>-27.800000000000182</v>
      </c>
    </row>
    <row r="2127" spans="1:36" x14ac:dyDescent="0.25">
      <c r="A2127">
        <v>12126</v>
      </c>
      <c r="B2127">
        <v>58</v>
      </c>
      <c r="C2127" s="1" t="s">
        <v>60</v>
      </c>
      <c r="D2127" s="1" t="s">
        <v>61</v>
      </c>
      <c r="E2127" s="2">
        <v>44551</v>
      </c>
      <c r="F2127" s="2">
        <v>44578</v>
      </c>
      <c r="G2127" s="1" t="s">
        <v>38</v>
      </c>
      <c r="H2127">
        <v>333</v>
      </c>
      <c r="I2127">
        <v>16</v>
      </c>
      <c r="J2127">
        <v>3</v>
      </c>
      <c r="K2127">
        <v>20.81</v>
      </c>
      <c r="L2127">
        <v>15</v>
      </c>
      <c r="M2127" s="1" t="s">
        <v>67</v>
      </c>
      <c r="N2127" s="1" t="s">
        <v>56</v>
      </c>
      <c r="O2127">
        <v>5278.05</v>
      </c>
      <c r="P2127" t="b">
        <v>1</v>
      </c>
      <c r="Q2127">
        <v>1.3333333333333333</v>
      </c>
      <c r="R2127">
        <v>329.87812500000001</v>
      </c>
      <c r="S2127">
        <v>5.2024999999999997</v>
      </c>
      <c r="T2127" s="2">
        <v>44531</v>
      </c>
      <c r="U2127" s="1" t="s">
        <v>41</v>
      </c>
      <c r="V2127">
        <v>0</v>
      </c>
      <c r="W2127" s="1" t="s">
        <v>56</v>
      </c>
      <c r="X2127">
        <v>27</v>
      </c>
      <c r="Y2127" s="1" t="s">
        <v>52</v>
      </c>
      <c r="Z2127" s="1" t="s">
        <v>42</v>
      </c>
      <c r="AA2127">
        <v>0.17647058823529413</v>
      </c>
      <c r="AB2127" s="1" t="s">
        <v>42</v>
      </c>
      <c r="AC2127">
        <v>1</v>
      </c>
      <c r="AD2127" s="2">
        <v>44531</v>
      </c>
      <c r="AE2127" s="1" t="s">
        <v>53</v>
      </c>
      <c r="AF2127" s="1" t="s">
        <v>72</v>
      </c>
      <c r="AG2127" s="1" t="s">
        <v>70</v>
      </c>
      <c r="AH2127" s="1" t="s">
        <v>68</v>
      </c>
      <c r="AI2127">
        <v>5328</v>
      </c>
      <c r="AJ2127">
        <v>-49.949999999999818</v>
      </c>
    </row>
    <row r="2128" spans="1:36" x14ac:dyDescent="0.25">
      <c r="A2128">
        <v>12127</v>
      </c>
      <c r="B2128">
        <v>42</v>
      </c>
      <c r="C2128" s="1" t="s">
        <v>36</v>
      </c>
      <c r="D2128" s="1" t="s">
        <v>71</v>
      </c>
      <c r="E2128" s="2">
        <v>44923</v>
      </c>
      <c r="F2128" s="2">
        <v>44730</v>
      </c>
      <c r="G2128" s="1" t="s">
        <v>38</v>
      </c>
      <c r="H2128">
        <v>318</v>
      </c>
      <c r="I2128">
        <v>5</v>
      </c>
      <c r="J2128">
        <v>2</v>
      </c>
      <c r="K2128">
        <v>9.59</v>
      </c>
      <c r="L2128">
        <v>10</v>
      </c>
      <c r="M2128" s="1" t="s">
        <v>67</v>
      </c>
      <c r="N2128" s="1" t="s">
        <v>56</v>
      </c>
      <c r="O2128">
        <v>1558.2</v>
      </c>
      <c r="P2128" t="b">
        <v>0</v>
      </c>
      <c r="Q2128">
        <v>0.41666666666666669</v>
      </c>
      <c r="R2128">
        <v>311.64</v>
      </c>
      <c r="S2128">
        <v>3.1966666666666668</v>
      </c>
      <c r="T2128" s="2">
        <v>44896</v>
      </c>
      <c r="U2128" s="1" t="s">
        <v>51</v>
      </c>
      <c r="V2128">
        <v>0</v>
      </c>
      <c r="W2128" s="1" t="s">
        <v>56</v>
      </c>
      <c r="Y2128" s="1" t="s">
        <v>42</v>
      </c>
      <c r="Z2128" s="1" t="s">
        <v>42</v>
      </c>
      <c r="AA2128">
        <v>0.33333333333333331</v>
      </c>
      <c r="AB2128" s="1" t="s">
        <v>42</v>
      </c>
      <c r="AC2128">
        <v>1</v>
      </c>
      <c r="AD2128" s="2">
        <v>44896</v>
      </c>
      <c r="AE2128" s="1" t="s">
        <v>58</v>
      </c>
      <c r="AF2128" s="1" t="s">
        <v>72</v>
      </c>
      <c r="AG2128" s="1" t="s">
        <v>77</v>
      </c>
      <c r="AH2128" s="1" t="s">
        <v>68</v>
      </c>
      <c r="AI2128">
        <v>1590</v>
      </c>
      <c r="AJ2128">
        <v>-31.799999999999955</v>
      </c>
    </row>
    <row r="2129" spans="1:36" x14ac:dyDescent="0.25">
      <c r="A2129">
        <v>12128</v>
      </c>
      <c r="B2129">
        <v>30</v>
      </c>
      <c r="C2129" s="1" t="s">
        <v>36</v>
      </c>
      <c r="D2129" s="1" t="s">
        <v>69</v>
      </c>
      <c r="E2129" s="2">
        <v>44693</v>
      </c>
      <c r="F2129" s="2">
        <v>44502</v>
      </c>
      <c r="G2129" s="1" t="s">
        <v>38</v>
      </c>
      <c r="H2129">
        <v>888</v>
      </c>
      <c r="I2129">
        <v>34</v>
      </c>
      <c r="J2129">
        <v>2</v>
      </c>
      <c r="K2129">
        <v>11.37</v>
      </c>
      <c r="L2129">
        <v>5</v>
      </c>
      <c r="M2129" s="1" t="s">
        <v>65</v>
      </c>
      <c r="N2129" s="1" t="s">
        <v>56</v>
      </c>
      <c r="O2129">
        <v>30147.599999999999</v>
      </c>
      <c r="P2129" t="b">
        <v>0</v>
      </c>
      <c r="Q2129">
        <v>2.8333333333333335</v>
      </c>
      <c r="R2129">
        <v>886.69411764705876</v>
      </c>
      <c r="S2129">
        <v>3.7899999999999996</v>
      </c>
      <c r="T2129" s="2">
        <v>44682</v>
      </c>
      <c r="U2129" s="1" t="s">
        <v>57</v>
      </c>
      <c r="V2129">
        <v>0</v>
      </c>
      <c r="W2129" s="1" t="s">
        <v>40</v>
      </c>
      <c r="Y2129" s="1" t="s">
        <v>42</v>
      </c>
      <c r="Z2129" s="1" t="s">
        <v>42</v>
      </c>
      <c r="AA2129">
        <v>5.7142857142857141E-2</v>
      </c>
      <c r="AB2129" s="1" t="s">
        <v>43</v>
      </c>
      <c r="AC2129">
        <v>1</v>
      </c>
      <c r="AD2129" s="2">
        <v>44682</v>
      </c>
      <c r="AE2129" s="1" t="s">
        <v>44</v>
      </c>
      <c r="AF2129" s="1" t="s">
        <v>72</v>
      </c>
      <c r="AG2129" s="1" t="s">
        <v>46</v>
      </c>
      <c r="AH2129" s="1" t="s">
        <v>59</v>
      </c>
      <c r="AI2129">
        <v>30192</v>
      </c>
      <c r="AJ2129">
        <v>-44.400000000001455</v>
      </c>
    </row>
    <row r="2130" spans="1:36" x14ac:dyDescent="0.25">
      <c r="A2130">
        <v>12129</v>
      </c>
      <c r="B2130">
        <v>26</v>
      </c>
      <c r="C2130" s="1" t="s">
        <v>60</v>
      </c>
      <c r="D2130" s="1" t="s">
        <v>73</v>
      </c>
      <c r="E2130" s="2">
        <v>44524</v>
      </c>
      <c r="F2130" s="2">
        <v>44522</v>
      </c>
      <c r="G2130" s="1" t="s">
        <v>62</v>
      </c>
      <c r="H2130">
        <v>436</v>
      </c>
      <c r="I2130">
        <v>6</v>
      </c>
      <c r="J2130">
        <v>2</v>
      </c>
      <c r="K2130">
        <v>45.13</v>
      </c>
      <c r="L2130">
        <v>20</v>
      </c>
      <c r="M2130" s="1" t="s">
        <v>67</v>
      </c>
      <c r="N2130" s="1" t="s">
        <v>56</v>
      </c>
      <c r="O2130">
        <v>2528.8000000000002</v>
      </c>
      <c r="P2130" t="b">
        <v>0</v>
      </c>
      <c r="Q2130">
        <v>0.5</v>
      </c>
      <c r="R2130">
        <v>421.4666666666667</v>
      </c>
      <c r="S2130">
        <v>15.043333333333335</v>
      </c>
      <c r="T2130" s="2">
        <v>44501</v>
      </c>
      <c r="U2130" s="1" t="s">
        <v>57</v>
      </c>
      <c r="V2130">
        <v>0</v>
      </c>
      <c r="W2130" s="1" t="s">
        <v>56</v>
      </c>
      <c r="Y2130" s="1" t="s">
        <v>52</v>
      </c>
      <c r="Z2130" s="1" t="s">
        <v>52</v>
      </c>
      <c r="AA2130">
        <v>0.2857142857142857</v>
      </c>
      <c r="AB2130" s="1" t="s">
        <v>42</v>
      </c>
      <c r="AC2130">
        <v>2</v>
      </c>
      <c r="AD2130" s="2">
        <v>44501</v>
      </c>
      <c r="AE2130" s="1" t="s">
        <v>58</v>
      </c>
      <c r="AF2130" s="1" t="s">
        <v>72</v>
      </c>
      <c r="AG2130" s="1" t="s">
        <v>63</v>
      </c>
      <c r="AH2130" s="1" t="s">
        <v>68</v>
      </c>
      <c r="AI2130">
        <v>2616</v>
      </c>
      <c r="AJ2130">
        <v>-87.199999999999818</v>
      </c>
    </row>
    <row r="2131" spans="1:36" x14ac:dyDescent="0.25">
      <c r="A2131">
        <v>12130</v>
      </c>
      <c r="B2131">
        <v>30</v>
      </c>
      <c r="C2131" s="1" t="s">
        <v>60</v>
      </c>
      <c r="D2131" s="1" t="s">
        <v>69</v>
      </c>
      <c r="E2131" s="2">
        <v>44731</v>
      </c>
      <c r="F2131" s="2">
        <v>45195</v>
      </c>
      <c r="G2131" s="1" t="s">
        <v>62</v>
      </c>
      <c r="H2131">
        <v>658</v>
      </c>
      <c r="I2131">
        <v>33</v>
      </c>
      <c r="J2131">
        <v>1</v>
      </c>
      <c r="K2131">
        <v>76.39</v>
      </c>
      <c r="L2131">
        <v>0</v>
      </c>
      <c r="M2131" s="1" t="s">
        <v>67</v>
      </c>
      <c r="N2131" s="1" t="s">
        <v>56</v>
      </c>
      <c r="O2131">
        <v>21714</v>
      </c>
      <c r="P2131" t="b">
        <v>1</v>
      </c>
      <c r="Q2131">
        <v>2.75</v>
      </c>
      <c r="R2131">
        <v>658</v>
      </c>
      <c r="S2131">
        <v>38.195</v>
      </c>
      <c r="T2131" s="2">
        <v>44713</v>
      </c>
      <c r="U2131" s="1" t="s">
        <v>57</v>
      </c>
      <c r="V2131">
        <v>0</v>
      </c>
      <c r="W2131" s="1" t="s">
        <v>40</v>
      </c>
      <c r="X2131">
        <v>464</v>
      </c>
      <c r="Y2131" s="1" t="s">
        <v>43</v>
      </c>
      <c r="Z2131" s="1" t="s">
        <v>42</v>
      </c>
      <c r="AA2131">
        <v>2.9411764705882353E-2</v>
      </c>
      <c r="AB2131" s="1" t="s">
        <v>43</v>
      </c>
      <c r="AC2131">
        <v>2</v>
      </c>
      <c r="AD2131" s="2">
        <v>44713</v>
      </c>
      <c r="AE2131" s="1" t="s">
        <v>44</v>
      </c>
      <c r="AF2131" s="1" t="s">
        <v>54</v>
      </c>
      <c r="AG2131" s="1" t="s">
        <v>63</v>
      </c>
      <c r="AH2131" s="1" t="s">
        <v>64</v>
      </c>
      <c r="AI2131">
        <v>21714</v>
      </c>
      <c r="AJ2131">
        <v>0</v>
      </c>
    </row>
    <row r="2132" spans="1:36" x14ac:dyDescent="0.25">
      <c r="A2132">
        <v>12131</v>
      </c>
      <c r="B2132">
        <v>48</v>
      </c>
      <c r="C2132" s="1" t="s">
        <v>36</v>
      </c>
      <c r="D2132" s="1" t="s">
        <v>61</v>
      </c>
      <c r="E2132" s="2">
        <v>44776</v>
      </c>
      <c r="F2132" s="2">
        <v>44462</v>
      </c>
      <c r="G2132" s="1" t="s">
        <v>62</v>
      </c>
      <c r="H2132">
        <v>1053</v>
      </c>
      <c r="I2132">
        <v>15</v>
      </c>
      <c r="J2132">
        <v>1</v>
      </c>
      <c r="K2132">
        <v>51.27</v>
      </c>
      <c r="L2132">
        <v>10</v>
      </c>
      <c r="M2132" s="1" t="s">
        <v>65</v>
      </c>
      <c r="N2132" s="1" t="s">
        <v>56</v>
      </c>
      <c r="O2132">
        <v>15689.7</v>
      </c>
      <c r="P2132" t="b">
        <v>0</v>
      </c>
      <c r="Q2132">
        <v>1.25</v>
      </c>
      <c r="R2132">
        <v>1045.98</v>
      </c>
      <c r="S2132">
        <v>25.635000000000002</v>
      </c>
      <c r="T2132" s="2">
        <v>44774</v>
      </c>
      <c r="U2132" s="1" t="s">
        <v>51</v>
      </c>
      <c r="V2132">
        <v>0</v>
      </c>
      <c r="W2132" s="1" t="s">
        <v>40</v>
      </c>
      <c r="Y2132" s="1" t="s">
        <v>52</v>
      </c>
      <c r="Z2132" s="1" t="s">
        <v>42</v>
      </c>
      <c r="AA2132">
        <v>6.25E-2</v>
      </c>
      <c r="AB2132" s="1" t="s">
        <v>52</v>
      </c>
      <c r="AC2132">
        <v>2</v>
      </c>
      <c r="AD2132" s="2">
        <v>44774</v>
      </c>
      <c r="AE2132" s="1" t="s">
        <v>53</v>
      </c>
      <c r="AF2132" s="1" t="s">
        <v>54</v>
      </c>
      <c r="AG2132" s="1" t="s">
        <v>63</v>
      </c>
      <c r="AH2132" s="1" t="s">
        <v>47</v>
      </c>
      <c r="AI2132">
        <v>15795</v>
      </c>
      <c r="AJ2132">
        <v>-105.29999999999927</v>
      </c>
    </row>
    <row r="2133" spans="1:36" x14ac:dyDescent="0.25">
      <c r="A2133">
        <v>12132</v>
      </c>
      <c r="B2133">
        <v>58</v>
      </c>
      <c r="C2133" s="1" t="s">
        <v>36</v>
      </c>
      <c r="D2133" s="1" t="s">
        <v>73</v>
      </c>
      <c r="E2133" s="2">
        <v>44643</v>
      </c>
      <c r="F2133" s="2">
        <v>44737</v>
      </c>
      <c r="G2133" s="1" t="s">
        <v>62</v>
      </c>
      <c r="H2133">
        <v>1439</v>
      </c>
      <c r="I2133">
        <v>15</v>
      </c>
      <c r="J2133">
        <v>3</v>
      </c>
      <c r="K2133">
        <v>7.94</v>
      </c>
      <c r="L2133">
        <v>0</v>
      </c>
      <c r="M2133" s="1" t="s">
        <v>65</v>
      </c>
      <c r="N2133" s="1" t="s">
        <v>56</v>
      </c>
      <c r="O2133">
        <v>21585</v>
      </c>
      <c r="P2133" t="b">
        <v>1</v>
      </c>
      <c r="Q2133">
        <v>1.25</v>
      </c>
      <c r="R2133">
        <v>1439</v>
      </c>
      <c r="S2133">
        <v>1.9850000000000001</v>
      </c>
      <c r="T2133" s="2">
        <v>44621</v>
      </c>
      <c r="U2133" s="1" t="s">
        <v>41</v>
      </c>
      <c r="V2133">
        <v>0</v>
      </c>
      <c r="W2133" s="1" t="s">
        <v>40</v>
      </c>
      <c r="X2133">
        <v>94</v>
      </c>
      <c r="Y2133" s="1" t="s">
        <v>42</v>
      </c>
      <c r="Z2133" s="1" t="s">
        <v>42</v>
      </c>
      <c r="AA2133">
        <v>0.1875</v>
      </c>
      <c r="AB2133" s="1" t="s">
        <v>43</v>
      </c>
      <c r="AC2133">
        <v>2</v>
      </c>
      <c r="AD2133" s="2">
        <v>44621</v>
      </c>
      <c r="AE2133" s="1" t="s">
        <v>53</v>
      </c>
      <c r="AF2133" s="1" t="s">
        <v>72</v>
      </c>
      <c r="AG2133" s="1" t="s">
        <v>77</v>
      </c>
      <c r="AH2133" s="1" t="s">
        <v>47</v>
      </c>
      <c r="AI2133">
        <v>21585</v>
      </c>
      <c r="AJ2133">
        <v>0</v>
      </c>
    </row>
    <row r="2134" spans="1:36" x14ac:dyDescent="0.25">
      <c r="A2134">
        <v>12133</v>
      </c>
      <c r="B2134">
        <v>28</v>
      </c>
      <c r="C2134" s="1" t="s">
        <v>36</v>
      </c>
      <c r="D2134" s="1" t="s">
        <v>69</v>
      </c>
      <c r="E2134" s="2">
        <v>44569</v>
      </c>
      <c r="F2134" s="2">
        <v>44658</v>
      </c>
      <c r="G2134" s="1" t="s">
        <v>38</v>
      </c>
      <c r="H2134">
        <v>703</v>
      </c>
      <c r="I2134">
        <v>14</v>
      </c>
      <c r="J2134">
        <v>3</v>
      </c>
      <c r="K2134">
        <v>59.8</v>
      </c>
      <c r="L2134">
        <v>20</v>
      </c>
      <c r="M2134" s="1" t="s">
        <v>50</v>
      </c>
      <c r="N2134" s="1" t="s">
        <v>56</v>
      </c>
      <c r="O2134">
        <v>9701.4</v>
      </c>
      <c r="P2134" t="b">
        <v>1</v>
      </c>
      <c r="Q2134">
        <v>1.1666666666666667</v>
      </c>
      <c r="R2134">
        <v>692.9571428571428</v>
      </c>
      <c r="S2134">
        <v>14.95</v>
      </c>
      <c r="T2134" s="2">
        <v>44562</v>
      </c>
      <c r="U2134" s="1" t="s">
        <v>57</v>
      </c>
      <c r="V2134">
        <v>0</v>
      </c>
      <c r="W2134" s="1" t="s">
        <v>56</v>
      </c>
      <c r="X2134">
        <v>89</v>
      </c>
      <c r="Y2134" s="1" t="s">
        <v>52</v>
      </c>
      <c r="Z2134" s="1" t="s">
        <v>52</v>
      </c>
      <c r="AA2134">
        <v>0.2</v>
      </c>
      <c r="AB2134" s="1" t="s">
        <v>52</v>
      </c>
      <c r="AC2134">
        <v>1</v>
      </c>
      <c r="AD2134" s="2">
        <v>44562</v>
      </c>
      <c r="AE2134" s="1" t="s">
        <v>53</v>
      </c>
      <c r="AF2134" s="1" t="s">
        <v>72</v>
      </c>
      <c r="AG2134" s="1" t="s">
        <v>63</v>
      </c>
      <c r="AH2134" s="1" t="s">
        <v>59</v>
      </c>
      <c r="AI2134">
        <v>9842</v>
      </c>
      <c r="AJ2134">
        <v>-140.60000000000036</v>
      </c>
    </row>
    <row r="2135" spans="1:36" x14ac:dyDescent="0.25">
      <c r="A2135">
        <v>12134</v>
      </c>
      <c r="B2135">
        <v>21</v>
      </c>
      <c r="C2135" s="1" t="s">
        <v>60</v>
      </c>
      <c r="D2135" s="1" t="s">
        <v>37</v>
      </c>
      <c r="E2135" s="2">
        <v>44558</v>
      </c>
      <c r="F2135" s="2">
        <v>44647</v>
      </c>
      <c r="G2135" s="1" t="s">
        <v>49</v>
      </c>
      <c r="H2135">
        <v>549</v>
      </c>
      <c r="I2135">
        <v>5</v>
      </c>
      <c r="J2135">
        <v>3</v>
      </c>
      <c r="K2135">
        <v>55.85</v>
      </c>
      <c r="L2135">
        <v>5</v>
      </c>
      <c r="M2135" s="1" t="s">
        <v>67</v>
      </c>
      <c r="N2135" s="1" t="s">
        <v>40</v>
      </c>
      <c r="O2135">
        <v>2717.55</v>
      </c>
      <c r="P2135" t="b">
        <v>1</v>
      </c>
      <c r="Q2135">
        <v>0.41666666666666669</v>
      </c>
      <c r="R2135">
        <v>543.51</v>
      </c>
      <c r="S2135">
        <v>13.9625</v>
      </c>
      <c r="T2135" s="2">
        <v>44531</v>
      </c>
      <c r="U2135" s="1" t="s">
        <v>66</v>
      </c>
      <c r="V2135">
        <v>1</v>
      </c>
      <c r="W2135" s="1" t="s">
        <v>56</v>
      </c>
      <c r="X2135">
        <v>89</v>
      </c>
      <c r="Y2135" s="1" t="s">
        <v>52</v>
      </c>
      <c r="Z2135" s="1" t="s">
        <v>42</v>
      </c>
      <c r="AA2135">
        <v>0.5</v>
      </c>
      <c r="AB2135" s="1" t="s">
        <v>42</v>
      </c>
      <c r="AC2135">
        <v>3</v>
      </c>
      <c r="AD2135" s="2">
        <v>44531</v>
      </c>
      <c r="AE2135" s="1" t="s">
        <v>58</v>
      </c>
      <c r="AF2135" s="1" t="s">
        <v>72</v>
      </c>
      <c r="AG2135" s="1" t="s">
        <v>63</v>
      </c>
      <c r="AH2135" s="1" t="s">
        <v>64</v>
      </c>
      <c r="AI2135">
        <v>2745</v>
      </c>
      <c r="AJ2135">
        <v>-27.449999999999818</v>
      </c>
    </row>
    <row r="2136" spans="1:36" x14ac:dyDescent="0.25">
      <c r="A2136">
        <v>12135</v>
      </c>
      <c r="B2136">
        <v>51</v>
      </c>
      <c r="C2136" s="1" t="s">
        <v>60</v>
      </c>
      <c r="D2136" s="1" t="s">
        <v>48</v>
      </c>
      <c r="E2136" s="2">
        <v>44289</v>
      </c>
      <c r="F2136" s="2">
        <v>44365</v>
      </c>
      <c r="G2136" s="1" t="s">
        <v>62</v>
      </c>
      <c r="H2136">
        <v>745</v>
      </c>
      <c r="I2136">
        <v>26</v>
      </c>
      <c r="J2136">
        <v>2</v>
      </c>
      <c r="K2136">
        <v>92.04</v>
      </c>
      <c r="L2136">
        <v>0</v>
      </c>
      <c r="M2136" s="1" t="s">
        <v>50</v>
      </c>
      <c r="N2136" s="1" t="s">
        <v>56</v>
      </c>
      <c r="O2136">
        <v>19370</v>
      </c>
      <c r="P2136" t="b">
        <v>1</v>
      </c>
      <c r="Q2136">
        <v>2.1666666666666665</v>
      </c>
      <c r="R2136">
        <v>745</v>
      </c>
      <c r="S2136">
        <v>30.680000000000003</v>
      </c>
      <c r="T2136" s="2">
        <v>44287</v>
      </c>
      <c r="U2136" s="1" t="s">
        <v>41</v>
      </c>
      <c r="V2136">
        <v>0</v>
      </c>
      <c r="W2136" s="1" t="s">
        <v>40</v>
      </c>
      <c r="X2136">
        <v>76</v>
      </c>
      <c r="Y2136" s="1" t="s">
        <v>43</v>
      </c>
      <c r="Z2136" s="1" t="s">
        <v>42</v>
      </c>
      <c r="AA2136">
        <v>7.407407407407407E-2</v>
      </c>
      <c r="AB2136" s="1" t="s">
        <v>52</v>
      </c>
      <c r="AC2136">
        <v>2</v>
      </c>
      <c r="AD2136" s="2">
        <v>44287</v>
      </c>
      <c r="AE2136" s="1" t="s">
        <v>44</v>
      </c>
      <c r="AF2136" s="1" t="s">
        <v>72</v>
      </c>
      <c r="AG2136" s="1" t="s">
        <v>63</v>
      </c>
      <c r="AH2136" s="1" t="s">
        <v>59</v>
      </c>
      <c r="AI2136">
        <v>19370</v>
      </c>
      <c r="AJ2136">
        <v>0</v>
      </c>
    </row>
    <row r="2137" spans="1:36" x14ac:dyDescent="0.25">
      <c r="A2137">
        <v>12136</v>
      </c>
      <c r="B2137">
        <v>55</v>
      </c>
      <c r="C2137" s="1" t="s">
        <v>60</v>
      </c>
      <c r="D2137" s="1" t="s">
        <v>73</v>
      </c>
      <c r="E2137" s="2">
        <v>44517</v>
      </c>
      <c r="F2137" s="2">
        <v>45131</v>
      </c>
      <c r="G2137" s="1" t="s">
        <v>62</v>
      </c>
      <c r="H2137">
        <v>1253</v>
      </c>
      <c r="I2137">
        <v>17</v>
      </c>
      <c r="J2137">
        <v>4</v>
      </c>
      <c r="K2137">
        <v>37.159999999999997</v>
      </c>
      <c r="L2137">
        <v>0</v>
      </c>
      <c r="M2137" s="1" t="s">
        <v>39</v>
      </c>
      <c r="N2137" s="1" t="s">
        <v>56</v>
      </c>
      <c r="O2137">
        <v>21301</v>
      </c>
      <c r="P2137" t="b">
        <v>1</v>
      </c>
      <c r="Q2137">
        <v>1.4166666666666667</v>
      </c>
      <c r="R2137">
        <v>1253</v>
      </c>
      <c r="S2137">
        <v>7.4319999999999995</v>
      </c>
      <c r="T2137" s="2">
        <v>44501</v>
      </c>
      <c r="U2137" s="1" t="s">
        <v>41</v>
      </c>
      <c r="V2137">
        <v>0</v>
      </c>
      <c r="W2137" s="1" t="s">
        <v>40</v>
      </c>
      <c r="X2137">
        <v>614</v>
      </c>
      <c r="Y2137" s="1" t="s">
        <v>52</v>
      </c>
      <c r="Z2137" s="1" t="s">
        <v>42</v>
      </c>
      <c r="AA2137">
        <v>0.22222222222222221</v>
      </c>
      <c r="AB2137" s="1" t="s">
        <v>43</v>
      </c>
      <c r="AC2137">
        <v>2</v>
      </c>
      <c r="AD2137" s="2">
        <v>44501</v>
      </c>
      <c r="AE2137" s="1" t="s">
        <v>53</v>
      </c>
      <c r="AF2137" s="1" t="s">
        <v>45</v>
      </c>
      <c r="AG2137" s="1" t="s">
        <v>55</v>
      </c>
      <c r="AH2137" s="1" t="s">
        <v>47</v>
      </c>
      <c r="AI2137">
        <v>21301</v>
      </c>
      <c r="AJ2137">
        <v>0</v>
      </c>
    </row>
    <row r="2138" spans="1:36" x14ac:dyDescent="0.25">
      <c r="A2138">
        <v>12137</v>
      </c>
      <c r="B2138">
        <v>63</v>
      </c>
      <c r="C2138" s="1" t="s">
        <v>36</v>
      </c>
      <c r="D2138" s="1" t="s">
        <v>48</v>
      </c>
      <c r="E2138" s="2">
        <v>44520</v>
      </c>
      <c r="F2138" s="2">
        <v>44359</v>
      </c>
      <c r="G2138" s="1" t="s">
        <v>49</v>
      </c>
      <c r="H2138">
        <v>577</v>
      </c>
      <c r="I2138">
        <v>16</v>
      </c>
      <c r="J2138">
        <v>2</v>
      </c>
      <c r="K2138">
        <v>30.02</v>
      </c>
      <c r="L2138">
        <v>0</v>
      </c>
      <c r="M2138" s="1" t="s">
        <v>39</v>
      </c>
      <c r="N2138" s="1" t="s">
        <v>56</v>
      </c>
      <c r="O2138">
        <v>9232</v>
      </c>
      <c r="P2138" t="b">
        <v>0</v>
      </c>
      <c r="Q2138">
        <v>1.3333333333333333</v>
      </c>
      <c r="R2138">
        <v>577</v>
      </c>
      <c r="S2138">
        <v>10.006666666666666</v>
      </c>
      <c r="T2138" s="2">
        <v>44501</v>
      </c>
      <c r="U2138" s="1" t="s">
        <v>41</v>
      </c>
      <c r="V2138">
        <v>0</v>
      </c>
      <c r="W2138" s="1" t="s">
        <v>56</v>
      </c>
      <c r="Y2138" s="1" t="s">
        <v>52</v>
      </c>
      <c r="Z2138" s="1" t="s">
        <v>42</v>
      </c>
      <c r="AA2138">
        <v>0.11764705882352941</v>
      </c>
      <c r="AB2138" s="1" t="s">
        <v>52</v>
      </c>
      <c r="AC2138">
        <v>3</v>
      </c>
      <c r="AD2138" s="2">
        <v>44501</v>
      </c>
      <c r="AE2138" s="1" t="s">
        <v>53</v>
      </c>
      <c r="AF2138" s="1" t="s">
        <v>72</v>
      </c>
      <c r="AG2138" s="1" t="s">
        <v>55</v>
      </c>
      <c r="AH2138" s="1" t="s">
        <v>64</v>
      </c>
      <c r="AI2138">
        <v>9232</v>
      </c>
      <c r="AJ2138">
        <v>0</v>
      </c>
    </row>
    <row r="2139" spans="1:36" x14ac:dyDescent="0.25">
      <c r="A2139">
        <v>12138</v>
      </c>
      <c r="B2139">
        <v>21</v>
      </c>
      <c r="C2139" s="1" t="s">
        <v>60</v>
      </c>
      <c r="D2139" s="1" t="s">
        <v>71</v>
      </c>
      <c r="E2139" s="2">
        <v>44580</v>
      </c>
      <c r="F2139" s="2">
        <v>44751</v>
      </c>
      <c r="G2139" s="1" t="s">
        <v>62</v>
      </c>
      <c r="H2139">
        <v>411</v>
      </c>
      <c r="I2139">
        <v>35</v>
      </c>
      <c r="J2139">
        <v>2</v>
      </c>
      <c r="K2139">
        <v>34.43</v>
      </c>
      <c r="L2139">
        <v>20</v>
      </c>
      <c r="M2139" s="1" t="s">
        <v>39</v>
      </c>
      <c r="N2139" s="1" t="s">
        <v>56</v>
      </c>
      <c r="O2139">
        <v>14302.8</v>
      </c>
      <c r="P2139" t="b">
        <v>1</v>
      </c>
      <c r="Q2139">
        <v>2.9166666666666665</v>
      </c>
      <c r="R2139">
        <v>408.65142857142854</v>
      </c>
      <c r="S2139">
        <v>11.476666666666667</v>
      </c>
      <c r="T2139" s="2">
        <v>44562</v>
      </c>
      <c r="U2139" s="1" t="s">
        <v>66</v>
      </c>
      <c r="V2139">
        <v>0</v>
      </c>
      <c r="W2139" s="1" t="s">
        <v>40</v>
      </c>
      <c r="X2139">
        <v>171</v>
      </c>
      <c r="Y2139" s="1" t="s">
        <v>52</v>
      </c>
      <c r="Z2139" s="1" t="s">
        <v>52</v>
      </c>
      <c r="AA2139">
        <v>5.5555555555555552E-2</v>
      </c>
      <c r="AB2139" s="1" t="s">
        <v>52</v>
      </c>
      <c r="AC2139">
        <v>2</v>
      </c>
      <c r="AD2139" s="2">
        <v>44562</v>
      </c>
      <c r="AE2139" s="1" t="s">
        <v>44</v>
      </c>
      <c r="AF2139" s="1" t="s">
        <v>72</v>
      </c>
      <c r="AG2139" s="1" t="s">
        <v>55</v>
      </c>
      <c r="AH2139" s="1" t="s">
        <v>68</v>
      </c>
      <c r="AI2139">
        <v>14385</v>
      </c>
      <c r="AJ2139">
        <v>-82.200000000000728</v>
      </c>
    </row>
    <row r="2140" spans="1:36" x14ac:dyDescent="0.25">
      <c r="A2140">
        <v>12139</v>
      </c>
      <c r="B2140">
        <v>55</v>
      </c>
      <c r="C2140" s="1" t="s">
        <v>60</v>
      </c>
      <c r="D2140" s="1" t="s">
        <v>69</v>
      </c>
      <c r="E2140" s="2">
        <v>44771</v>
      </c>
      <c r="F2140" s="2">
        <v>45160</v>
      </c>
      <c r="G2140" s="1" t="s">
        <v>38</v>
      </c>
      <c r="H2140">
        <v>1045</v>
      </c>
      <c r="I2140">
        <v>23</v>
      </c>
      <c r="J2140">
        <v>2</v>
      </c>
      <c r="K2140">
        <v>39.93</v>
      </c>
      <c r="L2140">
        <v>10</v>
      </c>
      <c r="M2140" s="1" t="s">
        <v>39</v>
      </c>
      <c r="N2140" s="1" t="s">
        <v>40</v>
      </c>
      <c r="O2140">
        <v>23930.5</v>
      </c>
      <c r="P2140" t="b">
        <v>1</v>
      </c>
      <c r="Q2140">
        <v>1.9166666666666667</v>
      </c>
      <c r="R2140">
        <v>1040.4565217391305</v>
      </c>
      <c r="S2140">
        <v>13.31</v>
      </c>
      <c r="T2140" s="2">
        <v>44743</v>
      </c>
      <c r="U2140" s="1" t="s">
        <v>41</v>
      </c>
      <c r="V2140">
        <v>1</v>
      </c>
      <c r="W2140" s="1" t="s">
        <v>40</v>
      </c>
      <c r="X2140">
        <v>389</v>
      </c>
      <c r="Y2140" s="1" t="s">
        <v>52</v>
      </c>
      <c r="Z2140" s="1" t="s">
        <v>42</v>
      </c>
      <c r="AA2140">
        <v>8.3333333333333329E-2</v>
      </c>
      <c r="AB2140" s="1" t="s">
        <v>43</v>
      </c>
      <c r="AC2140">
        <v>1</v>
      </c>
      <c r="AD2140" s="2">
        <v>44743</v>
      </c>
      <c r="AE2140" s="1" t="s">
        <v>53</v>
      </c>
      <c r="AF2140" s="1" t="s">
        <v>72</v>
      </c>
      <c r="AG2140" s="1" t="s">
        <v>55</v>
      </c>
      <c r="AH2140" s="1" t="s">
        <v>47</v>
      </c>
      <c r="AI2140">
        <v>24035</v>
      </c>
      <c r="AJ2140">
        <v>-104.5</v>
      </c>
    </row>
    <row r="2141" spans="1:36" x14ac:dyDescent="0.25">
      <c r="A2141">
        <v>12140</v>
      </c>
      <c r="B2141">
        <v>36</v>
      </c>
      <c r="C2141" s="1" t="s">
        <v>36</v>
      </c>
      <c r="D2141" s="1" t="s">
        <v>71</v>
      </c>
      <c r="E2141" s="2">
        <v>44932</v>
      </c>
      <c r="F2141" s="2">
        <v>45051</v>
      </c>
      <c r="G2141" s="1" t="s">
        <v>38</v>
      </c>
      <c r="H2141">
        <v>987</v>
      </c>
      <c r="I2141">
        <v>13</v>
      </c>
      <c r="J2141">
        <v>1</v>
      </c>
      <c r="K2141">
        <v>73.900000000000006</v>
      </c>
      <c r="L2141">
        <v>10</v>
      </c>
      <c r="M2141" s="1" t="s">
        <v>65</v>
      </c>
      <c r="N2141" s="1" t="s">
        <v>56</v>
      </c>
      <c r="O2141">
        <v>12732.3</v>
      </c>
      <c r="P2141" t="b">
        <v>1</v>
      </c>
      <c r="Q2141">
        <v>1.0833333333333333</v>
      </c>
      <c r="R2141">
        <v>979.40769230769229</v>
      </c>
      <c r="S2141">
        <v>36.950000000000003</v>
      </c>
      <c r="T2141" s="2">
        <v>44927</v>
      </c>
      <c r="U2141" s="1" t="s">
        <v>51</v>
      </c>
      <c r="V2141">
        <v>0</v>
      </c>
      <c r="W2141" s="1" t="s">
        <v>56</v>
      </c>
      <c r="X2141">
        <v>119</v>
      </c>
      <c r="Y2141" s="1" t="s">
        <v>43</v>
      </c>
      <c r="Z2141" s="1" t="s">
        <v>42</v>
      </c>
      <c r="AA2141">
        <v>7.1428571428571425E-2</v>
      </c>
      <c r="AB2141" s="1" t="s">
        <v>52</v>
      </c>
      <c r="AC2141">
        <v>1</v>
      </c>
      <c r="AD2141" s="2">
        <v>44927</v>
      </c>
      <c r="AE2141" s="1" t="s">
        <v>53</v>
      </c>
      <c r="AF2141" s="1" t="s">
        <v>54</v>
      </c>
      <c r="AG2141" s="1" t="s">
        <v>63</v>
      </c>
      <c r="AH2141" s="1" t="s">
        <v>59</v>
      </c>
      <c r="AI2141">
        <v>12831</v>
      </c>
      <c r="AJ2141">
        <v>-98.700000000000728</v>
      </c>
    </row>
    <row r="2142" spans="1:36" x14ac:dyDescent="0.25">
      <c r="A2142">
        <v>12141</v>
      </c>
      <c r="B2142">
        <v>23</v>
      </c>
      <c r="C2142" s="1" t="s">
        <v>36</v>
      </c>
      <c r="D2142" s="1" t="s">
        <v>73</v>
      </c>
      <c r="E2142" s="2">
        <v>44933</v>
      </c>
      <c r="F2142" s="2">
        <v>44579</v>
      </c>
      <c r="G2142" s="1" t="s">
        <v>62</v>
      </c>
      <c r="H2142">
        <v>691</v>
      </c>
      <c r="I2142">
        <v>33</v>
      </c>
      <c r="J2142">
        <v>2</v>
      </c>
      <c r="K2142">
        <v>59.23</v>
      </c>
      <c r="L2142">
        <v>20</v>
      </c>
      <c r="M2142" s="1" t="s">
        <v>50</v>
      </c>
      <c r="N2142" s="1" t="s">
        <v>56</v>
      </c>
      <c r="O2142">
        <v>22664.799999999999</v>
      </c>
      <c r="P2142" t="b">
        <v>0</v>
      </c>
      <c r="Q2142">
        <v>2.75</v>
      </c>
      <c r="R2142">
        <v>686.81212121212116</v>
      </c>
      <c r="S2142">
        <v>19.743333333333332</v>
      </c>
      <c r="T2142" s="2">
        <v>44927</v>
      </c>
      <c r="U2142" s="1" t="s">
        <v>66</v>
      </c>
      <c r="V2142">
        <v>0</v>
      </c>
      <c r="W2142" s="1" t="s">
        <v>40</v>
      </c>
      <c r="Y2142" s="1" t="s">
        <v>52</v>
      </c>
      <c r="Z2142" s="1" t="s">
        <v>52</v>
      </c>
      <c r="AA2142">
        <v>5.8823529411764705E-2</v>
      </c>
      <c r="AB2142" s="1" t="s">
        <v>43</v>
      </c>
      <c r="AC2142">
        <v>2</v>
      </c>
      <c r="AD2142" s="2">
        <v>44927</v>
      </c>
      <c r="AE2142" s="1" t="s">
        <v>44</v>
      </c>
      <c r="AF2142" s="1" t="s">
        <v>72</v>
      </c>
      <c r="AG2142" s="1" t="s">
        <v>63</v>
      </c>
      <c r="AH2142" s="1" t="s">
        <v>64</v>
      </c>
      <c r="AI2142">
        <v>22803</v>
      </c>
      <c r="AJ2142">
        <v>-138.20000000000073</v>
      </c>
    </row>
    <row r="2143" spans="1:36" x14ac:dyDescent="0.25">
      <c r="A2143">
        <v>12142</v>
      </c>
      <c r="B2143">
        <v>51</v>
      </c>
      <c r="C2143" s="1" t="s">
        <v>60</v>
      </c>
      <c r="D2143" s="1" t="s">
        <v>48</v>
      </c>
      <c r="E2143" s="2">
        <v>45077</v>
      </c>
      <c r="F2143" s="2">
        <v>44952</v>
      </c>
      <c r="G2143" s="1" t="s">
        <v>38</v>
      </c>
      <c r="H2143">
        <v>1268</v>
      </c>
      <c r="I2143">
        <v>29</v>
      </c>
      <c r="J2143">
        <v>0</v>
      </c>
      <c r="K2143">
        <v>43.74</v>
      </c>
      <c r="L2143">
        <v>0</v>
      </c>
      <c r="M2143" s="1" t="s">
        <v>50</v>
      </c>
      <c r="N2143" s="1" t="s">
        <v>40</v>
      </c>
      <c r="O2143">
        <v>36772</v>
      </c>
      <c r="P2143" t="b">
        <v>0</v>
      </c>
      <c r="Q2143">
        <v>2.4166666666666665</v>
      </c>
      <c r="R2143">
        <v>1268</v>
      </c>
      <c r="S2143">
        <v>43.74</v>
      </c>
      <c r="T2143" s="2">
        <v>45047</v>
      </c>
      <c r="U2143" s="1" t="s">
        <v>41</v>
      </c>
      <c r="V2143">
        <v>1</v>
      </c>
      <c r="W2143" s="1" t="s">
        <v>40</v>
      </c>
      <c r="Y2143" s="1" t="s">
        <v>52</v>
      </c>
      <c r="Z2143" s="1" t="s">
        <v>42</v>
      </c>
      <c r="AA2143">
        <v>0</v>
      </c>
      <c r="AB2143" s="1" t="s">
        <v>43</v>
      </c>
      <c r="AC2143">
        <v>1</v>
      </c>
      <c r="AD2143" s="2">
        <v>45047</v>
      </c>
      <c r="AE2143" s="1" t="s">
        <v>44</v>
      </c>
      <c r="AF2143" s="1" t="s">
        <v>54</v>
      </c>
      <c r="AG2143" s="1" t="s">
        <v>55</v>
      </c>
      <c r="AH2143" s="1" t="s">
        <v>47</v>
      </c>
      <c r="AI2143">
        <v>36772</v>
      </c>
      <c r="AJ2143">
        <v>0</v>
      </c>
    </row>
    <row r="2144" spans="1:36" x14ac:dyDescent="0.25">
      <c r="A2144">
        <v>12143</v>
      </c>
      <c r="B2144">
        <v>35</v>
      </c>
      <c r="C2144" s="1" t="s">
        <v>60</v>
      </c>
      <c r="D2144" s="1" t="s">
        <v>48</v>
      </c>
      <c r="E2144" s="2">
        <v>44542</v>
      </c>
      <c r="F2144" s="2">
        <v>45077</v>
      </c>
      <c r="G2144" s="1" t="s">
        <v>49</v>
      </c>
      <c r="H2144">
        <v>442</v>
      </c>
      <c r="I2144">
        <v>34</v>
      </c>
      <c r="J2144">
        <v>3</v>
      </c>
      <c r="K2144">
        <v>48.05</v>
      </c>
      <c r="L2144">
        <v>0</v>
      </c>
      <c r="M2144" s="1" t="s">
        <v>65</v>
      </c>
      <c r="N2144" s="1" t="s">
        <v>56</v>
      </c>
      <c r="O2144">
        <v>15028</v>
      </c>
      <c r="P2144" t="b">
        <v>1</v>
      </c>
      <c r="Q2144">
        <v>2.8333333333333335</v>
      </c>
      <c r="R2144">
        <v>442</v>
      </c>
      <c r="S2144">
        <v>12.012499999999999</v>
      </c>
      <c r="T2144" s="2">
        <v>44531</v>
      </c>
      <c r="U2144" s="1" t="s">
        <v>57</v>
      </c>
      <c r="V2144">
        <v>0</v>
      </c>
      <c r="W2144" s="1" t="s">
        <v>40</v>
      </c>
      <c r="X2144">
        <v>535</v>
      </c>
      <c r="Y2144" s="1" t="s">
        <v>52</v>
      </c>
      <c r="Z2144" s="1" t="s">
        <v>42</v>
      </c>
      <c r="AA2144">
        <v>8.5714285714285715E-2</v>
      </c>
      <c r="AB2144" s="1" t="s">
        <v>52</v>
      </c>
      <c r="AC2144">
        <v>3</v>
      </c>
      <c r="AD2144" s="2">
        <v>44531</v>
      </c>
      <c r="AE2144" s="1" t="s">
        <v>44</v>
      </c>
      <c r="AF2144" s="1" t="s">
        <v>72</v>
      </c>
      <c r="AG2144" s="1" t="s">
        <v>63</v>
      </c>
      <c r="AH2144" s="1" t="s">
        <v>68</v>
      </c>
      <c r="AI2144">
        <v>15028</v>
      </c>
      <c r="AJ2144">
        <v>0</v>
      </c>
    </row>
    <row r="2145" spans="1:36" x14ac:dyDescent="0.25">
      <c r="A2145">
        <v>12144</v>
      </c>
      <c r="B2145">
        <v>30</v>
      </c>
      <c r="C2145" s="1" t="s">
        <v>36</v>
      </c>
      <c r="D2145" s="1" t="s">
        <v>69</v>
      </c>
      <c r="E2145" s="2">
        <v>45045</v>
      </c>
      <c r="F2145" s="2">
        <v>44625</v>
      </c>
      <c r="G2145" s="1" t="s">
        <v>38</v>
      </c>
      <c r="H2145">
        <v>1355</v>
      </c>
      <c r="I2145">
        <v>34</v>
      </c>
      <c r="J2145">
        <v>3</v>
      </c>
      <c r="K2145">
        <v>47.66</v>
      </c>
      <c r="L2145">
        <v>15</v>
      </c>
      <c r="M2145" s="1" t="s">
        <v>39</v>
      </c>
      <c r="N2145" s="1" t="s">
        <v>40</v>
      </c>
      <c r="O2145">
        <v>45866.75</v>
      </c>
      <c r="P2145" t="b">
        <v>0</v>
      </c>
      <c r="Q2145">
        <v>2.8333333333333335</v>
      </c>
      <c r="R2145">
        <v>1349.0220588235295</v>
      </c>
      <c r="S2145">
        <v>11.914999999999999</v>
      </c>
      <c r="T2145" s="2">
        <v>45017</v>
      </c>
      <c r="U2145" s="1" t="s">
        <v>57</v>
      </c>
      <c r="V2145">
        <v>1</v>
      </c>
      <c r="W2145" s="1" t="s">
        <v>40</v>
      </c>
      <c r="Y2145" s="1" t="s">
        <v>52</v>
      </c>
      <c r="Z2145" s="1" t="s">
        <v>42</v>
      </c>
      <c r="AA2145">
        <v>8.5714285714285715E-2</v>
      </c>
      <c r="AB2145" s="1" t="s">
        <v>43</v>
      </c>
      <c r="AC2145">
        <v>1</v>
      </c>
      <c r="AD2145" s="2">
        <v>45017</v>
      </c>
      <c r="AE2145" s="1" t="s">
        <v>44</v>
      </c>
      <c r="AF2145" s="1" t="s">
        <v>72</v>
      </c>
      <c r="AG2145" s="1" t="s">
        <v>63</v>
      </c>
      <c r="AH2145" s="1" t="s">
        <v>47</v>
      </c>
      <c r="AI2145">
        <v>46070</v>
      </c>
      <c r="AJ2145">
        <v>-203.25</v>
      </c>
    </row>
    <row r="2146" spans="1:36" x14ac:dyDescent="0.25">
      <c r="A2146">
        <v>12145</v>
      </c>
      <c r="B2146">
        <v>58</v>
      </c>
      <c r="C2146" s="1" t="s">
        <v>36</v>
      </c>
      <c r="D2146" s="1" t="s">
        <v>73</v>
      </c>
      <c r="E2146" s="2">
        <v>44299</v>
      </c>
      <c r="F2146" s="2">
        <v>44700</v>
      </c>
      <c r="G2146" s="1" t="s">
        <v>62</v>
      </c>
      <c r="H2146">
        <v>480</v>
      </c>
      <c r="I2146">
        <v>27</v>
      </c>
      <c r="J2146">
        <v>3</v>
      </c>
      <c r="K2146">
        <v>116.83</v>
      </c>
      <c r="L2146">
        <v>5</v>
      </c>
      <c r="M2146" s="1" t="s">
        <v>50</v>
      </c>
      <c r="N2146" s="1" t="s">
        <v>56</v>
      </c>
      <c r="O2146">
        <v>12936</v>
      </c>
      <c r="P2146" t="b">
        <v>1</v>
      </c>
      <c r="Q2146">
        <v>2.25</v>
      </c>
      <c r="R2146">
        <v>479.11111111111109</v>
      </c>
      <c r="S2146">
        <v>29.2075</v>
      </c>
      <c r="T2146" s="2">
        <v>44287</v>
      </c>
      <c r="U2146" s="1" t="s">
        <v>41</v>
      </c>
      <c r="V2146">
        <v>0</v>
      </c>
      <c r="W2146" s="1" t="s">
        <v>56</v>
      </c>
      <c r="X2146">
        <v>401</v>
      </c>
      <c r="Y2146" s="1" t="s">
        <v>43</v>
      </c>
      <c r="Z2146" s="1" t="s">
        <v>42</v>
      </c>
      <c r="AA2146">
        <v>0.10714285714285714</v>
      </c>
      <c r="AB2146" s="1" t="s">
        <v>52</v>
      </c>
      <c r="AC2146">
        <v>2</v>
      </c>
      <c r="AD2146" s="2">
        <v>44287</v>
      </c>
      <c r="AE2146" s="1" t="s">
        <v>44</v>
      </c>
      <c r="AF2146" s="1" t="s">
        <v>72</v>
      </c>
      <c r="AG2146" s="1" t="s">
        <v>63</v>
      </c>
      <c r="AH2146" s="1" t="s">
        <v>68</v>
      </c>
      <c r="AI2146">
        <v>12960</v>
      </c>
      <c r="AJ2146">
        <v>-24</v>
      </c>
    </row>
    <row r="2147" spans="1:36" x14ac:dyDescent="0.25">
      <c r="A2147">
        <v>12146</v>
      </c>
      <c r="B2147">
        <v>40</v>
      </c>
      <c r="C2147" s="1" t="s">
        <v>60</v>
      </c>
      <c r="D2147" s="1" t="s">
        <v>37</v>
      </c>
      <c r="E2147" s="2">
        <v>44411</v>
      </c>
      <c r="F2147" s="2">
        <v>44650</v>
      </c>
      <c r="G2147" s="1" t="s">
        <v>62</v>
      </c>
      <c r="H2147">
        <v>878</v>
      </c>
      <c r="I2147">
        <v>15</v>
      </c>
      <c r="J2147">
        <v>3</v>
      </c>
      <c r="K2147">
        <v>31.79</v>
      </c>
      <c r="L2147">
        <v>5</v>
      </c>
      <c r="M2147" s="1" t="s">
        <v>67</v>
      </c>
      <c r="N2147" s="1" t="s">
        <v>40</v>
      </c>
      <c r="O2147">
        <v>13126.1</v>
      </c>
      <c r="P2147" t="b">
        <v>1</v>
      </c>
      <c r="Q2147">
        <v>1.25</v>
      </c>
      <c r="R2147">
        <v>875.07333333333338</v>
      </c>
      <c r="S2147">
        <v>7.9474999999999998</v>
      </c>
      <c r="T2147" s="2">
        <v>44409</v>
      </c>
      <c r="U2147" s="1" t="s">
        <v>51</v>
      </c>
      <c r="V2147">
        <v>1</v>
      </c>
      <c r="W2147" s="1" t="s">
        <v>56</v>
      </c>
      <c r="X2147">
        <v>239</v>
      </c>
      <c r="Y2147" s="1" t="s">
        <v>52</v>
      </c>
      <c r="Z2147" s="1" t="s">
        <v>42</v>
      </c>
      <c r="AA2147">
        <v>0.1875</v>
      </c>
      <c r="AB2147" s="1" t="s">
        <v>52</v>
      </c>
      <c r="AC2147">
        <v>2</v>
      </c>
      <c r="AD2147" s="2">
        <v>44409</v>
      </c>
      <c r="AE2147" s="1" t="s">
        <v>53</v>
      </c>
      <c r="AF2147" s="1" t="s">
        <v>72</v>
      </c>
      <c r="AG2147" s="1" t="s">
        <v>55</v>
      </c>
      <c r="AH2147" s="1" t="s">
        <v>59</v>
      </c>
      <c r="AI2147">
        <v>13170</v>
      </c>
      <c r="AJ2147">
        <v>-43.899999999999636</v>
      </c>
    </row>
    <row r="2148" spans="1:36" x14ac:dyDescent="0.25">
      <c r="A2148">
        <v>12147</v>
      </c>
      <c r="B2148">
        <v>36</v>
      </c>
      <c r="C2148" s="1" t="s">
        <v>36</v>
      </c>
      <c r="D2148" s="1" t="s">
        <v>37</v>
      </c>
      <c r="E2148" s="2">
        <v>44388</v>
      </c>
      <c r="F2148" s="2">
        <v>44888</v>
      </c>
      <c r="G2148" s="1" t="s">
        <v>38</v>
      </c>
      <c r="H2148">
        <v>1097</v>
      </c>
      <c r="I2148">
        <v>9</v>
      </c>
      <c r="J2148">
        <v>1</v>
      </c>
      <c r="K2148">
        <v>99.08</v>
      </c>
      <c r="L2148">
        <v>10</v>
      </c>
      <c r="M2148" s="1" t="s">
        <v>65</v>
      </c>
      <c r="N2148" s="1" t="s">
        <v>56</v>
      </c>
      <c r="O2148">
        <v>9763.2999999999993</v>
      </c>
      <c r="P2148" t="b">
        <v>1</v>
      </c>
      <c r="Q2148">
        <v>0.75</v>
      </c>
      <c r="R2148">
        <v>1084.8111111111111</v>
      </c>
      <c r="S2148">
        <v>49.54</v>
      </c>
      <c r="T2148" s="2">
        <v>44378</v>
      </c>
      <c r="U2148" s="1" t="s">
        <v>51</v>
      </c>
      <c r="V2148">
        <v>0</v>
      </c>
      <c r="W2148" s="1" t="s">
        <v>56</v>
      </c>
      <c r="X2148">
        <v>500</v>
      </c>
      <c r="Y2148" s="1" t="s">
        <v>43</v>
      </c>
      <c r="Z2148" s="1" t="s">
        <v>42</v>
      </c>
      <c r="AA2148">
        <v>0.1</v>
      </c>
      <c r="AB2148" s="1" t="s">
        <v>52</v>
      </c>
      <c r="AC2148">
        <v>1</v>
      </c>
      <c r="AD2148" s="2">
        <v>44378</v>
      </c>
      <c r="AE2148" s="1" t="s">
        <v>74</v>
      </c>
      <c r="AF2148" s="1" t="s">
        <v>54</v>
      </c>
      <c r="AG2148" s="1" t="s">
        <v>63</v>
      </c>
      <c r="AH2148" s="1" t="s">
        <v>47</v>
      </c>
      <c r="AI2148">
        <v>9873</v>
      </c>
      <c r="AJ2148">
        <v>-109.70000000000073</v>
      </c>
    </row>
    <row r="2149" spans="1:36" x14ac:dyDescent="0.25">
      <c r="A2149">
        <v>12148</v>
      </c>
      <c r="B2149">
        <v>62</v>
      </c>
      <c r="C2149" s="1" t="s">
        <v>36</v>
      </c>
      <c r="D2149" s="1" t="s">
        <v>69</v>
      </c>
      <c r="E2149" s="2">
        <v>44868</v>
      </c>
      <c r="F2149" s="2">
        <v>44817</v>
      </c>
      <c r="G2149" s="1" t="s">
        <v>49</v>
      </c>
      <c r="H2149">
        <v>568</v>
      </c>
      <c r="I2149">
        <v>26</v>
      </c>
      <c r="J2149">
        <v>1</v>
      </c>
      <c r="K2149">
        <v>86.44</v>
      </c>
      <c r="L2149">
        <v>20</v>
      </c>
      <c r="M2149" s="1" t="s">
        <v>65</v>
      </c>
      <c r="N2149" s="1" t="s">
        <v>56</v>
      </c>
      <c r="O2149">
        <v>14654.4</v>
      </c>
      <c r="P2149" t="b">
        <v>0</v>
      </c>
      <c r="Q2149">
        <v>2.1666666666666665</v>
      </c>
      <c r="R2149">
        <v>563.63076923076926</v>
      </c>
      <c r="S2149">
        <v>43.22</v>
      </c>
      <c r="T2149" s="2">
        <v>44866</v>
      </c>
      <c r="U2149" s="1" t="s">
        <v>41</v>
      </c>
      <c r="V2149">
        <v>0</v>
      </c>
      <c r="W2149" s="1" t="s">
        <v>40</v>
      </c>
      <c r="Y2149" s="1" t="s">
        <v>43</v>
      </c>
      <c r="Z2149" s="1" t="s">
        <v>52</v>
      </c>
      <c r="AA2149">
        <v>3.7037037037037035E-2</v>
      </c>
      <c r="AB2149" s="1" t="s">
        <v>52</v>
      </c>
      <c r="AC2149">
        <v>3</v>
      </c>
      <c r="AD2149" s="2">
        <v>44866</v>
      </c>
      <c r="AE2149" s="1" t="s">
        <v>44</v>
      </c>
      <c r="AF2149" s="1" t="s">
        <v>54</v>
      </c>
      <c r="AG2149" s="1" t="s">
        <v>63</v>
      </c>
      <c r="AH2149" s="1" t="s">
        <v>64</v>
      </c>
      <c r="AI2149">
        <v>14768</v>
      </c>
      <c r="AJ2149">
        <v>-113.60000000000036</v>
      </c>
    </row>
    <row r="2150" spans="1:36" x14ac:dyDescent="0.25">
      <c r="A2150">
        <v>12149</v>
      </c>
      <c r="B2150">
        <v>28</v>
      </c>
      <c r="C2150" s="1" t="s">
        <v>60</v>
      </c>
      <c r="D2150" s="1" t="s">
        <v>73</v>
      </c>
      <c r="E2150" s="2">
        <v>45080</v>
      </c>
      <c r="F2150" s="2">
        <v>45160</v>
      </c>
      <c r="G2150" s="1" t="s">
        <v>49</v>
      </c>
      <c r="H2150">
        <v>852</v>
      </c>
      <c r="I2150">
        <v>3</v>
      </c>
      <c r="J2150">
        <v>2</v>
      </c>
      <c r="K2150">
        <v>5.64</v>
      </c>
      <c r="L2150">
        <v>0</v>
      </c>
      <c r="M2150" s="1" t="s">
        <v>67</v>
      </c>
      <c r="N2150" s="1" t="s">
        <v>56</v>
      </c>
      <c r="O2150">
        <v>2556</v>
      </c>
      <c r="P2150" t="b">
        <v>1</v>
      </c>
      <c r="Q2150">
        <v>0.25</v>
      </c>
      <c r="R2150">
        <v>852</v>
      </c>
      <c r="S2150">
        <v>1.88</v>
      </c>
      <c r="T2150" s="2">
        <v>45078</v>
      </c>
      <c r="U2150" s="1" t="s">
        <v>57</v>
      </c>
      <c r="V2150">
        <v>0</v>
      </c>
      <c r="W2150" s="1" t="s">
        <v>56</v>
      </c>
      <c r="X2150">
        <v>80</v>
      </c>
      <c r="Y2150" s="1" t="s">
        <v>42</v>
      </c>
      <c r="Z2150" s="1" t="s">
        <v>42</v>
      </c>
      <c r="AA2150">
        <v>0.5</v>
      </c>
      <c r="AB2150" s="1" t="s">
        <v>42</v>
      </c>
      <c r="AC2150">
        <v>3</v>
      </c>
      <c r="AD2150" s="2">
        <v>45078</v>
      </c>
      <c r="AE2150" s="1" t="s">
        <v>58</v>
      </c>
      <c r="AF2150" s="1" t="s">
        <v>72</v>
      </c>
      <c r="AG2150" s="1" t="s">
        <v>77</v>
      </c>
      <c r="AH2150" s="1" t="s">
        <v>59</v>
      </c>
      <c r="AI2150">
        <v>2556</v>
      </c>
      <c r="AJ2150">
        <v>0</v>
      </c>
    </row>
    <row r="2151" spans="1:36" x14ac:dyDescent="0.25">
      <c r="A2151">
        <v>12150</v>
      </c>
      <c r="B2151">
        <v>18</v>
      </c>
      <c r="C2151" s="1" t="s">
        <v>60</v>
      </c>
      <c r="D2151" s="1" t="s">
        <v>69</v>
      </c>
      <c r="E2151" s="2">
        <v>44915</v>
      </c>
      <c r="F2151" s="2">
        <v>44424</v>
      </c>
      <c r="G2151" s="1" t="s">
        <v>62</v>
      </c>
      <c r="H2151">
        <v>932</v>
      </c>
      <c r="I2151">
        <v>5</v>
      </c>
      <c r="J2151">
        <v>2</v>
      </c>
      <c r="K2151">
        <v>119.22</v>
      </c>
      <c r="L2151">
        <v>5</v>
      </c>
      <c r="M2151" s="1" t="s">
        <v>39</v>
      </c>
      <c r="N2151" s="1" t="s">
        <v>40</v>
      </c>
      <c r="O2151">
        <v>4613.3999999999996</v>
      </c>
      <c r="P2151" t="b">
        <v>0</v>
      </c>
      <c r="Q2151">
        <v>0.41666666666666669</v>
      </c>
      <c r="R2151">
        <v>922.68</v>
      </c>
      <c r="S2151">
        <v>39.74</v>
      </c>
      <c r="T2151" s="2">
        <v>44896</v>
      </c>
      <c r="U2151" s="1" t="s">
        <v>66</v>
      </c>
      <c r="V2151">
        <v>1</v>
      </c>
      <c r="W2151" s="1" t="s">
        <v>56</v>
      </c>
      <c r="Y2151" s="1" t="s">
        <v>43</v>
      </c>
      <c r="Z2151" s="1" t="s">
        <v>42</v>
      </c>
      <c r="AA2151">
        <v>0.33333333333333331</v>
      </c>
      <c r="AB2151" s="1" t="s">
        <v>42</v>
      </c>
      <c r="AC2151">
        <v>2</v>
      </c>
      <c r="AD2151" s="2">
        <v>44896</v>
      </c>
      <c r="AE2151" s="1" t="s">
        <v>58</v>
      </c>
      <c r="AF2151" s="1" t="s">
        <v>72</v>
      </c>
      <c r="AG2151" s="1" t="s">
        <v>63</v>
      </c>
      <c r="AH2151" s="1" t="s">
        <v>59</v>
      </c>
      <c r="AI2151">
        <v>4660</v>
      </c>
      <c r="AJ2151">
        <v>-46.600000000000364</v>
      </c>
    </row>
    <row r="2152" spans="1:36" x14ac:dyDescent="0.25">
      <c r="A2152">
        <v>12151</v>
      </c>
      <c r="B2152">
        <v>41</v>
      </c>
      <c r="C2152" s="1" t="s">
        <v>36</v>
      </c>
      <c r="D2152" s="1" t="s">
        <v>73</v>
      </c>
      <c r="E2152" s="2">
        <v>44977</v>
      </c>
      <c r="F2152" s="2">
        <v>44868</v>
      </c>
      <c r="G2152" s="1" t="s">
        <v>38</v>
      </c>
      <c r="H2152">
        <v>574</v>
      </c>
      <c r="I2152">
        <v>20</v>
      </c>
      <c r="J2152">
        <v>0</v>
      </c>
      <c r="K2152">
        <v>91.99</v>
      </c>
      <c r="L2152">
        <v>20</v>
      </c>
      <c r="M2152" s="1" t="s">
        <v>39</v>
      </c>
      <c r="N2152" s="1" t="s">
        <v>56</v>
      </c>
      <c r="O2152">
        <v>11365.2</v>
      </c>
      <c r="P2152" t="b">
        <v>0</v>
      </c>
      <c r="Q2152">
        <v>1.6666666666666667</v>
      </c>
      <c r="R2152">
        <v>568.26</v>
      </c>
      <c r="S2152">
        <v>91.99</v>
      </c>
      <c r="T2152" s="2">
        <v>44958</v>
      </c>
      <c r="U2152" s="1" t="s">
        <v>51</v>
      </c>
      <c r="V2152">
        <v>0</v>
      </c>
      <c r="W2152" s="1" t="s">
        <v>56</v>
      </c>
      <c r="Y2152" s="1" t="s">
        <v>43</v>
      </c>
      <c r="Z2152" s="1" t="s">
        <v>52</v>
      </c>
      <c r="AA2152">
        <v>0</v>
      </c>
      <c r="AB2152" s="1" t="s">
        <v>52</v>
      </c>
      <c r="AC2152">
        <v>1</v>
      </c>
      <c r="AD2152" s="2">
        <v>44958</v>
      </c>
      <c r="AE2152" s="1" t="s">
        <v>53</v>
      </c>
      <c r="AF2152" s="1" t="s">
        <v>54</v>
      </c>
      <c r="AG2152" s="1" t="s">
        <v>63</v>
      </c>
      <c r="AH2152" s="1" t="s">
        <v>64</v>
      </c>
      <c r="AI2152">
        <v>11480</v>
      </c>
      <c r="AJ2152">
        <v>-114.79999999999927</v>
      </c>
    </row>
    <row r="2153" spans="1:36" x14ac:dyDescent="0.25">
      <c r="A2153">
        <v>12152</v>
      </c>
      <c r="B2153">
        <v>24</v>
      </c>
      <c r="C2153" s="1" t="s">
        <v>36</v>
      </c>
      <c r="D2153" s="1" t="s">
        <v>71</v>
      </c>
      <c r="E2153" s="2">
        <v>44390</v>
      </c>
      <c r="F2153" s="2">
        <v>44371</v>
      </c>
      <c r="G2153" s="1" t="s">
        <v>38</v>
      </c>
      <c r="H2153">
        <v>1042</v>
      </c>
      <c r="I2153">
        <v>20</v>
      </c>
      <c r="J2153">
        <v>0</v>
      </c>
      <c r="K2153">
        <v>62.59</v>
      </c>
      <c r="L2153">
        <v>20</v>
      </c>
      <c r="M2153" s="1" t="s">
        <v>50</v>
      </c>
      <c r="N2153" s="1" t="s">
        <v>56</v>
      </c>
      <c r="O2153">
        <v>20631.599999999999</v>
      </c>
      <c r="P2153" t="b">
        <v>0</v>
      </c>
      <c r="Q2153">
        <v>1.6666666666666667</v>
      </c>
      <c r="R2153">
        <v>1031.58</v>
      </c>
      <c r="S2153">
        <v>62.59</v>
      </c>
      <c r="T2153" s="2">
        <v>44378</v>
      </c>
      <c r="U2153" s="1" t="s">
        <v>66</v>
      </c>
      <c r="V2153">
        <v>0</v>
      </c>
      <c r="W2153" s="1" t="s">
        <v>40</v>
      </c>
      <c r="Y2153" s="1" t="s">
        <v>43</v>
      </c>
      <c r="Z2153" s="1" t="s">
        <v>52</v>
      </c>
      <c r="AA2153">
        <v>0</v>
      </c>
      <c r="AB2153" s="1" t="s">
        <v>43</v>
      </c>
      <c r="AC2153">
        <v>1</v>
      </c>
      <c r="AD2153" s="2">
        <v>44378</v>
      </c>
      <c r="AE2153" s="1" t="s">
        <v>53</v>
      </c>
      <c r="AF2153" s="1" t="s">
        <v>54</v>
      </c>
      <c r="AG2153" s="1" t="s">
        <v>63</v>
      </c>
      <c r="AH2153" s="1" t="s">
        <v>47</v>
      </c>
      <c r="AI2153">
        <v>20840</v>
      </c>
      <c r="AJ2153">
        <v>-208.40000000000146</v>
      </c>
    </row>
    <row r="2154" spans="1:36" x14ac:dyDescent="0.25">
      <c r="A2154">
        <v>12153</v>
      </c>
      <c r="B2154">
        <v>42</v>
      </c>
      <c r="C2154" s="1" t="s">
        <v>60</v>
      </c>
      <c r="D2154" s="1" t="s">
        <v>69</v>
      </c>
      <c r="E2154" s="2">
        <v>44576</v>
      </c>
      <c r="F2154" s="2">
        <v>44362</v>
      </c>
      <c r="G2154" s="1" t="s">
        <v>38</v>
      </c>
      <c r="H2154">
        <v>385</v>
      </c>
      <c r="I2154">
        <v>5</v>
      </c>
      <c r="J2154">
        <v>0</v>
      </c>
      <c r="K2154">
        <v>51.61</v>
      </c>
      <c r="L2154">
        <v>0</v>
      </c>
      <c r="M2154" s="1" t="s">
        <v>67</v>
      </c>
      <c r="N2154" s="1" t="s">
        <v>56</v>
      </c>
      <c r="O2154">
        <v>1925</v>
      </c>
      <c r="P2154" t="b">
        <v>0</v>
      </c>
      <c r="Q2154">
        <v>0.41666666666666669</v>
      </c>
      <c r="R2154">
        <v>385</v>
      </c>
      <c r="S2154">
        <v>51.61</v>
      </c>
      <c r="T2154" s="2">
        <v>44562</v>
      </c>
      <c r="U2154" s="1" t="s">
        <v>51</v>
      </c>
      <c r="V2154">
        <v>0</v>
      </c>
      <c r="W2154" s="1" t="s">
        <v>56</v>
      </c>
      <c r="Y2154" s="1" t="s">
        <v>52</v>
      </c>
      <c r="Z2154" s="1" t="s">
        <v>42</v>
      </c>
      <c r="AA2154">
        <v>0</v>
      </c>
      <c r="AB2154" s="1" t="s">
        <v>42</v>
      </c>
      <c r="AC2154">
        <v>1</v>
      </c>
      <c r="AD2154" s="2">
        <v>44562</v>
      </c>
      <c r="AE2154" s="1" t="s">
        <v>58</v>
      </c>
      <c r="AF2154" s="1" t="s">
        <v>54</v>
      </c>
      <c r="AG2154" s="1" t="s">
        <v>63</v>
      </c>
      <c r="AH2154" s="1" t="s">
        <v>68</v>
      </c>
      <c r="AI2154">
        <v>1925</v>
      </c>
      <c r="AJ2154">
        <v>0</v>
      </c>
    </row>
    <row r="2155" spans="1:36" x14ac:dyDescent="0.25">
      <c r="A2155">
        <v>12154</v>
      </c>
      <c r="B2155">
        <v>38</v>
      </c>
      <c r="C2155" s="1" t="s">
        <v>36</v>
      </c>
      <c r="D2155" s="1" t="s">
        <v>73</v>
      </c>
      <c r="E2155" s="2">
        <v>44599</v>
      </c>
      <c r="F2155" s="2">
        <v>45023</v>
      </c>
      <c r="G2155" s="1" t="s">
        <v>38</v>
      </c>
      <c r="H2155">
        <v>1386</v>
      </c>
      <c r="I2155">
        <v>10</v>
      </c>
      <c r="J2155">
        <v>2</v>
      </c>
      <c r="K2155">
        <v>68.849999999999994</v>
      </c>
      <c r="L2155">
        <v>20</v>
      </c>
      <c r="M2155" s="1" t="s">
        <v>50</v>
      </c>
      <c r="N2155" s="1" t="s">
        <v>56</v>
      </c>
      <c r="O2155">
        <v>13582.8</v>
      </c>
      <c r="P2155" t="b">
        <v>1</v>
      </c>
      <c r="Q2155">
        <v>0.83333333333333337</v>
      </c>
      <c r="R2155">
        <v>1358.28</v>
      </c>
      <c r="S2155">
        <v>22.95</v>
      </c>
      <c r="T2155" s="2">
        <v>44593</v>
      </c>
      <c r="U2155" s="1" t="s">
        <v>51</v>
      </c>
      <c r="V2155">
        <v>0</v>
      </c>
      <c r="W2155" s="1" t="s">
        <v>40</v>
      </c>
      <c r="X2155">
        <v>424</v>
      </c>
      <c r="Y2155" s="1" t="s">
        <v>43</v>
      </c>
      <c r="Z2155" s="1" t="s">
        <v>52</v>
      </c>
      <c r="AA2155">
        <v>0.18181818181818182</v>
      </c>
      <c r="AB2155" s="1" t="s">
        <v>52</v>
      </c>
      <c r="AC2155">
        <v>1</v>
      </c>
      <c r="AD2155" s="2">
        <v>44593</v>
      </c>
      <c r="AE2155" s="1" t="s">
        <v>74</v>
      </c>
      <c r="AF2155" s="1" t="s">
        <v>72</v>
      </c>
      <c r="AG2155" s="1" t="s">
        <v>63</v>
      </c>
      <c r="AH2155" s="1" t="s">
        <v>47</v>
      </c>
      <c r="AI2155">
        <v>13860</v>
      </c>
      <c r="AJ2155">
        <v>-277.20000000000073</v>
      </c>
    </row>
    <row r="2156" spans="1:36" x14ac:dyDescent="0.25">
      <c r="A2156">
        <v>12155</v>
      </c>
      <c r="B2156">
        <v>32</v>
      </c>
      <c r="C2156" s="1" t="s">
        <v>36</v>
      </c>
      <c r="D2156" s="1" t="s">
        <v>76</v>
      </c>
      <c r="E2156" s="2">
        <v>44860</v>
      </c>
      <c r="F2156" s="2">
        <v>44872</v>
      </c>
      <c r="G2156" s="1" t="s">
        <v>62</v>
      </c>
      <c r="H2156">
        <v>703</v>
      </c>
      <c r="I2156">
        <v>16</v>
      </c>
      <c r="J2156">
        <v>1</v>
      </c>
      <c r="K2156">
        <v>34.130000000000003</v>
      </c>
      <c r="L2156">
        <v>5</v>
      </c>
      <c r="M2156" s="1" t="s">
        <v>39</v>
      </c>
      <c r="N2156" s="1" t="s">
        <v>40</v>
      </c>
      <c r="O2156">
        <v>11212.85</v>
      </c>
      <c r="P2156" t="b">
        <v>1</v>
      </c>
      <c r="Q2156">
        <v>1.3333333333333333</v>
      </c>
      <c r="R2156">
        <v>700.80312500000002</v>
      </c>
      <c r="S2156">
        <v>17.065000000000001</v>
      </c>
      <c r="T2156" s="2">
        <v>44835</v>
      </c>
      <c r="U2156" s="1" t="s">
        <v>57</v>
      </c>
      <c r="V2156">
        <v>1</v>
      </c>
      <c r="W2156" s="1" t="s">
        <v>56</v>
      </c>
      <c r="X2156">
        <v>12</v>
      </c>
      <c r="Y2156" s="1" t="s">
        <v>52</v>
      </c>
      <c r="Z2156" s="1" t="s">
        <v>42</v>
      </c>
      <c r="AA2156">
        <v>5.8823529411764705E-2</v>
      </c>
      <c r="AB2156" s="1" t="s">
        <v>52</v>
      </c>
      <c r="AC2156">
        <v>2</v>
      </c>
      <c r="AD2156" s="2">
        <v>44835</v>
      </c>
      <c r="AE2156" s="1" t="s">
        <v>53</v>
      </c>
      <c r="AF2156" s="1" t="s">
        <v>54</v>
      </c>
      <c r="AG2156" s="1" t="s">
        <v>55</v>
      </c>
      <c r="AH2156" s="1" t="s">
        <v>59</v>
      </c>
      <c r="AI2156">
        <v>11248</v>
      </c>
      <c r="AJ2156">
        <v>-35.149999999999636</v>
      </c>
    </row>
    <row r="2157" spans="1:36" x14ac:dyDescent="0.25">
      <c r="A2157">
        <v>12156</v>
      </c>
      <c r="B2157">
        <v>18</v>
      </c>
      <c r="C2157" s="1" t="s">
        <v>60</v>
      </c>
      <c r="D2157" s="1" t="s">
        <v>73</v>
      </c>
      <c r="E2157" s="2">
        <v>44945</v>
      </c>
      <c r="F2157" s="2">
        <v>44694</v>
      </c>
      <c r="G2157" s="1" t="s">
        <v>49</v>
      </c>
      <c r="H2157">
        <v>491</v>
      </c>
      <c r="I2157">
        <v>25</v>
      </c>
      <c r="J2157">
        <v>3</v>
      </c>
      <c r="K2157">
        <v>9.08</v>
      </c>
      <c r="L2157">
        <v>15</v>
      </c>
      <c r="M2157" s="1" t="s">
        <v>50</v>
      </c>
      <c r="N2157" s="1" t="s">
        <v>56</v>
      </c>
      <c r="O2157">
        <v>12201.35</v>
      </c>
      <c r="P2157" t="b">
        <v>0</v>
      </c>
      <c r="Q2157">
        <v>2.0833333333333335</v>
      </c>
      <c r="R2157">
        <v>488.05400000000003</v>
      </c>
      <c r="S2157">
        <v>2.27</v>
      </c>
      <c r="T2157" s="2">
        <v>44927</v>
      </c>
      <c r="U2157" s="1" t="s">
        <v>66</v>
      </c>
      <c r="V2157">
        <v>0</v>
      </c>
      <c r="W2157" s="1" t="s">
        <v>56</v>
      </c>
      <c r="Y2157" s="1" t="s">
        <v>42</v>
      </c>
      <c r="Z2157" s="1" t="s">
        <v>42</v>
      </c>
      <c r="AA2157">
        <v>0.11538461538461539</v>
      </c>
      <c r="AB2157" s="1" t="s">
        <v>52</v>
      </c>
      <c r="AC2157">
        <v>3</v>
      </c>
      <c r="AD2157" s="2">
        <v>44927</v>
      </c>
      <c r="AE2157" s="1" t="s">
        <v>44</v>
      </c>
      <c r="AF2157" s="1" t="s">
        <v>72</v>
      </c>
      <c r="AG2157" s="1" t="s">
        <v>77</v>
      </c>
      <c r="AH2157" s="1" t="s">
        <v>68</v>
      </c>
      <c r="AI2157">
        <v>12275</v>
      </c>
      <c r="AJ2157">
        <v>-73.649999999999636</v>
      </c>
    </row>
    <row r="2158" spans="1:36" x14ac:dyDescent="0.25">
      <c r="A2158">
        <v>12157</v>
      </c>
      <c r="B2158">
        <v>29</v>
      </c>
      <c r="C2158" s="1" t="s">
        <v>36</v>
      </c>
      <c r="D2158" s="1" t="s">
        <v>73</v>
      </c>
      <c r="E2158" s="2">
        <v>44796</v>
      </c>
      <c r="F2158" s="2">
        <v>44519</v>
      </c>
      <c r="G2158" s="1" t="s">
        <v>62</v>
      </c>
      <c r="H2158">
        <v>1354</v>
      </c>
      <c r="I2158">
        <v>25</v>
      </c>
      <c r="J2158">
        <v>1</v>
      </c>
      <c r="K2158">
        <v>101.14</v>
      </c>
      <c r="L2158">
        <v>5</v>
      </c>
      <c r="M2158" s="1" t="s">
        <v>67</v>
      </c>
      <c r="N2158" s="1" t="s">
        <v>56</v>
      </c>
      <c r="O2158">
        <v>33782.300000000003</v>
      </c>
      <c r="P2158" t="b">
        <v>0</v>
      </c>
      <c r="Q2158">
        <v>2.0833333333333335</v>
      </c>
      <c r="R2158">
        <v>1351.2920000000001</v>
      </c>
      <c r="S2158">
        <v>50.57</v>
      </c>
      <c r="T2158" s="2">
        <v>44774</v>
      </c>
      <c r="U2158" s="1" t="s">
        <v>57</v>
      </c>
      <c r="V2158">
        <v>0</v>
      </c>
      <c r="W2158" s="1" t="s">
        <v>40</v>
      </c>
      <c r="Y2158" s="1" t="s">
        <v>43</v>
      </c>
      <c r="Z2158" s="1" t="s">
        <v>42</v>
      </c>
      <c r="AA2158">
        <v>3.8461538461538464E-2</v>
      </c>
      <c r="AB2158" s="1" t="s">
        <v>43</v>
      </c>
      <c r="AC2158">
        <v>2</v>
      </c>
      <c r="AD2158" s="2">
        <v>44774</v>
      </c>
      <c r="AE2158" s="1" t="s">
        <v>44</v>
      </c>
      <c r="AF2158" s="1" t="s">
        <v>54</v>
      </c>
      <c r="AG2158" s="1" t="s">
        <v>63</v>
      </c>
      <c r="AH2158" s="1" t="s">
        <v>47</v>
      </c>
      <c r="AI2158">
        <v>33850</v>
      </c>
      <c r="AJ2158">
        <v>-67.69999999999709</v>
      </c>
    </row>
    <row r="2159" spans="1:36" x14ac:dyDescent="0.25">
      <c r="A2159">
        <v>12158</v>
      </c>
      <c r="B2159">
        <v>24</v>
      </c>
      <c r="C2159" s="1" t="s">
        <v>36</v>
      </c>
      <c r="D2159" s="1" t="s">
        <v>69</v>
      </c>
      <c r="E2159" s="2">
        <v>44207</v>
      </c>
      <c r="F2159" s="2">
        <v>45216</v>
      </c>
      <c r="G2159" s="1" t="s">
        <v>49</v>
      </c>
      <c r="H2159">
        <v>406</v>
      </c>
      <c r="I2159">
        <v>30</v>
      </c>
      <c r="J2159">
        <v>2</v>
      </c>
      <c r="K2159">
        <v>108.1</v>
      </c>
      <c r="L2159">
        <v>15</v>
      </c>
      <c r="M2159" s="1" t="s">
        <v>67</v>
      </c>
      <c r="N2159" s="1" t="s">
        <v>40</v>
      </c>
      <c r="O2159">
        <v>12119.1</v>
      </c>
      <c r="P2159" t="b">
        <v>1</v>
      </c>
      <c r="Q2159">
        <v>2.5</v>
      </c>
      <c r="R2159">
        <v>403.97</v>
      </c>
      <c r="S2159">
        <v>36.033333333333331</v>
      </c>
      <c r="T2159" s="2">
        <v>44197</v>
      </c>
      <c r="U2159" s="1" t="s">
        <v>66</v>
      </c>
      <c r="V2159">
        <v>1</v>
      </c>
      <c r="W2159" s="1" t="s">
        <v>56</v>
      </c>
      <c r="X2159">
        <v>1009</v>
      </c>
      <c r="Y2159" s="1" t="s">
        <v>43</v>
      </c>
      <c r="Z2159" s="1" t="s">
        <v>42</v>
      </c>
      <c r="AA2159">
        <v>6.4516129032258063E-2</v>
      </c>
      <c r="AB2159" s="1" t="s">
        <v>52</v>
      </c>
      <c r="AC2159">
        <v>3</v>
      </c>
      <c r="AD2159" s="2">
        <v>44197</v>
      </c>
      <c r="AE2159" s="1" t="s">
        <v>44</v>
      </c>
      <c r="AF2159" s="1" t="s">
        <v>72</v>
      </c>
      <c r="AG2159" s="1" t="s">
        <v>63</v>
      </c>
      <c r="AH2159" s="1" t="s">
        <v>68</v>
      </c>
      <c r="AI2159">
        <v>12180</v>
      </c>
      <c r="AJ2159">
        <v>-60.899999999999636</v>
      </c>
    </row>
    <row r="2160" spans="1:36" x14ac:dyDescent="0.25">
      <c r="A2160">
        <v>12159</v>
      </c>
      <c r="B2160">
        <v>32</v>
      </c>
      <c r="C2160" s="1" t="s">
        <v>60</v>
      </c>
      <c r="D2160" s="1" t="s">
        <v>71</v>
      </c>
      <c r="E2160" s="2">
        <v>44383</v>
      </c>
      <c r="F2160" s="2">
        <v>44674</v>
      </c>
      <c r="G2160" s="1" t="s">
        <v>62</v>
      </c>
      <c r="H2160">
        <v>921</v>
      </c>
      <c r="I2160">
        <v>14</v>
      </c>
      <c r="J2160">
        <v>3</v>
      </c>
      <c r="K2160">
        <v>23.68</v>
      </c>
      <c r="L2160">
        <v>20</v>
      </c>
      <c r="M2160" s="1" t="s">
        <v>67</v>
      </c>
      <c r="N2160" s="1" t="s">
        <v>56</v>
      </c>
      <c r="O2160">
        <v>12709.8</v>
      </c>
      <c r="P2160" t="b">
        <v>1</v>
      </c>
      <c r="Q2160">
        <v>1.1666666666666667</v>
      </c>
      <c r="R2160">
        <v>907.84285714285704</v>
      </c>
      <c r="S2160">
        <v>5.92</v>
      </c>
      <c r="T2160" s="2">
        <v>44378</v>
      </c>
      <c r="U2160" s="1" t="s">
        <v>57</v>
      </c>
      <c r="V2160">
        <v>0</v>
      </c>
      <c r="W2160" s="1" t="s">
        <v>56</v>
      </c>
      <c r="X2160">
        <v>291</v>
      </c>
      <c r="Y2160" s="1" t="s">
        <v>52</v>
      </c>
      <c r="Z2160" s="1" t="s">
        <v>52</v>
      </c>
      <c r="AA2160">
        <v>0.2</v>
      </c>
      <c r="AB2160" s="1" t="s">
        <v>52</v>
      </c>
      <c r="AC2160">
        <v>2</v>
      </c>
      <c r="AD2160" s="2">
        <v>44378</v>
      </c>
      <c r="AE2160" s="1" t="s">
        <v>53</v>
      </c>
      <c r="AF2160" s="1" t="s">
        <v>72</v>
      </c>
      <c r="AG2160" s="1" t="s">
        <v>70</v>
      </c>
      <c r="AH2160" s="1" t="s">
        <v>59</v>
      </c>
      <c r="AI2160">
        <v>12894</v>
      </c>
      <c r="AJ2160">
        <v>-184.20000000000073</v>
      </c>
    </row>
    <row r="2161" spans="1:36" x14ac:dyDescent="0.25">
      <c r="A2161">
        <v>12160</v>
      </c>
      <c r="B2161">
        <v>38</v>
      </c>
      <c r="C2161" s="1" t="s">
        <v>60</v>
      </c>
      <c r="D2161" s="1" t="s">
        <v>71</v>
      </c>
      <c r="E2161" s="2">
        <v>44922</v>
      </c>
      <c r="F2161" s="2">
        <v>45059</v>
      </c>
      <c r="G2161" s="1" t="s">
        <v>62</v>
      </c>
      <c r="H2161">
        <v>575</v>
      </c>
      <c r="I2161">
        <v>22</v>
      </c>
      <c r="J2161">
        <v>1</v>
      </c>
      <c r="K2161">
        <v>95.51</v>
      </c>
      <c r="L2161">
        <v>5</v>
      </c>
      <c r="M2161" s="1" t="s">
        <v>39</v>
      </c>
      <c r="N2161" s="1" t="s">
        <v>56</v>
      </c>
      <c r="O2161">
        <v>12621.25</v>
      </c>
      <c r="P2161" t="b">
        <v>1</v>
      </c>
      <c r="Q2161">
        <v>1.8333333333333333</v>
      </c>
      <c r="R2161">
        <v>573.69318181818187</v>
      </c>
      <c r="S2161">
        <v>47.755000000000003</v>
      </c>
      <c r="T2161" s="2">
        <v>44896</v>
      </c>
      <c r="U2161" s="1" t="s">
        <v>51</v>
      </c>
      <c r="V2161">
        <v>0</v>
      </c>
      <c r="W2161" s="1" t="s">
        <v>56</v>
      </c>
      <c r="X2161">
        <v>137</v>
      </c>
      <c r="Y2161" s="1" t="s">
        <v>43</v>
      </c>
      <c r="Z2161" s="1" t="s">
        <v>42</v>
      </c>
      <c r="AA2161">
        <v>4.3478260869565216E-2</v>
      </c>
      <c r="AB2161" s="1" t="s">
        <v>52</v>
      </c>
      <c r="AC2161">
        <v>2</v>
      </c>
      <c r="AD2161" s="2">
        <v>44896</v>
      </c>
      <c r="AE2161" s="1" t="s">
        <v>53</v>
      </c>
      <c r="AF2161" s="1" t="s">
        <v>54</v>
      </c>
      <c r="AG2161" s="1" t="s">
        <v>63</v>
      </c>
      <c r="AH2161" s="1" t="s">
        <v>64</v>
      </c>
      <c r="AI2161">
        <v>12650</v>
      </c>
      <c r="AJ2161">
        <v>-28.75</v>
      </c>
    </row>
    <row r="2162" spans="1:36" x14ac:dyDescent="0.25">
      <c r="A2162">
        <v>12161</v>
      </c>
      <c r="B2162">
        <v>36</v>
      </c>
      <c r="C2162" s="1" t="s">
        <v>60</v>
      </c>
      <c r="D2162" s="1" t="s">
        <v>71</v>
      </c>
      <c r="E2162" s="2">
        <v>44211</v>
      </c>
      <c r="F2162" s="2">
        <v>44832</v>
      </c>
      <c r="G2162" s="1" t="s">
        <v>49</v>
      </c>
      <c r="H2162">
        <v>950</v>
      </c>
      <c r="I2162">
        <v>28</v>
      </c>
      <c r="J2162">
        <v>4</v>
      </c>
      <c r="K2162">
        <v>90.23</v>
      </c>
      <c r="L2162">
        <v>10</v>
      </c>
      <c r="M2162" s="1" t="s">
        <v>65</v>
      </c>
      <c r="N2162" s="1" t="s">
        <v>40</v>
      </c>
      <c r="O2162">
        <v>26600</v>
      </c>
      <c r="P2162" t="b">
        <v>1</v>
      </c>
      <c r="Q2162">
        <v>2.3333333333333335</v>
      </c>
      <c r="R2162">
        <v>950</v>
      </c>
      <c r="S2162">
        <v>18.045999999999999</v>
      </c>
      <c r="T2162" s="2">
        <v>44197</v>
      </c>
      <c r="U2162" s="1" t="s">
        <v>51</v>
      </c>
      <c r="V2162">
        <v>1</v>
      </c>
      <c r="W2162" s="1" t="s">
        <v>40</v>
      </c>
      <c r="X2162">
        <v>621</v>
      </c>
      <c r="Y2162" s="1" t="s">
        <v>43</v>
      </c>
      <c r="Z2162" s="1" t="s">
        <v>42</v>
      </c>
      <c r="AA2162">
        <v>0.13793103448275862</v>
      </c>
      <c r="AB2162" s="1" t="s">
        <v>43</v>
      </c>
      <c r="AC2162">
        <v>3</v>
      </c>
      <c r="AD2162" s="2">
        <v>44197</v>
      </c>
      <c r="AE2162" s="1" t="s">
        <v>44</v>
      </c>
      <c r="AF2162" s="1" t="s">
        <v>45</v>
      </c>
      <c r="AG2162" s="1" t="s">
        <v>63</v>
      </c>
      <c r="AH2162" s="1" t="s">
        <v>59</v>
      </c>
      <c r="AI2162">
        <v>26600</v>
      </c>
      <c r="AJ2162">
        <v>0</v>
      </c>
    </row>
    <row r="2163" spans="1:36" x14ac:dyDescent="0.25">
      <c r="A2163">
        <v>12162</v>
      </c>
      <c r="B2163">
        <v>46</v>
      </c>
      <c r="C2163" s="1" t="s">
        <v>36</v>
      </c>
      <c r="D2163" s="1" t="s">
        <v>71</v>
      </c>
      <c r="E2163" s="2">
        <v>44974</v>
      </c>
      <c r="F2163" s="2">
        <v>44836</v>
      </c>
      <c r="G2163" s="1" t="s">
        <v>62</v>
      </c>
      <c r="H2163">
        <v>855</v>
      </c>
      <c r="I2163">
        <v>30</v>
      </c>
      <c r="J2163">
        <v>1</v>
      </c>
      <c r="K2163">
        <v>25.51</v>
      </c>
      <c r="L2163">
        <v>20</v>
      </c>
      <c r="M2163" s="1" t="s">
        <v>65</v>
      </c>
      <c r="N2163" s="1" t="s">
        <v>40</v>
      </c>
      <c r="O2163">
        <v>25479</v>
      </c>
      <c r="P2163" t="b">
        <v>0</v>
      </c>
      <c r="Q2163">
        <v>2.5</v>
      </c>
      <c r="R2163">
        <v>849.3</v>
      </c>
      <c r="S2163">
        <v>12.755000000000001</v>
      </c>
      <c r="T2163" s="2">
        <v>44958</v>
      </c>
      <c r="U2163" s="1" t="s">
        <v>51</v>
      </c>
      <c r="V2163">
        <v>1</v>
      </c>
      <c r="W2163" s="1" t="s">
        <v>40</v>
      </c>
      <c r="Y2163" s="1" t="s">
        <v>52</v>
      </c>
      <c r="Z2163" s="1" t="s">
        <v>52</v>
      </c>
      <c r="AA2163">
        <v>3.2258064516129031E-2</v>
      </c>
      <c r="AB2163" s="1" t="s">
        <v>43</v>
      </c>
      <c r="AC2163">
        <v>2</v>
      </c>
      <c r="AD2163" s="2">
        <v>44958</v>
      </c>
      <c r="AE2163" s="1" t="s">
        <v>44</v>
      </c>
      <c r="AF2163" s="1" t="s">
        <v>54</v>
      </c>
      <c r="AG2163" s="1" t="s">
        <v>70</v>
      </c>
      <c r="AH2163" s="1" t="s">
        <v>59</v>
      </c>
      <c r="AI2163">
        <v>25650</v>
      </c>
      <c r="AJ2163">
        <v>-171</v>
      </c>
    </row>
    <row r="2164" spans="1:36" x14ac:dyDescent="0.25">
      <c r="A2164">
        <v>12163</v>
      </c>
      <c r="B2164">
        <v>42</v>
      </c>
      <c r="C2164" s="1" t="s">
        <v>75</v>
      </c>
      <c r="D2164" s="1" t="s">
        <v>61</v>
      </c>
      <c r="E2164" s="2">
        <v>44493</v>
      </c>
      <c r="F2164" s="2">
        <v>44809</v>
      </c>
      <c r="G2164" s="1" t="s">
        <v>49</v>
      </c>
      <c r="H2164">
        <v>1405</v>
      </c>
      <c r="I2164">
        <v>19</v>
      </c>
      <c r="J2164">
        <v>2</v>
      </c>
      <c r="K2164">
        <v>53.51</v>
      </c>
      <c r="L2164">
        <v>0</v>
      </c>
      <c r="M2164" s="1" t="s">
        <v>65</v>
      </c>
      <c r="N2164" s="1" t="s">
        <v>56</v>
      </c>
      <c r="O2164">
        <v>26695</v>
      </c>
      <c r="P2164" t="b">
        <v>1</v>
      </c>
      <c r="Q2164">
        <v>1.5833333333333333</v>
      </c>
      <c r="R2164">
        <v>1405</v>
      </c>
      <c r="S2164">
        <v>17.836666666666666</v>
      </c>
      <c r="T2164" s="2">
        <v>44470</v>
      </c>
      <c r="U2164" s="1" t="s">
        <v>51</v>
      </c>
      <c r="V2164">
        <v>0</v>
      </c>
      <c r="W2164" s="1" t="s">
        <v>40</v>
      </c>
      <c r="X2164">
        <v>316</v>
      </c>
      <c r="Y2164" s="1" t="s">
        <v>52</v>
      </c>
      <c r="Z2164" s="1" t="s">
        <v>42</v>
      </c>
      <c r="AA2164">
        <v>0.1</v>
      </c>
      <c r="AB2164" s="1" t="s">
        <v>43</v>
      </c>
      <c r="AC2164">
        <v>3</v>
      </c>
      <c r="AD2164" s="2">
        <v>44470</v>
      </c>
      <c r="AE2164" s="1" t="s">
        <v>53</v>
      </c>
      <c r="AF2164" s="1" t="s">
        <v>72</v>
      </c>
      <c r="AG2164" s="1" t="s">
        <v>63</v>
      </c>
      <c r="AH2164" s="1" t="s">
        <v>47</v>
      </c>
      <c r="AI2164">
        <v>26695</v>
      </c>
      <c r="AJ2164">
        <v>0</v>
      </c>
    </row>
    <row r="2165" spans="1:36" x14ac:dyDescent="0.25">
      <c r="A2165">
        <v>12164</v>
      </c>
      <c r="B2165">
        <v>50</v>
      </c>
      <c r="C2165" s="1" t="s">
        <v>60</v>
      </c>
      <c r="D2165" s="1" t="s">
        <v>69</v>
      </c>
      <c r="E2165" s="2">
        <v>44607</v>
      </c>
      <c r="F2165" s="2">
        <v>44725</v>
      </c>
      <c r="G2165" s="1" t="s">
        <v>38</v>
      </c>
      <c r="H2165">
        <v>1387</v>
      </c>
      <c r="I2165">
        <v>20</v>
      </c>
      <c r="J2165">
        <v>1</v>
      </c>
      <c r="K2165">
        <v>53.62</v>
      </c>
      <c r="L2165">
        <v>15</v>
      </c>
      <c r="M2165" s="1" t="s">
        <v>50</v>
      </c>
      <c r="N2165" s="1" t="s">
        <v>56</v>
      </c>
      <c r="O2165">
        <v>27531.95</v>
      </c>
      <c r="P2165" t="b">
        <v>1</v>
      </c>
      <c r="Q2165">
        <v>1.6666666666666667</v>
      </c>
      <c r="R2165">
        <v>1376.5975000000001</v>
      </c>
      <c r="S2165">
        <v>26.81</v>
      </c>
      <c r="T2165" s="2">
        <v>44593</v>
      </c>
      <c r="U2165" s="1" t="s">
        <v>51</v>
      </c>
      <c r="V2165">
        <v>0</v>
      </c>
      <c r="W2165" s="1" t="s">
        <v>40</v>
      </c>
      <c r="X2165">
        <v>118</v>
      </c>
      <c r="Y2165" s="1" t="s">
        <v>52</v>
      </c>
      <c r="Z2165" s="1" t="s">
        <v>42</v>
      </c>
      <c r="AA2165">
        <v>4.7619047619047616E-2</v>
      </c>
      <c r="AB2165" s="1" t="s">
        <v>43</v>
      </c>
      <c r="AC2165">
        <v>1</v>
      </c>
      <c r="AD2165" s="2">
        <v>44593</v>
      </c>
      <c r="AE2165" s="1" t="s">
        <v>53</v>
      </c>
      <c r="AF2165" s="1" t="s">
        <v>54</v>
      </c>
      <c r="AG2165" s="1" t="s">
        <v>63</v>
      </c>
      <c r="AH2165" s="1" t="s">
        <v>47</v>
      </c>
      <c r="AI2165">
        <v>27740</v>
      </c>
      <c r="AJ2165">
        <v>-208.04999999999927</v>
      </c>
    </row>
    <row r="2166" spans="1:36" x14ac:dyDescent="0.25">
      <c r="A2166">
        <v>12165</v>
      </c>
      <c r="B2166">
        <v>49</v>
      </c>
      <c r="C2166" s="1" t="s">
        <v>36</v>
      </c>
      <c r="D2166" s="1" t="s">
        <v>48</v>
      </c>
      <c r="E2166" s="2">
        <v>44781</v>
      </c>
      <c r="F2166" s="2">
        <v>44935</v>
      </c>
      <c r="G2166" s="1" t="s">
        <v>38</v>
      </c>
      <c r="H2166">
        <v>866</v>
      </c>
      <c r="I2166">
        <v>35</v>
      </c>
      <c r="J2166">
        <v>4</v>
      </c>
      <c r="K2166">
        <v>92.4</v>
      </c>
      <c r="L2166">
        <v>10</v>
      </c>
      <c r="M2166" s="1" t="s">
        <v>67</v>
      </c>
      <c r="N2166" s="1" t="s">
        <v>56</v>
      </c>
      <c r="O2166">
        <v>30223.4</v>
      </c>
      <c r="P2166" t="b">
        <v>1</v>
      </c>
      <c r="Q2166">
        <v>2.9166666666666665</v>
      </c>
      <c r="R2166">
        <v>863.52571428571434</v>
      </c>
      <c r="S2166">
        <v>18.48</v>
      </c>
      <c r="T2166" s="2">
        <v>44774</v>
      </c>
      <c r="U2166" s="1" t="s">
        <v>51</v>
      </c>
      <c r="V2166">
        <v>0</v>
      </c>
      <c r="W2166" s="1" t="s">
        <v>40</v>
      </c>
      <c r="X2166">
        <v>154</v>
      </c>
      <c r="Y2166" s="1" t="s">
        <v>43</v>
      </c>
      <c r="Z2166" s="1" t="s">
        <v>42</v>
      </c>
      <c r="AA2166">
        <v>0.1111111111111111</v>
      </c>
      <c r="AB2166" s="1" t="s">
        <v>43</v>
      </c>
      <c r="AC2166">
        <v>1</v>
      </c>
      <c r="AD2166" s="2">
        <v>44774</v>
      </c>
      <c r="AE2166" s="1" t="s">
        <v>44</v>
      </c>
      <c r="AF2166" s="1" t="s">
        <v>45</v>
      </c>
      <c r="AG2166" s="1" t="s">
        <v>63</v>
      </c>
      <c r="AH2166" s="1" t="s">
        <v>59</v>
      </c>
      <c r="AI2166">
        <v>30310</v>
      </c>
      <c r="AJ2166">
        <v>-86.599999999998545</v>
      </c>
    </row>
    <row r="2167" spans="1:36" x14ac:dyDescent="0.25">
      <c r="A2167">
        <v>12166</v>
      </c>
      <c r="B2167">
        <v>52</v>
      </c>
      <c r="C2167" s="1" t="s">
        <v>36</v>
      </c>
      <c r="D2167" s="1" t="s">
        <v>69</v>
      </c>
      <c r="E2167" s="2">
        <v>44248</v>
      </c>
      <c r="F2167" s="2">
        <v>44511</v>
      </c>
      <c r="G2167" s="1" t="s">
        <v>49</v>
      </c>
      <c r="H2167">
        <v>885</v>
      </c>
      <c r="I2167">
        <v>22</v>
      </c>
      <c r="J2167">
        <v>4</v>
      </c>
      <c r="K2167">
        <v>101.33</v>
      </c>
      <c r="L2167">
        <v>10</v>
      </c>
      <c r="M2167" s="1" t="s">
        <v>39</v>
      </c>
      <c r="N2167" s="1" t="s">
        <v>56</v>
      </c>
      <c r="O2167">
        <v>19381.5</v>
      </c>
      <c r="P2167" t="b">
        <v>1</v>
      </c>
      <c r="Q2167">
        <v>1.8333333333333333</v>
      </c>
      <c r="R2167">
        <v>880.97727272727275</v>
      </c>
      <c r="S2167">
        <v>20.265999999999998</v>
      </c>
      <c r="T2167" s="2">
        <v>44228</v>
      </c>
      <c r="U2167" s="1" t="s">
        <v>41</v>
      </c>
      <c r="V2167">
        <v>0</v>
      </c>
      <c r="W2167" s="1" t="s">
        <v>40</v>
      </c>
      <c r="X2167">
        <v>263</v>
      </c>
      <c r="Y2167" s="1" t="s">
        <v>43</v>
      </c>
      <c r="Z2167" s="1" t="s">
        <v>42</v>
      </c>
      <c r="AA2167">
        <v>0.17391304347826086</v>
      </c>
      <c r="AB2167" s="1" t="s">
        <v>52</v>
      </c>
      <c r="AC2167">
        <v>3</v>
      </c>
      <c r="AD2167" s="2">
        <v>44228</v>
      </c>
      <c r="AE2167" s="1" t="s">
        <v>53</v>
      </c>
      <c r="AF2167" s="1" t="s">
        <v>45</v>
      </c>
      <c r="AG2167" s="1" t="s">
        <v>63</v>
      </c>
      <c r="AH2167" s="1" t="s">
        <v>59</v>
      </c>
      <c r="AI2167">
        <v>19470</v>
      </c>
      <c r="AJ2167">
        <v>-88.5</v>
      </c>
    </row>
    <row r="2168" spans="1:36" x14ac:dyDescent="0.25">
      <c r="A2168">
        <v>12167</v>
      </c>
      <c r="B2168">
        <v>61</v>
      </c>
      <c r="C2168" s="1" t="s">
        <v>36</v>
      </c>
      <c r="D2168" s="1" t="s">
        <v>61</v>
      </c>
      <c r="E2168" s="2">
        <v>44836</v>
      </c>
      <c r="F2168" s="2">
        <v>44719</v>
      </c>
      <c r="G2168" s="1" t="s">
        <v>62</v>
      </c>
      <c r="H2168">
        <v>1184</v>
      </c>
      <c r="I2168">
        <v>15</v>
      </c>
      <c r="J2168">
        <v>0</v>
      </c>
      <c r="K2168">
        <v>15.9</v>
      </c>
      <c r="L2168">
        <v>15</v>
      </c>
      <c r="M2168" s="1" t="s">
        <v>65</v>
      </c>
      <c r="N2168" s="1" t="s">
        <v>56</v>
      </c>
      <c r="O2168">
        <v>17582.400000000001</v>
      </c>
      <c r="P2168" t="b">
        <v>0</v>
      </c>
      <c r="Q2168">
        <v>1.25</v>
      </c>
      <c r="R2168">
        <v>1172.1600000000001</v>
      </c>
      <c r="S2168">
        <v>15.9</v>
      </c>
      <c r="T2168" s="2">
        <v>44835</v>
      </c>
      <c r="U2168" s="1" t="s">
        <v>41</v>
      </c>
      <c r="V2168">
        <v>0</v>
      </c>
      <c r="W2168" s="1" t="s">
        <v>40</v>
      </c>
      <c r="Y2168" s="1" t="s">
        <v>42</v>
      </c>
      <c r="Z2168" s="1" t="s">
        <v>42</v>
      </c>
      <c r="AA2168">
        <v>0</v>
      </c>
      <c r="AB2168" s="1" t="s">
        <v>52</v>
      </c>
      <c r="AC2168">
        <v>2</v>
      </c>
      <c r="AD2168" s="2">
        <v>44835</v>
      </c>
      <c r="AE2168" s="1" t="s">
        <v>53</v>
      </c>
      <c r="AF2168" s="1" t="s">
        <v>54</v>
      </c>
      <c r="AG2168" s="1" t="s">
        <v>46</v>
      </c>
      <c r="AH2168" s="1" t="s">
        <v>47</v>
      </c>
      <c r="AI2168">
        <v>17760</v>
      </c>
      <c r="AJ2168">
        <v>-177.59999999999854</v>
      </c>
    </row>
    <row r="2169" spans="1:36" x14ac:dyDescent="0.25">
      <c r="A2169">
        <v>12168</v>
      </c>
      <c r="B2169">
        <v>55</v>
      </c>
      <c r="C2169" s="1" t="s">
        <v>60</v>
      </c>
      <c r="D2169" s="1" t="s">
        <v>71</v>
      </c>
      <c r="E2169" s="2">
        <v>44224</v>
      </c>
      <c r="F2169" s="2">
        <v>44920</v>
      </c>
      <c r="G2169" s="1" t="s">
        <v>49</v>
      </c>
      <c r="H2169">
        <v>428</v>
      </c>
      <c r="I2169">
        <v>11</v>
      </c>
      <c r="J2169">
        <v>3</v>
      </c>
      <c r="K2169">
        <v>69.739999999999995</v>
      </c>
      <c r="L2169">
        <v>10</v>
      </c>
      <c r="M2169" s="1" t="s">
        <v>65</v>
      </c>
      <c r="N2169" s="1" t="s">
        <v>56</v>
      </c>
      <c r="O2169">
        <v>4665.2</v>
      </c>
      <c r="P2169" t="b">
        <v>1</v>
      </c>
      <c r="Q2169">
        <v>0.91666666666666663</v>
      </c>
      <c r="R2169">
        <v>424.10909090909087</v>
      </c>
      <c r="S2169">
        <v>17.434999999999999</v>
      </c>
      <c r="T2169" s="2">
        <v>44197</v>
      </c>
      <c r="U2169" s="1" t="s">
        <v>41</v>
      </c>
      <c r="V2169">
        <v>0</v>
      </c>
      <c r="W2169" s="1" t="s">
        <v>56</v>
      </c>
      <c r="X2169">
        <v>696</v>
      </c>
      <c r="Y2169" s="1" t="s">
        <v>43</v>
      </c>
      <c r="Z2169" s="1" t="s">
        <v>42</v>
      </c>
      <c r="AA2169">
        <v>0.25</v>
      </c>
      <c r="AB2169" s="1" t="s">
        <v>42</v>
      </c>
      <c r="AC2169">
        <v>3</v>
      </c>
      <c r="AD2169" s="2">
        <v>44197</v>
      </c>
      <c r="AE2169" s="1" t="s">
        <v>74</v>
      </c>
      <c r="AF2169" s="1" t="s">
        <v>72</v>
      </c>
      <c r="AG2169" s="1" t="s">
        <v>63</v>
      </c>
      <c r="AH2169" s="1" t="s">
        <v>68</v>
      </c>
      <c r="AI2169">
        <v>4708</v>
      </c>
      <c r="AJ2169">
        <v>-42.800000000000182</v>
      </c>
    </row>
    <row r="2170" spans="1:36" x14ac:dyDescent="0.25">
      <c r="A2170">
        <v>12169</v>
      </c>
      <c r="B2170">
        <v>43</v>
      </c>
      <c r="C2170" s="1" t="s">
        <v>60</v>
      </c>
      <c r="D2170" s="1" t="s">
        <v>61</v>
      </c>
      <c r="E2170" s="2">
        <v>44773</v>
      </c>
      <c r="F2170" s="2">
        <v>44771</v>
      </c>
      <c r="G2170" s="1" t="s">
        <v>49</v>
      </c>
      <c r="H2170">
        <v>555</v>
      </c>
      <c r="I2170">
        <v>34</v>
      </c>
      <c r="J2170">
        <v>1</v>
      </c>
      <c r="K2170">
        <v>92.6</v>
      </c>
      <c r="L2170">
        <v>20</v>
      </c>
      <c r="M2170" s="1" t="s">
        <v>50</v>
      </c>
      <c r="N2170" s="1" t="s">
        <v>56</v>
      </c>
      <c r="O2170">
        <v>18759</v>
      </c>
      <c r="P2170" t="b">
        <v>0</v>
      </c>
      <c r="Q2170">
        <v>2.8333333333333335</v>
      </c>
      <c r="R2170">
        <v>551.73529411764707</v>
      </c>
      <c r="S2170">
        <v>46.3</v>
      </c>
      <c r="T2170" s="2">
        <v>44743</v>
      </c>
      <c r="U2170" s="1" t="s">
        <v>51</v>
      </c>
      <c r="V2170">
        <v>0</v>
      </c>
      <c r="W2170" s="1" t="s">
        <v>40</v>
      </c>
      <c r="Y2170" s="1" t="s">
        <v>43</v>
      </c>
      <c r="Z2170" s="1" t="s">
        <v>52</v>
      </c>
      <c r="AA2170">
        <v>2.8571428571428571E-2</v>
      </c>
      <c r="AB2170" s="1" t="s">
        <v>52</v>
      </c>
      <c r="AC2170">
        <v>3</v>
      </c>
      <c r="AD2170" s="2">
        <v>44743</v>
      </c>
      <c r="AE2170" s="1" t="s">
        <v>44</v>
      </c>
      <c r="AF2170" s="1" t="s">
        <v>54</v>
      </c>
      <c r="AG2170" s="1" t="s">
        <v>63</v>
      </c>
      <c r="AH2170" s="1" t="s">
        <v>64</v>
      </c>
      <c r="AI2170">
        <v>18870</v>
      </c>
      <c r="AJ2170">
        <v>-111</v>
      </c>
    </row>
    <row r="2171" spans="1:36" x14ac:dyDescent="0.25">
      <c r="A2171">
        <v>12170</v>
      </c>
      <c r="B2171">
        <v>28</v>
      </c>
      <c r="C2171" s="1" t="s">
        <v>60</v>
      </c>
      <c r="D2171" s="1" t="s">
        <v>37</v>
      </c>
      <c r="E2171" s="2">
        <v>44213</v>
      </c>
      <c r="F2171" s="2">
        <v>45104</v>
      </c>
      <c r="G2171" s="1" t="s">
        <v>38</v>
      </c>
      <c r="H2171">
        <v>1233</v>
      </c>
      <c r="I2171">
        <v>24</v>
      </c>
      <c r="J2171">
        <v>2</v>
      </c>
      <c r="K2171">
        <v>95.41</v>
      </c>
      <c r="L2171">
        <v>20</v>
      </c>
      <c r="M2171" s="1" t="s">
        <v>50</v>
      </c>
      <c r="N2171" s="1" t="s">
        <v>56</v>
      </c>
      <c r="O2171">
        <v>29345.4</v>
      </c>
      <c r="P2171" t="b">
        <v>1</v>
      </c>
      <c r="Q2171">
        <v>2</v>
      </c>
      <c r="R2171">
        <v>1222.7250000000001</v>
      </c>
      <c r="S2171">
        <v>31.803333333333331</v>
      </c>
      <c r="T2171" s="2">
        <v>44197</v>
      </c>
      <c r="U2171" s="1" t="s">
        <v>57</v>
      </c>
      <c r="V2171">
        <v>0</v>
      </c>
      <c r="W2171" s="1" t="s">
        <v>40</v>
      </c>
      <c r="X2171">
        <v>891</v>
      </c>
      <c r="Y2171" s="1" t="s">
        <v>43</v>
      </c>
      <c r="Z2171" s="1" t="s">
        <v>52</v>
      </c>
      <c r="AA2171">
        <v>0.08</v>
      </c>
      <c r="AB2171" s="1" t="s">
        <v>43</v>
      </c>
      <c r="AC2171">
        <v>1</v>
      </c>
      <c r="AD2171" s="2">
        <v>44197</v>
      </c>
      <c r="AE2171" s="1" t="s">
        <v>53</v>
      </c>
      <c r="AF2171" s="1" t="s">
        <v>72</v>
      </c>
      <c r="AG2171" s="1" t="s">
        <v>63</v>
      </c>
      <c r="AH2171" s="1" t="s">
        <v>47</v>
      </c>
      <c r="AI2171">
        <v>29592</v>
      </c>
      <c r="AJ2171">
        <v>-246.59999999999854</v>
      </c>
    </row>
    <row r="2172" spans="1:36" x14ac:dyDescent="0.25">
      <c r="A2172">
        <v>12171</v>
      </c>
      <c r="B2172">
        <v>52</v>
      </c>
      <c r="C2172" s="1" t="s">
        <v>36</v>
      </c>
      <c r="D2172" s="1" t="s">
        <v>37</v>
      </c>
      <c r="E2172" s="2">
        <v>44547</v>
      </c>
      <c r="F2172" s="2">
        <v>44824</v>
      </c>
      <c r="G2172" s="1" t="s">
        <v>62</v>
      </c>
      <c r="H2172">
        <v>530</v>
      </c>
      <c r="I2172">
        <v>6</v>
      </c>
      <c r="J2172">
        <v>0</v>
      </c>
      <c r="K2172">
        <v>22.02</v>
      </c>
      <c r="L2172">
        <v>5</v>
      </c>
      <c r="M2172" s="1" t="s">
        <v>65</v>
      </c>
      <c r="N2172" s="1" t="s">
        <v>56</v>
      </c>
      <c r="O2172">
        <v>3153.5</v>
      </c>
      <c r="P2172" t="b">
        <v>1</v>
      </c>
      <c r="Q2172">
        <v>0.5</v>
      </c>
      <c r="R2172">
        <v>525.58333333333337</v>
      </c>
      <c r="S2172">
        <v>22.02</v>
      </c>
      <c r="T2172" s="2">
        <v>44531</v>
      </c>
      <c r="U2172" s="1" t="s">
        <v>41</v>
      </c>
      <c r="V2172">
        <v>0</v>
      </c>
      <c r="W2172" s="1" t="s">
        <v>56</v>
      </c>
      <c r="X2172">
        <v>277</v>
      </c>
      <c r="Y2172" s="1" t="s">
        <v>52</v>
      </c>
      <c r="Z2172" s="1" t="s">
        <v>42</v>
      </c>
      <c r="AA2172">
        <v>0</v>
      </c>
      <c r="AB2172" s="1" t="s">
        <v>42</v>
      </c>
      <c r="AC2172">
        <v>2</v>
      </c>
      <c r="AD2172" s="2">
        <v>44531</v>
      </c>
      <c r="AE2172" s="1" t="s">
        <v>58</v>
      </c>
      <c r="AF2172" s="1" t="s">
        <v>54</v>
      </c>
      <c r="AG2172" s="1" t="s">
        <v>70</v>
      </c>
      <c r="AH2172" s="1" t="s">
        <v>64</v>
      </c>
      <c r="AI2172">
        <v>3180</v>
      </c>
      <c r="AJ2172">
        <v>-26.5</v>
      </c>
    </row>
    <row r="2173" spans="1:36" x14ac:dyDescent="0.25">
      <c r="A2173">
        <v>12172</v>
      </c>
      <c r="B2173">
        <v>25</v>
      </c>
      <c r="C2173" s="1" t="s">
        <v>60</v>
      </c>
      <c r="D2173" s="1" t="s">
        <v>69</v>
      </c>
      <c r="E2173" s="2">
        <v>44624</v>
      </c>
      <c r="F2173" s="2">
        <v>44729</v>
      </c>
      <c r="G2173" s="1" t="s">
        <v>38</v>
      </c>
      <c r="H2173">
        <v>1460</v>
      </c>
      <c r="I2173">
        <v>17</v>
      </c>
      <c r="J2173">
        <v>2</v>
      </c>
      <c r="K2173">
        <v>65.430000000000007</v>
      </c>
      <c r="L2173">
        <v>20</v>
      </c>
      <c r="M2173" s="1" t="s">
        <v>67</v>
      </c>
      <c r="N2173" s="1" t="s">
        <v>56</v>
      </c>
      <c r="O2173">
        <v>24528</v>
      </c>
      <c r="P2173" t="b">
        <v>1</v>
      </c>
      <c r="Q2173">
        <v>1.4166666666666667</v>
      </c>
      <c r="R2173">
        <v>1442.8235294117646</v>
      </c>
      <c r="S2173">
        <v>21.810000000000002</v>
      </c>
      <c r="T2173" s="2">
        <v>44621</v>
      </c>
      <c r="U2173" s="1" t="s">
        <v>66</v>
      </c>
      <c r="V2173">
        <v>0</v>
      </c>
      <c r="W2173" s="1" t="s">
        <v>40</v>
      </c>
      <c r="X2173">
        <v>105</v>
      </c>
      <c r="Y2173" s="1" t="s">
        <v>43</v>
      </c>
      <c r="Z2173" s="1" t="s">
        <v>52</v>
      </c>
      <c r="AA2173">
        <v>0.1111111111111111</v>
      </c>
      <c r="AB2173" s="1" t="s">
        <v>43</v>
      </c>
      <c r="AC2173">
        <v>1</v>
      </c>
      <c r="AD2173" s="2">
        <v>44621</v>
      </c>
      <c r="AE2173" s="1" t="s">
        <v>53</v>
      </c>
      <c r="AF2173" s="1" t="s">
        <v>72</v>
      </c>
      <c r="AG2173" s="1" t="s">
        <v>63</v>
      </c>
      <c r="AH2173" s="1" t="s">
        <v>47</v>
      </c>
      <c r="AI2173">
        <v>24820</v>
      </c>
      <c r="AJ2173">
        <v>-292</v>
      </c>
    </row>
    <row r="2174" spans="1:36" x14ac:dyDescent="0.25">
      <c r="A2174">
        <v>12173</v>
      </c>
      <c r="B2174">
        <v>63</v>
      </c>
      <c r="C2174" s="1" t="s">
        <v>36</v>
      </c>
      <c r="D2174" s="1" t="s">
        <v>69</v>
      </c>
      <c r="E2174" s="2">
        <v>44846</v>
      </c>
      <c r="F2174" s="2">
        <v>44502</v>
      </c>
      <c r="G2174" s="1" t="s">
        <v>62</v>
      </c>
      <c r="H2174">
        <v>1162</v>
      </c>
      <c r="I2174">
        <v>28</v>
      </c>
      <c r="J2174">
        <v>3</v>
      </c>
      <c r="K2174">
        <v>103.62</v>
      </c>
      <c r="L2174">
        <v>10</v>
      </c>
      <c r="M2174" s="1" t="s">
        <v>67</v>
      </c>
      <c r="N2174" s="1" t="s">
        <v>56</v>
      </c>
      <c r="O2174">
        <v>32419.8</v>
      </c>
      <c r="P2174" t="b">
        <v>0</v>
      </c>
      <c r="Q2174">
        <v>2.3333333333333335</v>
      </c>
      <c r="R2174">
        <v>1157.8499999999999</v>
      </c>
      <c r="S2174">
        <v>25.905000000000001</v>
      </c>
      <c r="T2174" s="2">
        <v>44835</v>
      </c>
      <c r="U2174" s="1" t="s">
        <v>41</v>
      </c>
      <c r="V2174">
        <v>0</v>
      </c>
      <c r="W2174" s="1" t="s">
        <v>40</v>
      </c>
      <c r="Y2174" s="1" t="s">
        <v>43</v>
      </c>
      <c r="Z2174" s="1" t="s">
        <v>42</v>
      </c>
      <c r="AA2174">
        <v>0.10344827586206896</v>
      </c>
      <c r="AB2174" s="1" t="s">
        <v>43</v>
      </c>
      <c r="AC2174">
        <v>2</v>
      </c>
      <c r="AD2174" s="2">
        <v>44835</v>
      </c>
      <c r="AE2174" s="1" t="s">
        <v>44</v>
      </c>
      <c r="AF2174" s="1" t="s">
        <v>72</v>
      </c>
      <c r="AG2174" s="1" t="s">
        <v>63</v>
      </c>
      <c r="AH2174" s="1" t="s">
        <v>47</v>
      </c>
      <c r="AI2174">
        <v>32536</v>
      </c>
      <c r="AJ2174">
        <v>-116.20000000000073</v>
      </c>
    </row>
    <row r="2175" spans="1:36" x14ac:dyDescent="0.25">
      <c r="A2175">
        <v>12174</v>
      </c>
      <c r="B2175">
        <v>31</v>
      </c>
      <c r="C2175" s="1" t="s">
        <v>60</v>
      </c>
      <c r="D2175" s="1" t="s">
        <v>48</v>
      </c>
      <c r="E2175" s="2">
        <v>45027</v>
      </c>
      <c r="F2175" s="2">
        <v>44604</v>
      </c>
      <c r="G2175" s="1" t="s">
        <v>62</v>
      </c>
      <c r="H2175">
        <v>654</v>
      </c>
      <c r="I2175">
        <v>31</v>
      </c>
      <c r="J2175">
        <v>0</v>
      </c>
      <c r="K2175">
        <v>41.63</v>
      </c>
      <c r="L2175">
        <v>0</v>
      </c>
      <c r="M2175" s="1" t="s">
        <v>50</v>
      </c>
      <c r="N2175" s="1" t="s">
        <v>56</v>
      </c>
      <c r="O2175">
        <v>20274</v>
      </c>
      <c r="P2175" t="b">
        <v>0</v>
      </c>
      <c r="Q2175">
        <v>2.5833333333333335</v>
      </c>
      <c r="R2175">
        <v>654</v>
      </c>
      <c r="S2175">
        <v>41.63</v>
      </c>
      <c r="T2175" s="2">
        <v>45017</v>
      </c>
      <c r="U2175" s="1" t="s">
        <v>57</v>
      </c>
      <c r="V2175">
        <v>0</v>
      </c>
      <c r="W2175" s="1" t="s">
        <v>40</v>
      </c>
      <c r="Y2175" s="1" t="s">
        <v>52</v>
      </c>
      <c r="Z2175" s="1" t="s">
        <v>42</v>
      </c>
      <c r="AA2175">
        <v>0</v>
      </c>
      <c r="AB2175" s="1" t="s">
        <v>43</v>
      </c>
      <c r="AC2175">
        <v>2</v>
      </c>
      <c r="AD2175" s="2">
        <v>45017</v>
      </c>
      <c r="AE2175" s="1" t="s">
        <v>44</v>
      </c>
      <c r="AF2175" s="1" t="s">
        <v>54</v>
      </c>
      <c r="AG2175" s="1" t="s">
        <v>55</v>
      </c>
      <c r="AH2175" s="1" t="s">
        <v>64</v>
      </c>
      <c r="AI2175">
        <v>20274</v>
      </c>
      <c r="AJ2175">
        <v>0</v>
      </c>
    </row>
    <row r="2176" spans="1:36" x14ac:dyDescent="0.25">
      <c r="A2176">
        <v>12175</v>
      </c>
      <c r="B2176">
        <v>27</v>
      </c>
      <c r="C2176" s="1" t="s">
        <v>60</v>
      </c>
      <c r="D2176" s="1" t="s">
        <v>48</v>
      </c>
      <c r="E2176" s="2">
        <v>44425</v>
      </c>
      <c r="F2176" s="2">
        <v>45103</v>
      </c>
      <c r="G2176" s="1" t="s">
        <v>38</v>
      </c>
      <c r="H2176">
        <v>445</v>
      </c>
      <c r="I2176">
        <v>9</v>
      </c>
      <c r="J2176">
        <v>4</v>
      </c>
      <c r="K2176">
        <v>53.89</v>
      </c>
      <c r="L2176">
        <v>5</v>
      </c>
      <c r="M2176" s="1" t="s">
        <v>50</v>
      </c>
      <c r="N2176" s="1" t="s">
        <v>40</v>
      </c>
      <c r="O2176">
        <v>3982.75</v>
      </c>
      <c r="P2176" t="b">
        <v>1</v>
      </c>
      <c r="Q2176">
        <v>0.75</v>
      </c>
      <c r="R2176">
        <v>442.52777777777777</v>
      </c>
      <c r="S2176">
        <v>10.778</v>
      </c>
      <c r="T2176" s="2">
        <v>44409</v>
      </c>
      <c r="U2176" s="1" t="s">
        <v>57</v>
      </c>
      <c r="V2176">
        <v>1</v>
      </c>
      <c r="W2176" s="1" t="s">
        <v>56</v>
      </c>
      <c r="X2176">
        <v>678</v>
      </c>
      <c r="Y2176" s="1" t="s">
        <v>52</v>
      </c>
      <c r="Z2176" s="1" t="s">
        <v>42</v>
      </c>
      <c r="AA2176">
        <v>0.4</v>
      </c>
      <c r="AB2176" s="1" t="s">
        <v>42</v>
      </c>
      <c r="AC2176">
        <v>1</v>
      </c>
      <c r="AD2176" s="2">
        <v>44409</v>
      </c>
      <c r="AE2176" s="1" t="s">
        <v>74</v>
      </c>
      <c r="AF2176" s="1" t="s">
        <v>45</v>
      </c>
      <c r="AG2176" s="1" t="s">
        <v>63</v>
      </c>
      <c r="AH2176" s="1" t="s">
        <v>68</v>
      </c>
      <c r="AI2176">
        <v>4005</v>
      </c>
      <c r="AJ2176">
        <v>-22.25</v>
      </c>
    </row>
    <row r="2177" spans="1:36" x14ac:dyDescent="0.25">
      <c r="A2177">
        <v>12176</v>
      </c>
      <c r="B2177">
        <v>41</v>
      </c>
      <c r="C2177" s="1" t="s">
        <v>36</v>
      </c>
      <c r="D2177" s="1" t="s">
        <v>37</v>
      </c>
      <c r="E2177" s="2">
        <v>44962</v>
      </c>
      <c r="F2177" s="2">
        <v>45021</v>
      </c>
      <c r="G2177" s="1" t="s">
        <v>62</v>
      </c>
      <c r="H2177">
        <v>1356</v>
      </c>
      <c r="I2177">
        <v>10</v>
      </c>
      <c r="J2177">
        <v>0</v>
      </c>
      <c r="K2177">
        <v>97.5</v>
      </c>
      <c r="L2177">
        <v>0</v>
      </c>
      <c r="M2177" s="1" t="s">
        <v>67</v>
      </c>
      <c r="N2177" s="1" t="s">
        <v>40</v>
      </c>
      <c r="O2177">
        <v>13560</v>
      </c>
      <c r="P2177" t="b">
        <v>1</v>
      </c>
      <c r="Q2177">
        <v>0.83333333333333337</v>
      </c>
      <c r="R2177">
        <v>1356</v>
      </c>
      <c r="S2177">
        <v>97.5</v>
      </c>
      <c r="T2177" s="2">
        <v>44958</v>
      </c>
      <c r="U2177" s="1" t="s">
        <v>51</v>
      </c>
      <c r="V2177">
        <v>1</v>
      </c>
      <c r="W2177" s="1" t="s">
        <v>40</v>
      </c>
      <c r="X2177">
        <v>59</v>
      </c>
      <c r="Y2177" s="1" t="s">
        <v>43</v>
      </c>
      <c r="Z2177" s="1" t="s">
        <v>42</v>
      </c>
      <c r="AA2177">
        <v>0</v>
      </c>
      <c r="AB2177" s="1" t="s">
        <v>52</v>
      </c>
      <c r="AC2177">
        <v>2</v>
      </c>
      <c r="AD2177" s="2">
        <v>44958</v>
      </c>
      <c r="AE2177" s="1" t="s">
        <v>74</v>
      </c>
      <c r="AF2177" s="1" t="s">
        <v>54</v>
      </c>
      <c r="AG2177" s="1" t="s">
        <v>63</v>
      </c>
      <c r="AH2177" s="1" t="s">
        <v>47</v>
      </c>
      <c r="AI2177">
        <v>13560</v>
      </c>
      <c r="AJ2177">
        <v>0</v>
      </c>
    </row>
    <row r="2178" spans="1:36" x14ac:dyDescent="0.25">
      <c r="A2178">
        <v>12177</v>
      </c>
      <c r="B2178">
        <v>63</v>
      </c>
      <c r="C2178" s="1" t="s">
        <v>36</v>
      </c>
      <c r="D2178" s="1" t="s">
        <v>71</v>
      </c>
      <c r="E2178" s="2">
        <v>44406</v>
      </c>
      <c r="F2178" s="2">
        <v>44415</v>
      </c>
      <c r="G2178" s="1" t="s">
        <v>62</v>
      </c>
      <c r="H2178">
        <v>559</v>
      </c>
      <c r="I2178">
        <v>21</v>
      </c>
      <c r="J2178">
        <v>6</v>
      </c>
      <c r="K2178">
        <v>15.27</v>
      </c>
      <c r="L2178">
        <v>10</v>
      </c>
      <c r="M2178" s="1" t="s">
        <v>50</v>
      </c>
      <c r="N2178" s="1" t="s">
        <v>56</v>
      </c>
      <c r="O2178">
        <v>11683.1</v>
      </c>
      <c r="P2178" t="b">
        <v>1</v>
      </c>
      <c r="Q2178">
        <v>1.75</v>
      </c>
      <c r="R2178">
        <v>556.33809523809521</v>
      </c>
      <c r="S2178">
        <v>2.1814285714285715</v>
      </c>
      <c r="T2178" s="2">
        <v>44378</v>
      </c>
      <c r="U2178" s="1" t="s">
        <v>41</v>
      </c>
      <c r="V2178">
        <v>0</v>
      </c>
      <c r="W2178" s="1" t="s">
        <v>56</v>
      </c>
      <c r="X2178">
        <v>9</v>
      </c>
      <c r="Y2178" s="1" t="s">
        <v>42</v>
      </c>
      <c r="Z2178" s="1" t="s">
        <v>42</v>
      </c>
      <c r="AA2178">
        <v>0.27272727272727271</v>
      </c>
      <c r="AB2178" s="1" t="s">
        <v>52</v>
      </c>
      <c r="AC2178">
        <v>2</v>
      </c>
      <c r="AD2178" s="2">
        <v>44378</v>
      </c>
      <c r="AE2178" s="1" t="s">
        <v>53</v>
      </c>
      <c r="AF2178" s="1" t="s">
        <v>78</v>
      </c>
      <c r="AG2178" s="1" t="s">
        <v>46</v>
      </c>
      <c r="AH2178" s="1" t="s">
        <v>64</v>
      </c>
      <c r="AI2178">
        <v>11739</v>
      </c>
      <c r="AJ2178">
        <v>-55.899999999999636</v>
      </c>
    </row>
    <row r="2179" spans="1:36" x14ac:dyDescent="0.25">
      <c r="A2179">
        <v>12178</v>
      </c>
      <c r="B2179">
        <v>26</v>
      </c>
      <c r="C2179" s="1" t="s">
        <v>60</v>
      </c>
      <c r="D2179" s="1" t="s">
        <v>61</v>
      </c>
      <c r="E2179" s="2">
        <v>44627</v>
      </c>
      <c r="F2179" s="2">
        <v>44691</v>
      </c>
      <c r="G2179" s="1" t="s">
        <v>38</v>
      </c>
      <c r="H2179">
        <v>386</v>
      </c>
      <c r="I2179">
        <v>34</v>
      </c>
      <c r="J2179">
        <v>4</v>
      </c>
      <c r="K2179">
        <v>103.84</v>
      </c>
      <c r="L2179">
        <v>0</v>
      </c>
      <c r="M2179" s="1" t="s">
        <v>50</v>
      </c>
      <c r="N2179" s="1" t="s">
        <v>56</v>
      </c>
      <c r="O2179">
        <v>13124</v>
      </c>
      <c r="P2179" t="b">
        <v>1</v>
      </c>
      <c r="Q2179">
        <v>2.8333333333333335</v>
      </c>
      <c r="R2179">
        <v>386</v>
      </c>
      <c r="S2179">
        <v>20.768000000000001</v>
      </c>
      <c r="T2179" s="2">
        <v>44621</v>
      </c>
      <c r="U2179" s="1" t="s">
        <v>57</v>
      </c>
      <c r="V2179">
        <v>0</v>
      </c>
      <c r="W2179" s="1" t="s">
        <v>56</v>
      </c>
      <c r="X2179">
        <v>64</v>
      </c>
      <c r="Y2179" s="1" t="s">
        <v>43</v>
      </c>
      <c r="Z2179" s="1" t="s">
        <v>42</v>
      </c>
      <c r="AA2179">
        <v>0.11428571428571428</v>
      </c>
      <c r="AB2179" s="1" t="s">
        <v>52</v>
      </c>
      <c r="AC2179">
        <v>1</v>
      </c>
      <c r="AD2179" s="2">
        <v>44621</v>
      </c>
      <c r="AE2179" s="1" t="s">
        <v>44</v>
      </c>
      <c r="AF2179" s="1" t="s">
        <v>45</v>
      </c>
      <c r="AG2179" s="1" t="s">
        <v>63</v>
      </c>
      <c r="AH2179" s="1" t="s">
        <v>68</v>
      </c>
      <c r="AI2179">
        <v>13124</v>
      </c>
      <c r="AJ2179">
        <v>0</v>
      </c>
    </row>
    <row r="2180" spans="1:36" x14ac:dyDescent="0.25">
      <c r="A2180">
        <v>12179</v>
      </c>
      <c r="B2180">
        <v>20</v>
      </c>
      <c r="C2180" s="1" t="s">
        <v>60</v>
      </c>
      <c r="D2180" s="1" t="s">
        <v>48</v>
      </c>
      <c r="E2180" s="2">
        <v>44490</v>
      </c>
      <c r="F2180" s="2">
        <v>44624</v>
      </c>
      <c r="G2180" s="1" t="s">
        <v>49</v>
      </c>
      <c r="H2180">
        <v>1142</v>
      </c>
      <c r="I2180">
        <v>31</v>
      </c>
      <c r="J2180">
        <v>7</v>
      </c>
      <c r="K2180">
        <v>40.78</v>
      </c>
      <c r="L2180">
        <v>10</v>
      </c>
      <c r="M2180" s="1" t="s">
        <v>67</v>
      </c>
      <c r="N2180" s="1" t="s">
        <v>56</v>
      </c>
      <c r="O2180">
        <v>35287.800000000003</v>
      </c>
      <c r="P2180" t="b">
        <v>1</v>
      </c>
      <c r="Q2180">
        <v>2.5833333333333335</v>
      </c>
      <c r="R2180">
        <v>1138.3161290322582</v>
      </c>
      <c r="S2180">
        <v>5.0975000000000001</v>
      </c>
      <c r="T2180" s="2">
        <v>44470</v>
      </c>
      <c r="U2180" s="1" t="s">
        <v>66</v>
      </c>
      <c r="V2180">
        <v>0</v>
      </c>
      <c r="W2180" s="1" t="s">
        <v>40</v>
      </c>
      <c r="X2180">
        <v>134</v>
      </c>
      <c r="Y2180" s="1" t="s">
        <v>52</v>
      </c>
      <c r="Z2180" s="1" t="s">
        <v>42</v>
      </c>
      <c r="AA2180">
        <v>0.21875</v>
      </c>
      <c r="AB2180" s="1" t="s">
        <v>43</v>
      </c>
      <c r="AC2180">
        <v>3</v>
      </c>
      <c r="AD2180" s="2">
        <v>44470</v>
      </c>
      <c r="AE2180" s="1" t="s">
        <v>44</v>
      </c>
      <c r="AF2180" s="1" t="s">
        <v>78</v>
      </c>
      <c r="AG2180" s="1" t="s">
        <v>55</v>
      </c>
      <c r="AH2180" s="1" t="s">
        <v>47</v>
      </c>
      <c r="AI2180">
        <v>35402</v>
      </c>
      <c r="AJ2180">
        <v>-114.19999999999709</v>
      </c>
    </row>
    <row r="2181" spans="1:36" x14ac:dyDescent="0.25">
      <c r="A2181">
        <v>12180</v>
      </c>
      <c r="B2181">
        <v>38</v>
      </c>
      <c r="C2181" s="1" t="s">
        <v>75</v>
      </c>
      <c r="D2181" s="1" t="s">
        <v>73</v>
      </c>
      <c r="E2181" s="2">
        <v>44939</v>
      </c>
      <c r="F2181" s="2">
        <v>45020</v>
      </c>
      <c r="G2181" s="1" t="s">
        <v>62</v>
      </c>
      <c r="H2181">
        <v>564</v>
      </c>
      <c r="I2181">
        <v>29</v>
      </c>
      <c r="J2181">
        <v>0</v>
      </c>
      <c r="K2181">
        <v>5.17</v>
      </c>
      <c r="L2181">
        <v>20</v>
      </c>
      <c r="M2181" s="1" t="s">
        <v>67</v>
      </c>
      <c r="N2181" s="1" t="s">
        <v>56</v>
      </c>
      <c r="O2181">
        <v>16243.2</v>
      </c>
      <c r="P2181" t="b">
        <v>1</v>
      </c>
      <c r="Q2181">
        <v>2.4166666666666665</v>
      </c>
      <c r="R2181">
        <v>560.11034482758623</v>
      </c>
      <c r="S2181">
        <v>5.17</v>
      </c>
      <c r="T2181" s="2">
        <v>44927</v>
      </c>
      <c r="U2181" s="1" t="s">
        <v>51</v>
      </c>
      <c r="V2181">
        <v>0</v>
      </c>
      <c r="W2181" s="1" t="s">
        <v>40</v>
      </c>
      <c r="X2181">
        <v>81</v>
      </c>
      <c r="Y2181" s="1" t="s">
        <v>42</v>
      </c>
      <c r="Z2181" s="1" t="s">
        <v>52</v>
      </c>
      <c r="AA2181">
        <v>0</v>
      </c>
      <c r="AB2181" s="1" t="s">
        <v>52</v>
      </c>
      <c r="AC2181">
        <v>2</v>
      </c>
      <c r="AD2181" s="2">
        <v>44927</v>
      </c>
      <c r="AE2181" s="1" t="s">
        <v>44</v>
      </c>
      <c r="AF2181" s="1" t="s">
        <v>54</v>
      </c>
      <c r="AG2181" s="1" t="s">
        <v>77</v>
      </c>
      <c r="AH2181" s="1" t="s">
        <v>64</v>
      </c>
      <c r="AI2181">
        <v>16356</v>
      </c>
      <c r="AJ2181">
        <v>-112.79999999999927</v>
      </c>
    </row>
    <row r="2182" spans="1:36" x14ac:dyDescent="0.25">
      <c r="A2182">
        <v>12181</v>
      </c>
      <c r="B2182">
        <v>43</v>
      </c>
      <c r="C2182" s="1" t="s">
        <v>60</v>
      </c>
      <c r="D2182" s="1" t="s">
        <v>48</v>
      </c>
      <c r="E2182" s="2">
        <v>44949</v>
      </c>
      <c r="F2182" s="2">
        <v>44738</v>
      </c>
      <c r="G2182" s="1" t="s">
        <v>49</v>
      </c>
      <c r="H2182">
        <v>691</v>
      </c>
      <c r="I2182">
        <v>11</v>
      </c>
      <c r="J2182">
        <v>2</v>
      </c>
      <c r="K2182">
        <v>31.93</v>
      </c>
      <c r="L2182">
        <v>5</v>
      </c>
      <c r="M2182" s="1" t="s">
        <v>39</v>
      </c>
      <c r="N2182" s="1" t="s">
        <v>40</v>
      </c>
      <c r="O2182">
        <v>7566.45</v>
      </c>
      <c r="P2182" t="b">
        <v>0</v>
      </c>
      <c r="Q2182">
        <v>0.91666666666666663</v>
      </c>
      <c r="R2182">
        <v>687.85909090909092</v>
      </c>
      <c r="S2182">
        <v>10.643333333333333</v>
      </c>
      <c r="T2182" s="2">
        <v>44927</v>
      </c>
      <c r="U2182" s="1" t="s">
        <v>51</v>
      </c>
      <c r="V2182">
        <v>1</v>
      </c>
      <c r="W2182" s="1" t="s">
        <v>56</v>
      </c>
      <c r="Y2182" s="1" t="s">
        <v>52</v>
      </c>
      <c r="Z2182" s="1" t="s">
        <v>42</v>
      </c>
      <c r="AA2182">
        <v>0.16666666666666666</v>
      </c>
      <c r="AB2182" s="1" t="s">
        <v>42</v>
      </c>
      <c r="AC2182">
        <v>3</v>
      </c>
      <c r="AD2182" s="2">
        <v>44927</v>
      </c>
      <c r="AE2182" s="1" t="s">
        <v>74</v>
      </c>
      <c r="AF2182" s="1" t="s">
        <v>72</v>
      </c>
      <c r="AG2182" s="1" t="s">
        <v>55</v>
      </c>
      <c r="AH2182" s="1" t="s">
        <v>64</v>
      </c>
      <c r="AI2182">
        <v>7601</v>
      </c>
      <c r="AJ2182">
        <v>-34.550000000000182</v>
      </c>
    </row>
    <row r="2183" spans="1:36" x14ac:dyDescent="0.25">
      <c r="A2183">
        <v>12182</v>
      </c>
      <c r="B2183">
        <v>25</v>
      </c>
      <c r="C2183" s="1" t="s">
        <v>60</v>
      </c>
      <c r="D2183" s="1" t="s">
        <v>71</v>
      </c>
      <c r="E2183" s="2">
        <v>44778</v>
      </c>
      <c r="F2183" s="2">
        <v>44796</v>
      </c>
      <c r="G2183" s="1" t="s">
        <v>38</v>
      </c>
      <c r="H2183">
        <v>531</v>
      </c>
      <c r="I2183">
        <v>33</v>
      </c>
      <c r="J2183">
        <v>0</v>
      </c>
      <c r="K2183">
        <v>15.29</v>
      </c>
      <c r="L2183">
        <v>15</v>
      </c>
      <c r="M2183" s="1" t="s">
        <v>50</v>
      </c>
      <c r="N2183" s="1" t="s">
        <v>40</v>
      </c>
      <c r="O2183">
        <v>17443.349999999999</v>
      </c>
      <c r="P2183" t="b">
        <v>1</v>
      </c>
      <c r="Q2183">
        <v>2.75</v>
      </c>
      <c r="R2183">
        <v>528.58636363636356</v>
      </c>
      <c r="S2183">
        <v>15.29</v>
      </c>
      <c r="T2183" s="2">
        <v>44774</v>
      </c>
      <c r="U2183" s="1" t="s">
        <v>66</v>
      </c>
      <c r="V2183">
        <v>1</v>
      </c>
      <c r="W2183" s="1" t="s">
        <v>40</v>
      </c>
      <c r="X2183">
        <v>18</v>
      </c>
      <c r="Y2183" s="1" t="s">
        <v>42</v>
      </c>
      <c r="Z2183" s="1" t="s">
        <v>42</v>
      </c>
      <c r="AA2183">
        <v>0</v>
      </c>
      <c r="AB2183" s="1" t="s">
        <v>52</v>
      </c>
      <c r="AC2183">
        <v>1</v>
      </c>
      <c r="AD2183" s="2">
        <v>44774</v>
      </c>
      <c r="AE2183" s="1" t="s">
        <v>44</v>
      </c>
      <c r="AF2183" s="1" t="s">
        <v>54</v>
      </c>
      <c r="AG2183" s="1" t="s">
        <v>46</v>
      </c>
      <c r="AH2183" s="1" t="s">
        <v>64</v>
      </c>
      <c r="AI2183">
        <v>17523</v>
      </c>
      <c r="AJ2183">
        <v>-79.650000000001455</v>
      </c>
    </row>
    <row r="2184" spans="1:36" x14ac:dyDescent="0.25">
      <c r="A2184">
        <v>12183</v>
      </c>
      <c r="B2184">
        <v>19</v>
      </c>
      <c r="C2184" s="1" t="s">
        <v>36</v>
      </c>
      <c r="D2184" s="1" t="s">
        <v>76</v>
      </c>
      <c r="E2184" s="2">
        <v>44300</v>
      </c>
      <c r="F2184" s="2">
        <v>44606</v>
      </c>
      <c r="G2184" s="1" t="s">
        <v>38</v>
      </c>
      <c r="H2184">
        <v>1200</v>
      </c>
      <c r="I2184">
        <v>1</v>
      </c>
      <c r="J2184">
        <v>1</v>
      </c>
      <c r="K2184">
        <v>15.62</v>
      </c>
      <c r="L2184">
        <v>10</v>
      </c>
      <c r="M2184" s="1" t="s">
        <v>50</v>
      </c>
      <c r="N2184" s="1" t="s">
        <v>56</v>
      </c>
      <c r="O2184">
        <v>1080</v>
      </c>
      <c r="P2184" t="b">
        <v>1</v>
      </c>
      <c r="Q2184">
        <v>8.3333333333333329E-2</v>
      </c>
      <c r="R2184">
        <v>1080</v>
      </c>
      <c r="S2184">
        <v>7.81</v>
      </c>
      <c r="T2184" s="2">
        <v>44287</v>
      </c>
      <c r="U2184" s="1" t="s">
        <v>66</v>
      </c>
      <c r="V2184">
        <v>0</v>
      </c>
      <c r="W2184" s="1" t="s">
        <v>56</v>
      </c>
      <c r="X2184">
        <v>306</v>
      </c>
      <c r="Y2184" s="1" t="s">
        <v>42</v>
      </c>
      <c r="Z2184" s="1" t="s">
        <v>42</v>
      </c>
      <c r="AA2184">
        <v>0.5</v>
      </c>
      <c r="AB2184" s="1" t="s">
        <v>42</v>
      </c>
      <c r="AC2184">
        <v>1</v>
      </c>
      <c r="AD2184" s="2">
        <v>44287</v>
      </c>
      <c r="AE2184" s="1" t="s">
        <v>58</v>
      </c>
      <c r="AF2184" s="1" t="s">
        <v>54</v>
      </c>
      <c r="AG2184" s="1" t="s">
        <v>46</v>
      </c>
      <c r="AH2184" s="1" t="s">
        <v>47</v>
      </c>
      <c r="AI2184">
        <v>1200</v>
      </c>
      <c r="AJ2184">
        <v>-120</v>
      </c>
    </row>
    <row r="2185" spans="1:36" x14ac:dyDescent="0.25">
      <c r="A2185">
        <v>12184</v>
      </c>
      <c r="B2185">
        <v>23</v>
      </c>
      <c r="C2185" s="1" t="s">
        <v>60</v>
      </c>
      <c r="D2185" s="1" t="s">
        <v>69</v>
      </c>
      <c r="E2185" s="2">
        <v>44400</v>
      </c>
      <c r="F2185" s="2">
        <v>44654</v>
      </c>
      <c r="G2185" s="1" t="s">
        <v>62</v>
      </c>
      <c r="H2185">
        <v>887</v>
      </c>
      <c r="I2185">
        <v>21</v>
      </c>
      <c r="J2185">
        <v>2</v>
      </c>
      <c r="K2185">
        <v>84.68</v>
      </c>
      <c r="L2185">
        <v>20</v>
      </c>
      <c r="M2185" s="1" t="s">
        <v>39</v>
      </c>
      <c r="N2185" s="1" t="s">
        <v>56</v>
      </c>
      <c r="O2185">
        <v>18449.599999999999</v>
      </c>
      <c r="P2185" t="b">
        <v>1</v>
      </c>
      <c r="Q2185">
        <v>1.75</v>
      </c>
      <c r="R2185">
        <v>878.55238095238087</v>
      </c>
      <c r="S2185">
        <v>28.22666666666667</v>
      </c>
      <c r="T2185" s="2">
        <v>44378</v>
      </c>
      <c r="U2185" s="1" t="s">
        <v>66</v>
      </c>
      <c r="V2185">
        <v>0</v>
      </c>
      <c r="W2185" s="1" t="s">
        <v>40</v>
      </c>
      <c r="X2185">
        <v>254</v>
      </c>
      <c r="Y2185" s="1" t="s">
        <v>43</v>
      </c>
      <c r="Z2185" s="1" t="s">
        <v>52</v>
      </c>
      <c r="AA2185">
        <v>9.0909090909090912E-2</v>
      </c>
      <c r="AB2185" s="1" t="s">
        <v>52</v>
      </c>
      <c r="AC2185">
        <v>2</v>
      </c>
      <c r="AD2185" s="2">
        <v>44378</v>
      </c>
      <c r="AE2185" s="1" t="s">
        <v>53</v>
      </c>
      <c r="AF2185" s="1" t="s">
        <v>72</v>
      </c>
      <c r="AG2185" s="1" t="s">
        <v>63</v>
      </c>
      <c r="AH2185" s="1" t="s">
        <v>59</v>
      </c>
      <c r="AI2185">
        <v>18627</v>
      </c>
      <c r="AJ2185">
        <v>-177.40000000000146</v>
      </c>
    </row>
    <row r="2186" spans="1:36" x14ac:dyDescent="0.25">
      <c r="A2186">
        <v>12185</v>
      </c>
      <c r="B2186">
        <v>41</v>
      </c>
      <c r="C2186" s="1" t="s">
        <v>60</v>
      </c>
      <c r="D2186" s="1" t="s">
        <v>61</v>
      </c>
      <c r="E2186" s="2">
        <v>44249</v>
      </c>
      <c r="F2186" s="2">
        <v>45194</v>
      </c>
      <c r="G2186" s="1" t="s">
        <v>38</v>
      </c>
      <c r="H2186">
        <v>746</v>
      </c>
      <c r="I2186">
        <v>23</v>
      </c>
      <c r="J2186">
        <v>2</v>
      </c>
      <c r="K2186">
        <v>29.61</v>
      </c>
      <c r="L2186">
        <v>0</v>
      </c>
      <c r="M2186" s="1" t="s">
        <v>50</v>
      </c>
      <c r="N2186" s="1" t="s">
        <v>56</v>
      </c>
      <c r="O2186">
        <v>17158</v>
      </c>
      <c r="P2186" t="b">
        <v>1</v>
      </c>
      <c r="Q2186">
        <v>1.9166666666666667</v>
      </c>
      <c r="R2186">
        <v>746</v>
      </c>
      <c r="S2186">
        <v>9.8699999999999992</v>
      </c>
      <c r="T2186" s="2">
        <v>44228</v>
      </c>
      <c r="U2186" s="1" t="s">
        <v>51</v>
      </c>
      <c r="V2186">
        <v>0</v>
      </c>
      <c r="W2186" s="1" t="s">
        <v>40</v>
      </c>
      <c r="X2186">
        <v>945</v>
      </c>
      <c r="Y2186" s="1" t="s">
        <v>52</v>
      </c>
      <c r="Z2186" s="1" t="s">
        <v>42</v>
      </c>
      <c r="AA2186">
        <v>8.3333333333333329E-2</v>
      </c>
      <c r="AB2186" s="1" t="s">
        <v>52</v>
      </c>
      <c r="AC2186">
        <v>1</v>
      </c>
      <c r="AD2186" s="2">
        <v>44228</v>
      </c>
      <c r="AE2186" s="1" t="s">
        <v>53</v>
      </c>
      <c r="AF2186" s="1" t="s">
        <v>72</v>
      </c>
      <c r="AG2186" s="1" t="s">
        <v>70</v>
      </c>
      <c r="AH2186" s="1" t="s">
        <v>59</v>
      </c>
      <c r="AI2186">
        <v>17158</v>
      </c>
      <c r="AJ2186">
        <v>0</v>
      </c>
    </row>
    <row r="2187" spans="1:36" x14ac:dyDescent="0.25">
      <c r="A2187">
        <v>12186</v>
      </c>
      <c r="B2187">
        <v>46</v>
      </c>
      <c r="C2187" s="1" t="s">
        <v>60</v>
      </c>
      <c r="D2187" s="1" t="s">
        <v>71</v>
      </c>
      <c r="E2187" s="2">
        <v>44571</v>
      </c>
      <c r="F2187" s="2">
        <v>44442</v>
      </c>
      <c r="G2187" s="1" t="s">
        <v>49</v>
      </c>
      <c r="H2187">
        <v>1452</v>
      </c>
      <c r="I2187">
        <v>9</v>
      </c>
      <c r="J2187">
        <v>2</v>
      </c>
      <c r="K2187">
        <v>112.5</v>
      </c>
      <c r="L2187">
        <v>20</v>
      </c>
      <c r="M2187" s="1" t="s">
        <v>50</v>
      </c>
      <c r="N2187" s="1" t="s">
        <v>56</v>
      </c>
      <c r="O2187">
        <v>12777.6</v>
      </c>
      <c r="P2187" t="b">
        <v>0</v>
      </c>
      <c r="Q2187">
        <v>0.75</v>
      </c>
      <c r="R2187">
        <v>1419.7333333333333</v>
      </c>
      <c r="S2187">
        <v>37.5</v>
      </c>
      <c r="T2187" s="2">
        <v>44562</v>
      </c>
      <c r="U2187" s="1" t="s">
        <v>51</v>
      </c>
      <c r="V2187">
        <v>0</v>
      </c>
      <c r="W2187" s="1" t="s">
        <v>56</v>
      </c>
      <c r="Y2187" s="1" t="s">
        <v>43</v>
      </c>
      <c r="Z2187" s="1" t="s">
        <v>52</v>
      </c>
      <c r="AA2187">
        <v>0.2</v>
      </c>
      <c r="AB2187" s="1" t="s">
        <v>52</v>
      </c>
      <c r="AC2187">
        <v>3</v>
      </c>
      <c r="AD2187" s="2">
        <v>44562</v>
      </c>
      <c r="AE2187" s="1" t="s">
        <v>74</v>
      </c>
      <c r="AF2187" s="1" t="s">
        <v>72</v>
      </c>
      <c r="AG2187" s="1" t="s">
        <v>63</v>
      </c>
      <c r="AH2187" s="1" t="s">
        <v>47</v>
      </c>
      <c r="AI2187">
        <v>13068</v>
      </c>
      <c r="AJ2187">
        <v>-290.39999999999964</v>
      </c>
    </row>
    <row r="2188" spans="1:36" x14ac:dyDescent="0.25">
      <c r="A2188">
        <v>12187</v>
      </c>
      <c r="B2188">
        <v>43</v>
      </c>
      <c r="C2188" s="1" t="s">
        <v>60</v>
      </c>
      <c r="D2188" s="1" t="s">
        <v>48</v>
      </c>
      <c r="E2188" s="2">
        <v>45038</v>
      </c>
      <c r="F2188" s="2">
        <v>44811</v>
      </c>
      <c r="G2188" s="1" t="s">
        <v>38</v>
      </c>
      <c r="H2188">
        <v>1412</v>
      </c>
      <c r="I2188">
        <v>1</v>
      </c>
      <c r="J2188">
        <v>1</v>
      </c>
      <c r="K2188">
        <v>64.39</v>
      </c>
      <c r="L2188">
        <v>0</v>
      </c>
      <c r="M2188" s="1" t="s">
        <v>65</v>
      </c>
      <c r="N2188" s="1" t="s">
        <v>56</v>
      </c>
      <c r="O2188">
        <v>1412</v>
      </c>
      <c r="P2188" t="b">
        <v>0</v>
      </c>
      <c r="Q2188">
        <v>8.3333333333333329E-2</v>
      </c>
      <c r="R2188">
        <v>1412</v>
      </c>
      <c r="S2188">
        <v>32.195</v>
      </c>
      <c r="T2188" s="2">
        <v>45017</v>
      </c>
      <c r="U2188" s="1" t="s">
        <v>51</v>
      </c>
      <c r="V2188">
        <v>0</v>
      </c>
      <c r="W2188" s="1" t="s">
        <v>56</v>
      </c>
      <c r="Y2188" s="1" t="s">
        <v>43</v>
      </c>
      <c r="Z2188" s="1" t="s">
        <v>42</v>
      </c>
      <c r="AA2188">
        <v>0.5</v>
      </c>
      <c r="AB2188" s="1" t="s">
        <v>42</v>
      </c>
      <c r="AC2188">
        <v>1</v>
      </c>
      <c r="AD2188" s="2">
        <v>45017</v>
      </c>
      <c r="AE2188" s="1" t="s">
        <v>58</v>
      </c>
      <c r="AF2188" s="1" t="s">
        <v>54</v>
      </c>
      <c r="AG2188" s="1" t="s">
        <v>63</v>
      </c>
      <c r="AH2188" s="1" t="s">
        <v>47</v>
      </c>
      <c r="AI2188">
        <v>1412</v>
      </c>
      <c r="AJ2188">
        <v>0</v>
      </c>
    </row>
    <row r="2189" spans="1:36" x14ac:dyDescent="0.25">
      <c r="A2189">
        <v>12188</v>
      </c>
      <c r="B2189">
        <v>42</v>
      </c>
      <c r="C2189" s="1" t="s">
        <v>60</v>
      </c>
      <c r="D2189" s="1" t="s">
        <v>48</v>
      </c>
      <c r="E2189" s="2">
        <v>44250</v>
      </c>
      <c r="F2189" s="2">
        <v>44593</v>
      </c>
      <c r="G2189" s="1" t="s">
        <v>62</v>
      </c>
      <c r="H2189">
        <v>765</v>
      </c>
      <c r="I2189">
        <v>21</v>
      </c>
      <c r="J2189">
        <v>4</v>
      </c>
      <c r="K2189">
        <v>57.91</v>
      </c>
      <c r="L2189">
        <v>0</v>
      </c>
      <c r="M2189" s="1" t="s">
        <v>65</v>
      </c>
      <c r="N2189" s="1" t="s">
        <v>56</v>
      </c>
      <c r="O2189">
        <v>16065</v>
      </c>
      <c r="P2189" t="b">
        <v>1</v>
      </c>
      <c r="Q2189">
        <v>1.75</v>
      </c>
      <c r="R2189">
        <v>765</v>
      </c>
      <c r="S2189">
        <v>11.581999999999999</v>
      </c>
      <c r="T2189" s="2">
        <v>44228</v>
      </c>
      <c r="U2189" s="1" t="s">
        <v>51</v>
      </c>
      <c r="V2189">
        <v>0</v>
      </c>
      <c r="W2189" s="1" t="s">
        <v>40</v>
      </c>
      <c r="X2189">
        <v>343</v>
      </c>
      <c r="Y2189" s="1" t="s">
        <v>52</v>
      </c>
      <c r="Z2189" s="1" t="s">
        <v>42</v>
      </c>
      <c r="AA2189">
        <v>0.18181818181818182</v>
      </c>
      <c r="AB2189" s="1" t="s">
        <v>52</v>
      </c>
      <c r="AC2189">
        <v>2</v>
      </c>
      <c r="AD2189" s="2">
        <v>44228</v>
      </c>
      <c r="AE2189" s="1" t="s">
        <v>53</v>
      </c>
      <c r="AF2189" s="1" t="s">
        <v>45</v>
      </c>
      <c r="AG2189" s="1" t="s">
        <v>63</v>
      </c>
      <c r="AH2189" s="1" t="s">
        <v>59</v>
      </c>
      <c r="AI2189">
        <v>16065</v>
      </c>
      <c r="AJ2189">
        <v>0</v>
      </c>
    </row>
    <row r="2190" spans="1:36" x14ac:dyDescent="0.25">
      <c r="A2190">
        <v>12189</v>
      </c>
      <c r="B2190">
        <v>29</v>
      </c>
      <c r="C2190" s="1" t="s">
        <v>60</v>
      </c>
      <c r="D2190" s="1" t="s">
        <v>37</v>
      </c>
      <c r="E2190" s="2">
        <v>44472</v>
      </c>
      <c r="F2190" s="2">
        <v>45080</v>
      </c>
      <c r="G2190" s="1" t="s">
        <v>62</v>
      </c>
      <c r="H2190">
        <v>1233</v>
      </c>
      <c r="I2190">
        <v>22</v>
      </c>
      <c r="J2190">
        <v>2</v>
      </c>
      <c r="K2190">
        <v>54.94</v>
      </c>
      <c r="L2190">
        <v>10</v>
      </c>
      <c r="M2190" s="1" t="s">
        <v>65</v>
      </c>
      <c r="N2190" s="1" t="s">
        <v>40</v>
      </c>
      <c r="O2190">
        <v>27126</v>
      </c>
      <c r="P2190" t="b">
        <v>1</v>
      </c>
      <c r="Q2190">
        <v>1.8333333333333333</v>
      </c>
      <c r="R2190">
        <v>1233</v>
      </c>
      <c r="S2190">
        <v>18.313333333333333</v>
      </c>
      <c r="T2190" s="2">
        <v>44470</v>
      </c>
      <c r="U2190" s="1" t="s">
        <v>57</v>
      </c>
      <c r="V2190">
        <v>1</v>
      </c>
      <c r="W2190" s="1" t="s">
        <v>40</v>
      </c>
      <c r="X2190">
        <v>608</v>
      </c>
      <c r="Y2190" s="1" t="s">
        <v>52</v>
      </c>
      <c r="Z2190" s="1" t="s">
        <v>42</v>
      </c>
      <c r="AA2190">
        <v>8.6956521739130432E-2</v>
      </c>
      <c r="AB2190" s="1" t="s">
        <v>43</v>
      </c>
      <c r="AC2190">
        <v>2</v>
      </c>
      <c r="AD2190" s="2">
        <v>44470</v>
      </c>
      <c r="AE2190" s="1" t="s">
        <v>53</v>
      </c>
      <c r="AF2190" s="1" t="s">
        <v>72</v>
      </c>
      <c r="AG2190" s="1" t="s">
        <v>63</v>
      </c>
      <c r="AH2190" s="1" t="s">
        <v>47</v>
      </c>
      <c r="AI2190">
        <v>27126</v>
      </c>
      <c r="AJ2190">
        <v>0</v>
      </c>
    </row>
    <row r="2191" spans="1:36" x14ac:dyDescent="0.25">
      <c r="A2191">
        <v>12190</v>
      </c>
      <c r="B2191">
        <v>22</v>
      </c>
      <c r="C2191" s="1" t="s">
        <v>60</v>
      </c>
      <c r="D2191" s="1" t="s">
        <v>71</v>
      </c>
      <c r="E2191" s="2">
        <v>44531</v>
      </c>
      <c r="F2191" s="2">
        <v>44982</v>
      </c>
      <c r="G2191" s="1" t="s">
        <v>38</v>
      </c>
      <c r="H2191">
        <v>1493</v>
      </c>
      <c r="I2191">
        <v>4</v>
      </c>
      <c r="J2191">
        <v>3</v>
      </c>
      <c r="K2191">
        <v>84.65</v>
      </c>
      <c r="L2191">
        <v>0</v>
      </c>
      <c r="M2191" s="1" t="s">
        <v>39</v>
      </c>
      <c r="N2191" s="1" t="s">
        <v>40</v>
      </c>
      <c r="O2191">
        <v>5972</v>
      </c>
      <c r="P2191" t="b">
        <v>1</v>
      </c>
      <c r="Q2191">
        <v>0.33333333333333331</v>
      </c>
      <c r="R2191">
        <v>1493</v>
      </c>
      <c r="S2191">
        <v>21.162500000000001</v>
      </c>
      <c r="T2191" s="2">
        <v>44531</v>
      </c>
      <c r="U2191" s="1" t="s">
        <v>66</v>
      </c>
      <c r="V2191">
        <v>1</v>
      </c>
      <c r="W2191" s="1" t="s">
        <v>56</v>
      </c>
      <c r="X2191">
        <v>451</v>
      </c>
      <c r="Y2191" s="1" t="s">
        <v>43</v>
      </c>
      <c r="Z2191" s="1" t="s">
        <v>42</v>
      </c>
      <c r="AA2191">
        <v>0.6</v>
      </c>
      <c r="AB2191" s="1" t="s">
        <v>42</v>
      </c>
      <c r="AC2191">
        <v>1</v>
      </c>
      <c r="AD2191" s="2">
        <v>44531</v>
      </c>
      <c r="AE2191" s="1" t="s">
        <v>58</v>
      </c>
      <c r="AF2191" s="1" t="s">
        <v>72</v>
      </c>
      <c r="AG2191" s="1" t="s">
        <v>63</v>
      </c>
      <c r="AH2191" s="1" t="s">
        <v>47</v>
      </c>
      <c r="AI2191">
        <v>5972</v>
      </c>
      <c r="AJ2191">
        <v>0</v>
      </c>
    </row>
    <row r="2192" spans="1:36" x14ac:dyDescent="0.25">
      <c r="A2192">
        <v>12191</v>
      </c>
      <c r="B2192">
        <v>51</v>
      </c>
      <c r="C2192" s="1" t="s">
        <v>60</v>
      </c>
      <c r="D2192" s="1" t="s">
        <v>73</v>
      </c>
      <c r="E2192" s="2">
        <v>44227</v>
      </c>
      <c r="F2192" s="2">
        <v>44534</v>
      </c>
      <c r="G2192" s="1" t="s">
        <v>38</v>
      </c>
      <c r="H2192">
        <v>427</v>
      </c>
      <c r="I2192">
        <v>1</v>
      </c>
      <c r="J2192">
        <v>2</v>
      </c>
      <c r="K2192">
        <v>62.59</v>
      </c>
      <c r="L2192">
        <v>5</v>
      </c>
      <c r="M2192" s="1" t="s">
        <v>50</v>
      </c>
      <c r="N2192" s="1" t="s">
        <v>56</v>
      </c>
      <c r="O2192">
        <v>405.65</v>
      </c>
      <c r="P2192" t="b">
        <v>1</v>
      </c>
      <c r="Q2192">
        <v>8.3333333333333329E-2</v>
      </c>
      <c r="R2192">
        <v>405.65</v>
      </c>
      <c r="S2192">
        <v>20.863333333333333</v>
      </c>
      <c r="T2192" s="2">
        <v>44197</v>
      </c>
      <c r="U2192" s="1" t="s">
        <v>41</v>
      </c>
      <c r="V2192">
        <v>0</v>
      </c>
      <c r="W2192" s="1" t="s">
        <v>56</v>
      </c>
      <c r="X2192">
        <v>307</v>
      </c>
      <c r="Y2192" s="1" t="s">
        <v>43</v>
      </c>
      <c r="Z2192" s="1" t="s">
        <v>42</v>
      </c>
      <c r="AA2192">
        <v>1</v>
      </c>
      <c r="AB2192" s="1" t="s">
        <v>42</v>
      </c>
      <c r="AC2192">
        <v>1</v>
      </c>
      <c r="AD2192" s="2">
        <v>44197</v>
      </c>
      <c r="AE2192" s="1" t="s">
        <v>58</v>
      </c>
      <c r="AF2192" s="1" t="s">
        <v>72</v>
      </c>
      <c r="AG2192" s="1" t="s">
        <v>63</v>
      </c>
      <c r="AH2192" s="1" t="s">
        <v>68</v>
      </c>
      <c r="AI2192">
        <v>427</v>
      </c>
      <c r="AJ2192">
        <v>-21.350000000000023</v>
      </c>
    </row>
    <row r="2193" spans="1:36" x14ac:dyDescent="0.25">
      <c r="A2193">
        <v>12192</v>
      </c>
      <c r="B2193">
        <v>54</v>
      </c>
      <c r="C2193" s="1" t="s">
        <v>36</v>
      </c>
      <c r="D2193" s="1" t="s">
        <v>69</v>
      </c>
      <c r="E2193" s="2">
        <v>44331</v>
      </c>
      <c r="F2193" s="2">
        <v>45121</v>
      </c>
      <c r="G2193" s="1" t="s">
        <v>62</v>
      </c>
      <c r="H2193">
        <v>1497</v>
      </c>
      <c r="I2193">
        <v>10</v>
      </c>
      <c r="J2193">
        <v>3</v>
      </c>
      <c r="K2193">
        <v>19.79</v>
      </c>
      <c r="L2193">
        <v>0</v>
      </c>
      <c r="M2193" s="1" t="s">
        <v>39</v>
      </c>
      <c r="N2193" s="1" t="s">
        <v>56</v>
      </c>
      <c r="O2193">
        <v>14970</v>
      </c>
      <c r="P2193" t="b">
        <v>1</v>
      </c>
      <c r="Q2193">
        <v>0.83333333333333337</v>
      </c>
      <c r="R2193">
        <v>1497</v>
      </c>
      <c r="S2193">
        <v>4.9474999999999998</v>
      </c>
      <c r="T2193" s="2">
        <v>44317</v>
      </c>
      <c r="U2193" s="1" t="s">
        <v>41</v>
      </c>
      <c r="V2193">
        <v>0</v>
      </c>
      <c r="W2193" s="1" t="s">
        <v>40</v>
      </c>
      <c r="X2193">
        <v>790</v>
      </c>
      <c r="Y2193" s="1" t="s">
        <v>42</v>
      </c>
      <c r="Z2193" s="1" t="s">
        <v>42</v>
      </c>
      <c r="AA2193">
        <v>0.27272727272727271</v>
      </c>
      <c r="AB2193" s="1" t="s">
        <v>52</v>
      </c>
      <c r="AC2193">
        <v>2</v>
      </c>
      <c r="AD2193" s="2">
        <v>44317</v>
      </c>
      <c r="AE2193" s="1" t="s">
        <v>74</v>
      </c>
      <c r="AF2193" s="1" t="s">
        <v>72</v>
      </c>
      <c r="AG2193" s="1" t="s">
        <v>46</v>
      </c>
      <c r="AH2193" s="1" t="s">
        <v>47</v>
      </c>
      <c r="AI2193">
        <v>14970</v>
      </c>
      <c r="AJ2193">
        <v>0</v>
      </c>
    </row>
    <row r="2194" spans="1:36" x14ac:dyDescent="0.25">
      <c r="A2194">
        <v>12193</v>
      </c>
      <c r="B2194">
        <v>32</v>
      </c>
      <c r="C2194" s="1" t="s">
        <v>60</v>
      </c>
      <c r="D2194" s="1" t="s">
        <v>61</v>
      </c>
      <c r="E2194" s="2">
        <v>44254</v>
      </c>
      <c r="F2194" s="2">
        <v>45132</v>
      </c>
      <c r="G2194" s="1" t="s">
        <v>62</v>
      </c>
      <c r="H2194">
        <v>1349</v>
      </c>
      <c r="I2194">
        <v>15</v>
      </c>
      <c r="J2194">
        <v>1</v>
      </c>
      <c r="K2194">
        <v>106.22</v>
      </c>
      <c r="L2194">
        <v>5</v>
      </c>
      <c r="M2194" s="1" t="s">
        <v>39</v>
      </c>
      <c r="N2194" s="1" t="s">
        <v>56</v>
      </c>
      <c r="O2194">
        <v>20167.55</v>
      </c>
      <c r="P2194" t="b">
        <v>1</v>
      </c>
      <c r="Q2194">
        <v>1.25</v>
      </c>
      <c r="R2194">
        <v>1344.5033333333333</v>
      </c>
      <c r="S2194">
        <v>53.11</v>
      </c>
      <c r="T2194" s="2">
        <v>44228</v>
      </c>
      <c r="U2194" s="1" t="s">
        <v>57</v>
      </c>
      <c r="V2194">
        <v>0</v>
      </c>
      <c r="W2194" s="1" t="s">
        <v>40</v>
      </c>
      <c r="X2194">
        <v>878</v>
      </c>
      <c r="Y2194" s="1" t="s">
        <v>43</v>
      </c>
      <c r="Z2194" s="1" t="s">
        <v>42</v>
      </c>
      <c r="AA2194">
        <v>6.25E-2</v>
      </c>
      <c r="AB2194" s="1" t="s">
        <v>43</v>
      </c>
      <c r="AC2194">
        <v>2</v>
      </c>
      <c r="AD2194" s="2">
        <v>44228</v>
      </c>
      <c r="AE2194" s="1" t="s">
        <v>53</v>
      </c>
      <c r="AF2194" s="1" t="s">
        <v>54</v>
      </c>
      <c r="AG2194" s="1" t="s">
        <v>63</v>
      </c>
      <c r="AH2194" s="1" t="s">
        <v>47</v>
      </c>
      <c r="AI2194">
        <v>20235</v>
      </c>
      <c r="AJ2194">
        <v>-67.450000000000728</v>
      </c>
    </row>
    <row r="2195" spans="1:36" x14ac:dyDescent="0.25">
      <c r="A2195">
        <v>12194</v>
      </c>
      <c r="B2195">
        <v>61</v>
      </c>
      <c r="C2195" s="1" t="s">
        <v>60</v>
      </c>
      <c r="D2195" s="1" t="s">
        <v>73</v>
      </c>
      <c r="E2195" s="2">
        <v>44301</v>
      </c>
      <c r="F2195" s="2">
        <v>44720</v>
      </c>
      <c r="G2195" s="1" t="s">
        <v>38</v>
      </c>
      <c r="H2195">
        <v>872</v>
      </c>
      <c r="I2195">
        <v>29</v>
      </c>
      <c r="J2195">
        <v>2</v>
      </c>
      <c r="K2195">
        <v>54.27</v>
      </c>
      <c r="L2195">
        <v>15</v>
      </c>
      <c r="M2195" s="1" t="s">
        <v>50</v>
      </c>
      <c r="N2195" s="1" t="s">
        <v>40</v>
      </c>
      <c r="O2195">
        <v>25157.200000000001</v>
      </c>
      <c r="P2195" t="b">
        <v>1</v>
      </c>
      <c r="Q2195">
        <v>2.4166666666666665</v>
      </c>
      <c r="R2195">
        <v>867.48965517241379</v>
      </c>
      <c r="S2195">
        <v>18.09</v>
      </c>
      <c r="T2195" s="2">
        <v>44287</v>
      </c>
      <c r="U2195" s="1" t="s">
        <v>41</v>
      </c>
      <c r="V2195">
        <v>1</v>
      </c>
      <c r="W2195" s="1" t="s">
        <v>40</v>
      </c>
      <c r="X2195">
        <v>419</v>
      </c>
      <c r="Y2195" s="1" t="s">
        <v>52</v>
      </c>
      <c r="Z2195" s="1" t="s">
        <v>42</v>
      </c>
      <c r="AA2195">
        <v>6.6666666666666666E-2</v>
      </c>
      <c r="AB2195" s="1" t="s">
        <v>43</v>
      </c>
      <c r="AC2195">
        <v>1</v>
      </c>
      <c r="AD2195" s="2">
        <v>44287</v>
      </c>
      <c r="AE2195" s="1" t="s">
        <v>44</v>
      </c>
      <c r="AF2195" s="1" t="s">
        <v>72</v>
      </c>
      <c r="AG2195" s="1" t="s">
        <v>63</v>
      </c>
      <c r="AH2195" s="1" t="s">
        <v>59</v>
      </c>
      <c r="AI2195">
        <v>25288</v>
      </c>
      <c r="AJ2195">
        <v>-130.79999999999927</v>
      </c>
    </row>
    <row r="2196" spans="1:36" x14ac:dyDescent="0.25">
      <c r="A2196">
        <v>12195</v>
      </c>
      <c r="B2196">
        <v>53</v>
      </c>
      <c r="C2196" s="1" t="s">
        <v>36</v>
      </c>
      <c r="D2196" s="1" t="s">
        <v>69</v>
      </c>
      <c r="E2196" s="2">
        <v>44462</v>
      </c>
      <c r="F2196" s="2">
        <v>44919</v>
      </c>
      <c r="G2196" s="1" t="s">
        <v>49</v>
      </c>
      <c r="H2196">
        <v>810</v>
      </c>
      <c r="I2196">
        <v>5</v>
      </c>
      <c r="J2196">
        <v>5</v>
      </c>
      <c r="K2196">
        <v>13.51</v>
      </c>
      <c r="L2196">
        <v>5</v>
      </c>
      <c r="M2196" s="1" t="s">
        <v>67</v>
      </c>
      <c r="N2196" s="1" t="s">
        <v>56</v>
      </c>
      <c r="O2196">
        <v>4009.5</v>
      </c>
      <c r="P2196" t="b">
        <v>1</v>
      </c>
      <c r="Q2196">
        <v>0.41666666666666669</v>
      </c>
      <c r="R2196">
        <v>801.9</v>
      </c>
      <c r="S2196">
        <v>2.2516666666666665</v>
      </c>
      <c r="T2196" s="2">
        <v>44440</v>
      </c>
      <c r="U2196" s="1" t="s">
        <v>41</v>
      </c>
      <c r="V2196">
        <v>0</v>
      </c>
      <c r="W2196" s="1" t="s">
        <v>56</v>
      </c>
      <c r="X2196">
        <v>457</v>
      </c>
      <c r="Y2196" s="1" t="s">
        <v>42</v>
      </c>
      <c r="Z2196" s="1" t="s">
        <v>42</v>
      </c>
      <c r="AA2196">
        <v>0.83333333333333337</v>
      </c>
      <c r="AB2196" s="1" t="s">
        <v>42</v>
      </c>
      <c r="AC2196">
        <v>3</v>
      </c>
      <c r="AD2196" s="2">
        <v>44440</v>
      </c>
      <c r="AE2196" s="1" t="s">
        <v>58</v>
      </c>
      <c r="AF2196" s="1" t="s">
        <v>45</v>
      </c>
      <c r="AG2196" s="1" t="s">
        <v>46</v>
      </c>
      <c r="AH2196" s="1" t="s">
        <v>59</v>
      </c>
      <c r="AI2196">
        <v>4050</v>
      </c>
      <c r="AJ2196">
        <v>-40.5</v>
      </c>
    </row>
    <row r="2197" spans="1:36" x14ac:dyDescent="0.25">
      <c r="A2197">
        <v>12196</v>
      </c>
      <c r="B2197">
        <v>32</v>
      </c>
      <c r="C2197" s="1" t="s">
        <v>36</v>
      </c>
      <c r="D2197" s="1" t="s">
        <v>48</v>
      </c>
      <c r="E2197" s="2">
        <v>44718</v>
      </c>
      <c r="F2197" s="2">
        <v>44753</v>
      </c>
      <c r="G2197" s="1" t="s">
        <v>38</v>
      </c>
      <c r="H2197">
        <v>787</v>
      </c>
      <c r="I2197">
        <v>29</v>
      </c>
      <c r="J2197">
        <v>3</v>
      </c>
      <c r="K2197">
        <v>65.88</v>
      </c>
      <c r="L2197">
        <v>0</v>
      </c>
      <c r="M2197" s="1" t="s">
        <v>67</v>
      </c>
      <c r="N2197" s="1" t="s">
        <v>40</v>
      </c>
      <c r="O2197">
        <v>22823</v>
      </c>
      <c r="P2197" t="b">
        <v>1</v>
      </c>
      <c r="Q2197">
        <v>2.4166666666666665</v>
      </c>
      <c r="R2197">
        <v>787</v>
      </c>
      <c r="S2197">
        <v>16.47</v>
      </c>
      <c r="T2197" s="2">
        <v>44713</v>
      </c>
      <c r="U2197" s="1" t="s">
        <v>57</v>
      </c>
      <c r="V2197">
        <v>1</v>
      </c>
      <c r="W2197" s="1" t="s">
        <v>40</v>
      </c>
      <c r="X2197">
        <v>35</v>
      </c>
      <c r="Y2197" s="1" t="s">
        <v>43</v>
      </c>
      <c r="Z2197" s="1" t="s">
        <v>42</v>
      </c>
      <c r="AA2197">
        <v>0.1</v>
      </c>
      <c r="AB2197" s="1" t="s">
        <v>43</v>
      </c>
      <c r="AC2197">
        <v>1</v>
      </c>
      <c r="AD2197" s="2">
        <v>44713</v>
      </c>
      <c r="AE2197" s="1" t="s">
        <v>44</v>
      </c>
      <c r="AF2197" s="1" t="s">
        <v>72</v>
      </c>
      <c r="AG2197" s="1" t="s">
        <v>63</v>
      </c>
      <c r="AH2197" s="1" t="s">
        <v>59</v>
      </c>
      <c r="AI2197">
        <v>22823</v>
      </c>
      <c r="AJ2197">
        <v>0</v>
      </c>
    </row>
    <row r="2198" spans="1:36" x14ac:dyDescent="0.25">
      <c r="A2198">
        <v>12197</v>
      </c>
      <c r="B2198">
        <v>60</v>
      </c>
      <c r="C2198" s="1" t="s">
        <v>60</v>
      </c>
      <c r="D2198" s="1" t="s">
        <v>73</v>
      </c>
      <c r="E2198" s="2">
        <v>44692</v>
      </c>
      <c r="F2198" s="2">
        <v>44755</v>
      </c>
      <c r="G2198" s="1" t="s">
        <v>38</v>
      </c>
      <c r="H2198">
        <v>1190</v>
      </c>
      <c r="I2198">
        <v>27</v>
      </c>
      <c r="J2198">
        <v>2</v>
      </c>
      <c r="K2198">
        <v>79.44</v>
      </c>
      <c r="L2198">
        <v>15</v>
      </c>
      <c r="M2198" s="1" t="s">
        <v>50</v>
      </c>
      <c r="N2198" s="1" t="s">
        <v>40</v>
      </c>
      <c r="O2198">
        <v>31951.5</v>
      </c>
      <c r="P2198" t="b">
        <v>1</v>
      </c>
      <c r="Q2198">
        <v>2.25</v>
      </c>
      <c r="R2198">
        <v>1183.3888888888889</v>
      </c>
      <c r="S2198">
        <v>26.48</v>
      </c>
      <c r="T2198" s="2">
        <v>44682</v>
      </c>
      <c r="U2198" s="1" t="s">
        <v>41</v>
      </c>
      <c r="V2198">
        <v>1</v>
      </c>
      <c r="W2198" s="1" t="s">
        <v>40</v>
      </c>
      <c r="X2198">
        <v>63</v>
      </c>
      <c r="Y2198" s="1" t="s">
        <v>43</v>
      </c>
      <c r="Z2198" s="1" t="s">
        <v>42</v>
      </c>
      <c r="AA2198">
        <v>7.1428571428571425E-2</v>
      </c>
      <c r="AB2198" s="1" t="s">
        <v>43</v>
      </c>
      <c r="AC2198">
        <v>1</v>
      </c>
      <c r="AD2198" s="2">
        <v>44682</v>
      </c>
      <c r="AE2198" s="1" t="s">
        <v>44</v>
      </c>
      <c r="AF2198" s="1" t="s">
        <v>72</v>
      </c>
      <c r="AG2198" s="1" t="s">
        <v>63</v>
      </c>
      <c r="AH2198" s="1" t="s">
        <v>47</v>
      </c>
      <c r="AI2198">
        <v>32130</v>
      </c>
      <c r="AJ2198">
        <v>-178.5</v>
      </c>
    </row>
    <row r="2199" spans="1:36" x14ac:dyDescent="0.25">
      <c r="A2199">
        <v>12198</v>
      </c>
      <c r="B2199">
        <v>40</v>
      </c>
      <c r="C2199" s="1" t="s">
        <v>36</v>
      </c>
      <c r="D2199" s="1" t="s">
        <v>69</v>
      </c>
      <c r="E2199" s="2">
        <v>44449</v>
      </c>
      <c r="F2199" s="2">
        <v>44472</v>
      </c>
      <c r="G2199" s="1" t="s">
        <v>62</v>
      </c>
      <c r="H2199">
        <v>878</v>
      </c>
      <c r="I2199">
        <v>25</v>
      </c>
      <c r="J2199">
        <v>0</v>
      </c>
      <c r="K2199">
        <v>36.69</v>
      </c>
      <c r="L2199">
        <v>20</v>
      </c>
      <c r="M2199" s="1" t="s">
        <v>67</v>
      </c>
      <c r="N2199" s="1" t="s">
        <v>56</v>
      </c>
      <c r="O2199">
        <v>21774.400000000001</v>
      </c>
      <c r="P2199" t="b">
        <v>1</v>
      </c>
      <c r="Q2199">
        <v>2.0833333333333335</v>
      </c>
      <c r="R2199">
        <v>870.97600000000011</v>
      </c>
      <c r="S2199">
        <v>36.69</v>
      </c>
      <c r="T2199" s="2">
        <v>44440</v>
      </c>
      <c r="U2199" s="1" t="s">
        <v>51</v>
      </c>
      <c r="V2199">
        <v>0</v>
      </c>
      <c r="W2199" s="1" t="s">
        <v>40</v>
      </c>
      <c r="X2199">
        <v>23</v>
      </c>
      <c r="Y2199" s="1" t="s">
        <v>52</v>
      </c>
      <c r="Z2199" s="1" t="s">
        <v>52</v>
      </c>
      <c r="AA2199">
        <v>0</v>
      </c>
      <c r="AB2199" s="1" t="s">
        <v>43</v>
      </c>
      <c r="AC2199">
        <v>2</v>
      </c>
      <c r="AD2199" s="2">
        <v>44440</v>
      </c>
      <c r="AE2199" s="1" t="s">
        <v>44</v>
      </c>
      <c r="AF2199" s="1" t="s">
        <v>54</v>
      </c>
      <c r="AG2199" s="1" t="s">
        <v>55</v>
      </c>
      <c r="AH2199" s="1" t="s">
        <v>59</v>
      </c>
      <c r="AI2199">
        <v>21950</v>
      </c>
      <c r="AJ2199">
        <v>-175.59999999999854</v>
      </c>
    </row>
    <row r="2200" spans="1:36" x14ac:dyDescent="0.25">
      <c r="A2200">
        <v>12199</v>
      </c>
      <c r="B2200">
        <v>23</v>
      </c>
      <c r="C2200" s="1" t="s">
        <v>60</v>
      </c>
      <c r="D2200" s="1" t="s">
        <v>48</v>
      </c>
      <c r="E2200" s="2">
        <v>44491</v>
      </c>
      <c r="F2200" s="2">
        <v>44684</v>
      </c>
      <c r="G2200" s="1" t="s">
        <v>38</v>
      </c>
      <c r="H2200">
        <v>1249</v>
      </c>
      <c r="I2200">
        <v>16</v>
      </c>
      <c r="J2200">
        <v>1</v>
      </c>
      <c r="K2200">
        <v>97.04</v>
      </c>
      <c r="L2200">
        <v>5</v>
      </c>
      <c r="M2200" s="1" t="s">
        <v>65</v>
      </c>
      <c r="N2200" s="1" t="s">
        <v>56</v>
      </c>
      <c r="O2200">
        <v>19921.55</v>
      </c>
      <c r="P2200" t="b">
        <v>1</v>
      </c>
      <c r="Q2200">
        <v>1.3333333333333333</v>
      </c>
      <c r="R2200">
        <v>1245.096875</v>
      </c>
      <c r="S2200">
        <v>48.52</v>
      </c>
      <c r="T2200" s="2">
        <v>44470</v>
      </c>
      <c r="U2200" s="1" t="s">
        <v>66</v>
      </c>
      <c r="V2200">
        <v>0</v>
      </c>
      <c r="W2200" s="1" t="s">
        <v>40</v>
      </c>
      <c r="X2200">
        <v>193</v>
      </c>
      <c r="Y2200" s="1" t="s">
        <v>43</v>
      </c>
      <c r="Z2200" s="1" t="s">
        <v>42</v>
      </c>
      <c r="AA2200">
        <v>5.8823529411764705E-2</v>
      </c>
      <c r="AB2200" s="1" t="s">
        <v>43</v>
      </c>
      <c r="AC2200">
        <v>1</v>
      </c>
      <c r="AD2200" s="2">
        <v>44470</v>
      </c>
      <c r="AE2200" s="1" t="s">
        <v>53</v>
      </c>
      <c r="AF2200" s="1" t="s">
        <v>54</v>
      </c>
      <c r="AG2200" s="1" t="s">
        <v>63</v>
      </c>
      <c r="AH2200" s="1" t="s">
        <v>47</v>
      </c>
      <c r="AI2200">
        <v>19984</v>
      </c>
      <c r="AJ2200">
        <v>-62.450000000000728</v>
      </c>
    </row>
    <row r="2201" spans="1:36" x14ac:dyDescent="0.25">
      <c r="A2201">
        <v>12200</v>
      </c>
      <c r="B2201">
        <v>63</v>
      </c>
      <c r="C2201" s="1" t="s">
        <v>60</v>
      </c>
      <c r="D2201" s="1" t="s">
        <v>48</v>
      </c>
      <c r="E2201" s="2">
        <v>44864</v>
      </c>
      <c r="F2201" s="2">
        <v>44688</v>
      </c>
      <c r="G2201" s="1" t="s">
        <v>49</v>
      </c>
      <c r="H2201">
        <v>705</v>
      </c>
      <c r="I2201">
        <v>16</v>
      </c>
      <c r="J2201">
        <v>2</v>
      </c>
      <c r="K2201">
        <v>82.02</v>
      </c>
      <c r="L2201">
        <v>20</v>
      </c>
      <c r="M2201" s="1" t="s">
        <v>50</v>
      </c>
      <c r="N2201" s="1" t="s">
        <v>56</v>
      </c>
      <c r="O2201">
        <v>11139</v>
      </c>
      <c r="P2201" t="b">
        <v>0</v>
      </c>
      <c r="Q2201">
        <v>1.3333333333333333</v>
      </c>
      <c r="R2201">
        <v>696.1875</v>
      </c>
      <c r="S2201">
        <v>27.34</v>
      </c>
      <c r="T2201" s="2">
        <v>44835</v>
      </c>
      <c r="U2201" s="1" t="s">
        <v>41</v>
      </c>
      <c r="V2201">
        <v>0</v>
      </c>
      <c r="W2201" s="1" t="s">
        <v>56</v>
      </c>
      <c r="Y2201" s="1" t="s">
        <v>43</v>
      </c>
      <c r="Z2201" s="1" t="s">
        <v>52</v>
      </c>
      <c r="AA2201">
        <v>0.11764705882352941</v>
      </c>
      <c r="AB2201" s="1" t="s">
        <v>52</v>
      </c>
      <c r="AC2201">
        <v>3</v>
      </c>
      <c r="AD2201" s="2">
        <v>44835</v>
      </c>
      <c r="AE2201" s="1" t="s">
        <v>53</v>
      </c>
      <c r="AF2201" s="1" t="s">
        <v>72</v>
      </c>
      <c r="AG2201" s="1" t="s">
        <v>63</v>
      </c>
      <c r="AH2201" s="1" t="s">
        <v>59</v>
      </c>
      <c r="AI2201">
        <v>11280</v>
      </c>
      <c r="AJ2201">
        <v>-141</v>
      </c>
    </row>
    <row r="2202" spans="1:36" x14ac:dyDescent="0.25">
      <c r="A2202">
        <v>12201</v>
      </c>
      <c r="B2202">
        <v>61</v>
      </c>
      <c r="C2202" s="1" t="s">
        <v>36</v>
      </c>
      <c r="D2202" s="1" t="s">
        <v>48</v>
      </c>
      <c r="E2202" s="2">
        <v>44354</v>
      </c>
      <c r="F2202" s="2">
        <v>44910</v>
      </c>
      <c r="G2202" s="1" t="s">
        <v>38</v>
      </c>
      <c r="H2202">
        <v>1349</v>
      </c>
      <c r="I2202">
        <v>25</v>
      </c>
      <c r="J2202">
        <v>4</v>
      </c>
      <c r="K2202">
        <v>79.790000000000006</v>
      </c>
      <c r="L2202">
        <v>15</v>
      </c>
      <c r="M2202" s="1" t="s">
        <v>39</v>
      </c>
      <c r="N2202" s="1" t="s">
        <v>40</v>
      </c>
      <c r="O2202">
        <v>33522.65</v>
      </c>
      <c r="P2202" t="b">
        <v>1</v>
      </c>
      <c r="Q2202">
        <v>2.0833333333333335</v>
      </c>
      <c r="R2202">
        <v>1340.9059999999999</v>
      </c>
      <c r="S2202">
        <v>15.958000000000002</v>
      </c>
      <c r="T2202" s="2">
        <v>44348</v>
      </c>
      <c r="U2202" s="1" t="s">
        <v>41</v>
      </c>
      <c r="V2202">
        <v>1</v>
      </c>
      <c r="W2202" s="1" t="s">
        <v>40</v>
      </c>
      <c r="X2202">
        <v>556</v>
      </c>
      <c r="Y2202" s="1" t="s">
        <v>43</v>
      </c>
      <c r="Z2202" s="1" t="s">
        <v>42</v>
      </c>
      <c r="AA2202">
        <v>0.15384615384615385</v>
      </c>
      <c r="AB2202" s="1" t="s">
        <v>43</v>
      </c>
      <c r="AC2202">
        <v>1</v>
      </c>
      <c r="AD2202" s="2">
        <v>44348</v>
      </c>
      <c r="AE2202" s="1" t="s">
        <v>44</v>
      </c>
      <c r="AF2202" s="1" t="s">
        <v>45</v>
      </c>
      <c r="AG2202" s="1" t="s">
        <v>63</v>
      </c>
      <c r="AH2202" s="1" t="s">
        <v>47</v>
      </c>
      <c r="AI2202">
        <v>33725</v>
      </c>
      <c r="AJ2202">
        <v>-202.34999999999854</v>
      </c>
    </row>
    <row r="2203" spans="1:36" x14ac:dyDescent="0.25">
      <c r="A2203">
        <v>12202</v>
      </c>
      <c r="B2203">
        <v>60</v>
      </c>
      <c r="C2203" s="1" t="s">
        <v>36</v>
      </c>
      <c r="D2203" s="1" t="s">
        <v>76</v>
      </c>
      <c r="E2203" s="2">
        <v>44745</v>
      </c>
      <c r="F2203" s="2">
        <v>44525</v>
      </c>
      <c r="G2203" s="1" t="s">
        <v>38</v>
      </c>
      <c r="H2203">
        <v>1406</v>
      </c>
      <c r="I2203">
        <v>1</v>
      </c>
      <c r="J2203">
        <v>1</v>
      </c>
      <c r="K2203">
        <v>53.39</v>
      </c>
      <c r="L2203">
        <v>5</v>
      </c>
      <c r="M2203" s="1" t="s">
        <v>65</v>
      </c>
      <c r="N2203" s="1" t="s">
        <v>56</v>
      </c>
      <c r="O2203">
        <v>1335.7</v>
      </c>
      <c r="P2203" t="b">
        <v>0</v>
      </c>
      <c r="Q2203">
        <v>8.3333333333333329E-2</v>
      </c>
      <c r="R2203">
        <v>1335.7</v>
      </c>
      <c r="S2203">
        <v>26.695</v>
      </c>
      <c r="T2203" s="2">
        <v>44743</v>
      </c>
      <c r="U2203" s="1" t="s">
        <v>41</v>
      </c>
      <c r="V2203">
        <v>0</v>
      </c>
      <c r="W2203" s="1" t="s">
        <v>56</v>
      </c>
      <c r="Y2203" s="1" t="s">
        <v>52</v>
      </c>
      <c r="Z2203" s="1" t="s">
        <v>42</v>
      </c>
      <c r="AA2203">
        <v>0.5</v>
      </c>
      <c r="AB2203" s="1" t="s">
        <v>42</v>
      </c>
      <c r="AC2203">
        <v>1</v>
      </c>
      <c r="AD2203" s="2">
        <v>44743</v>
      </c>
      <c r="AE2203" s="1" t="s">
        <v>58</v>
      </c>
      <c r="AF2203" s="1" t="s">
        <v>54</v>
      </c>
      <c r="AG2203" s="1" t="s">
        <v>63</v>
      </c>
      <c r="AH2203" s="1" t="s">
        <v>47</v>
      </c>
      <c r="AI2203">
        <v>1406</v>
      </c>
      <c r="AJ2203">
        <v>-70.299999999999955</v>
      </c>
    </row>
    <row r="2204" spans="1:36" x14ac:dyDescent="0.25">
      <c r="A2204">
        <v>12203</v>
      </c>
      <c r="B2204">
        <v>62</v>
      </c>
      <c r="C2204" s="1" t="s">
        <v>60</v>
      </c>
      <c r="D2204" s="1" t="s">
        <v>48</v>
      </c>
      <c r="E2204" s="2">
        <v>44827</v>
      </c>
      <c r="F2204" s="2">
        <v>44998</v>
      </c>
      <c r="G2204" s="1" t="s">
        <v>38</v>
      </c>
      <c r="H2204">
        <v>663</v>
      </c>
      <c r="I2204">
        <v>5</v>
      </c>
      <c r="J2204">
        <v>5</v>
      </c>
      <c r="K2204">
        <v>115.62</v>
      </c>
      <c r="L2204">
        <v>0</v>
      </c>
      <c r="M2204" s="1" t="s">
        <v>39</v>
      </c>
      <c r="N2204" s="1" t="s">
        <v>56</v>
      </c>
      <c r="O2204">
        <v>3315</v>
      </c>
      <c r="P2204" t="b">
        <v>1</v>
      </c>
      <c r="Q2204">
        <v>0.41666666666666669</v>
      </c>
      <c r="R2204">
        <v>663</v>
      </c>
      <c r="S2204">
        <v>19.27</v>
      </c>
      <c r="T2204" s="2">
        <v>44805</v>
      </c>
      <c r="U2204" s="1" t="s">
        <v>41</v>
      </c>
      <c r="V2204">
        <v>0</v>
      </c>
      <c r="W2204" s="1" t="s">
        <v>56</v>
      </c>
      <c r="X2204">
        <v>171</v>
      </c>
      <c r="Y2204" s="1" t="s">
        <v>43</v>
      </c>
      <c r="Z2204" s="1" t="s">
        <v>42</v>
      </c>
      <c r="AA2204">
        <v>0.83333333333333337</v>
      </c>
      <c r="AB2204" s="1" t="s">
        <v>42</v>
      </c>
      <c r="AC2204">
        <v>1</v>
      </c>
      <c r="AD2204" s="2">
        <v>44805</v>
      </c>
      <c r="AE2204" s="1" t="s">
        <v>58</v>
      </c>
      <c r="AF2204" s="1" t="s">
        <v>45</v>
      </c>
      <c r="AG2204" s="1" t="s">
        <v>63</v>
      </c>
      <c r="AH2204" s="1" t="s">
        <v>64</v>
      </c>
      <c r="AI2204">
        <v>3315</v>
      </c>
      <c r="AJ2204">
        <v>0</v>
      </c>
    </row>
    <row r="2205" spans="1:36" x14ac:dyDescent="0.25">
      <c r="A2205">
        <v>12204</v>
      </c>
      <c r="B2205">
        <v>38</v>
      </c>
      <c r="C2205" s="1" t="s">
        <v>60</v>
      </c>
      <c r="D2205" s="1" t="s">
        <v>37</v>
      </c>
      <c r="E2205" s="2">
        <v>44263</v>
      </c>
      <c r="F2205" s="2">
        <v>45186</v>
      </c>
      <c r="G2205" s="1" t="s">
        <v>62</v>
      </c>
      <c r="H2205">
        <v>1383</v>
      </c>
      <c r="I2205">
        <v>20</v>
      </c>
      <c r="J2205">
        <v>3</v>
      </c>
      <c r="K2205">
        <v>36.53</v>
      </c>
      <c r="L2205">
        <v>5</v>
      </c>
      <c r="M2205" s="1" t="s">
        <v>67</v>
      </c>
      <c r="N2205" s="1" t="s">
        <v>56</v>
      </c>
      <c r="O2205">
        <v>27590.85</v>
      </c>
      <c r="P2205" t="b">
        <v>1</v>
      </c>
      <c r="Q2205">
        <v>1.6666666666666667</v>
      </c>
      <c r="R2205">
        <v>1379.5425</v>
      </c>
      <c r="S2205">
        <v>9.1325000000000003</v>
      </c>
      <c r="T2205" s="2">
        <v>44256</v>
      </c>
      <c r="U2205" s="1" t="s">
        <v>51</v>
      </c>
      <c r="V2205">
        <v>0</v>
      </c>
      <c r="W2205" s="1" t="s">
        <v>40</v>
      </c>
      <c r="X2205">
        <v>923</v>
      </c>
      <c r="Y2205" s="1" t="s">
        <v>52</v>
      </c>
      <c r="Z2205" s="1" t="s">
        <v>42</v>
      </c>
      <c r="AA2205">
        <v>0.14285714285714285</v>
      </c>
      <c r="AB2205" s="1" t="s">
        <v>43</v>
      </c>
      <c r="AC2205">
        <v>2</v>
      </c>
      <c r="AD2205" s="2">
        <v>44256</v>
      </c>
      <c r="AE2205" s="1" t="s">
        <v>53</v>
      </c>
      <c r="AF2205" s="1" t="s">
        <v>72</v>
      </c>
      <c r="AG2205" s="1" t="s">
        <v>55</v>
      </c>
      <c r="AH2205" s="1" t="s">
        <v>47</v>
      </c>
      <c r="AI2205">
        <v>27660</v>
      </c>
      <c r="AJ2205">
        <v>-69.150000000001455</v>
      </c>
    </row>
    <row r="2206" spans="1:36" x14ac:dyDescent="0.25">
      <c r="A2206">
        <v>12205</v>
      </c>
      <c r="B2206">
        <v>40</v>
      </c>
      <c r="C2206" s="1" t="s">
        <v>36</v>
      </c>
      <c r="D2206" s="1" t="s">
        <v>73</v>
      </c>
      <c r="E2206" s="2">
        <v>44950</v>
      </c>
      <c r="F2206" s="2">
        <v>44517</v>
      </c>
      <c r="G2206" s="1" t="s">
        <v>62</v>
      </c>
      <c r="H2206">
        <v>850</v>
      </c>
      <c r="I2206">
        <v>5</v>
      </c>
      <c r="J2206">
        <v>2</v>
      </c>
      <c r="K2206">
        <v>71.44</v>
      </c>
      <c r="L2206">
        <v>0</v>
      </c>
      <c r="M2206" s="1" t="s">
        <v>50</v>
      </c>
      <c r="N2206" s="1" t="s">
        <v>56</v>
      </c>
      <c r="O2206">
        <v>4250</v>
      </c>
      <c r="P2206" t="b">
        <v>0</v>
      </c>
      <c r="Q2206">
        <v>0.41666666666666669</v>
      </c>
      <c r="R2206">
        <v>850</v>
      </c>
      <c r="S2206">
        <v>23.813333333333333</v>
      </c>
      <c r="T2206" s="2">
        <v>44927</v>
      </c>
      <c r="U2206" s="1" t="s">
        <v>51</v>
      </c>
      <c r="V2206">
        <v>0</v>
      </c>
      <c r="W2206" s="1" t="s">
        <v>56</v>
      </c>
      <c r="Y2206" s="1" t="s">
        <v>43</v>
      </c>
      <c r="Z2206" s="1" t="s">
        <v>42</v>
      </c>
      <c r="AA2206">
        <v>0.33333333333333331</v>
      </c>
      <c r="AB2206" s="1" t="s">
        <v>42</v>
      </c>
      <c r="AC2206">
        <v>2</v>
      </c>
      <c r="AD2206" s="2">
        <v>44927</v>
      </c>
      <c r="AE2206" s="1" t="s">
        <v>58</v>
      </c>
      <c r="AF2206" s="1" t="s">
        <v>72</v>
      </c>
      <c r="AG2206" s="1" t="s">
        <v>63</v>
      </c>
      <c r="AH2206" s="1" t="s">
        <v>59</v>
      </c>
      <c r="AI2206">
        <v>4250</v>
      </c>
      <c r="AJ2206">
        <v>0</v>
      </c>
    </row>
    <row r="2207" spans="1:36" x14ac:dyDescent="0.25">
      <c r="A2207">
        <v>12206</v>
      </c>
      <c r="B2207">
        <v>60</v>
      </c>
      <c r="C2207" s="1" t="s">
        <v>60</v>
      </c>
      <c r="D2207" s="1" t="s">
        <v>69</v>
      </c>
      <c r="E2207" s="2">
        <v>44495</v>
      </c>
      <c r="F2207" s="2">
        <v>44386</v>
      </c>
      <c r="G2207" s="1" t="s">
        <v>62</v>
      </c>
      <c r="H2207">
        <v>591</v>
      </c>
      <c r="I2207">
        <v>29</v>
      </c>
      <c r="J2207">
        <v>5</v>
      </c>
      <c r="K2207">
        <v>40.54</v>
      </c>
      <c r="L2207">
        <v>10</v>
      </c>
      <c r="M2207" s="1" t="s">
        <v>65</v>
      </c>
      <c r="N2207" s="1" t="s">
        <v>56</v>
      </c>
      <c r="O2207">
        <v>17079.900000000001</v>
      </c>
      <c r="P2207" t="b">
        <v>0</v>
      </c>
      <c r="Q2207">
        <v>2.4166666666666665</v>
      </c>
      <c r="R2207">
        <v>588.96206896551735</v>
      </c>
      <c r="S2207">
        <v>6.7566666666666668</v>
      </c>
      <c r="T2207" s="2">
        <v>44470</v>
      </c>
      <c r="U2207" s="1" t="s">
        <v>41</v>
      </c>
      <c r="V2207">
        <v>0</v>
      </c>
      <c r="W2207" s="1" t="s">
        <v>40</v>
      </c>
      <c r="Y2207" s="1" t="s">
        <v>52</v>
      </c>
      <c r="Z2207" s="1" t="s">
        <v>42</v>
      </c>
      <c r="AA2207">
        <v>0.16666666666666666</v>
      </c>
      <c r="AB2207" s="1" t="s">
        <v>52</v>
      </c>
      <c r="AC2207">
        <v>2</v>
      </c>
      <c r="AD2207" s="2">
        <v>44470</v>
      </c>
      <c r="AE2207" s="1" t="s">
        <v>44</v>
      </c>
      <c r="AF2207" s="1" t="s">
        <v>45</v>
      </c>
      <c r="AG2207" s="1" t="s">
        <v>55</v>
      </c>
      <c r="AH2207" s="1" t="s">
        <v>64</v>
      </c>
      <c r="AI2207">
        <v>17139</v>
      </c>
      <c r="AJ2207">
        <v>-59.099999999998545</v>
      </c>
    </row>
    <row r="2208" spans="1:36" x14ac:dyDescent="0.25">
      <c r="A2208">
        <v>12207</v>
      </c>
      <c r="B2208">
        <v>33</v>
      </c>
      <c r="C2208" s="1" t="s">
        <v>36</v>
      </c>
      <c r="D2208" s="1" t="s">
        <v>37</v>
      </c>
      <c r="E2208" s="2">
        <v>44659</v>
      </c>
      <c r="F2208" s="2">
        <v>44416</v>
      </c>
      <c r="G2208" s="1" t="s">
        <v>38</v>
      </c>
      <c r="H2208">
        <v>1088</v>
      </c>
      <c r="I2208">
        <v>34</v>
      </c>
      <c r="J2208">
        <v>3</v>
      </c>
      <c r="K2208">
        <v>90.65</v>
      </c>
      <c r="L2208">
        <v>5</v>
      </c>
      <c r="M2208" s="1" t="s">
        <v>50</v>
      </c>
      <c r="N2208" s="1" t="s">
        <v>40</v>
      </c>
      <c r="O2208">
        <v>36937.599999999999</v>
      </c>
      <c r="P2208" t="b">
        <v>0</v>
      </c>
      <c r="Q2208">
        <v>2.8333333333333335</v>
      </c>
      <c r="R2208">
        <v>1086.3999999999999</v>
      </c>
      <c r="S2208">
        <v>22.662500000000001</v>
      </c>
      <c r="T2208" s="2">
        <v>44652</v>
      </c>
      <c r="U2208" s="1" t="s">
        <v>57</v>
      </c>
      <c r="V2208">
        <v>1</v>
      </c>
      <c r="W2208" s="1" t="s">
        <v>40</v>
      </c>
      <c r="Y2208" s="1" t="s">
        <v>43</v>
      </c>
      <c r="Z2208" s="1" t="s">
        <v>42</v>
      </c>
      <c r="AA2208">
        <v>8.5714285714285715E-2</v>
      </c>
      <c r="AB2208" s="1" t="s">
        <v>43</v>
      </c>
      <c r="AC2208">
        <v>1</v>
      </c>
      <c r="AD2208" s="2">
        <v>44652</v>
      </c>
      <c r="AE2208" s="1" t="s">
        <v>44</v>
      </c>
      <c r="AF2208" s="1" t="s">
        <v>72</v>
      </c>
      <c r="AG2208" s="1" t="s">
        <v>63</v>
      </c>
      <c r="AH2208" s="1" t="s">
        <v>47</v>
      </c>
      <c r="AI2208">
        <v>36992</v>
      </c>
      <c r="AJ2208">
        <v>-54.400000000001455</v>
      </c>
    </row>
    <row r="2209" spans="1:36" x14ac:dyDescent="0.25">
      <c r="A2209">
        <v>12208</v>
      </c>
      <c r="B2209">
        <v>64</v>
      </c>
      <c r="C2209" s="1" t="s">
        <v>60</v>
      </c>
      <c r="D2209" s="1" t="s">
        <v>37</v>
      </c>
      <c r="E2209" s="2">
        <v>44921</v>
      </c>
      <c r="F2209" s="2">
        <v>44583</v>
      </c>
      <c r="G2209" s="1" t="s">
        <v>38</v>
      </c>
      <c r="H2209">
        <v>1115</v>
      </c>
      <c r="I2209">
        <v>18</v>
      </c>
      <c r="J2209">
        <v>1</v>
      </c>
      <c r="K2209">
        <v>10.5</v>
      </c>
      <c r="L2209">
        <v>5</v>
      </c>
      <c r="M2209" s="1" t="s">
        <v>65</v>
      </c>
      <c r="N2209" s="1" t="s">
        <v>40</v>
      </c>
      <c r="O2209">
        <v>20014.25</v>
      </c>
      <c r="P2209" t="b">
        <v>0</v>
      </c>
      <c r="Q2209">
        <v>1.5</v>
      </c>
      <c r="R2209">
        <v>1111.9027777777778</v>
      </c>
      <c r="S2209">
        <v>5.25</v>
      </c>
      <c r="T2209" s="2">
        <v>44896</v>
      </c>
      <c r="U2209" s="1" t="s">
        <v>41</v>
      </c>
      <c r="V2209">
        <v>1</v>
      </c>
      <c r="W2209" s="1" t="s">
        <v>40</v>
      </c>
      <c r="Y2209" s="1" t="s">
        <v>42</v>
      </c>
      <c r="Z2209" s="1" t="s">
        <v>42</v>
      </c>
      <c r="AA2209">
        <v>5.2631578947368418E-2</v>
      </c>
      <c r="AB2209" s="1" t="s">
        <v>43</v>
      </c>
      <c r="AC2209">
        <v>1</v>
      </c>
      <c r="AD2209" s="2">
        <v>44896</v>
      </c>
      <c r="AE2209" s="1" t="s">
        <v>53</v>
      </c>
      <c r="AF2209" s="1" t="s">
        <v>54</v>
      </c>
      <c r="AG2209" s="1" t="s">
        <v>46</v>
      </c>
      <c r="AH2209" s="1" t="s">
        <v>47</v>
      </c>
      <c r="AI2209">
        <v>20070</v>
      </c>
      <c r="AJ2209">
        <v>-55.75</v>
      </c>
    </row>
    <row r="2210" spans="1:36" x14ac:dyDescent="0.25">
      <c r="A2210">
        <v>12209</v>
      </c>
      <c r="B2210">
        <v>32</v>
      </c>
      <c r="C2210" s="1" t="s">
        <v>36</v>
      </c>
      <c r="D2210" s="1" t="s">
        <v>71</v>
      </c>
      <c r="E2210" s="2">
        <v>45016</v>
      </c>
      <c r="F2210" s="2">
        <v>44907</v>
      </c>
      <c r="G2210" s="1" t="s">
        <v>49</v>
      </c>
      <c r="H2210">
        <v>490</v>
      </c>
      <c r="I2210">
        <v>2</v>
      </c>
      <c r="J2210">
        <v>2</v>
      </c>
      <c r="K2210">
        <v>10.28</v>
      </c>
      <c r="L2210">
        <v>10</v>
      </c>
      <c r="M2210" s="1" t="s">
        <v>65</v>
      </c>
      <c r="N2210" s="1" t="s">
        <v>56</v>
      </c>
      <c r="O2210">
        <v>882</v>
      </c>
      <c r="P2210" t="b">
        <v>0</v>
      </c>
      <c r="Q2210">
        <v>0.16666666666666666</v>
      </c>
      <c r="R2210">
        <v>441</v>
      </c>
      <c r="S2210">
        <v>3.4266666666666663</v>
      </c>
      <c r="T2210" s="2">
        <v>44986</v>
      </c>
      <c r="U2210" s="1" t="s">
        <v>57</v>
      </c>
      <c r="V2210">
        <v>0</v>
      </c>
      <c r="W2210" s="1" t="s">
        <v>56</v>
      </c>
      <c r="Y2210" s="1" t="s">
        <v>42</v>
      </c>
      <c r="Z2210" s="1" t="s">
        <v>42</v>
      </c>
      <c r="AA2210">
        <v>0.66666666666666663</v>
      </c>
      <c r="AB2210" s="1" t="s">
        <v>42</v>
      </c>
      <c r="AC2210">
        <v>3</v>
      </c>
      <c r="AD2210" s="2">
        <v>44986</v>
      </c>
      <c r="AE2210" s="1" t="s">
        <v>58</v>
      </c>
      <c r="AF2210" s="1" t="s">
        <v>72</v>
      </c>
      <c r="AG2210" s="1" t="s">
        <v>46</v>
      </c>
      <c r="AH2210" s="1" t="s">
        <v>68</v>
      </c>
      <c r="AI2210">
        <v>980</v>
      </c>
      <c r="AJ2210">
        <v>-98</v>
      </c>
    </row>
    <row r="2211" spans="1:36" x14ac:dyDescent="0.25">
      <c r="A2211">
        <v>12210</v>
      </c>
      <c r="B2211">
        <v>42</v>
      </c>
      <c r="C2211" s="1" t="s">
        <v>36</v>
      </c>
      <c r="D2211" s="1" t="s">
        <v>71</v>
      </c>
      <c r="E2211" s="2">
        <v>44297</v>
      </c>
      <c r="F2211" s="2">
        <v>44728</v>
      </c>
      <c r="G2211" s="1" t="s">
        <v>38</v>
      </c>
      <c r="H2211">
        <v>760</v>
      </c>
      <c r="I2211">
        <v>16</v>
      </c>
      <c r="J2211">
        <v>3</v>
      </c>
      <c r="K2211">
        <v>98.25</v>
      </c>
      <c r="L2211">
        <v>20</v>
      </c>
      <c r="M2211" s="1" t="s">
        <v>65</v>
      </c>
      <c r="N2211" s="1" t="s">
        <v>56</v>
      </c>
      <c r="O2211">
        <v>12008</v>
      </c>
      <c r="P2211" t="b">
        <v>1</v>
      </c>
      <c r="Q2211">
        <v>1.3333333333333333</v>
      </c>
      <c r="R2211">
        <v>750.5</v>
      </c>
      <c r="S2211">
        <v>24.5625</v>
      </c>
      <c r="T2211" s="2">
        <v>44287</v>
      </c>
      <c r="U2211" s="1" t="s">
        <v>51</v>
      </c>
      <c r="V2211">
        <v>0</v>
      </c>
      <c r="W2211" s="1" t="s">
        <v>56</v>
      </c>
      <c r="X2211">
        <v>431</v>
      </c>
      <c r="Y2211" s="1" t="s">
        <v>43</v>
      </c>
      <c r="Z2211" s="1" t="s">
        <v>52</v>
      </c>
      <c r="AA2211">
        <v>0.17647058823529413</v>
      </c>
      <c r="AB2211" s="1" t="s">
        <v>52</v>
      </c>
      <c r="AC2211">
        <v>1</v>
      </c>
      <c r="AD2211" s="2">
        <v>44287</v>
      </c>
      <c r="AE2211" s="1" t="s">
        <v>53</v>
      </c>
      <c r="AF2211" s="1" t="s">
        <v>72</v>
      </c>
      <c r="AG2211" s="1" t="s">
        <v>63</v>
      </c>
      <c r="AH2211" s="1" t="s">
        <v>59</v>
      </c>
      <c r="AI2211">
        <v>12160</v>
      </c>
      <c r="AJ2211">
        <v>-152</v>
      </c>
    </row>
    <row r="2212" spans="1:36" x14ac:dyDescent="0.25">
      <c r="A2212">
        <v>12211</v>
      </c>
      <c r="B2212">
        <v>53</v>
      </c>
      <c r="C2212" s="1" t="s">
        <v>36</v>
      </c>
      <c r="D2212" s="1" t="s">
        <v>71</v>
      </c>
      <c r="E2212" s="2">
        <v>44252</v>
      </c>
      <c r="F2212" s="2">
        <v>44404</v>
      </c>
      <c r="G2212" s="1" t="s">
        <v>49</v>
      </c>
      <c r="H2212">
        <v>963</v>
      </c>
      <c r="I2212">
        <v>29</v>
      </c>
      <c r="J2212">
        <v>0</v>
      </c>
      <c r="K2212">
        <v>54.94</v>
      </c>
      <c r="L2212">
        <v>15</v>
      </c>
      <c r="M2212" s="1" t="s">
        <v>50</v>
      </c>
      <c r="N2212" s="1" t="s">
        <v>56</v>
      </c>
      <c r="O2212">
        <v>27782.55</v>
      </c>
      <c r="P2212" t="b">
        <v>1</v>
      </c>
      <c r="Q2212">
        <v>2.4166666666666665</v>
      </c>
      <c r="R2212">
        <v>958.01896551724133</v>
      </c>
      <c r="S2212">
        <v>54.94</v>
      </c>
      <c r="T2212" s="2">
        <v>44228</v>
      </c>
      <c r="U2212" s="1" t="s">
        <v>41</v>
      </c>
      <c r="V2212">
        <v>0</v>
      </c>
      <c r="W2212" s="1" t="s">
        <v>40</v>
      </c>
      <c r="X2212">
        <v>152</v>
      </c>
      <c r="Y2212" s="1" t="s">
        <v>52</v>
      </c>
      <c r="Z2212" s="1" t="s">
        <v>42</v>
      </c>
      <c r="AA2212">
        <v>0</v>
      </c>
      <c r="AB2212" s="1" t="s">
        <v>43</v>
      </c>
      <c r="AC2212">
        <v>3</v>
      </c>
      <c r="AD2212" s="2">
        <v>44228</v>
      </c>
      <c r="AE2212" s="1" t="s">
        <v>44</v>
      </c>
      <c r="AF2212" s="1" t="s">
        <v>54</v>
      </c>
      <c r="AG2212" s="1" t="s">
        <v>63</v>
      </c>
      <c r="AH2212" s="1" t="s">
        <v>59</v>
      </c>
      <c r="AI2212">
        <v>27927</v>
      </c>
      <c r="AJ2212">
        <v>-144.45000000000073</v>
      </c>
    </row>
    <row r="2213" spans="1:36" x14ac:dyDescent="0.25">
      <c r="A2213">
        <v>12212</v>
      </c>
      <c r="B2213">
        <v>28</v>
      </c>
      <c r="C2213" s="1" t="s">
        <v>36</v>
      </c>
      <c r="D2213" s="1" t="s">
        <v>61</v>
      </c>
      <c r="E2213" s="2">
        <v>44528</v>
      </c>
      <c r="F2213" s="2">
        <v>44624</v>
      </c>
      <c r="G2213" s="1" t="s">
        <v>38</v>
      </c>
      <c r="H2213">
        <v>532</v>
      </c>
      <c r="I2213">
        <v>33</v>
      </c>
      <c r="J2213">
        <v>2</v>
      </c>
      <c r="K2213">
        <v>44.24</v>
      </c>
      <c r="L2213">
        <v>0</v>
      </c>
      <c r="M2213" s="1" t="s">
        <v>65</v>
      </c>
      <c r="N2213" s="1" t="s">
        <v>56</v>
      </c>
      <c r="O2213">
        <v>17556</v>
      </c>
      <c r="P2213" t="b">
        <v>1</v>
      </c>
      <c r="Q2213">
        <v>2.75</v>
      </c>
      <c r="R2213">
        <v>532</v>
      </c>
      <c r="S2213">
        <v>14.746666666666668</v>
      </c>
      <c r="T2213" s="2">
        <v>44501</v>
      </c>
      <c r="U2213" s="1" t="s">
        <v>57</v>
      </c>
      <c r="V2213">
        <v>0</v>
      </c>
      <c r="W2213" s="1" t="s">
        <v>40</v>
      </c>
      <c r="X2213">
        <v>96</v>
      </c>
      <c r="Y2213" s="1" t="s">
        <v>52</v>
      </c>
      <c r="Z2213" s="1" t="s">
        <v>42</v>
      </c>
      <c r="AA2213">
        <v>5.8823529411764705E-2</v>
      </c>
      <c r="AB2213" s="1" t="s">
        <v>52</v>
      </c>
      <c r="AC2213">
        <v>1</v>
      </c>
      <c r="AD2213" s="2">
        <v>44501</v>
      </c>
      <c r="AE2213" s="1" t="s">
        <v>44</v>
      </c>
      <c r="AF2213" s="1" t="s">
        <v>72</v>
      </c>
      <c r="AG2213" s="1" t="s">
        <v>55</v>
      </c>
      <c r="AH2213" s="1" t="s">
        <v>64</v>
      </c>
      <c r="AI2213">
        <v>17556</v>
      </c>
      <c r="AJ2213">
        <v>0</v>
      </c>
    </row>
    <row r="2214" spans="1:36" x14ac:dyDescent="0.25">
      <c r="A2214">
        <v>12213</v>
      </c>
      <c r="B2214">
        <v>32</v>
      </c>
      <c r="C2214" s="1" t="s">
        <v>36</v>
      </c>
      <c r="D2214" s="1" t="s">
        <v>71</v>
      </c>
      <c r="E2214" s="2">
        <v>45032</v>
      </c>
      <c r="F2214" s="2">
        <v>45197</v>
      </c>
      <c r="G2214" s="1" t="s">
        <v>49</v>
      </c>
      <c r="H2214">
        <v>773</v>
      </c>
      <c r="I2214">
        <v>16</v>
      </c>
      <c r="J2214">
        <v>3</v>
      </c>
      <c r="K2214">
        <v>74.87</v>
      </c>
      <c r="L2214">
        <v>20</v>
      </c>
      <c r="M2214" s="1" t="s">
        <v>65</v>
      </c>
      <c r="N2214" s="1" t="s">
        <v>40</v>
      </c>
      <c r="O2214">
        <v>12213.4</v>
      </c>
      <c r="P2214" t="b">
        <v>1</v>
      </c>
      <c r="Q2214">
        <v>1.3333333333333333</v>
      </c>
      <c r="R2214">
        <v>763.33749999999998</v>
      </c>
      <c r="S2214">
        <v>18.717500000000001</v>
      </c>
      <c r="T2214" s="2">
        <v>45017</v>
      </c>
      <c r="U2214" s="1" t="s">
        <v>57</v>
      </c>
      <c r="V2214">
        <v>1</v>
      </c>
      <c r="W2214" s="1" t="s">
        <v>56</v>
      </c>
      <c r="X2214">
        <v>165</v>
      </c>
      <c r="Y2214" s="1" t="s">
        <v>43</v>
      </c>
      <c r="Z2214" s="1" t="s">
        <v>52</v>
      </c>
      <c r="AA2214">
        <v>0.17647058823529413</v>
      </c>
      <c r="AB2214" s="1" t="s">
        <v>52</v>
      </c>
      <c r="AC2214">
        <v>3</v>
      </c>
      <c r="AD2214" s="2">
        <v>45017</v>
      </c>
      <c r="AE2214" s="1" t="s">
        <v>53</v>
      </c>
      <c r="AF2214" s="1" t="s">
        <v>72</v>
      </c>
      <c r="AG2214" s="1" t="s">
        <v>63</v>
      </c>
      <c r="AH2214" s="1" t="s">
        <v>59</v>
      </c>
      <c r="AI2214">
        <v>12368</v>
      </c>
      <c r="AJ2214">
        <v>-154.60000000000036</v>
      </c>
    </row>
    <row r="2215" spans="1:36" x14ac:dyDescent="0.25">
      <c r="A2215">
        <v>12214</v>
      </c>
      <c r="B2215">
        <v>21</v>
      </c>
      <c r="C2215" s="1" t="s">
        <v>60</v>
      </c>
      <c r="D2215" s="1" t="s">
        <v>69</v>
      </c>
      <c r="E2215" s="2">
        <v>44947</v>
      </c>
      <c r="F2215" s="2">
        <v>44446</v>
      </c>
      <c r="G2215" s="1" t="s">
        <v>38</v>
      </c>
      <c r="H2215">
        <v>957</v>
      </c>
      <c r="I2215">
        <v>35</v>
      </c>
      <c r="J2215">
        <v>2</v>
      </c>
      <c r="K2215">
        <v>85.72</v>
      </c>
      <c r="L2215">
        <v>15</v>
      </c>
      <c r="M2215" s="1" t="s">
        <v>50</v>
      </c>
      <c r="N2215" s="1" t="s">
        <v>56</v>
      </c>
      <c r="O2215">
        <v>33351.449999999997</v>
      </c>
      <c r="P2215" t="b">
        <v>0</v>
      </c>
      <c r="Q2215">
        <v>2.9166666666666665</v>
      </c>
      <c r="R2215">
        <v>952.89857142857136</v>
      </c>
      <c r="S2215">
        <v>28.573333333333334</v>
      </c>
      <c r="T2215" s="2">
        <v>44927</v>
      </c>
      <c r="U2215" s="1" t="s">
        <v>66</v>
      </c>
      <c r="V2215">
        <v>0</v>
      </c>
      <c r="W2215" s="1" t="s">
        <v>40</v>
      </c>
      <c r="Y2215" s="1" t="s">
        <v>43</v>
      </c>
      <c r="Z2215" s="1" t="s">
        <v>42</v>
      </c>
      <c r="AA2215">
        <v>5.5555555555555552E-2</v>
      </c>
      <c r="AB2215" s="1" t="s">
        <v>43</v>
      </c>
      <c r="AC2215">
        <v>1</v>
      </c>
      <c r="AD2215" s="2">
        <v>44927</v>
      </c>
      <c r="AE2215" s="1" t="s">
        <v>44</v>
      </c>
      <c r="AF2215" s="1" t="s">
        <v>72</v>
      </c>
      <c r="AG2215" s="1" t="s">
        <v>63</v>
      </c>
      <c r="AH2215" s="1" t="s">
        <v>59</v>
      </c>
      <c r="AI2215">
        <v>33495</v>
      </c>
      <c r="AJ2215">
        <v>-143.55000000000291</v>
      </c>
    </row>
    <row r="2216" spans="1:36" x14ac:dyDescent="0.25">
      <c r="A2216">
        <v>12215</v>
      </c>
      <c r="B2216">
        <v>38</v>
      </c>
      <c r="C2216" s="1" t="s">
        <v>60</v>
      </c>
      <c r="D2216" s="1" t="s">
        <v>37</v>
      </c>
      <c r="E2216" s="2">
        <v>44589</v>
      </c>
      <c r="F2216" s="2">
        <v>44874</v>
      </c>
      <c r="G2216" s="1" t="s">
        <v>62</v>
      </c>
      <c r="H2216">
        <v>570</v>
      </c>
      <c r="I2216">
        <v>17</v>
      </c>
      <c r="J2216">
        <v>0</v>
      </c>
      <c r="K2216">
        <v>62.59</v>
      </c>
      <c r="L2216">
        <v>0</v>
      </c>
      <c r="M2216" s="1" t="s">
        <v>39</v>
      </c>
      <c r="N2216" s="1" t="s">
        <v>56</v>
      </c>
      <c r="O2216">
        <v>9690</v>
      </c>
      <c r="P2216" t="b">
        <v>1</v>
      </c>
      <c r="Q2216">
        <v>1.4166666666666667</v>
      </c>
      <c r="R2216">
        <v>570</v>
      </c>
      <c r="S2216">
        <v>62.59</v>
      </c>
      <c r="T2216" s="2">
        <v>44562</v>
      </c>
      <c r="U2216" s="1" t="s">
        <v>51</v>
      </c>
      <c r="V2216">
        <v>0</v>
      </c>
      <c r="W2216" s="1" t="s">
        <v>56</v>
      </c>
      <c r="X2216">
        <v>285</v>
      </c>
      <c r="Y2216" s="1" t="s">
        <v>43</v>
      </c>
      <c r="Z2216" s="1" t="s">
        <v>42</v>
      </c>
      <c r="AA2216">
        <v>0</v>
      </c>
      <c r="AB2216" s="1" t="s">
        <v>52</v>
      </c>
      <c r="AC2216">
        <v>2</v>
      </c>
      <c r="AD2216" s="2">
        <v>44562</v>
      </c>
      <c r="AE2216" s="1" t="s">
        <v>53</v>
      </c>
      <c r="AF2216" s="1" t="s">
        <v>54</v>
      </c>
      <c r="AG2216" s="1" t="s">
        <v>63</v>
      </c>
      <c r="AH2216" s="1" t="s">
        <v>64</v>
      </c>
      <c r="AI2216">
        <v>9690</v>
      </c>
      <c r="AJ2216">
        <v>0</v>
      </c>
    </row>
    <row r="2217" spans="1:36" x14ac:dyDescent="0.25">
      <c r="A2217">
        <v>12216</v>
      </c>
      <c r="B2217">
        <v>30</v>
      </c>
      <c r="C2217" s="1" t="s">
        <v>60</v>
      </c>
      <c r="D2217" s="1" t="s">
        <v>69</v>
      </c>
      <c r="E2217" s="2">
        <v>44939</v>
      </c>
      <c r="F2217" s="2">
        <v>44672</v>
      </c>
      <c r="G2217" s="1" t="s">
        <v>38</v>
      </c>
      <c r="H2217">
        <v>1457</v>
      </c>
      <c r="I2217">
        <v>4</v>
      </c>
      <c r="J2217">
        <v>1</v>
      </c>
      <c r="K2217">
        <v>26.32</v>
      </c>
      <c r="L2217">
        <v>0</v>
      </c>
      <c r="M2217" s="1" t="s">
        <v>67</v>
      </c>
      <c r="N2217" s="1" t="s">
        <v>40</v>
      </c>
      <c r="O2217">
        <v>5828</v>
      </c>
      <c r="P2217" t="b">
        <v>0</v>
      </c>
      <c r="Q2217">
        <v>0.33333333333333331</v>
      </c>
      <c r="R2217">
        <v>1457</v>
      </c>
      <c r="S2217">
        <v>13.16</v>
      </c>
      <c r="T2217" s="2">
        <v>44927</v>
      </c>
      <c r="U2217" s="1" t="s">
        <v>57</v>
      </c>
      <c r="V2217">
        <v>1</v>
      </c>
      <c r="W2217" s="1" t="s">
        <v>56</v>
      </c>
      <c r="Y2217" s="1" t="s">
        <v>52</v>
      </c>
      <c r="Z2217" s="1" t="s">
        <v>42</v>
      </c>
      <c r="AA2217">
        <v>0.2</v>
      </c>
      <c r="AB2217" s="1" t="s">
        <v>42</v>
      </c>
      <c r="AC2217">
        <v>1</v>
      </c>
      <c r="AD2217" s="2">
        <v>44927</v>
      </c>
      <c r="AE2217" s="1" t="s">
        <v>58</v>
      </c>
      <c r="AF2217" s="1" t="s">
        <v>54</v>
      </c>
      <c r="AG2217" s="1" t="s">
        <v>70</v>
      </c>
      <c r="AH2217" s="1" t="s">
        <v>47</v>
      </c>
      <c r="AI2217">
        <v>5828</v>
      </c>
      <c r="AJ2217">
        <v>0</v>
      </c>
    </row>
    <row r="2218" spans="1:36" x14ac:dyDescent="0.25">
      <c r="A2218">
        <v>12217</v>
      </c>
      <c r="B2218">
        <v>39</v>
      </c>
      <c r="C2218" s="1" t="s">
        <v>36</v>
      </c>
      <c r="D2218" s="1" t="s">
        <v>73</v>
      </c>
      <c r="E2218" s="2">
        <v>45070</v>
      </c>
      <c r="F2218" s="2">
        <v>44808</v>
      </c>
      <c r="G2218" s="1" t="s">
        <v>38</v>
      </c>
      <c r="H2218">
        <v>470</v>
      </c>
      <c r="I2218">
        <v>4</v>
      </c>
      <c r="J2218">
        <v>1</v>
      </c>
      <c r="K2218">
        <v>115.19</v>
      </c>
      <c r="L2218">
        <v>0</v>
      </c>
      <c r="M2218" s="1" t="s">
        <v>50</v>
      </c>
      <c r="N2218" s="1" t="s">
        <v>56</v>
      </c>
      <c r="O2218">
        <v>1880</v>
      </c>
      <c r="P2218" t="b">
        <v>0</v>
      </c>
      <c r="Q2218">
        <v>0.33333333333333331</v>
      </c>
      <c r="R2218">
        <v>470</v>
      </c>
      <c r="S2218">
        <v>57.594999999999999</v>
      </c>
      <c r="T2218" s="2">
        <v>45047</v>
      </c>
      <c r="U2218" s="1" t="s">
        <v>51</v>
      </c>
      <c r="V2218">
        <v>0</v>
      </c>
      <c r="W2218" s="1" t="s">
        <v>56</v>
      </c>
      <c r="Y2218" s="1" t="s">
        <v>43</v>
      </c>
      <c r="Z2218" s="1" t="s">
        <v>42</v>
      </c>
      <c r="AA2218">
        <v>0.2</v>
      </c>
      <c r="AB2218" s="1" t="s">
        <v>42</v>
      </c>
      <c r="AC2218">
        <v>1</v>
      </c>
      <c r="AD2218" s="2">
        <v>45047</v>
      </c>
      <c r="AE2218" s="1" t="s">
        <v>58</v>
      </c>
      <c r="AF2218" s="1" t="s">
        <v>54</v>
      </c>
      <c r="AG2218" s="1" t="s">
        <v>63</v>
      </c>
      <c r="AH2218" s="1" t="s">
        <v>68</v>
      </c>
      <c r="AI2218">
        <v>1880</v>
      </c>
      <c r="AJ2218">
        <v>0</v>
      </c>
    </row>
    <row r="2219" spans="1:36" x14ac:dyDescent="0.25">
      <c r="A2219">
        <v>12218</v>
      </c>
      <c r="B2219">
        <v>36</v>
      </c>
      <c r="C2219" s="1" t="s">
        <v>36</v>
      </c>
      <c r="D2219" s="1" t="s">
        <v>71</v>
      </c>
      <c r="E2219" s="2">
        <v>44577</v>
      </c>
      <c r="F2219" s="2">
        <v>44526</v>
      </c>
      <c r="G2219" s="1" t="s">
        <v>38</v>
      </c>
      <c r="H2219">
        <v>327</v>
      </c>
      <c r="I2219">
        <v>25</v>
      </c>
      <c r="J2219">
        <v>2</v>
      </c>
      <c r="K2219">
        <v>72.81</v>
      </c>
      <c r="L2219">
        <v>10</v>
      </c>
      <c r="M2219" s="1" t="s">
        <v>50</v>
      </c>
      <c r="N2219" s="1" t="s">
        <v>40</v>
      </c>
      <c r="O2219">
        <v>8142.3</v>
      </c>
      <c r="P2219" t="b">
        <v>0</v>
      </c>
      <c r="Q2219">
        <v>2.0833333333333335</v>
      </c>
      <c r="R2219">
        <v>325.69200000000001</v>
      </c>
      <c r="S2219">
        <v>24.27</v>
      </c>
      <c r="T2219" s="2">
        <v>44562</v>
      </c>
      <c r="U2219" s="1" t="s">
        <v>51</v>
      </c>
      <c r="V2219">
        <v>1</v>
      </c>
      <c r="W2219" s="1" t="s">
        <v>56</v>
      </c>
      <c r="Y2219" s="1" t="s">
        <v>43</v>
      </c>
      <c r="Z2219" s="1" t="s">
        <v>42</v>
      </c>
      <c r="AA2219">
        <v>7.6923076923076927E-2</v>
      </c>
      <c r="AB2219" s="1" t="s">
        <v>42</v>
      </c>
      <c r="AC2219">
        <v>1</v>
      </c>
      <c r="AD2219" s="2">
        <v>44562</v>
      </c>
      <c r="AE2219" s="1" t="s">
        <v>44</v>
      </c>
      <c r="AF2219" s="1" t="s">
        <v>72</v>
      </c>
      <c r="AG2219" s="1" t="s">
        <v>63</v>
      </c>
      <c r="AH2219" s="1" t="s">
        <v>68</v>
      </c>
      <c r="AI2219">
        <v>8175</v>
      </c>
      <c r="AJ2219">
        <v>-32.699999999999818</v>
      </c>
    </row>
    <row r="2220" spans="1:36" x14ac:dyDescent="0.25">
      <c r="A2220">
        <v>12219</v>
      </c>
      <c r="B2220">
        <v>51</v>
      </c>
      <c r="C2220" s="1" t="s">
        <v>60</v>
      </c>
      <c r="D2220" s="1" t="s">
        <v>61</v>
      </c>
      <c r="E2220" s="2">
        <v>44288</v>
      </c>
      <c r="F2220" s="2">
        <v>45191</v>
      </c>
      <c r="G2220" s="1" t="s">
        <v>38</v>
      </c>
      <c r="H2220">
        <v>435</v>
      </c>
      <c r="I2220">
        <v>33</v>
      </c>
      <c r="J2220">
        <v>2</v>
      </c>
      <c r="K2220">
        <v>49.86</v>
      </c>
      <c r="L2220">
        <v>0</v>
      </c>
      <c r="M2220" s="1" t="s">
        <v>65</v>
      </c>
      <c r="N2220" s="1" t="s">
        <v>56</v>
      </c>
      <c r="O2220">
        <v>14355</v>
      </c>
      <c r="P2220" t="b">
        <v>1</v>
      </c>
      <c r="Q2220">
        <v>2.75</v>
      </c>
      <c r="R2220">
        <v>435</v>
      </c>
      <c r="S2220">
        <v>16.62</v>
      </c>
      <c r="T2220" s="2">
        <v>44287</v>
      </c>
      <c r="U2220" s="1" t="s">
        <v>41</v>
      </c>
      <c r="V2220">
        <v>0</v>
      </c>
      <c r="W2220" s="1" t="s">
        <v>40</v>
      </c>
      <c r="X2220">
        <v>903</v>
      </c>
      <c r="Y2220" s="1" t="s">
        <v>52</v>
      </c>
      <c r="Z2220" s="1" t="s">
        <v>42</v>
      </c>
      <c r="AA2220">
        <v>5.8823529411764705E-2</v>
      </c>
      <c r="AB2220" s="1" t="s">
        <v>52</v>
      </c>
      <c r="AC2220">
        <v>1</v>
      </c>
      <c r="AD2220" s="2">
        <v>44287</v>
      </c>
      <c r="AE2220" s="1" t="s">
        <v>44</v>
      </c>
      <c r="AF2220" s="1" t="s">
        <v>72</v>
      </c>
      <c r="AG2220" s="1" t="s">
        <v>63</v>
      </c>
      <c r="AH2220" s="1" t="s">
        <v>68</v>
      </c>
      <c r="AI2220">
        <v>14355</v>
      </c>
      <c r="AJ2220">
        <v>0</v>
      </c>
    </row>
    <row r="2221" spans="1:36" x14ac:dyDescent="0.25">
      <c r="A2221">
        <v>12220</v>
      </c>
      <c r="B2221">
        <v>41</v>
      </c>
      <c r="C2221" s="1" t="s">
        <v>60</v>
      </c>
      <c r="D2221" s="1" t="s">
        <v>73</v>
      </c>
      <c r="E2221" s="2">
        <v>44987</v>
      </c>
      <c r="F2221" s="2">
        <v>44921</v>
      </c>
      <c r="G2221" s="1" t="s">
        <v>38</v>
      </c>
      <c r="H2221">
        <v>1224</v>
      </c>
      <c r="I2221">
        <v>14</v>
      </c>
      <c r="J2221">
        <v>3</v>
      </c>
      <c r="K2221">
        <v>97.17</v>
      </c>
      <c r="L2221">
        <v>15</v>
      </c>
      <c r="M2221" s="1" t="s">
        <v>50</v>
      </c>
      <c r="N2221" s="1" t="s">
        <v>56</v>
      </c>
      <c r="O2221">
        <v>16952.400000000001</v>
      </c>
      <c r="P2221" t="b">
        <v>0</v>
      </c>
      <c r="Q2221">
        <v>1.1666666666666667</v>
      </c>
      <c r="R2221">
        <v>1210.8857142857144</v>
      </c>
      <c r="S2221">
        <v>24.2925</v>
      </c>
      <c r="T2221" s="2">
        <v>44986</v>
      </c>
      <c r="U2221" s="1" t="s">
        <v>51</v>
      </c>
      <c r="V2221">
        <v>0</v>
      </c>
      <c r="W2221" s="1" t="s">
        <v>40</v>
      </c>
      <c r="Y2221" s="1" t="s">
        <v>43</v>
      </c>
      <c r="Z2221" s="1" t="s">
        <v>42</v>
      </c>
      <c r="AA2221">
        <v>0.2</v>
      </c>
      <c r="AB2221" s="1" t="s">
        <v>52</v>
      </c>
      <c r="AC2221">
        <v>1</v>
      </c>
      <c r="AD2221" s="2">
        <v>44986</v>
      </c>
      <c r="AE2221" s="1" t="s">
        <v>53</v>
      </c>
      <c r="AF2221" s="1" t="s">
        <v>72</v>
      </c>
      <c r="AG2221" s="1" t="s">
        <v>63</v>
      </c>
      <c r="AH2221" s="1" t="s">
        <v>47</v>
      </c>
      <c r="AI2221">
        <v>17136</v>
      </c>
      <c r="AJ2221">
        <v>-183.59999999999854</v>
      </c>
    </row>
    <row r="2222" spans="1:36" x14ac:dyDescent="0.25">
      <c r="A2222">
        <v>12221</v>
      </c>
      <c r="B2222">
        <v>21</v>
      </c>
      <c r="C2222" s="1" t="s">
        <v>60</v>
      </c>
      <c r="D2222" s="1" t="s">
        <v>61</v>
      </c>
      <c r="E2222" s="2">
        <v>44643</v>
      </c>
      <c r="F2222" s="2">
        <v>44466</v>
      </c>
      <c r="G2222" s="1" t="s">
        <v>62</v>
      </c>
      <c r="H2222">
        <v>704</v>
      </c>
      <c r="I2222">
        <v>24</v>
      </c>
      <c r="J2222">
        <v>4</v>
      </c>
      <c r="K2222">
        <v>65.39</v>
      </c>
      <c r="L2222">
        <v>0</v>
      </c>
      <c r="M2222" s="1" t="s">
        <v>50</v>
      </c>
      <c r="N2222" s="1" t="s">
        <v>40</v>
      </c>
      <c r="O2222">
        <v>16896</v>
      </c>
      <c r="P2222" t="b">
        <v>0</v>
      </c>
      <c r="Q2222">
        <v>2</v>
      </c>
      <c r="R2222">
        <v>704</v>
      </c>
      <c r="S2222">
        <v>13.077999999999999</v>
      </c>
      <c r="T2222" s="2">
        <v>44621</v>
      </c>
      <c r="U2222" s="1" t="s">
        <v>66</v>
      </c>
      <c r="V2222">
        <v>1</v>
      </c>
      <c r="W2222" s="1" t="s">
        <v>40</v>
      </c>
      <c r="Y2222" s="1" t="s">
        <v>43</v>
      </c>
      <c r="Z2222" s="1" t="s">
        <v>42</v>
      </c>
      <c r="AA2222">
        <v>0.16</v>
      </c>
      <c r="AB2222" s="1" t="s">
        <v>52</v>
      </c>
      <c r="AC2222">
        <v>2</v>
      </c>
      <c r="AD2222" s="2">
        <v>44621</v>
      </c>
      <c r="AE2222" s="1" t="s">
        <v>53</v>
      </c>
      <c r="AF2222" s="1" t="s">
        <v>45</v>
      </c>
      <c r="AG2222" s="1" t="s">
        <v>63</v>
      </c>
      <c r="AH2222" s="1" t="s">
        <v>59</v>
      </c>
      <c r="AI2222">
        <v>16896</v>
      </c>
      <c r="AJ2222">
        <v>0</v>
      </c>
    </row>
    <row r="2223" spans="1:36" x14ac:dyDescent="0.25">
      <c r="A2223">
        <v>12222</v>
      </c>
      <c r="B2223">
        <v>63</v>
      </c>
      <c r="C2223" s="1" t="s">
        <v>36</v>
      </c>
      <c r="D2223" s="1" t="s">
        <v>73</v>
      </c>
      <c r="E2223" s="2">
        <v>44305</v>
      </c>
      <c r="F2223" s="2">
        <v>44816</v>
      </c>
      <c r="G2223" s="1" t="s">
        <v>62</v>
      </c>
      <c r="H2223">
        <v>1276</v>
      </c>
      <c r="I2223">
        <v>11</v>
      </c>
      <c r="J2223">
        <v>2</v>
      </c>
      <c r="K2223">
        <v>32.79</v>
      </c>
      <c r="L2223">
        <v>0</v>
      </c>
      <c r="M2223" s="1" t="s">
        <v>67</v>
      </c>
      <c r="N2223" s="1" t="s">
        <v>56</v>
      </c>
      <c r="O2223">
        <v>14036</v>
      </c>
      <c r="P2223" t="b">
        <v>1</v>
      </c>
      <c r="Q2223">
        <v>0.91666666666666663</v>
      </c>
      <c r="R2223">
        <v>1276</v>
      </c>
      <c r="S2223">
        <v>10.93</v>
      </c>
      <c r="T2223" s="2">
        <v>44287</v>
      </c>
      <c r="U2223" s="1" t="s">
        <v>41</v>
      </c>
      <c r="V2223">
        <v>0</v>
      </c>
      <c r="W2223" s="1" t="s">
        <v>40</v>
      </c>
      <c r="X2223">
        <v>511</v>
      </c>
      <c r="Y2223" s="1" t="s">
        <v>52</v>
      </c>
      <c r="Z2223" s="1" t="s">
        <v>42</v>
      </c>
      <c r="AA2223">
        <v>0.16666666666666666</v>
      </c>
      <c r="AB2223" s="1" t="s">
        <v>52</v>
      </c>
      <c r="AC2223">
        <v>2</v>
      </c>
      <c r="AD2223" s="2">
        <v>44287</v>
      </c>
      <c r="AE2223" s="1" t="s">
        <v>74</v>
      </c>
      <c r="AF2223" s="1" t="s">
        <v>72</v>
      </c>
      <c r="AG2223" s="1" t="s">
        <v>55</v>
      </c>
      <c r="AH2223" s="1" t="s">
        <v>47</v>
      </c>
      <c r="AI2223">
        <v>14036</v>
      </c>
      <c r="AJ2223">
        <v>0</v>
      </c>
    </row>
    <row r="2224" spans="1:36" x14ac:dyDescent="0.25">
      <c r="A2224">
        <v>12223</v>
      </c>
      <c r="B2224">
        <v>44</v>
      </c>
      <c r="C2224" s="1" t="s">
        <v>60</v>
      </c>
      <c r="D2224" s="1" t="s">
        <v>37</v>
      </c>
      <c r="E2224" s="2">
        <v>44513</v>
      </c>
      <c r="F2224" s="2">
        <v>44896</v>
      </c>
      <c r="G2224" s="1" t="s">
        <v>62</v>
      </c>
      <c r="H2224">
        <v>1187</v>
      </c>
      <c r="I2224">
        <v>25</v>
      </c>
      <c r="J2224">
        <v>0</v>
      </c>
      <c r="K2224">
        <v>28.77</v>
      </c>
      <c r="L2224">
        <v>15</v>
      </c>
      <c r="M2224" s="1" t="s">
        <v>50</v>
      </c>
      <c r="N2224" s="1" t="s">
        <v>56</v>
      </c>
      <c r="O2224">
        <v>29496.95</v>
      </c>
      <c r="P2224" t="b">
        <v>1</v>
      </c>
      <c r="Q2224">
        <v>2.0833333333333335</v>
      </c>
      <c r="R2224">
        <v>1179.8779999999999</v>
      </c>
      <c r="S2224">
        <v>28.77</v>
      </c>
      <c r="T2224" s="2">
        <v>44501</v>
      </c>
      <c r="U2224" s="1" t="s">
        <v>51</v>
      </c>
      <c r="V2224">
        <v>0</v>
      </c>
      <c r="W2224" s="1" t="s">
        <v>40</v>
      </c>
      <c r="X2224">
        <v>383</v>
      </c>
      <c r="Y2224" s="1" t="s">
        <v>52</v>
      </c>
      <c r="Z2224" s="1" t="s">
        <v>42</v>
      </c>
      <c r="AA2224">
        <v>0</v>
      </c>
      <c r="AB2224" s="1" t="s">
        <v>43</v>
      </c>
      <c r="AC2224">
        <v>2</v>
      </c>
      <c r="AD2224" s="2">
        <v>44501</v>
      </c>
      <c r="AE2224" s="1" t="s">
        <v>44</v>
      </c>
      <c r="AF2224" s="1" t="s">
        <v>54</v>
      </c>
      <c r="AG2224" s="1" t="s">
        <v>70</v>
      </c>
      <c r="AH2224" s="1" t="s">
        <v>47</v>
      </c>
      <c r="AI2224">
        <v>29675</v>
      </c>
      <c r="AJ2224">
        <v>-178.04999999999927</v>
      </c>
    </row>
    <row r="2225" spans="1:36" x14ac:dyDescent="0.25">
      <c r="A2225">
        <v>12224</v>
      </c>
      <c r="B2225">
        <v>46</v>
      </c>
      <c r="C2225" s="1" t="s">
        <v>36</v>
      </c>
      <c r="D2225" s="1" t="s">
        <v>69</v>
      </c>
      <c r="E2225" s="2">
        <v>44364</v>
      </c>
      <c r="F2225" s="2">
        <v>44993</v>
      </c>
      <c r="G2225" s="1" t="s">
        <v>62</v>
      </c>
      <c r="H2225">
        <v>1155</v>
      </c>
      <c r="I2225">
        <v>28</v>
      </c>
      <c r="J2225">
        <v>0</v>
      </c>
      <c r="K2225">
        <v>50.64</v>
      </c>
      <c r="L2225">
        <v>10</v>
      </c>
      <c r="M2225" s="1" t="s">
        <v>65</v>
      </c>
      <c r="N2225" s="1" t="s">
        <v>56</v>
      </c>
      <c r="O2225">
        <v>32282.25</v>
      </c>
      <c r="P2225" t="b">
        <v>1</v>
      </c>
      <c r="Q2225">
        <v>2.3333333333333335</v>
      </c>
      <c r="R2225">
        <v>1152.9375</v>
      </c>
      <c r="S2225">
        <v>50.64</v>
      </c>
      <c r="T2225" s="2">
        <v>44348</v>
      </c>
      <c r="U2225" s="1" t="s">
        <v>51</v>
      </c>
      <c r="V2225">
        <v>0</v>
      </c>
      <c r="W2225" s="1" t="s">
        <v>40</v>
      </c>
      <c r="X2225">
        <v>629</v>
      </c>
      <c r="Y2225" s="1" t="s">
        <v>52</v>
      </c>
      <c r="Z2225" s="1" t="s">
        <v>42</v>
      </c>
      <c r="AA2225">
        <v>0</v>
      </c>
      <c r="AB2225" s="1" t="s">
        <v>43</v>
      </c>
      <c r="AC2225">
        <v>2</v>
      </c>
      <c r="AD2225" s="2">
        <v>44348</v>
      </c>
      <c r="AE2225" s="1" t="s">
        <v>44</v>
      </c>
      <c r="AF2225" s="1" t="s">
        <v>54</v>
      </c>
      <c r="AG2225" s="1" t="s">
        <v>63</v>
      </c>
      <c r="AH2225" s="1" t="s">
        <v>47</v>
      </c>
      <c r="AI2225">
        <v>32340</v>
      </c>
      <c r="AJ2225">
        <v>-57.75</v>
      </c>
    </row>
    <row r="2226" spans="1:36" x14ac:dyDescent="0.25">
      <c r="A2226">
        <v>12225</v>
      </c>
      <c r="B2226">
        <v>64</v>
      </c>
      <c r="C2226" s="1" t="s">
        <v>75</v>
      </c>
      <c r="D2226" s="1" t="s">
        <v>48</v>
      </c>
      <c r="E2226" s="2">
        <v>45008</v>
      </c>
      <c r="F2226" s="2">
        <v>44802</v>
      </c>
      <c r="G2226" s="1" t="s">
        <v>62</v>
      </c>
      <c r="H2226">
        <v>743</v>
      </c>
      <c r="I2226">
        <v>7</v>
      </c>
      <c r="J2226">
        <v>3</v>
      </c>
      <c r="K2226">
        <v>103.89</v>
      </c>
      <c r="L2226">
        <v>0</v>
      </c>
      <c r="M2226" s="1" t="s">
        <v>67</v>
      </c>
      <c r="N2226" s="1" t="s">
        <v>56</v>
      </c>
      <c r="O2226">
        <v>5201</v>
      </c>
      <c r="P2226" t="b">
        <v>0</v>
      </c>
      <c r="Q2226">
        <v>0.58333333333333337</v>
      </c>
      <c r="R2226">
        <v>743</v>
      </c>
      <c r="S2226">
        <v>25.9725</v>
      </c>
      <c r="T2226" s="2">
        <v>44986</v>
      </c>
      <c r="U2226" s="1" t="s">
        <v>41</v>
      </c>
      <c r="V2226">
        <v>0</v>
      </c>
      <c r="W2226" s="1" t="s">
        <v>56</v>
      </c>
      <c r="Y2226" s="1" t="s">
        <v>43</v>
      </c>
      <c r="Z2226" s="1" t="s">
        <v>42</v>
      </c>
      <c r="AA2226">
        <v>0.375</v>
      </c>
      <c r="AB2226" s="1" t="s">
        <v>42</v>
      </c>
      <c r="AC2226">
        <v>2</v>
      </c>
      <c r="AD2226" s="2">
        <v>44986</v>
      </c>
      <c r="AE2226" s="1" t="s">
        <v>74</v>
      </c>
      <c r="AF2226" s="1" t="s">
        <v>72</v>
      </c>
      <c r="AG2226" s="1" t="s">
        <v>63</v>
      </c>
      <c r="AH2226" s="1" t="s">
        <v>59</v>
      </c>
      <c r="AI2226">
        <v>5201</v>
      </c>
      <c r="AJ2226">
        <v>0</v>
      </c>
    </row>
    <row r="2227" spans="1:36" x14ac:dyDescent="0.25">
      <c r="A2227">
        <v>12226</v>
      </c>
      <c r="B2227">
        <v>45</v>
      </c>
      <c r="C2227" s="1" t="s">
        <v>60</v>
      </c>
      <c r="D2227" s="1" t="s">
        <v>69</v>
      </c>
      <c r="E2227" s="2">
        <v>44631</v>
      </c>
      <c r="F2227" s="2">
        <v>44373</v>
      </c>
      <c r="G2227" s="1" t="s">
        <v>38</v>
      </c>
      <c r="H2227">
        <v>733</v>
      </c>
      <c r="I2227">
        <v>10</v>
      </c>
      <c r="J2227">
        <v>2</v>
      </c>
      <c r="K2227">
        <v>12.07</v>
      </c>
      <c r="L2227">
        <v>15</v>
      </c>
      <c r="M2227" s="1" t="s">
        <v>50</v>
      </c>
      <c r="N2227" s="1" t="s">
        <v>56</v>
      </c>
      <c r="O2227">
        <v>7220.05</v>
      </c>
      <c r="P2227" t="b">
        <v>0</v>
      </c>
      <c r="Q2227">
        <v>0.83333333333333337</v>
      </c>
      <c r="R2227">
        <v>722.005</v>
      </c>
      <c r="S2227">
        <v>4.0233333333333334</v>
      </c>
      <c r="T2227" s="2">
        <v>44621</v>
      </c>
      <c r="U2227" s="1" t="s">
        <v>51</v>
      </c>
      <c r="V2227">
        <v>0</v>
      </c>
      <c r="W2227" s="1" t="s">
        <v>56</v>
      </c>
      <c r="Y2227" s="1" t="s">
        <v>42</v>
      </c>
      <c r="Z2227" s="1" t="s">
        <v>42</v>
      </c>
      <c r="AA2227">
        <v>0.18181818181818182</v>
      </c>
      <c r="AB2227" s="1" t="s">
        <v>42</v>
      </c>
      <c r="AC2227">
        <v>1</v>
      </c>
      <c r="AD2227" s="2">
        <v>44621</v>
      </c>
      <c r="AE2227" s="1" t="s">
        <v>74</v>
      </c>
      <c r="AF2227" s="1" t="s">
        <v>72</v>
      </c>
      <c r="AG2227" s="1" t="s">
        <v>46</v>
      </c>
      <c r="AH2227" s="1" t="s">
        <v>59</v>
      </c>
      <c r="AI2227">
        <v>7330</v>
      </c>
      <c r="AJ2227">
        <v>-109.94999999999982</v>
      </c>
    </row>
    <row r="2228" spans="1:36" x14ac:dyDescent="0.25">
      <c r="A2228">
        <v>12227</v>
      </c>
      <c r="B2228">
        <v>52</v>
      </c>
      <c r="C2228" s="1" t="s">
        <v>60</v>
      </c>
      <c r="D2228" s="1" t="s">
        <v>71</v>
      </c>
      <c r="E2228" s="2">
        <v>44638</v>
      </c>
      <c r="F2228" s="2">
        <v>44837</v>
      </c>
      <c r="G2228" s="1" t="s">
        <v>62</v>
      </c>
      <c r="H2228">
        <v>808</v>
      </c>
      <c r="I2228">
        <v>31</v>
      </c>
      <c r="J2228">
        <v>1</v>
      </c>
      <c r="K2228">
        <v>30.13</v>
      </c>
      <c r="L2228">
        <v>20</v>
      </c>
      <c r="M2228" s="1" t="s">
        <v>65</v>
      </c>
      <c r="N2228" s="1" t="s">
        <v>40</v>
      </c>
      <c r="O2228">
        <v>24886.400000000001</v>
      </c>
      <c r="P2228" t="b">
        <v>1</v>
      </c>
      <c r="Q2228">
        <v>2.5833333333333335</v>
      </c>
      <c r="R2228">
        <v>802.78709677419363</v>
      </c>
      <c r="S2228">
        <v>15.065</v>
      </c>
      <c r="T2228" s="2">
        <v>44621</v>
      </c>
      <c r="U2228" s="1" t="s">
        <v>41</v>
      </c>
      <c r="V2228">
        <v>1</v>
      </c>
      <c r="W2228" s="1" t="s">
        <v>40</v>
      </c>
      <c r="X2228">
        <v>199</v>
      </c>
      <c r="Y2228" s="1" t="s">
        <v>52</v>
      </c>
      <c r="Z2228" s="1" t="s">
        <v>52</v>
      </c>
      <c r="AA2228">
        <v>3.125E-2</v>
      </c>
      <c r="AB2228" s="1" t="s">
        <v>43</v>
      </c>
      <c r="AC2228">
        <v>2</v>
      </c>
      <c r="AD2228" s="2">
        <v>44621</v>
      </c>
      <c r="AE2228" s="1" t="s">
        <v>44</v>
      </c>
      <c r="AF2228" s="1" t="s">
        <v>54</v>
      </c>
      <c r="AG2228" s="1" t="s">
        <v>55</v>
      </c>
      <c r="AH2228" s="1" t="s">
        <v>59</v>
      </c>
      <c r="AI2228">
        <v>25048</v>
      </c>
      <c r="AJ2228">
        <v>-161.59999999999854</v>
      </c>
    </row>
    <row r="2229" spans="1:36" x14ac:dyDescent="0.25">
      <c r="A2229">
        <v>12228</v>
      </c>
      <c r="B2229">
        <v>41</v>
      </c>
      <c r="C2229" s="1" t="s">
        <v>60</v>
      </c>
      <c r="D2229" s="1" t="s">
        <v>48</v>
      </c>
      <c r="E2229" s="2">
        <v>44414</v>
      </c>
      <c r="F2229" s="2">
        <v>44355</v>
      </c>
      <c r="G2229" s="1" t="s">
        <v>38</v>
      </c>
      <c r="H2229">
        <v>333</v>
      </c>
      <c r="I2229">
        <v>19</v>
      </c>
      <c r="J2229">
        <v>5</v>
      </c>
      <c r="K2229">
        <v>107.71</v>
      </c>
      <c r="L2229">
        <v>15</v>
      </c>
      <c r="M2229" s="1" t="s">
        <v>67</v>
      </c>
      <c r="N2229" s="1" t="s">
        <v>56</v>
      </c>
      <c r="O2229">
        <v>6277.05</v>
      </c>
      <c r="P2229" t="b">
        <v>0</v>
      </c>
      <c r="Q2229">
        <v>1.5833333333333333</v>
      </c>
      <c r="R2229">
        <v>330.37105263157895</v>
      </c>
      <c r="S2229">
        <v>17.951666666666664</v>
      </c>
      <c r="T2229" s="2">
        <v>44409</v>
      </c>
      <c r="U2229" s="1" t="s">
        <v>51</v>
      </c>
      <c r="V2229">
        <v>0</v>
      </c>
      <c r="W2229" s="1" t="s">
        <v>56</v>
      </c>
      <c r="Y2229" s="1" t="s">
        <v>43</v>
      </c>
      <c r="Z2229" s="1" t="s">
        <v>42</v>
      </c>
      <c r="AA2229">
        <v>0.25</v>
      </c>
      <c r="AB2229" s="1" t="s">
        <v>42</v>
      </c>
      <c r="AC2229">
        <v>1</v>
      </c>
      <c r="AD2229" s="2">
        <v>44409</v>
      </c>
      <c r="AE2229" s="1" t="s">
        <v>53</v>
      </c>
      <c r="AF2229" s="1" t="s">
        <v>45</v>
      </c>
      <c r="AG2229" s="1" t="s">
        <v>63</v>
      </c>
      <c r="AH2229" s="1" t="s">
        <v>68</v>
      </c>
      <c r="AI2229">
        <v>6327</v>
      </c>
      <c r="AJ2229">
        <v>-49.949999999999818</v>
      </c>
    </row>
    <row r="2230" spans="1:36" x14ac:dyDescent="0.25">
      <c r="A2230">
        <v>12229</v>
      </c>
      <c r="B2230">
        <v>33</v>
      </c>
      <c r="C2230" s="1" t="s">
        <v>60</v>
      </c>
      <c r="D2230" s="1" t="s">
        <v>61</v>
      </c>
      <c r="E2230" s="2">
        <v>44418</v>
      </c>
      <c r="F2230" s="2">
        <v>44863</v>
      </c>
      <c r="G2230" s="1" t="s">
        <v>49</v>
      </c>
      <c r="H2230">
        <v>1325</v>
      </c>
      <c r="I2230">
        <v>18</v>
      </c>
      <c r="J2230">
        <v>1</v>
      </c>
      <c r="K2230">
        <v>19</v>
      </c>
      <c r="L2230">
        <v>10</v>
      </c>
      <c r="M2230" s="1" t="s">
        <v>50</v>
      </c>
      <c r="N2230" s="1" t="s">
        <v>56</v>
      </c>
      <c r="O2230">
        <v>23717.5</v>
      </c>
      <c r="P2230" t="b">
        <v>1</v>
      </c>
      <c r="Q2230">
        <v>1.5</v>
      </c>
      <c r="R2230">
        <v>1317.6388888888889</v>
      </c>
      <c r="S2230">
        <v>9.5</v>
      </c>
      <c r="T2230" s="2">
        <v>44409</v>
      </c>
      <c r="U2230" s="1" t="s">
        <v>57</v>
      </c>
      <c r="V2230">
        <v>0</v>
      </c>
      <c r="W2230" s="1" t="s">
        <v>40</v>
      </c>
      <c r="X2230">
        <v>445</v>
      </c>
      <c r="Y2230" s="1" t="s">
        <v>42</v>
      </c>
      <c r="Z2230" s="1" t="s">
        <v>42</v>
      </c>
      <c r="AA2230">
        <v>5.2631578947368418E-2</v>
      </c>
      <c r="AB2230" s="1" t="s">
        <v>43</v>
      </c>
      <c r="AC2230">
        <v>3</v>
      </c>
      <c r="AD2230" s="2">
        <v>44409</v>
      </c>
      <c r="AE2230" s="1" t="s">
        <v>53</v>
      </c>
      <c r="AF2230" s="1" t="s">
        <v>54</v>
      </c>
      <c r="AG2230" s="1" t="s">
        <v>46</v>
      </c>
      <c r="AH2230" s="1" t="s">
        <v>47</v>
      </c>
      <c r="AI2230">
        <v>23850</v>
      </c>
      <c r="AJ2230">
        <v>-132.5</v>
      </c>
    </row>
    <row r="2231" spans="1:36" x14ac:dyDescent="0.25">
      <c r="A2231">
        <v>12230</v>
      </c>
      <c r="B2231">
        <v>59</v>
      </c>
      <c r="C2231" s="1" t="s">
        <v>60</v>
      </c>
      <c r="D2231" s="1" t="s">
        <v>76</v>
      </c>
      <c r="E2231" s="2">
        <v>44869</v>
      </c>
      <c r="F2231" s="2">
        <v>44880</v>
      </c>
      <c r="G2231" s="1" t="s">
        <v>38</v>
      </c>
      <c r="H2231">
        <v>661</v>
      </c>
      <c r="I2231">
        <v>6</v>
      </c>
      <c r="J2231">
        <v>3</v>
      </c>
      <c r="K2231">
        <v>62.59</v>
      </c>
      <c r="L2231">
        <v>20</v>
      </c>
      <c r="M2231" s="1" t="s">
        <v>65</v>
      </c>
      <c r="N2231" s="1" t="s">
        <v>56</v>
      </c>
      <c r="O2231">
        <v>3833.8</v>
      </c>
      <c r="P2231" t="b">
        <v>1</v>
      </c>
      <c r="Q2231">
        <v>0.5</v>
      </c>
      <c r="R2231">
        <v>638.9666666666667</v>
      </c>
      <c r="S2231">
        <v>15.647500000000001</v>
      </c>
      <c r="T2231" s="2">
        <v>44866</v>
      </c>
      <c r="U2231" s="1" t="s">
        <v>41</v>
      </c>
      <c r="V2231">
        <v>0</v>
      </c>
      <c r="W2231" s="1" t="s">
        <v>56</v>
      </c>
      <c r="X2231">
        <v>11</v>
      </c>
      <c r="Y2231" s="1" t="s">
        <v>43</v>
      </c>
      <c r="Z2231" s="1" t="s">
        <v>52</v>
      </c>
      <c r="AA2231">
        <v>0.42857142857142855</v>
      </c>
      <c r="AB2231" s="1" t="s">
        <v>42</v>
      </c>
      <c r="AC2231">
        <v>1</v>
      </c>
      <c r="AD2231" s="2">
        <v>44866</v>
      </c>
      <c r="AE2231" s="1" t="s">
        <v>58</v>
      </c>
      <c r="AF2231" s="1" t="s">
        <v>72</v>
      </c>
      <c r="AG2231" s="1" t="s">
        <v>63</v>
      </c>
      <c r="AH2231" s="1" t="s">
        <v>64</v>
      </c>
      <c r="AI2231">
        <v>3966</v>
      </c>
      <c r="AJ2231">
        <v>-132.19999999999982</v>
      </c>
    </row>
    <row r="2232" spans="1:36" x14ac:dyDescent="0.25">
      <c r="A2232">
        <v>12231</v>
      </c>
      <c r="B2232">
        <v>53</v>
      </c>
      <c r="C2232" s="1" t="s">
        <v>60</v>
      </c>
      <c r="D2232" s="1" t="s">
        <v>37</v>
      </c>
      <c r="E2232" s="2">
        <v>44724</v>
      </c>
      <c r="F2232" s="2">
        <v>44496</v>
      </c>
      <c r="G2232" s="1" t="s">
        <v>38</v>
      </c>
      <c r="H2232">
        <v>905</v>
      </c>
      <c r="I2232">
        <v>28</v>
      </c>
      <c r="J2232">
        <v>4</v>
      </c>
      <c r="K2232">
        <v>29.55</v>
      </c>
      <c r="L2232">
        <v>10</v>
      </c>
      <c r="M2232" s="1" t="s">
        <v>67</v>
      </c>
      <c r="N2232" s="1" t="s">
        <v>56</v>
      </c>
      <c r="O2232">
        <v>25294.75</v>
      </c>
      <c r="P2232" t="b">
        <v>0</v>
      </c>
      <c r="Q2232">
        <v>2.3333333333333335</v>
      </c>
      <c r="R2232">
        <v>903.38392857142856</v>
      </c>
      <c r="S2232">
        <v>5.91</v>
      </c>
      <c r="T2232" s="2">
        <v>44713</v>
      </c>
      <c r="U2232" s="1" t="s">
        <v>41</v>
      </c>
      <c r="V2232">
        <v>0</v>
      </c>
      <c r="W2232" s="1" t="s">
        <v>40</v>
      </c>
      <c r="Y2232" s="1" t="s">
        <v>52</v>
      </c>
      <c r="Z2232" s="1" t="s">
        <v>42</v>
      </c>
      <c r="AA2232">
        <v>0.13793103448275862</v>
      </c>
      <c r="AB2232" s="1" t="s">
        <v>43</v>
      </c>
      <c r="AC2232">
        <v>1</v>
      </c>
      <c r="AD2232" s="2">
        <v>44713</v>
      </c>
      <c r="AE2232" s="1" t="s">
        <v>44</v>
      </c>
      <c r="AF2232" s="1" t="s">
        <v>45</v>
      </c>
      <c r="AG2232" s="1" t="s">
        <v>70</v>
      </c>
      <c r="AH2232" s="1" t="s">
        <v>59</v>
      </c>
      <c r="AI2232">
        <v>25340</v>
      </c>
      <c r="AJ2232">
        <v>-45.25</v>
      </c>
    </row>
    <row r="2233" spans="1:36" x14ac:dyDescent="0.25">
      <c r="A2233">
        <v>12232</v>
      </c>
      <c r="B2233">
        <v>47</v>
      </c>
      <c r="C2233" s="1" t="s">
        <v>36</v>
      </c>
      <c r="D2233" s="1" t="s">
        <v>76</v>
      </c>
      <c r="E2233" s="2">
        <v>44474</v>
      </c>
      <c r="F2233" s="2">
        <v>44835</v>
      </c>
      <c r="G2233" s="1" t="s">
        <v>62</v>
      </c>
      <c r="H2233">
        <v>1015</v>
      </c>
      <c r="I2233">
        <v>7</v>
      </c>
      <c r="J2233">
        <v>4</v>
      </c>
      <c r="K2233">
        <v>74.67</v>
      </c>
      <c r="L2233">
        <v>5</v>
      </c>
      <c r="M2233" s="1" t="s">
        <v>65</v>
      </c>
      <c r="N2233" s="1" t="s">
        <v>40</v>
      </c>
      <c r="O2233">
        <v>7054.25</v>
      </c>
      <c r="P2233" t="b">
        <v>1</v>
      </c>
      <c r="Q2233">
        <v>0.58333333333333337</v>
      </c>
      <c r="R2233">
        <v>1007.75</v>
      </c>
      <c r="S2233">
        <v>14.934000000000001</v>
      </c>
      <c r="T2233" s="2">
        <v>44470</v>
      </c>
      <c r="U2233" s="1" t="s">
        <v>51</v>
      </c>
      <c r="V2233">
        <v>1</v>
      </c>
      <c r="W2233" s="1" t="s">
        <v>56</v>
      </c>
      <c r="X2233">
        <v>361</v>
      </c>
      <c r="Y2233" s="1" t="s">
        <v>43</v>
      </c>
      <c r="Z2233" s="1" t="s">
        <v>42</v>
      </c>
      <c r="AA2233">
        <v>0.5</v>
      </c>
      <c r="AB2233" s="1" t="s">
        <v>42</v>
      </c>
      <c r="AC2233">
        <v>2</v>
      </c>
      <c r="AD2233" s="2">
        <v>44470</v>
      </c>
      <c r="AE2233" s="1" t="s">
        <v>74</v>
      </c>
      <c r="AF2233" s="1" t="s">
        <v>45</v>
      </c>
      <c r="AG2233" s="1" t="s">
        <v>63</v>
      </c>
      <c r="AH2233" s="1" t="s">
        <v>47</v>
      </c>
      <c r="AI2233">
        <v>7105</v>
      </c>
      <c r="AJ2233">
        <v>-50.75</v>
      </c>
    </row>
    <row r="2234" spans="1:36" x14ac:dyDescent="0.25">
      <c r="A2234">
        <v>12233</v>
      </c>
      <c r="B2234">
        <v>35</v>
      </c>
      <c r="C2234" s="1" t="s">
        <v>60</v>
      </c>
      <c r="D2234" s="1" t="s">
        <v>76</v>
      </c>
      <c r="E2234" s="2">
        <v>44765</v>
      </c>
      <c r="F2234" s="2">
        <v>44372</v>
      </c>
      <c r="G2234" s="1" t="s">
        <v>38</v>
      </c>
      <c r="H2234">
        <v>549</v>
      </c>
      <c r="I2234">
        <v>12</v>
      </c>
      <c r="J2234">
        <v>6</v>
      </c>
      <c r="K2234">
        <v>49.06</v>
      </c>
      <c r="L2234">
        <v>15</v>
      </c>
      <c r="M2234" s="1" t="s">
        <v>67</v>
      </c>
      <c r="N2234" s="1" t="s">
        <v>40</v>
      </c>
      <c r="O2234">
        <v>6505.65</v>
      </c>
      <c r="P2234" t="b">
        <v>0</v>
      </c>
      <c r="Q2234">
        <v>1</v>
      </c>
      <c r="R2234">
        <v>542.13749999999993</v>
      </c>
      <c r="S2234">
        <v>7.0085714285714289</v>
      </c>
      <c r="T2234" s="2">
        <v>44743</v>
      </c>
      <c r="U2234" s="1" t="s">
        <v>57</v>
      </c>
      <c r="V2234">
        <v>1</v>
      </c>
      <c r="W2234" s="1" t="s">
        <v>56</v>
      </c>
      <c r="Y2234" s="1" t="s">
        <v>52</v>
      </c>
      <c r="Z2234" s="1" t="s">
        <v>42</v>
      </c>
      <c r="AA2234">
        <v>0.46153846153846156</v>
      </c>
      <c r="AB2234" s="1" t="s">
        <v>42</v>
      </c>
      <c r="AC2234">
        <v>1</v>
      </c>
      <c r="AD2234" s="2">
        <v>44743</v>
      </c>
      <c r="AE2234" s="1" t="s">
        <v>74</v>
      </c>
      <c r="AF2234" s="1" t="s">
        <v>78</v>
      </c>
      <c r="AG2234" s="1" t="s">
        <v>63</v>
      </c>
      <c r="AH2234" s="1" t="s">
        <v>64</v>
      </c>
      <c r="AI2234">
        <v>6588</v>
      </c>
      <c r="AJ2234">
        <v>-82.350000000000364</v>
      </c>
    </row>
    <row r="2235" spans="1:36" x14ac:dyDescent="0.25">
      <c r="A2235">
        <v>12234</v>
      </c>
      <c r="B2235">
        <v>19</v>
      </c>
      <c r="C2235" s="1" t="s">
        <v>36</v>
      </c>
      <c r="D2235" s="1" t="s">
        <v>61</v>
      </c>
      <c r="E2235" s="2">
        <v>44770</v>
      </c>
      <c r="F2235" s="2">
        <v>45002</v>
      </c>
      <c r="G2235" s="1" t="s">
        <v>49</v>
      </c>
      <c r="H2235">
        <v>446</v>
      </c>
      <c r="I2235">
        <v>34</v>
      </c>
      <c r="J2235">
        <v>1</v>
      </c>
      <c r="K2235">
        <v>16.690000000000001</v>
      </c>
      <c r="L2235">
        <v>15</v>
      </c>
      <c r="M2235" s="1" t="s">
        <v>50</v>
      </c>
      <c r="N2235" s="1" t="s">
        <v>56</v>
      </c>
      <c r="O2235">
        <v>15097.1</v>
      </c>
      <c r="P2235" t="b">
        <v>1</v>
      </c>
      <c r="Q2235">
        <v>2.8333333333333335</v>
      </c>
      <c r="R2235">
        <v>444.0323529411765</v>
      </c>
      <c r="S2235">
        <v>8.3450000000000006</v>
      </c>
      <c r="T2235" s="2">
        <v>44743</v>
      </c>
      <c r="U2235" s="1" t="s">
        <v>66</v>
      </c>
      <c r="V2235">
        <v>0</v>
      </c>
      <c r="W2235" s="1" t="s">
        <v>40</v>
      </c>
      <c r="X2235">
        <v>232</v>
      </c>
      <c r="Y2235" s="1" t="s">
        <v>42</v>
      </c>
      <c r="Z2235" s="1" t="s">
        <v>42</v>
      </c>
      <c r="AA2235">
        <v>2.8571428571428571E-2</v>
      </c>
      <c r="AB2235" s="1" t="s">
        <v>52</v>
      </c>
      <c r="AC2235">
        <v>3</v>
      </c>
      <c r="AD2235" s="2">
        <v>44743</v>
      </c>
      <c r="AE2235" s="1" t="s">
        <v>44</v>
      </c>
      <c r="AF2235" s="1" t="s">
        <v>54</v>
      </c>
      <c r="AG2235" s="1" t="s">
        <v>46</v>
      </c>
      <c r="AH2235" s="1" t="s">
        <v>68</v>
      </c>
      <c r="AI2235">
        <v>15164</v>
      </c>
      <c r="AJ2235">
        <v>-66.899999999999636</v>
      </c>
    </row>
    <row r="2236" spans="1:36" x14ac:dyDescent="0.25">
      <c r="A2236">
        <v>12235</v>
      </c>
      <c r="B2236">
        <v>41</v>
      </c>
      <c r="C2236" s="1" t="s">
        <v>36</v>
      </c>
      <c r="D2236" s="1" t="s">
        <v>73</v>
      </c>
      <c r="E2236" s="2">
        <v>45071</v>
      </c>
      <c r="F2236" s="2">
        <v>45104</v>
      </c>
      <c r="G2236" s="1" t="s">
        <v>49</v>
      </c>
      <c r="H2236">
        <v>647</v>
      </c>
      <c r="I2236">
        <v>25</v>
      </c>
      <c r="J2236">
        <v>4</v>
      </c>
      <c r="K2236">
        <v>71.98</v>
      </c>
      <c r="L2236">
        <v>0</v>
      </c>
      <c r="M2236" s="1" t="s">
        <v>39</v>
      </c>
      <c r="N2236" s="1" t="s">
        <v>56</v>
      </c>
      <c r="O2236">
        <v>16175</v>
      </c>
      <c r="P2236" t="b">
        <v>1</v>
      </c>
      <c r="Q2236">
        <v>2.0833333333333335</v>
      </c>
      <c r="R2236">
        <v>647</v>
      </c>
      <c r="S2236">
        <v>14.396000000000001</v>
      </c>
      <c r="T2236" s="2">
        <v>45047</v>
      </c>
      <c r="U2236" s="1" t="s">
        <v>51</v>
      </c>
      <c r="V2236">
        <v>0</v>
      </c>
      <c r="W2236" s="1" t="s">
        <v>40</v>
      </c>
      <c r="X2236">
        <v>33</v>
      </c>
      <c r="Y2236" s="1" t="s">
        <v>43</v>
      </c>
      <c r="Z2236" s="1" t="s">
        <v>42</v>
      </c>
      <c r="AA2236">
        <v>0.15384615384615385</v>
      </c>
      <c r="AB2236" s="1" t="s">
        <v>52</v>
      </c>
      <c r="AC2236">
        <v>3</v>
      </c>
      <c r="AD2236" s="2">
        <v>45047</v>
      </c>
      <c r="AE2236" s="1" t="s">
        <v>44</v>
      </c>
      <c r="AF2236" s="1" t="s">
        <v>45</v>
      </c>
      <c r="AG2236" s="1" t="s">
        <v>63</v>
      </c>
      <c r="AH2236" s="1" t="s">
        <v>64</v>
      </c>
      <c r="AI2236">
        <v>16175</v>
      </c>
      <c r="AJ2236">
        <v>0</v>
      </c>
    </row>
    <row r="2237" spans="1:36" x14ac:dyDescent="0.25">
      <c r="A2237">
        <v>12236</v>
      </c>
      <c r="B2237">
        <v>21</v>
      </c>
      <c r="C2237" s="1" t="s">
        <v>36</v>
      </c>
      <c r="D2237" s="1" t="s">
        <v>71</v>
      </c>
      <c r="E2237" s="2">
        <v>44662</v>
      </c>
      <c r="F2237" s="2">
        <v>44902</v>
      </c>
      <c r="G2237" s="1" t="s">
        <v>38</v>
      </c>
      <c r="H2237">
        <v>698</v>
      </c>
      <c r="I2237">
        <v>17</v>
      </c>
      <c r="J2237">
        <v>4</v>
      </c>
      <c r="K2237">
        <v>83.55</v>
      </c>
      <c r="L2237">
        <v>0</v>
      </c>
      <c r="M2237" s="1" t="s">
        <v>67</v>
      </c>
      <c r="N2237" s="1" t="s">
        <v>56</v>
      </c>
      <c r="O2237">
        <v>11866</v>
      </c>
      <c r="P2237" t="b">
        <v>1</v>
      </c>
      <c r="Q2237">
        <v>1.4166666666666667</v>
      </c>
      <c r="R2237">
        <v>698</v>
      </c>
      <c r="S2237">
        <v>16.71</v>
      </c>
      <c r="T2237" s="2">
        <v>44652</v>
      </c>
      <c r="U2237" s="1" t="s">
        <v>66</v>
      </c>
      <c r="V2237">
        <v>0</v>
      </c>
      <c r="W2237" s="1" t="s">
        <v>56</v>
      </c>
      <c r="X2237">
        <v>240</v>
      </c>
      <c r="Y2237" s="1" t="s">
        <v>43</v>
      </c>
      <c r="Z2237" s="1" t="s">
        <v>42</v>
      </c>
      <c r="AA2237">
        <v>0.22222222222222221</v>
      </c>
      <c r="AB2237" s="1" t="s">
        <v>52</v>
      </c>
      <c r="AC2237">
        <v>1</v>
      </c>
      <c r="AD2237" s="2">
        <v>44652</v>
      </c>
      <c r="AE2237" s="1" t="s">
        <v>53</v>
      </c>
      <c r="AF2237" s="1" t="s">
        <v>45</v>
      </c>
      <c r="AG2237" s="1" t="s">
        <v>63</v>
      </c>
      <c r="AH2237" s="1" t="s">
        <v>64</v>
      </c>
      <c r="AI2237">
        <v>11866</v>
      </c>
      <c r="AJ2237">
        <v>0</v>
      </c>
    </row>
    <row r="2238" spans="1:36" x14ac:dyDescent="0.25">
      <c r="A2238">
        <v>12237</v>
      </c>
      <c r="B2238">
        <v>43</v>
      </c>
      <c r="C2238" s="1" t="s">
        <v>60</v>
      </c>
      <c r="D2238" s="1" t="s">
        <v>48</v>
      </c>
      <c r="E2238" s="2">
        <v>45035</v>
      </c>
      <c r="F2238" s="2">
        <v>44772</v>
      </c>
      <c r="G2238" s="1" t="s">
        <v>38</v>
      </c>
      <c r="H2238">
        <v>1499</v>
      </c>
      <c r="I2238">
        <v>33</v>
      </c>
      <c r="J2238">
        <v>1</v>
      </c>
      <c r="K2238">
        <v>83.23</v>
      </c>
      <c r="L2238">
        <v>10</v>
      </c>
      <c r="M2238" s="1" t="s">
        <v>50</v>
      </c>
      <c r="N2238" s="1" t="s">
        <v>56</v>
      </c>
      <c r="O2238">
        <v>49317.1</v>
      </c>
      <c r="P2238" t="b">
        <v>0</v>
      </c>
      <c r="Q2238">
        <v>2.75</v>
      </c>
      <c r="R2238">
        <v>1494.4575757575758</v>
      </c>
      <c r="S2238">
        <v>41.615000000000002</v>
      </c>
      <c r="T2238" s="2">
        <v>45017</v>
      </c>
      <c r="U2238" s="1" t="s">
        <v>51</v>
      </c>
      <c r="V2238">
        <v>0</v>
      </c>
      <c r="W2238" s="1" t="s">
        <v>40</v>
      </c>
      <c r="Y2238" s="1" t="s">
        <v>43</v>
      </c>
      <c r="Z2238" s="1" t="s">
        <v>42</v>
      </c>
      <c r="AA2238">
        <v>2.9411764705882353E-2</v>
      </c>
      <c r="AB2238" s="1" t="s">
        <v>43</v>
      </c>
      <c r="AC2238">
        <v>1</v>
      </c>
      <c r="AD2238" s="2">
        <v>45017</v>
      </c>
      <c r="AE2238" s="1" t="s">
        <v>44</v>
      </c>
      <c r="AF2238" s="1" t="s">
        <v>54</v>
      </c>
      <c r="AG2238" s="1" t="s">
        <v>63</v>
      </c>
      <c r="AH2238" s="1" t="s">
        <v>47</v>
      </c>
      <c r="AI2238">
        <v>49467</v>
      </c>
      <c r="AJ2238">
        <v>-149.90000000000146</v>
      </c>
    </row>
    <row r="2239" spans="1:36" x14ac:dyDescent="0.25">
      <c r="A2239">
        <v>12238</v>
      </c>
      <c r="B2239">
        <v>42</v>
      </c>
      <c r="C2239" s="1" t="s">
        <v>36</v>
      </c>
      <c r="D2239" s="1" t="s">
        <v>61</v>
      </c>
      <c r="E2239" s="2">
        <v>44950</v>
      </c>
      <c r="F2239" s="2">
        <v>44640</v>
      </c>
      <c r="G2239" s="1" t="s">
        <v>62</v>
      </c>
      <c r="H2239">
        <v>424</v>
      </c>
      <c r="I2239">
        <v>23</v>
      </c>
      <c r="J2239">
        <v>1</v>
      </c>
      <c r="K2239">
        <v>78.260000000000005</v>
      </c>
      <c r="L2239">
        <v>0</v>
      </c>
      <c r="M2239" s="1" t="s">
        <v>67</v>
      </c>
      <c r="N2239" s="1" t="s">
        <v>56</v>
      </c>
      <c r="O2239">
        <v>9752</v>
      </c>
      <c r="P2239" t="b">
        <v>0</v>
      </c>
      <c r="Q2239">
        <v>1.9166666666666667</v>
      </c>
      <c r="R2239">
        <v>424</v>
      </c>
      <c r="S2239">
        <v>39.130000000000003</v>
      </c>
      <c r="T2239" s="2">
        <v>44927</v>
      </c>
      <c r="U2239" s="1" t="s">
        <v>51</v>
      </c>
      <c r="V2239">
        <v>0</v>
      </c>
      <c r="W2239" s="1" t="s">
        <v>56</v>
      </c>
      <c r="Y2239" s="1" t="s">
        <v>43</v>
      </c>
      <c r="Z2239" s="1" t="s">
        <v>42</v>
      </c>
      <c r="AA2239">
        <v>4.1666666666666664E-2</v>
      </c>
      <c r="AB2239" s="1" t="s">
        <v>52</v>
      </c>
      <c r="AC2239">
        <v>2</v>
      </c>
      <c r="AD2239" s="2">
        <v>44927</v>
      </c>
      <c r="AE2239" s="1" t="s">
        <v>53</v>
      </c>
      <c r="AF2239" s="1" t="s">
        <v>54</v>
      </c>
      <c r="AG2239" s="1" t="s">
        <v>63</v>
      </c>
      <c r="AH2239" s="1" t="s">
        <v>68</v>
      </c>
      <c r="AI2239">
        <v>9752</v>
      </c>
      <c r="AJ2239">
        <v>0</v>
      </c>
    </row>
    <row r="2240" spans="1:36" x14ac:dyDescent="0.25">
      <c r="A2240">
        <v>12239</v>
      </c>
      <c r="B2240">
        <v>47</v>
      </c>
      <c r="C2240" s="1" t="s">
        <v>60</v>
      </c>
      <c r="D2240" s="1" t="s">
        <v>71</v>
      </c>
      <c r="E2240" s="2">
        <v>44798</v>
      </c>
      <c r="F2240" s="2">
        <v>44532</v>
      </c>
      <c r="G2240" s="1" t="s">
        <v>62</v>
      </c>
      <c r="H2240">
        <v>1062</v>
      </c>
      <c r="I2240">
        <v>9</v>
      </c>
      <c r="J2240">
        <v>3</v>
      </c>
      <c r="K2240">
        <v>62.53</v>
      </c>
      <c r="L2240">
        <v>15</v>
      </c>
      <c r="M2240" s="1" t="s">
        <v>39</v>
      </c>
      <c r="N2240" s="1" t="s">
        <v>56</v>
      </c>
      <c r="O2240">
        <v>9398.7000000000007</v>
      </c>
      <c r="P2240" t="b">
        <v>0</v>
      </c>
      <c r="Q2240">
        <v>0.75</v>
      </c>
      <c r="R2240">
        <v>1044.3000000000002</v>
      </c>
      <c r="S2240">
        <v>15.6325</v>
      </c>
      <c r="T2240" s="2">
        <v>44774</v>
      </c>
      <c r="U2240" s="1" t="s">
        <v>51</v>
      </c>
      <c r="V2240">
        <v>0</v>
      </c>
      <c r="W2240" s="1" t="s">
        <v>56</v>
      </c>
      <c r="Y2240" s="1" t="s">
        <v>43</v>
      </c>
      <c r="Z2240" s="1" t="s">
        <v>42</v>
      </c>
      <c r="AA2240">
        <v>0.3</v>
      </c>
      <c r="AB2240" s="1" t="s">
        <v>52</v>
      </c>
      <c r="AC2240">
        <v>2</v>
      </c>
      <c r="AD2240" s="2">
        <v>44774</v>
      </c>
      <c r="AE2240" s="1" t="s">
        <v>74</v>
      </c>
      <c r="AF2240" s="1" t="s">
        <v>72</v>
      </c>
      <c r="AG2240" s="1" t="s">
        <v>63</v>
      </c>
      <c r="AH2240" s="1" t="s">
        <v>47</v>
      </c>
      <c r="AI2240">
        <v>9558</v>
      </c>
      <c r="AJ2240">
        <v>-159.29999999999927</v>
      </c>
    </row>
    <row r="2241" spans="1:36" x14ac:dyDescent="0.25">
      <c r="A2241">
        <v>12240</v>
      </c>
      <c r="B2241">
        <v>28</v>
      </c>
      <c r="C2241" s="1" t="s">
        <v>36</v>
      </c>
      <c r="D2241" s="1" t="s">
        <v>48</v>
      </c>
      <c r="E2241" s="2">
        <v>44780</v>
      </c>
      <c r="F2241" s="2">
        <v>44901</v>
      </c>
      <c r="G2241" s="1" t="s">
        <v>38</v>
      </c>
      <c r="H2241">
        <v>697</v>
      </c>
      <c r="I2241">
        <v>6</v>
      </c>
      <c r="J2241">
        <v>7</v>
      </c>
      <c r="K2241">
        <v>64.739999999999995</v>
      </c>
      <c r="L2241">
        <v>15</v>
      </c>
      <c r="M2241" s="1" t="s">
        <v>65</v>
      </c>
      <c r="N2241" s="1" t="s">
        <v>56</v>
      </c>
      <c r="O2241">
        <v>4077.45</v>
      </c>
      <c r="P2241" t="b">
        <v>1</v>
      </c>
      <c r="Q2241">
        <v>0.5</v>
      </c>
      <c r="R2241">
        <v>679.57499999999993</v>
      </c>
      <c r="S2241">
        <v>8.0924999999999994</v>
      </c>
      <c r="T2241" s="2">
        <v>44774</v>
      </c>
      <c r="U2241" s="1" t="s">
        <v>57</v>
      </c>
      <c r="V2241">
        <v>0</v>
      </c>
      <c r="W2241" s="1" t="s">
        <v>56</v>
      </c>
      <c r="X2241">
        <v>121</v>
      </c>
      <c r="Y2241" s="1" t="s">
        <v>43</v>
      </c>
      <c r="Z2241" s="1" t="s">
        <v>42</v>
      </c>
      <c r="AA2241">
        <v>1</v>
      </c>
      <c r="AB2241" s="1" t="s">
        <v>42</v>
      </c>
      <c r="AC2241">
        <v>1</v>
      </c>
      <c r="AD2241" s="2">
        <v>44774</v>
      </c>
      <c r="AE2241" s="1" t="s">
        <v>58</v>
      </c>
      <c r="AF2241" s="1" t="s">
        <v>78</v>
      </c>
      <c r="AG2241" s="1" t="s">
        <v>63</v>
      </c>
      <c r="AH2241" s="1" t="s">
        <v>64</v>
      </c>
      <c r="AI2241">
        <v>4182</v>
      </c>
      <c r="AJ2241">
        <v>-104.55000000000018</v>
      </c>
    </row>
    <row r="2242" spans="1:36" x14ac:dyDescent="0.25">
      <c r="A2242">
        <v>12241</v>
      </c>
      <c r="B2242">
        <v>41</v>
      </c>
      <c r="C2242" s="1" t="s">
        <v>36</v>
      </c>
      <c r="D2242" s="1" t="s">
        <v>61</v>
      </c>
      <c r="E2242" s="2">
        <v>45034</v>
      </c>
      <c r="F2242" s="2">
        <v>44778</v>
      </c>
      <c r="G2242" s="1" t="s">
        <v>62</v>
      </c>
      <c r="H2242">
        <v>430</v>
      </c>
      <c r="I2242">
        <v>2</v>
      </c>
      <c r="J2242">
        <v>7</v>
      </c>
      <c r="K2242">
        <v>78.099999999999994</v>
      </c>
      <c r="L2242">
        <v>0</v>
      </c>
      <c r="M2242" s="1" t="s">
        <v>39</v>
      </c>
      <c r="N2242" s="1" t="s">
        <v>40</v>
      </c>
      <c r="O2242">
        <v>860</v>
      </c>
      <c r="P2242" t="b">
        <v>0</v>
      </c>
      <c r="Q2242">
        <v>0.16666666666666666</v>
      </c>
      <c r="R2242">
        <v>430</v>
      </c>
      <c r="S2242">
        <v>9.7624999999999993</v>
      </c>
      <c r="T2242" s="2">
        <v>45017</v>
      </c>
      <c r="U2242" s="1" t="s">
        <v>51</v>
      </c>
      <c r="V2242">
        <v>1</v>
      </c>
      <c r="W2242" s="1" t="s">
        <v>56</v>
      </c>
      <c r="Y2242" s="1" t="s">
        <v>43</v>
      </c>
      <c r="Z2242" s="1" t="s">
        <v>42</v>
      </c>
      <c r="AA2242">
        <v>2.3333333333333335</v>
      </c>
      <c r="AB2242" s="1" t="s">
        <v>42</v>
      </c>
      <c r="AC2242">
        <v>2</v>
      </c>
      <c r="AD2242" s="2">
        <v>45017</v>
      </c>
      <c r="AE2242" s="1" t="s">
        <v>58</v>
      </c>
      <c r="AF2242" s="1" t="s">
        <v>78</v>
      </c>
      <c r="AG2242" s="1" t="s">
        <v>63</v>
      </c>
      <c r="AH2242" s="1" t="s">
        <v>68</v>
      </c>
      <c r="AI2242">
        <v>860</v>
      </c>
      <c r="AJ2242">
        <v>0</v>
      </c>
    </row>
    <row r="2243" spans="1:36" x14ac:dyDescent="0.25">
      <c r="A2243">
        <v>12242</v>
      </c>
      <c r="B2243">
        <v>48</v>
      </c>
      <c r="C2243" s="1" t="s">
        <v>36</v>
      </c>
      <c r="D2243" s="1" t="s">
        <v>76</v>
      </c>
      <c r="E2243" s="2">
        <v>44226</v>
      </c>
      <c r="F2243" s="2">
        <v>44951</v>
      </c>
      <c r="G2243" s="1" t="s">
        <v>62</v>
      </c>
      <c r="H2243">
        <v>904</v>
      </c>
      <c r="I2243">
        <v>9</v>
      </c>
      <c r="J2243">
        <v>1</v>
      </c>
      <c r="K2243">
        <v>84.38</v>
      </c>
      <c r="L2243">
        <v>10</v>
      </c>
      <c r="M2243" s="1" t="s">
        <v>39</v>
      </c>
      <c r="N2243" s="1" t="s">
        <v>40</v>
      </c>
      <c r="O2243">
        <v>8045.6</v>
      </c>
      <c r="P2243" t="b">
        <v>1</v>
      </c>
      <c r="Q2243">
        <v>0.75</v>
      </c>
      <c r="R2243">
        <v>893.95555555555563</v>
      </c>
      <c r="S2243">
        <v>42.19</v>
      </c>
      <c r="T2243" s="2">
        <v>44197</v>
      </c>
      <c r="U2243" s="1" t="s">
        <v>51</v>
      </c>
      <c r="V2243">
        <v>1</v>
      </c>
      <c r="W2243" s="1" t="s">
        <v>56</v>
      </c>
      <c r="X2243">
        <v>725</v>
      </c>
      <c r="Y2243" s="1" t="s">
        <v>43</v>
      </c>
      <c r="Z2243" s="1" t="s">
        <v>42</v>
      </c>
      <c r="AA2243">
        <v>0.1</v>
      </c>
      <c r="AB2243" s="1" t="s">
        <v>42</v>
      </c>
      <c r="AC2243">
        <v>2</v>
      </c>
      <c r="AD2243" s="2">
        <v>44197</v>
      </c>
      <c r="AE2243" s="1" t="s">
        <v>74</v>
      </c>
      <c r="AF2243" s="1" t="s">
        <v>54</v>
      </c>
      <c r="AG2243" s="1" t="s">
        <v>63</v>
      </c>
      <c r="AH2243" s="1" t="s">
        <v>59</v>
      </c>
      <c r="AI2243">
        <v>8136</v>
      </c>
      <c r="AJ2243">
        <v>-90.399999999999636</v>
      </c>
    </row>
    <row r="2244" spans="1:36" x14ac:dyDescent="0.25">
      <c r="A2244">
        <v>12243</v>
      </c>
      <c r="B2244">
        <v>61</v>
      </c>
      <c r="C2244" s="1" t="s">
        <v>60</v>
      </c>
      <c r="D2244" s="1" t="s">
        <v>61</v>
      </c>
      <c r="E2244" s="2">
        <v>44555</v>
      </c>
      <c r="F2244" s="2">
        <v>44664</v>
      </c>
      <c r="G2244" s="1" t="s">
        <v>38</v>
      </c>
      <c r="H2244">
        <v>1191</v>
      </c>
      <c r="I2244">
        <v>3</v>
      </c>
      <c r="J2244">
        <v>2</v>
      </c>
      <c r="K2244">
        <v>80.31</v>
      </c>
      <c r="L2244">
        <v>15</v>
      </c>
      <c r="M2244" s="1" t="s">
        <v>65</v>
      </c>
      <c r="N2244" s="1" t="s">
        <v>56</v>
      </c>
      <c r="O2244">
        <v>3394.35</v>
      </c>
      <c r="P2244" t="b">
        <v>1</v>
      </c>
      <c r="Q2244">
        <v>0.25</v>
      </c>
      <c r="R2244">
        <v>1131.45</v>
      </c>
      <c r="S2244">
        <v>26.77</v>
      </c>
      <c r="T2244" s="2">
        <v>44531</v>
      </c>
      <c r="U2244" s="1" t="s">
        <v>41</v>
      </c>
      <c r="V2244">
        <v>0</v>
      </c>
      <c r="W2244" s="1" t="s">
        <v>56</v>
      </c>
      <c r="X2244">
        <v>109</v>
      </c>
      <c r="Y2244" s="1" t="s">
        <v>43</v>
      </c>
      <c r="Z2244" s="1" t="s">
        <v>42</v>
      </c>
      <c r="AA2244">
        <v>0.5</v>
      </c>
      <c r="AB2244" s="1" t="s">
        <v>42</v>
      </c>
      <c r="AC2244">
        <v>1</v>
      </c>
      <c r="AD2244" s="2">
        <v>44531</v>
      </c>
      <c r="AE2244" s="1" t="s">
        <v>58</v>
      </c>
      <c r="AF2244" s="1" t="s">
        <v>72</v>
      </c>
      <c r="AG2244" s="1" t="s">
        <v>63</v>
      </c>
      <c r="AH2244" s="1" t="s">
        <v>47</v>
      </c>
      <c r="AI2244">
        <v>3573</v>
      </c>
      <c r="AJ2244">
        <v>-178.65000000000009</v>
      </c>
    </row>
    <row r="2245" spans="1:36" x14ac:dyDescent="0.25">
      <c r="A2245">
        <v>12244</v>
      </c>
      <c r="B2245">
        <v>27</v>
      </c>
      <c r="C2245" s="1" t="s">
        <v>36</v>
      </c>
      <c r="D2245" s="1" t="s">
        <v>69</v>
      </c>
      <c r="E2245" s="2">
        <v>44484</v>
      </c>
      <c r="F2245" s="2">
        <v>44745</v>
      </c>
      <c r="G2245" s="1" t="s">
        <v>38</v>
      </c>
      <c r="H2245">
        <v>1121</v>
      </c>
      <c r="I2245">
        <v>16</v>
      </c>
      <c r="J2245">
        <v>3</v>
      </c>
      <c r="K2245">
        <v>72.5</v>
      </c>
      <c r="L2245">
        <v>10</v>
      </c>
      <c r="M2245" s="1" t="s">
        <v>39</v>
      </c>
      <c r="N2245" s="1" t="s">
        <v>40</v>
      </c>
      <c r="O2245">
        <v>17823.900000000001</v>
      </c>
      <c r="P2245" t="b">
        <v>1</v>
      </c>
      <c r="Q2245">
        <v>1.3333333333333333</v>
      </c>
      <c r="R2245">
        <v>1113.9937500000001</v>
      </c>
      <c r="S2245">
        <v>18.125</v>
      </c>
      <c r="T2245" s="2">
        <v>44470</v>
      </c>
      <c r="U2245" s="1" t="s">
        <v>57</v>
      </c>
      <c r="V2245">
        <v>1</v>
      </c>
      <c r="W2245" s="1" t="s">
        <v>40</v>
      </c>
      <c r="X2245">
        <v>261</v>
      </c>
      <c r="Y2245" s="1" t="s">
        <v>43</v>
      </c>
      <c r="Z2245" s="1" t="s">
        <v>42</v>
      </c>
      <c r="AA2245">
        <v>0.17647058823529413</v>
      </c>
      <c r="AB2245" s="1" t="s">
        <v>52</v>
      </c>
      <c r="AC2245">
        <v>1</v>
      </c>
      <c r="AD2245" s="2">
        <v>44470</v>
      </c>
      <c r="AE2245" s="1" t="s">
        <v>53</v>
      </c>
      <c r="AF2245" s="1" t="s">
        <v>72</v>
      </c>
      <c r="AG2245" s="1" t="s">
        <v>63</v>
      </c>
      <c r="AH2245" s="1" t="s">
        <v>47</v>
      </c>
      <c r="AI2245">
        <v>17936</v>
      </c>
      <c r="AJ2245">
        <v>-112.09999999999854</v>
      </c>
    </row>
    <row r="2246" spans="1:36" x14ac:dyDescent="0.25">
      <c r="A2246">
        <v>12245</v>
      </c>
      <c r="B2246">
        <v>56</v>
      </c>
      <c r="C2246" s="1" t="s">
        <v>60</v>
      </c>
      <c r="D2246" s="1" t="s">
        <v>61</v>
      </c>
      <c r="E2246" s="2">
        <v>44282</v>
      </c>
      <c r="F2246" s="2">
        <v>44671</v>
      </c>
      <c r="G2246" s="1" t="s">
        <v>62</v>
      </c>
      <c r="H2246">
        <v>1201</v>
      </c>
      <c r="I2246">
        <v>25</v>
      </c>
      <c r="J2246">
        <v>2</v>
      </c>
      <c r="K2246">
        <v>22.92</v>
      </c>
      <c r="L2246">
        <v>15</v>
      </c>
      <c r="M2246" s="1" t="s">
        <v>50</v>
      </c>
      <c r="N2246" s="1" t="s">
        <v>56</v>
      </c>
      <c r="O2246">
        <v>29844.85</v>
      </c>
      <c r="P2246" t="b">
        <v>1</v>
      </c>
      <c r="Q2246">
        <v>2.0833333333333335</v>
      </c>
      <c r="R2246">
        <v>1193.7939999999999</v>
      </c>
      <c r="S2246">
        <v>7.6400000000000006</v>
      </c>
      <c r="T2246" s="2">
        <v>44256</v>
      </c>
      <c r="U2246" s="1" t="s">
        <v>41</v>
      </c>
      <c r="V2246">
        <v>0</v>
      </c>
      <c r="W2246" s="1" t="s">
        <v>40</v>
      </c>
      <c r="X2246">
        <v>389</v>
      </c>
      <c r="Y2246" s="1" t="s">
        <v>52</v>
      </c>
      <c r="Z2246" s="1" t="s">
        <v>42</v>
      </c>
      <c r="AA2246">
        <v>7.6923076923076927E-2</v>
      </c>
      <c r="AB2246" s="1" t="s">
        <v>43</v>
      </c>
      <c r="AC2246">
        <v>2</v>
      </c>
      <c r="AD2246" s="2">
        <v>44256</v>
      </c>
      <c r="AE2246" s="1" t="s">
        <v>44</v>
      </c>
      <c r="AF2246" s="1" t="s">
        <v>72</v>
      </c>
      <c r="AG2246" s="1" t="s">
        <v>70</v>
      </c>
      <c r="AH2246" s="1" t="s">
        <v>47</v>
      </c>
      <c r="AI2246">
        <v>30025</v>
      </c>
      <c r="AJ2246">
        <v>-180.15000000000146</v>
      </c>
    </row>
    <row r="2247" spans="1:36" x14ac:dyDescent="0.25">
      <c r="A2247">
        <v>12246</v>
      </c>
      <c r="B2247">
        <v>30</v>
      </c>
      <c r="C2247" s="1" t="s">
        <v>60</v>
      </c>
      <c r="D2247" s="1" t="s">
        <v>69</v>
      </c>
      <c r="E2247" s="2">
        <v>44430</v>
      </c>
      <c r="F2247" s="2">
        <v>44912</v>
      </c>
      <c r="G2247" s="1" t="s">
        <v>38</v>
      </c>
      <c r="H2247">
        <v>1244</v>
      </c>
      <c r="I2247">
        <v>24</v>
      </c>
      <c r="J2247">
        <v>4</v>
      </c>
      <c r="K2247">
        <v>29.22</v>
      </c>
      <c r="L2247">
        <v>10</v>
      </c>
      <c r="M2247" s="1" t="s">
        <v>67</v>
      </c>
      <c r="N2247" s="1" t="s">
        <v>40</v>
      </c>
      <c r="O2247">
        <v>29731.599999999999</v>
      </c>
      <c r="P2247" t="b">
        <v>1</v>
      </c>
      <c r="Q2247">
        <v>2</v>
      </c>
      <c r="R2247">
        <v>1238.8166666666666</v>
      </c>
      <c r="S2247">
        <v>5.8439999999999994</v>
      </c>
      <c r="T2247" s="2">
        <v>44409</v>
      </c>
      <c r="U2247" s="1" t="s">
        <v>57</v>
      </c>
      <c r="V2247">
        <v>1</v>
      </c>
      <c r="W2247" s="1" t="s">
        <v>40</v>
      </c>
      <c r="X2247">
        <v>482</v>
      </c>
      <c r="Y2247" s="1" t="s">
        <v>52</v>
      </c>
      <c r="Z2247" s="1" t="s">
        <v>42</v>
      </c>
      <c r="AA2247">
        <v>0.16</v>
      </c>
      <c r="AB2247" s="1" t="s">
        <v>43</v>
      </c>
      <c r="AC2247">
        <v>1</v>
      </c>
      <c r="AD2247" s="2">
        <v>44409</v>
      </c>
      <c r="AE2247" s="1" t="s">
        <v>53</v>
      </c>
      <c r="AF2247" s="1" t="s">
        <v>45</v>
      </c>
      <c r="AG2247" s="1" t="s">
        <v>70</v>
      </c>
      <c r="AH2247" s="1" t="s">
        <v>47</v>
      </c>
      <c r="AI2247">
        <v>29856</v>
      </c>
      <c r="AJ2247">
        <v>-124.40000000000146</v>
      </c>
    </row>
    <row r="2248" spans="1:36" x14ac:dyDescent="0.25">
      <c r="A2248">
        <v>12247</v>
      </c>
      <c r="B2248">
        <v>48</v>
      </c>
      <c r="C2248" s="1" t="s">
        <v>60</v>
      </c>
      <c r="D2248" s="1" t="s">
        <v>48</v>
      </c>
      <c r="E2248" s="2">
        <v>44943</v>
      </c>
      <c r="F2248" s="2">
        <v>44943</v>
      </c>
      <c r="G2248" s="1" t="s">
        <v>49</v>
      </c>
      <c r="H2248">
        <v>1031</v>
      </c>
      <c r="I2248">
        <v>29</v>
      </c>
      <c r="J2248">
        <v>3</v>
      </c>
      <c r="K2248">
        <v>34.93</v>
      </c>
      <c r="L2248">
        <v>10</v>
      </c>
      <c r="M2248" s="1" t="s">
        <v>39</v>
      </c>
      <c r="N2248" s="1" t="s">
        <v>40</v>
      </c>
      <c r="O2248">
        <v>29795.9</v>
      </c>
      <c r="P2248" t="b">
        <v>1</v>
      </c>
      <c r="Q2248">
        <v>2.4166666666666665</v>
      </c>
      <c r="R2248">
        <v>1027.4448275862069</v>
      </c>
      <c r="S2248">
        <v>8.7324999999999999</v>
      </c>
      <c r="T2248" s="2">
        <v>44927</v>
      </c>
      <c r="U2248" s="1" t="s">
        <v>51</v>
      </c>
      <c r="V2248">
        <v>1</v>
      </c>
      <c r="W2248" s="1" t="s">
        <v>40</v>
      </c>
      <c r="X2248">
        <v>0</v>
      </c>
      <c r="Y2248" s="1" t="s">
        <v>52</v>
      </c>
      <c r="Z2248" s="1" t="s">
        <v>42</v>
      </c>
      <c r="AA2248">
        <v>0.1</v>
      </c>
      <c r="AB2248" s="1" t="s">
        <v>43</v>
      </c>
      <c r="AC2248">
        <v>3</v>
      </c>
      <c r="AD2248" s="2">
        <v>44927</v>
      </c>
      <c r="AE2248" s="1" t="s">
        <v>44</v>
      </c>
      <c r="AF2248" s="1" t="s">
        <v>72</v>
      </c>
      <c r="AG2248" s="1" t="s">
        <v>55</v>
      </c>
      <c r="AH2248" s="1" t="s">
        <v>47</v>
      </c>
      <c r="AI2248">
        <v>29899</v>
      </c>
      <c r="AJ2248">
        <v>-103.09999999999854</v>
      </c>
    </row>
    <row r="2249" spans="1:36" x14ac:dyDescent="0.25">
      <c r="A2249">
        <v>12248</v>
      </c>
      <c r="B2249">
        <v>24</v>
      </c>
      <c r="C2249" s="1" t="s">
        <v>60</v>
      </c>
      <c r="D2249" s="1" t="s">
        <v>61</v>
      </c>
      <c r="E2249" s="2">
        <v>44509</v>
      </c>
      <c r="F2249" s="2">
        <v>44893</v>
      </c>
      <c r="G2249" s="1" t="s">
        <v>38</v>
      </c>
      <c r="H2249">
        <v>633</v>
      </c>
      <c r="I2249">
        <v>26</v>
      </c>
      <c r="J2249">
        <v>0</v>
      </c>
      <c r="K2249">
        <v>110.76</v>
      </c>
      <c r="L2249">
        <v>10</v>
      </c>
      <c r="M2249" s="1" t="s">
        <v>67</v>
      </c>
      <c r="N2249" s="1" t="s">
        <v>40</v>
      </c>
      <c r="O2249">
        <v>16394.7</v>
      </c>
      <c r="P2249" t="b">
        <v>1</v>
      </c>
      <c r="Q2249">
        <v>2.1666666666666665</v>
      </c>
      <c r="R2249">
        <v>630.56538461538469</v>
      </c>
      <c r="S2249">
        <v>110.76</v>
      </c>
      <c r="T2249" s="2">
        <v>44501</v>
      </c>
      <c r="U2249" s="1" t="s">
        <v>66</v>
      </c>
      <c r="V2249">
        <v>1</v>
      </c>
      <c r="W2249" s="1" t="s">
        <v>40</v>
      </c>
      <c r="X2249">
        <v>384</v>
      </c>
      <c r="Y2249" s="1" t="s">
        <v>43</v>
      </c>
      <c r="Z2249" s="1" t="s">
        <v>42</v>
      </c>
      <c r="AA2249">
        <v>0</v>
      </c>
      <c r="AB2249" s="1" t="s">
        <v>52</v>
      </c>
      <c r="AC2249">
        <v>1</v>
      </c>
      <c r="AD2249" s="2">
        <v>44501</v>
      </c>
      <c r="AE2249" s="1" t="s">
        <v>44</v>
      </c>
      <c r="AF2249" s="1" t="s">
        <v>54</v>
      </c>
      <c r="AG2249" s="1" t="s">
        <v>63</v>
      </c>
      <c r="AH2249" s="1" t="s">
        <v>64</v>
      </c>
      <c r="AI2249">
        <v>16458</v>
      </c>
      <c r="AJ2249">
        <v>-63.299999999999272</v>
      </c>
    </row>
    <row r="2250" spans="1:36" x14ac:dyDescent="0.25">
      <c r="A2250">
        <v>12249</v>
      </c>
      <c r="B2250">
        <v>59</v>
      </c>
      <c r="C2250" s="1" t="s">
        <v>60</v>
      </c>
      <c r="D2250" s="1" t="s">
        <v>48</v>
      </c>
      <c r="E2250" s="2">
        <v>44561</v>
      </c>
      <c r="F2250" s="2">
        <v>44423</v>
      </c>
      <c r="G2250" s="1" t="s">
        <v>62</v>
      </c>
      <c r="H2250">
        <v>1343</v>
      </c>
      <c r="I2250">
        <v>35</v>
      </c>
      <c r="J2250">
        <v>1</v>
      </c>
      <c r="K2250">
        <v>92.33</v>
      </c>
      <c r="L2250">
        <v>0</v>
      </c>
      <c r="M2250" s="1" t="s">
        <v>67</v>
      </c>
      <c r="N2250" s="1" t="s">
        <v>56</v>
      </c>
      <c r="O2250">
        <v>47005</v>
      </c>
      <c r="P2250" t="b">
        <v>0</v>
      </c>
      <c r="Q2250">
        <v>2.9166666666666665</v>
      </c>
      <c r="R2250">
        <v>1343</v>
      </c>
      <c r="S2250">
        <v>46.164999999999999</v>
      </c>
      <c r="T2250" s="2">
        <v>44531</v>
      </c>
      <c r="U2250" s="1" t="s">
        <v>41</v>
      </c>
      <c r="V2250">
        <v>0</v>
      </c>
      <c r="W2250" s="1" t="s">
        <v>40</v>
      </c>
      <c r="Y2250" s="1" t="s">
        <v>43</v>
      </c>
      <c r="Z2250" s="1" t="s">
        <v>42</v>
      </c>
      <c r="AA2250">
        <v>2.7777777777777776E-2</v>
      </c>
      <c r="AB2250" s="1" t="s">
        <v>43</v>
      </c>
      <c r="AC2250">
        <v>2</v>
      </c>
      <c r="AD2250" s="2">
        <v>44531</v>
      </c>
      <c r="AE2250" s="1" t="s">
        <v>44</v>
      </c>
      <c r="AF2250" s="1" t="s">
        <v>54</v>
      </c>
      <c r="AG2250" s="1" t="s">
        <v>63</v>
      </c>
      <c r="AH2250" s="1" t="s">
        <v>47</v>
      </c>
      <c r="AI2250">
        <v>47005</v>
      </c>
      <c r="AJ2250">
        <v>0</v>
      </c>
    </row>
    <row r="2251" spans="1:36" x14ac:dyDescent="0.25">
      <c r="A2251">
        <v>12250</v>
      </c>
      <c r="B2251">
        <v>59</v>
      </c>
      <c r="C2251" s="1" t="s">
        <v>36</v>
      </c>
      <c r="D2251" s="1" t="s">
        <v>48</v>
      </c>
      <c r="E2251" s="2">
        <v>44973</v>
      </c>
      <c r="F2251" s="2">
        <v>45212</v>
      </c>
      <c r="G2251" s="1" t="s">
        <v>49</v>
      </c>
      <c r="H2251">
        <v>504</v>
      </c>
      <c r="I2251">
        <v>23</v>
      </c>
      <c r="J2251">
        <v>1</v>
      </c>
      <c r="K2251">
        <v>68.58</v>
      </c>
      <c r="L2251">
        <v>5</v>
      </c>
      <c r="M2251" s="1" t="s">
        <v>65</v>
      </c>
      <c r="N2251" s="1" t="s">
        <v>56</v>
      </c>
      <c r="O2251">
        <v>11566.8</v>
      </c>
      <c r="P2251" t="b">
        <v>1</v>
      </c>
      <c r="Q2251">
        <v>1.9166666666666667</v>
      </c>
      <c r="R2251">
        <v>502.90434782608691</v>
      </c>
      <c r="S2251">
        <v>34.29</v>
      </c>
      <c r="T2251" s="2">
        <v>44958</v>
      </c>
      <c r="U2251" s="1" t="s">
        <v>41</v>
      </c>
      <c r="V2251">
        <v>0</v>
      </c>
      <c r="W2251" s="1" t="s">
        <v>56</v>
      </c>
      <c r="X2251">
        <v>239</v>
      </c>
      <c r="Y2251" s="1" t="s">
        <v>43</v>
      </c>
      <c r="Z2251" s="1" t="s">
        <v>42</v>
      </c>
      <c r="AA2251">
        <v>4.1666666666666664E-2</v>
      </c>
      <c r="AB2251" s="1" t="s">
        <v>52</v>
      </c>
      <c r="AC2251">
        <v>3</v>
      </c>
      <c r="AD2251" s="2">
        <v>44958</v>
      </c>
      <c r="AE2251" s="1" t="s">
        <v>53</v>
      </c>
      <c r="AF2251" s="1" t="s">
        <v>54</v>
      </c>
      <c r="AG2251" s="1" t="s">
        <v>63</v>
      </c>
      <c r="AH2251" s="1" t="s">
        <v>64</v>
      </c>
      <c r="AI2251">
        <v>11592</v>
      </c>
      <c r="AJ2251">
        <v>-25.200000000000728</v>
      </c>
    </row>
    <row r="2252" spans="1:36" x14ac:dyDescent="0.25">
      <c r="A2252">
        <v>12251</v>
      </c>
      <c r="B2252">
        <v>53</v>
      </c>
      <c r="C2252" s="1" t="s">
        <v>36</v>
      </c>
      <c r="D2252" s="1" t="s">
        <v>71</v>
      </c>
      <c r="E2252" s="2">
        <v>44995</v>
      </c>
      <c r="F2252" s="2">
        <v>45056</v>
      </c>
      <c r="G2252" s="1" t="s">
        <v>49</v>
      </c>
      <c r="H2252">
        <v>1255</v>
      </c>
      <c r="I2252">
        <v>4</v>
      </c>
      <c r="J2252">
        <v>4</v>
      </c>
      <c r="K2252">
        <v>33.99</v>
      </c>
      <c r="L2252">
        <v>10</v>
      </c>
      <c r="M2252" s="1" t="s">
        <v>39</v>
      </c>
      <c r="N2252" s="1" t="s">
        <v>56</v>
      </c>
      <c r="O2252">
        <v>4894.5</v>
      </c>
      <c r="P2252" t="b">
        <v>1</v>
      </c>
      <c r="Q2252">
        <v>0.33333333333333331</v>
      </c>
      <c r="R2252">
        <v>1223.625</v>
      </c>
      <c r="S2252">
        <v>6.798</v>
      </c>
      <c r="T2252" s="2">
        <v>44986</v>
      </c>
      <c r="U2252" s="1" t="s">
        <v>41</v>
      </c>
      <c r="V2252">
        <v>0</v>
      </c>
      <c r="W2252" s="1" t="s">
        <v>56</v>
      </c>
      <c r="X2252">
        <v>61</v>
      </c>
      <c r="Y2252" s="1" t="s">
        <v>52</v>
      </c>
      <c r="Z2252" s="1" t="s">
        <v>42</v>
      </c>
      <c r="AA2252">
        <v>0.8</v>
      </c>
      <c r="AB2252" s="1" t="s">
        <v>42</v>
      </c>
      <c r="AC2252">
        <v>3</v>
      </c>
      <c r="AD2252" s="2">
        <v>44986</v>
      </c>
      <c r="AE2252" s="1" t="s">
        <v>58</v>
      </c>
      <c r="AF2252" s="1" t="s">
        <v>45</v>
      </c>
      <c r="AG2252" s="1" t="s">
        <v>55</v>
      </c>
      <c r="AH2252" s="1" t="s">
        <v>47</v>
      </c>
      <c r="AI2252">
        <v>5020</v>
      </c>
      <c r="AJ2252">
        <v>-125.5</v>
      </c>
    </row>
    <row r="2253" spans="1:36" x14ac:dyDescent="0.25">
      <c r="A2253">
        <v>12252</v>
      </c>
      <c r="B2253">
        <v>37</v>
      </c>
      <c r="C2253" s="1" t="s">
        <v>60</v>
      </c>
      <c r="D2253" s="1" t="s">
        <v>48</v>
      </c>
      <c r="E2253" s="2">
        <v>45035</v>
      </c>
      <c r="F2253" s="2">
        <v>44833</v>
      </c>
      <c r="G2253" s="1" t="s">
        <v>38</v>
      </c>
      <c r="H2253">
        <v>654</v>
      </c>
      <c r="I2253">
        <v>14</v>
      </c>
      <c r="J2253">
        <v>5</v>
      </c>
      <c r="K2253">
        <v>17.75</v>
      </c>
      <c r="L2253">
        <v>10</v>
      </c>
      <c r="M2253" s="1" t="s">
        <v>65</v>
      </c>
      <c r="N2253" s="1" t="s">
        <v>56</v>
      </c>
      <c r="O2253">
        <v>9090.6</v>
      </c>
      <c r="P2253" t="b">
        <v>0</v>
      </c>
      <c r="Q2253">
        <v>1.1666666666666667</v>
      </c>
      <c r="R2253">
        <v>649.32857142857142</v>
      </c>
      <c r="S2253">
        <v>2.9583333333333335</v>
      </c>
      <c r="T2253" s="2">
        <v>45017</v>
      </c>
      <c r="U2253" s="1" t="s">
        <v>51</v>
      </c>
      <c r="V2253">
        <v>0</v>
      </c>
      <c r="W2253" s="1" t="s">
        <v>56</v>
      </c>
      <c r="Y2253" s="1" t="s">
        <v>42</v>
      </c>
      <c r="Z2253" s="1" t="s">
        <v>42</v>
      </c>
      <c r="AA2253">
        <v>0.33333333333333331</v>
      </c>
      <c r="AB2253" s="1" t="s">
        <v>52</v>
      </c>
      <c r="AC2253">
        <v>1</v>
      </c>
      <c r="AD2253" s="2">
        <v>45017</v>
      </c>
      <c r="AE2253" s="1" t="s">
        <v>53</v>
      </c>
      <c r="AF2253" s="1" t="s">
        <v>45</v>
      </c>
      <c r="AG2253" s="1" t="s">
        <v>46</v>
      </c>
      <c r="AH2253" s="1" t="s">
        <v>64</v>
      </c>
      <c r="AI2253">
        <v>9156</v>
      </c>
      <c r="AJ2253">
        <v>-65.399999999999636</v>
      </c>
    </row>
    <row r="2254" spans="1:36" x14ac:dyDescent="0.25">
      <c r="A2254">
        <v>12253</v>
      </c>
      <c r="B2254">
        <v>21</v>
      </c>
      <c r="C2254" s="1" t="s">
        <v>60</v>
      </c>
      <c r="D2254" s="1" t="s">
        <v>48</v>
      </c>
      <c r="E2254" s="2">
        <v>44465</v>
      </c>
      <c r="F2254" s="2">
        <v>45145</v>
      </c>
      <c r="G2254" s="1" t="s">
        <v>38</v>
      </c>
      <c r="H2254">
        <v>1496</v>
      </c>
      <c r="I2254">
        <v>7</v>
      </c>
      <c r="J2254">
        <v>2</v>
      </c>
      <c r="K2254">
        <v>108.36</v>
      </c>
      <c r="L2254">
        <v>15</v>
      </c>
      <c r="M2254" s="1" t="s">
        <v>65</v>
      </c>
      <c r="N2254" s="1" t="s">
        <v>56</v>
      </c>
      <c r="O2254">
        <v>10247.6</v>
      </c>
      <c r="P2254" t="b">
        <v>1</v>
      </c>
      <c r="Q2254">
        <v>0.58333333333333337</v>
      </c>
      <c r="R2254">
        <v>1463.9428571428573</v>
      </c>
      <c r="S2254">
        <v>36.119999999999997</v>
      </c>
      <c r="T2254" s="2">
        <v>44440</v>
      </c>
      <c r="U2254" s="1" t="s">
        <v>66</v>
      </c>
      <c r="V2254">
        <v>0</v>
      </c>
      <c r="W2254" s="1" t="s">
        <v>56</v>
      </c>
      <c r="X2254">
        <v>680</v>
      </c>
      <c r="Y2254" s="1" t="s">
        <v>43</v>
      </c>
      <c r="Z2254" s="1" t="s">
        <v>42</v>
      </c>
      <c r="AA2254">
        <v>0.25</v>
      </c>
      <c r="AB2254" s="1" t="s">
        <v>52</v>
      </c>
      <c r="AC2254">
        <v>1</v>
      </c>
      <c r="AD2254" s="2">
        <v>44440</v>
      </c>
      <c r="AE2254" s="1" t="s">
        <v>74</v>
      </c>
      <c r="AF2254" s="1" t="s">
        <v>72</v>
      </c>
      <c r="AG2254" s="1" t="s">
        <v>63</v>
      </c>
      <c r="AH2254" s="1" t="s">
        <v>47</v>
      </c>
      <c r="AI2254">
        <v>10472</v>
      </c>
      <c r="AJ2254">
        <v>-224.39999999999964</v>
      </c>
    </row>
    <row r="2255" spans="1:36" x14ac:dyDescent="0.25">
      <c r="A2255">
        <v>12254</v>
      </c>
      <c r="B2255">
        <v>24</v>
      </c>
      <c r="C2255" s="1" t="s">
        <v>60</v>
      </c>
      <c r="D2255" s="1" t="s">
        <v>61</v>
      </c>
      <c r="E2255" s="2">
        <v>44894</v>
      </c>
      <c r="F2255" s="2">
        <v>44435</v>
      </c>
      <c r="G2255" s="1" t="s">
        <v>62</v>
      </c>
      <c r="H2255">
        <v>1123</v>
      </c>
      <c r="I2255">
        <v>8</v>
      </c>
      <c r="J2255">
        <v>2</v>
      </c>
      <c r="K2255">
        <v>107.66</v>
      </c>
      <c r="L2255">
        <v>5</v>
      </c>
      <c r="M2255" s="1" t="s">
        <v>67</v>
      </c>
      <c r="N2255" s="1" t="s">
        <v>40</v>
      </c>
      <c r="O2255">
        <v>8927.85</v>
      </c>
      <c r="P2255" t="b">
        <v>0</v>
      </c>
      <c r="Q2255">
        <v>0.66666666666666663</v>
      </c>
      <c r="R2255">
        <v>1115.98125</v>
      </c>
      <c r="S2255">
        <v>35.886666666666663</v>
      </c>
      <c r="T2255" s="2">
        <v>44866</v>
      </c>
      <c r="U2255" s="1" t="s">
        <v>66</v>
      </c>
      <c r="V2255">
        <v>1</v>
      </c>
      <c r="W2255" s="1" t="s">
        <v>56</v>
      </c>
      <c r="Y2255" s="1" t="s">
        <v>43</v>
      </c>
      <c r="Z2255" s="1" t="s">
        <v>42</v>
      </c>
      <c r="AA2255">
        <v>0.22222222222222221</v>
      </c>
      <c r="AB2255" s="1" t="s">
        <v>52</v>
      </c>
      <c r="AC2255">
        <v>2</v>
      </c>
      <c r="AD2255" s="2">
        <v>44866</v>
      </c>
      <c r="AE2255" s="1" t="s">
        <v>74</v>
      </c>
      <c r="AF2255" s="1" t="s">
        <v>72</v>
      </c>
      <c r="AG2255" s="1" t="s">
        <v>63</v>
      </c>
      <c r="AH2255" s="1" t="s">
        <v>47</v>
      </c>
      <c r="AI2255">
        <v>8984</v>
      </c>
      <c r="AJ2255">
        <v>-56.149999999999636</v>
      </c>
    </row>
    <row r="2256" spans="1:36" x14ac:dyDescent="0.25">
      <c r="A2256">
        <v>12255</v>
      </c>
      <c r="B2256">
        <v>18</v>
      </c>
      <c r="C2256" s="1" t="s">
        <v>60</v>
      </c>
      <c r="D2256" s="1" t="s">
        <v>61</v>
      </c>
      <c r="E2256" s="2">
        <v>44327</v>
      </c>
      <c r="F2256" s="2">
        <v>45094</v>
      </c>
      <c r="G2256" s="1" t="s">
        <v>38</v>
      </c>
      <c r="H2256">
        <v>1325</v>
      </c>
      <c r="I2256">
        <v>19</v>
      </c>
      <c r="J2256">
        <v>6</v>
      </c>
      <c r="K2256">
        <v>17.73</v>
      </c>
      <c r="L2256">
        <v>15</v>
      </c>
      <c r="M2256" s="1" t="s">
        <v>50</v>
      </c>
      <c r="N2256" s="1" t="s">
        <v>56</v>
      </c>
      <c r="O2256">
        <v>24976.25</v>
      </c>
      <c r="P2256" t="b">
        <v>1</v>
      </c>
      <c r="Q2256">
        <v>1.5833333333333333</v>
      </c>
      <c r="R2256">
        <v>1314.5394736842106</v>
      </c>
      <c r="S2256">
        <v>2.5328571428571429</v>
      </c>
      <c r="T2256" s="2">
        <v>44317</v>
      </c>
      <c r="U2256" s="1" t="s">
        <v>66</v>
      </c>
      <c r="V2256">
        <v>0</v>
      </c>
      <c r="W2256" s="1" t="s">
        <v>40</v>
      </c>
      <c r="X2256">
        <v>767</v>
      </c>
      <c r="Y2256" s="1" t="s">
        <v>42</v>
      </c>
      <c r="Z2256" s="1" t="s">
        <v>42</v>
      </c>
      <c r="AA2256">
        <v>0.3</v>
      </c>
      <c r="AB2256" s="1" t="s">
        <v>43</v>
      </c>
      <c r="AC2256">
        <v>1</v>
      </c>
      <c r="AD2256" s="2">
        <v>44317</v>
      </c>
      <c r="AE2256" s="1" t="s">
        <v>53</v>
      </c>
      <c r="AF2256" s="1" t="s">
        <v>78</v>
      </c>
      <c r="AG2256" s="1" t="s">
        <v>46</v>
      </c>
      <c r="AH2256" s="1" t="s">
        <v>47</v>
      </c>
      <c r="AI2256">
        <v>25175</v>
      </c>
      <c r="AJ2256">
        <v>-198.75</v>
      </c>
    </row>
    <row r="2257" spans="1:36" x14ac:dyDescent="0.25">
      <c r="A2257">
        <v>12256</v>
      </c>
      <c r="B2257">
        <v>61</v>
      </c>
      <c r="C2257" s="1" t="s">
        <v>60</v>
      </c>
      <c r="D2257" s="1" t="s">
        <v>37</v>
      </c>
      <c r="E2257" s="2">
        <v>44999</v>
      </c>
      <c r="F2257" s="2">
        <v>44579</v>
      </c>
      <c r="G2257" s="1" t="s">
        <v>38</v>
      </c>
      <c r="H2257">
        <v>1240</v>
      </c>
      <c r="I2257">
        <v>2</v>
      </c>
      <c r="J2257">
        <v>2</v>
      </c>
      <c r="K2257">
        <v>96.68</v>
      </c>
      <c r="L2257">
        <v>15</v>
      </c>
      <c r="M2257" s="1" t="s">
        <v>67</v>
      </c>
      <c r="N2257" s="1" t="s">
        <v>56</v>
      </c>
      <c r="O2257">
        <v>2294</v>
      </c>
      <c r="P2257" t="b">
        <v>0</v>
      </c>
      <c r="Q2257">
        <v>0.16666666666666666</v>
      </c>
      <c r="R2257">
        <v>1147</v>
      </c>
      <c r="S2257">
        <v>32.226666666666667</v>
      </c>
      <c r="T2257" s="2">
        <v>44986</v>
      </c>
      <c r="U2257" s="1" t="s">
        <v>41</v>
      </c>
      <c r="V2257">
        <v>0</v>
      </c>
      <c r="W2257" s="1" t="s">
        <v>56</v>
      </c>
      <c r="Y2257" s="1" t="s">
        <v>43</v>
      </c>
      <c r="Z2257" s="1" t="s">
        <v>42</v>
      </c>
      <c r="AA2257">
        <v>0.66666666666666663</v>
      </c>
      <c r="AB2257" s="1" t="s">
        <v>42</v>
      </c>
      <c r="AC2257">
        <v>1</v>
      </c>
      <c r="AD2257" s="2">
        <v>44986</v>
      </c>
      <c r="AE2257" s="1" t="s">
        <v>58</v>
      </c>
      <c r="AF2257" s="1" t="s">
        <v>72</v>
      </c>
      <c r="AG2257" s="1" t="s">
        <v>63</v>
      </c>
      <c r="AH2257" s="1" t="s">
        <v>47</v>
      </c>
      <c r="AI2257">
        <v>2480</v>
      </c>
      <c r="AJ2257">
        <v>-186</v>
      </c>
    </row>
    <row r="2258" spans="1:36" x14ac:dyDescent="0.25">
      <c r="A2258">
        <v>12257</v>
      </c>
      <c r="B2258">
        <v>62</v>
      </c>
      <c r="C2258" s="1" t="s">
        <v>36</v>
      </c>
      <c r="D2258" s="1" t="s">
        <v>71</v>
      </c>
      <c r="E2258" s="2">
        <v>44985</v>
      </c>
      <c r="F2258" s="2">
        <v>44354</v>
      </c>
      <c r="G2258" s="1" t="s">
        <v>49</v>
      </c>
      <c r="H2258">
        <v>467</v>
      </c>
      <c r="I2258">
        <v>1</v>
      </c>
      <c r="J2258">
        <v>3</v>
      </c>
      <c r="K2258">
        <v>56.36</v>
      </c>
      <c r="L2258">
        <v>10</v>
      </c>
      <c r="M2258" s="1" t="s">
        <v>65</v>
      </c>
      <c r="N2258" s="1" t="s">
        <v>40</v>
      </c>
      <c r="O2258">
        <v>420.3</v>
      </c>
      <c r="P2258" t="b">
        <v>0</v>
      </c>
      <c r="Q2258">
        <v>8.3333333333333329E-2</v>
      </c>
      <c r="R2258">
        <v>420.3</v>
      </c>
      <c r="S2258">
        <v>14.09</v>
      </c>
      <c r="T2258" s="2">
        <v>44958</v>
      </c>
      <c r="U2258" s="1" t="s">
        <v>41</v>
      </c>
      <c r="V2258">
        <v>1</v>
      </c>
      <c r="W2258" s="1" t="s">
        <v>56</v>
      </c>
      <c r="Y2258" s="1" t="s">
        <v>52</v>
      </c>
      <c r="Z2258" s="1" t="s">
        <v>42</v>
      </c>
      <c r="AA2258">
        <v>1.5</v>
      </c>
      <c r="AB2258" s="1" t="s">
        <v>42</v>
      </c>
      <c r="AC2258">
        <v>3</v>
      </c>
      <c r="AD2258" s="2">
        <v>44958</v>
      </c>
      <c r="AE2258" s="1" t="s">
        <v>58</v>
      </c>
      <c r="AF2258" s="1" t="s">
        <v>72</v>
      </c>
      <c r="AG2258" s="1" t="s">
        <v>63</v>
      </c>
      <c r="AH2258" s="1" t="s">
        <v>68</v>
      </c>
      <c r="AI2258">
        <v>467</v>
      </c>
      <c r="AJ2258">
        <v>-46.699999999999989</v>
      </c>
    </row>
    <row r="2259" spans="1:36" x14ac:dyDescent="0.25">
      <c r="A2259">
        <v>12258</v>
      </c>
      <c r="B2259">
        <v>59</v>
      </c>
      <c r="C2259" s="1" t="s">
        <v>60</v>
      </c>
      <c r="D2259" s="1" t="s">
        <v>48</v>
      </c>
      <c r="E2259" s="2">
        <v>45028</v>
      </c>
      <c r="F2259" s="2">
        <v>45151</v>
      </c>
      <c r="G2259" s="1" t="s">
        <v>38</v>
      </c>
      <c r="H2259">
        <v>667</v>
      </c>
      <c r="I2259">
        <v>13</v>
      </c>
      <c r="J2259">
        <v>2</v>
      </c>
      <c r="K2259">
        <v>42.26</v>
      </c>
      <c r="L2259">
        <v>20</v>
      </c>
      <c r="M2259" s="1" t="s">
        <v>39</v>
      </c>
      <c r="N2259" s="1" t="s">
        <v>40</v>
      </c>
      <c r="O2259">
        <v>8537.6</v>
      </c>
      <c r="P2259" t="b">
        <v>1</v>
      </c>
      <c r="Q2259">
        <v>1.0833333333333333</v>
      </c>
      <c r="R2259">
        <v>656.73846153846159</v>
      </c>
      <c r="S2259">
        <v>14.086666666666666</v>
      </c>
      <c r="T2259" s="2">
        <v>45017</v>
      </c>
      <c r="U2259" s="1" t="s">
        <v>41</v>
      </c>
      <c r="V2259">
        <v>1</v>
      </c>
      <c r="W2259" s="1" t="s">
        <v>56</v>
      </c>
      <c r="X2259">
        <v>123</v>
      </c>
      <c r="Y2259" s="1" t="s">
        <v>52</v>
      </c>
      <c r="Z2259" s="1" t="s">
        <v>52</v>
      </c>
      <c r="AA2259">
        <v>0.14285714285714285</v>
      </c>
      <c r="AB2259" s="1" t="s">
        <v>42</v>
      </c>
      <c r="AC2259">
        <v>1</v>
      </c>
      <c r="AD2259" s="2">
        <v>45017</v>
      </c>
      <c r="AE2259" s="1" t="s">
        <v>53</v>
      </c>
      <c r="AF2259" s="1" t="s">
        <v>72</v>
      </c>
      <c r="AG2259" s="1" t="s">
        <v>55</v>
      </c>
      <c r="AH2259" s="1" t="s">
        <v>64</v>
      </c>
      <c r="AI2259">
        <v>8671</v>
      </c>
      <c r="AJ2259">
        <v>-133.39999999999964</v>
      </c>
    </row>
    <row r="2260" spans="1:36" x14ac:dyDescent="0.25">
      <c r="A2260">
        <v>12259</v>
      </c>
      <c r="B2260">
        <v>64</v>
      </c>
      <c r="C2260" s="1" t="s">
        <v>60</v>
      </c>
      <c r="D2260" s="1" t="s">
        <v>71</v>
      </c>
      <c r="E2260" s="2">
        <v>44547</v>
      </c>
      <c r="F2260" s="2">
        <v>44897</v>
      </c>
      <c r="G2260" s="1" t="s">
        <v>38</v>
      </c>
      <c r="H2260">
        <v>835</v>
      </c>
      <c r="I2260">
        <v>24</v>
      </c>
      <c r="J2260">
        <v>5</v>
      </c>
      <c r="K2260">
        <v>90</v>
      </c>
      <c r="L2260">
        <v>5</v>
      </c>
      <c r="M2260" s="1" t="s">
        <v>50</v>
      </c>
      <c r="N2260" s="1" t="s">
        <v>56</v>
      </c>
      <c r="O2260">
        <v>19998.25</v>
      </c>
      <c r="P2260" t="b">
        <v>1</v>
      </c>
      <c r="Q2260">
        <v>2</v>
      </c>
      <c r="R2260">
        <v>833.26041666666663</v>
      </c>
      <c r="S2260">
        <v>15</v>
      </c>
      <c r="T2260" s="2">
        <v>44531</v>
      </c>
      <c r="U2260" s="1" t="s">
        <v>41</v>
      </c>
      <c r="V2260">
        <v>0</v>
      </c>
      <c r="W2260" s="1" t="s">
        <v>40</v>
      </c>
      <c r="X2260">
        <v>350</v>
      </c>
      <c r="Y2260" s="1" t="s">
        <v>43</v>
      </c>
      <c r="Z2260" s="1" t="s">
        <v>42</v>
      </c>
      <c r="AA2260">
        <v>0.2</v>
      </c>
      <c r="AB2260" s="1" t="s">
        <v>43</v>
      </c>
      <c r="AC2260">
        <v>1</v>
      </c>
      <c r="AD2260" s="2">
        <v>44531</v>
      </c>
      <c r="AE2260" s="1" t="s">
        <v>53</v>
      </c>
      <c r="AF2260" s="1" t="s">
        <v>45</v>
      </c>
      <c r="AG2260" s="1" t="s">
        <v>63</v>
      </c>
      <c r="AH2260" s="1" t="s">
        <v>59</v>
      </c>
      <c r="AI2260">
        <v>20040</v>
      </c>
      <c r="AJ2260">
        <v>-41.75</v>
      </c>
    </row>
    <row r="2261" spans="1:36" x14ac:dyDescent="0.25">
      <c r="A2261">
        <v>12260</v>
      </c>
      <c r="B2261">
        <v>30</v>
      </c>
      <c r="C2261" s="1" t="s">
        <v>60</v>
      </c>
      <c r="D2261" s="1" t="s">
        <v>69</v>
      </c>
      <c r="E2261" s="2">
        <v>44376</v>
      </c>
      <c r="F2261" s="2">
        <v>44399</v>
      </c>
      <c r="G2261" s="1" t="s">
        <v>38</v>
      </c>
      <c r="H2261">
        <v>1262</v>
      </c>
      <c r="I2261">
        <v>32</v>
      </c>
      <c r="J2261">
        <v>0</v>
      </c>
      <c r="K2261">
        <v>75.650000000000006</v>
      </c>
      <c r="L2261">
        <v>15</v>
      </c>
      <c r="M2261" s="1" t="s">
        <v>50</v>
      </c>
      <c r="N2261" s="1" t="s">
        <v>56</v>
      </c>
      <c r="O2261">
        <v>40194.699999999997</v>
      </c>
      <c r="P2261" t="b">
        <v>1</v>
      </c>
      <c r="Q2261">
        <v>2.6666666666666665</v>
      </c>
      <c r="R2261">
        <v>1256.0843749999999</v>
      </c>
      <c r="S2261">
        <v>75.650000000000006</v>
      </c>
      <c r="T2261" s="2">
        <v>44348</v>
      </c>
      <c r="U2261" s="1" t="s">
        <v>57</v>
      </c>
      <c r="V2261">
        <v>0</v>
      </c>
      <c r="W2261" s="1" t="s">
        <v>40</v>
      </c>
      <c r="X2261">
        <v>23</v>
      </c>
      <c r="Y2261" s="1" t="s">
        <v>43</v>
      </c>
      <c r="Z2261" s="1" t="s">
        <v>42</v>
      </c>
      <c r="AA2261">
        <v>0</v>
      </c>
      <c r="AB2261" s="1" t="s">
        <v>43</v>
      </c>
      <c r="AC2261">
        <v>1</v>
      </c>
      <c r="AD2261" s="2">
        <v>44348</v>
      </c>
      <c r="AE2261" s="1" t="s">
        <v>44</v>
      </c>
      <c r="AF2261" s="1" t="s">
        <v>54</v>
      </c>
      <c r="AG2261" s="1" t="s">
        <v>63</v>
      </c>
      <c r="AH2261" s="1" t="s">
        <v>47</v>
      </c>
      <c r="AI2261">
        <v>40384</v>
      </c>
      <c r="AJ2261">
        <v>-189.30000000000291</v>
      </c>
    </row>
    <row r="2262" spans="1:36" x14ac:dyDescent="0.25">
      <c r="A2262">
        <v>12261</v>
      </c>
      <c r="B2262">
        <v>39</v>
      </c>
      <c r="C2262" s="1" t="s">
        <v>36</v>
      </c>
      <c r="D2262" s="1" t="s">
        <v>48</v>
      </c>
      <c r="E2262" s="2">
        <v>44998</v>
      </c>
      <c r="F2262" s="2">
        <v>45002</v>
      </c>
      <c r="G2262" s="1" t="s">
        <v>62</v>
      </c>
      <c r="H2262">
        <v>879</v>
      </c>
      <c r="I2262">
        <v>30</v>
      </c>
      <c r="J2262">
        <v>0</v>
      </c>
      <c r="K2262">
        <v>94.7</v>
      </c>
      <c r="L2262">
        <v>20</v>
      </c>
      <c r="M2262" s="1" t="s">
        <v>39</v>
      </c>
      <c r="N2262" s="1" t="s">
        <v>56</v>
      </c>
      <c r="O2262">
        <v>26194.2</v>
      </c>
      <c r="P2262" t="b">
        <v>1</v>
      </c>
      <c r="Q2262">
        <v>2.5</v>
      </c>
      <c r="R2262">
        <v>873.14</v>
      </c>
      <c r="S2262">
        <v>94.7</v>
      </c>
      <c r="T2262" s="2">
        <v>44986</v>
      </c>
      <c r="U2262" s="1" t="s">
        <v>51</v>
      </c>
      <c r="V2262">
        <v>0</v>
      </c>
      <c r="W2262" s="1" t="s">
        <v>40</v>
      </c>
      <c r="X2262">
        <v>4</v>
      </c>
      <c r="Y2262" s="1" t="s">
        <v>43</v>
      </c>
      <c r="Z2262" s="1" t="s">
        <v>52</v>
      </c>
      <c r="AA2262">
        <v>0</v>
      </c>
      <c r="AB2262" s="1" t="s">
        <v>43</v>
      </c>
      <c r="AC2262">
        <v>2</v>
      </c>
      <c r="AD2262" s="2">
        <v>44986</v>
      </c>
      <c r="AE2262" s="1" t="s">
        <v>44</v>
      </c>
      <c r="AF2262" s="1" t="s">
        <v>54</v>
      </c>
      <c r="AG2262" s="1" t="s">
        <v>63</v>
      </c>
      <c r="AH2262" s="1" t="s">
        <v>59</v>
      </c>
      <c r="AI2262">
        <v>26370</v>
      </c>
      <c r="AJ2262">
        <v>-175.79999999999927</v>
      </c>
    </row>
    <row r="2263" spans="1:36" x14ac:dyDescent="0.25">
      <c r="A2263">
        <v>12262</v>
      </c>
      <c r="B2263">
        <v>38</v>
      </c>
      <c r="C2263" s="1" t="s">
        <v>36</v>
      </c>
      <c r="D2263" s="1" t="s">
        <v>71</v>
      </c>
      <c r="E2263" s="2">
        <v>44676</v>
      </c>
      <c r="F2263" s="2">
        <v>44743</v>
      </c>
      <c r="G2263" s="1" t="s">
        <v>62</v>
      </c>
      <c r="H2263">
        <v>1249</v>
      </c>
      <c r="I2263">
        <v>6</v>
      </c>
      <c r="J2263">
        <v>0</v>
      </c>
      <c r="K2263">
        <v>13.55</v>
      </c>
      <c r="L2263">
        <v>20</v>
      </c>
      <c r="M2263" s="1" t="s">
        <v>39</v>
      </c>
      <c r="N2263" s="1" t="s">
        <v>56</v>
      </c>
      <c r="O2263">
        <v>7244.2</v>
      </c>
      <c r="P2263" t="b">
        <v>1</v>
      </c>
      <c r="Q2263">
        <v>0.5</v>
      </c>
      <c r="R2263">
        <v>1207.3666666666666</v>
      </c>
      <c r="S2263">
        <v>13.55</v>
      </c>
      <c r="T2263" s="2">
        <v>44652</v>
      </c>
      <c r="U2263" s="1" t="s">
        <v>51</v>
      </c>
      <c r="V2263">
        <v>0</v>
      </c>
      <c r="W2263" s="1" t="s">
        <v>56</v>
      </c>
      <c r="X2263">
        <v>67</v>
      </c>
      <c r="Y2263" s="1" t="s">
        <v>42</v>
      </c>
      <c r="Z2263" s="1" t="s">
        <v>52</v>
      </c>
      <c r="AA2263">
        <v>0</v>
      </c>
      <c r="AB2263" s="1" t="s">
        <v>42</v>
      </c>
      <c r="AC2263">
        <v>2</v>
      </c>
      <c r="AD2263" s="2">
        <v>44652</v>
      </c>
      <c r="AE2263" s="1" t="s">
        <v>58</v>
      </c>
      <c r="AF2263" s="1" t="s">
        <v>54</v>
      </c>
      <c r="AG2263" s="1" t="s">
        <v>46</v>
      </c>
      <c r="AH2263" s="1" t="s">
        <v>47</v>
      </c>
      <c r="AI2263">
        <v>7494</v>
      </c>
      <c r="AJ2263">
        <v>-249.80000000000018</v>
      </c>
    </row>
    <row r="2264" spans="1:36" x14ac:dyDescent="0.25">
      <c r="A2264">
        <v>12263</v>
      </c>
      <c r="B2264">
        <v>39</v>
      </c>
      <c r="C2264" s="1" t="s">
        <v>36</v>
      </c>
      <c r="D2264" s="1" t="s">
        <v>37</v>
      </c>
      <c r="E2264" s="2">
        <v>45085</v>
      </c>
      <c r="F2264" s="2">
        <v>44568</v>
      </c>
      <c r="G2264" s="1" t="s">
        <v>38</v>
      </c>
      <c r="H2264">
        <v>506</v>
      </c>
      <c r="I2264">
        <v>33</v>
      </c>
      <c r="J2264">
        <v>1</v>
      </c>
      <c r="K2264">
        <v>41.64</v>
      </c>
      <c r="L2264">
        <v>15</v>
      </c>
      <c r="M2264" s="1" t="s">
        <v>50</v>
      </c>
      <c r="N2264" s="1" t="s">
        <v>40</v>
      </c>
      <c r="O2264">
        <v>16622.099999999999</v>
      </c>
      <c r="P2264" t="b">
        <v>0</v>
      </c>
      <c r="Q2264">
        <v>2.75</v>
      </c>
      <c r="R2264">
        <v>503.69999999999993</v>
      </c>
      <c r="S2264">
        <v>20.82</v>
      </c>
      <c r="T2264" s="2">
        <v>45078</v>
      </c>
      <c r="U2264" s="1" t="s">
        <v>51</v>
      </c>
      <c r="V2264">
        <v>1</v>
      </c>
      <c r="W2264" s="1" t="s">
        <v>40</v>
      </c>
      <c r="Y2264" s="1" t="s">
        <v>52</v>
      </c>
      <c r="Z2264" s="1" t="s">
        <v>42</v>
      </c>
      <c r="AA2264">
        <v>2.9411764705882353E-2</v>
      </c>
      <c r="AB2264" s="1" t="s">
        <v>52</v>
      </c>
      <c r="AC2264">
        <v>1</v>
      </c>
      <c r="AD2264" s="2">
        <v>45078</v>
      </c>
      <c r="AE2264" s="1" t="s">
        <v>44</v>
      </c>
      <c r="AF2264" s="1" t="s">
        <v>54</v>
      </c>
      <c r="AG2264" s="1" t="s">
        <v>55</v>
      </c>
      <c r="AH2264" s="1" t="s">
        <v>64</v>
      </c>
      <c r="AI2264">
        <v>16698</v>
      </c>
      <c r="AJ2264">
        <v>-75.900000000001455</v>
      </c>
    </row>
    <row r="2265" spans="1:36" x14ac:dyDescent="0.25">
      <c r="A2265">
        <v>12264</v>
      </c>
      <c r="B2265">
        <v>45</v>
      </c>
      <c r="C2265" s="1" t="s">
        <v>36</v>
      </c>
      <c r="D2265" s="1" t="s">
        <v>37</v>
      </c>
      <c r="E2265" s="2">
        <v>44359</v>
      </c>
      <c r="F2265" s="2">
        <v>44775</v>
      </c>
      <c r="G2265" s="1" t="s">
        <v>38</v>
      </c>
      <c r="H2265">
        <v>1372</v>
      </c>
      <c r="I2265">
        <v>23</v>
      </c>
      <c r="J2265">
        <v>3</v>
      </c>
      <c r="K2265">
        <v>41.72</v>
      </c>
      <c r="L2265">
        <v>10</v>
      </c>
      <c r="M2265" s="1" t="s">
        <v>65</v>
      </c>
      <c r="N2265" s="1" t="s">
        <v>56</v>
      </c>
      <c r="O2265">
        <v>31418.799999999999</v>
      </c>
      <c r="P2265" t="b">
        <v>1</v>
      </c>
      <c r="Q2265">
        <v>1.9166666666666667</v>
      </c>
      <c r="R2265">
        <v>1366.0347826086957</v>
      </c>
      <c r="S2265">
        <v>10.43</v>
      </c>
      <c r="T2265" s="2">
        <v>44348</v>
      </c>
      <c r="U2265" s="1" t="s">
        <v>51</v>
      </c>
      <c r="V2265">
        <v>0</v>
      </c>
      <c r="W2265" s="1" t="s">
        <v>40</v>
      </c>
      <c r="X2265">
        <v>416</v>
      </c>
      <c r="Y2265" s="1" t="s">
        <v>52</v>
      </c>
      <c r="Z2265" s="1" t="s">
        <v>42</v>
      </c>
      <c r="AA2265">
        <v>0.125</v>
      </c>
      <c r="AB2265" s="1" t="s">
        <v>43</v>
      </c>
      <c r="AC2265">
        <v>1</v>
      </c>
      <c r="AD2265" s="2">
        <v>44348</v>
      </c>
      <c r="AE2265" s="1" t="s">
        <v>53</v>
      </c>
      <c r="AF2265" s="1" t="s">
        <v>72</v>
      </c>
      <c r="AG2265" s="1" t="s">
        <v>55</v>
      </c>
      <c r="AH2265" s="1" t="s">
        <v>47</v>
      </c>
      <c r="AI2265">
        <v>31556</v>
      </c>
      <c r="AJ2265">
        <v>-137.20000000000073</v>
      </c>
    </row>
    <row r="2266" spans="1:36" x14ac:dyDescent="0.25">
      <c r="A2266">
        <v>12265</v>
      </c>
      <c r="B2266">
        <v>26</v>
      </c>
      <c r="C2266" s="1" t="s">
        <v>60</v>
      </c>
      <c r="D2266" s="1" t="s">
        <v>48</v>
      </c>
      <c r="E2266" s="2">
        <v>44979</v>
      </c>
      <c r="F2266" s="2">
        <v>45099</v>
      </c>
      <c r="G2266" s="1" t="s">
        <v>38</v>
      </c>
      <c r="H2266">
        <v>843</v>
      </c>
      <c r="I2266">
        <v>10</v>
      </c>
      <c r="J2266">
        <v>1</v>
      </c>
      <c r="K2266">
        <v>42.92</v>
      </c>
      <c r="L2266">
        <v>0</v>
      </c>
      <c r="M2266" s="1" t="s">
        <v>50</v>
      </c>
      <c r="N2266" s="1" t="s">
        <v>40</v>
      </c>
      <c r="O2266">
        <v>8430</v>
      </c>
      <c r="P2266" t="b">
        <v>1</v>
      </c>
      <c r="Q2266">
        <v>0.83333333333333337</v>
      </c>
      <c r="R2266">
        <v>843</v>
      </c>
      <c r="S2266">
        <v>21.46</v>
      </c>
      <c r="T2266" s="2">
        <v>44958</v>
      </c>
      <c r="U2266" s="1" t="s">
        <v>57</v>
      </c>
      <c r="V2266">
        <v>1</v>
      </c>
      <c r="W2266" s="1" t="s">
        <v>56</v>
      </c>
      <c r="X2266">
        <v>120</v>
      </c>
      <c r="Y2266" s="1" t="s">
        <v>52</v>
      </c>
      <c r="Z2266" s="1" t="s">
        <v>42</v>
      </c>
      <c r="AA2266">
        <v>9.0909090909090912E-2</v>
      </c>
      <c r="AB2266" s="1" t="s">
        <v>42</v>
      </c>
      <c r="AC2266">
        <v>1</v>
      </c>
      <c r="AD2266" s="2">
        <v>44958</v>
      </c>
      <c r="AE2266" s="1" t="s">
        <v>74</v>
      </c>
      <c r="AF2266" s="1" t="s">
        <v>54</v>
      </c>
      <c r="AG2266" s="1" t="s">
        <v>55</v>
      </c>
      <c r="AH2266" s="1" t="s">
        <v>59</v>
      </c>
      <c r="AI2266">
        <v>8430</v>
      </c>
      <c r="AJ2266">
        <v>0</v>
      </c>
    </row>
    <row r="2267" spans="1:36" x14ac:dyDescent="0.25">
      <c r="A2267">
        <v>12266</v>
      </c>
      <c r="B2267">
        <v>43</v>
      </c>
      <c r="C2267" s="1" t="s">
        <v>60</v>
      </c>
      <c r="D2267" s="1" t="s">
        <v>69</v>
      </c>
      <c r="E2267" s="2">
        <v>45084</v>
      </c>
      <c r="F2267" s="2">
        <v>44490</v>
      </c>
      <c r="G2267" s="1" t="s">
        <v>62</v>
      </c>
      <c r="H2267">
        <v>428</v>
      </c>
      <c r="I2267">
        <v>15</v>
      </c>
      <c r="J2267">
        <v>3</v>
      </c>
      <c r="K2267">
        <v>62.79</v>
      </c>
      <c r="L2267">
        <v>15</v>
      </c>
      <c r="M2267" s="1" t="s">
        <v>50</v>
      </c>
      <c r="N2267" s="1" t="s">
        <v>40</v>
      </c>
      <c r="O2267">
        <v>6355.8</v>
      </c>
      <c r="P2267" t="b">
        <v>0</v>
      </c>
      <c r="Q2267">
        <v>1.25</v>
      </c>
      <c r="R2267">
        <v>423.72</v>
      </c>
      <c r="S2267">
        <v>15.6975</v>
      </c>
      <c r="T2267" s="2">
        <v>45078</v>
      </c>
      <c r="U2267" s="1" t="s">
        <v>51</v>
      </c>
      <c r="V2267">
        <v>1</v>
      </c>
      <c r="W2267" s="1" t="s">
        <v>56</v>
      </c>
      <c r="Y2267" s="1" t="s">
        <v>43</v>
      </c>
      <c r="Z2267" s="1" t="s">
        <v>42</v>
      </c>
      <c r="AA2267">
        <v>0.1875</v>
      </c>
      <c r="AB2267" s="1" t="s">
        <v>42</v>
      </c>
      <c r="AC2267">
        <v>2</v>
      </c>
      <c r="AD2267" s="2">
        <v>45078</v>
      </c>
      <c r="AE2267" s="1" t="s">
        <v>53</v>
      </c>
      <c r="AF2267" s="1" t="s">
        <v>72</v>
      </c>
      <c r="AG2267" s="1" t="s">
        <v>63</v>
      </c>
      <c r="AH2267" s="1" t="s">
        <v>68</v>
      </c>
      <c r="AI2267">
        <v>6420</v>
      </c>
      <c r="AJ2267">
        <v>-64.199999999999818</v>
      </c>
    </row>
    <row r="2268" spans="1:36" x14ac:dyDescent="0.25">
      <c r="A2268">
        <v>12267</v>
      </c>
      <c r="B2268">
        <v>26</v>
      </c>
      <c r="C2268" s="1" t="s">
        <v>36</v>
      </c>
      <c r="D2268" s="1" t="s">
        <v>37</v>
      </c>
      <c r="E2268" s="2">
        <v>44292</v>
      </c>
      <c r="F2268" s="2">
        <v>45208</v>
      </c>
      <c r="G2268" s="1" t="s">
        <v>38</v>
      </c>
      <c r="H2268">
        <v>913</v>
      </c>
      <c r="I2268">
        <v>23</v>
      </c>
      <c r="J2268">
        <v>1</v>
      </c>
      <c r="K2268">
        <v>37.549999999999997</v>
      </c>
      <c r="L2268">
        <v>10</v>
      </c>
      <c r="M2268" s="1" t="s">
        <v>50</v>
      </c>
      <c r="N2268" s="1" t="s">
        <v>56</v>
      </c>
      <c r="O2268">
        <v>20907.7</v>
      </c>
      <c r="P2268" t="b">
        <v>1</v>
      </c>
      <c r="Q2268">
        <v>1.9166666666666667</v>
      </c>
      <c r="R2268">
        <v>909.03043478260872</v>
      </c>
      <c r="S2268">
        <v>18.774999999999999</v>
      </c>
      <c r="T2268" s="2">
        <v>44287</v>
      </c>
      <c r="U2268" s="1" t="s">
        <v>57</v>
      </c>
      <c r="V2268">
        <v>0</v>
      </c>
      <c r="W2268" s="1" t="s">
        <v>40</v>
      </c>
      <c r="X2268">
        <v>916</v>
      </c>
      <c r="Y2268" s="1" t="s">
        <v>52</v>
      </c>
      <c r="Z2268" s="1" t="s">
        <v>42</v>
      </c>
      <c r="AA2268">
        <v>4.1666666666666664E-2</v>
      </c>
      <c r="AB2268" s="1" t="s">
        <v>43</v>
      </c>
      <c r="AC2268">
        <v>1</v>
      </c>
      <c r="AD2268" s="2">
        <v>44287</v>
      </c>
      <c r="AE2268" s="1" t="s">
        <v>53</v>
      </c>
      <c r="AF2268" s="1" t="s">
        <v>54</v>
      </c>
      <c r="AG2268" s="1" t="s">
        <v>55</v>
      </c>
      <c r="AH2268" s="1" t="s">
        <v>59</v>
      </c>
      <c r="AI2268">
        <v>20999</v>
      </c>
      <c r="AJ2268">
        <v>-91.299999999999272</v>
      </c>
    </row>
    <row r="2269" spans="1:36" x14ac:dyDescent="0.25">
      <c r="A2269">
        <v>12268</v>
      </c>
      <c r="B2269">
        <v>32</v>
      </c>
      <c r="C2269" s="1" t="s">
        <v>60</v>
      </c>
      <c r="D2269" s="1" t="s">
        <v>37</v>
      </c>
      <c r="E2269" s="2">
        <v>44970</v>
      </c>
      <c r="F2269" s="2">
        <v>44710</v>
      </c>
      <c r="G2269" s="1" t="s">
        <v>49</v>
      </c>
      <c r="H2269">
        <v>334</v>
      </c>
      <c r="I2269">
        <v>1</v>
      </c>
      <c r="J2269">
        <v>3</v>
      </c>
      <c r="K2269">
        <v>56.1</v>
      </c>
      <c r="L2269">
        <v>5</v>
      </c>
      <c r="M2269" s="1" t="s">
        <v>65</v>
      </c>
      <c r="N2269" s="1" t="s">
        <v>40</v>
      </c>
      <c r="O2269">
        <v>317.3</v>
      </c>
      <c r="P2269" t="b">
        <v>0</v>
      </c>
      <c r="Q2269">
        <v>8.3333333333333329E-2</v>
      </c>
      <c r="R2269">
        <v>317.3</v>
      </c>
      <c r="S2269">
        <v>14.025</v>
      </c>
      <c r="T2269" s="2">
        <v>44958</v>
      </c>
      <c r="U2269" s="1" t="s">
        <v>57</v>
      </c>
      <c r="V2269">
        <v>1</v>
      </c>
      <c r="W2269" s="1" t="s">
        <v>56</v>
      </c>
      <c r="Y2269" s="1" t="s">
        <v>52</v>
      </c>
      <c r="Z2269" s="1" t="s">
        <v>42</v>
      </c>
      <c r="AA2269">
        <v>1.5</v>
      </c>
      <c r="AB2269" s="1" t="s">
        <v>42</v>
      </c>
      <c r="AC2269">
        <v>3</v>
      </c>
      <c r="AD2269" s="2">
        <v>44958</v>
      </c>
      <c r="AE2269" s="1" t="s">
        <v>58</v>
      </c>
      <c r="AF2269" s="1" t="s">
        <v>72</v>
      </c>
      <c r="AG2269" s="1" t="s">
        <v>63</v>
      </c>
      <c r="AH2269" s="1" t="s">
        <v>68</v>
      </c>
      <c r="AI2269">
        <v>334</v>
      </c>
      <c r="AJ2269">
        <v>-16.699999999999989</v>
      </c>
    </row>
    <row r="2270" spans="1:36" x14ac:dyDescent="0.25">
      <c r="A2270">
        <v>12269</v>
      </c>
      <c r="B2270">
        <v>27</v>
      </c>
      <c r="C2270" s="1" t="s">
        <v>36</v>
      </c>
      <c r="D2270" s="1" t="s">
        <v>69</v>
      </c>
      <c r="E2270" s="2">
        <v>44706</v>
      </c>
      <c r="F2270" s="2">
        <v>44729</v>
      </c>
      <c r="G2270" s="1" t="s">
        <v>38</v>
      </c>
      <c r="H2270">
        <v>1118</v>
      </c>
      <c r="I2270">
        <v>8</v>
      </c>
      <c r="J2270">
        <v>1</v>
      </c>
      <c r="K2270">
        <v>47.29</v>
      </c>
      <c r="L2270">
        <v>10</v>
      </c>
      <c r="M2270" s="1" t="s">
        <v>39</v>
      </c>
      <c r="N2270" s="1" t="s">
        <v>56</v>
      </c>
      <c r="O2270">
        <v>8832.2000000000007</v>
      </c>
      <c r="P2270" t="b">
        <v>1</v>
      </c>
      <c r="Q2270">
        <v>0.66666666666666663</v>
      </c>
      <c r="R2270">
        <v>1104.0250000000001</v>
      </c>
      <c r="S2270">
        <v>23.645</v>
      </c>
      <c r="T2270" s="2">
        <v>44682</v>
      </c>
      <c r="U2270" s="1" t="s">
        <v>57</v>
      </c>
      <c r="V2270">
        <v>0</v>
      </c>
      <c r="W2270" s="1" t="s">
        <v>56</v>
      </c>
      <c r="X2270">
        <v>23</v>
      </c>
      <c r="Y2270" s="1" t="s">
        <v>52</v>
      </c>
      <c r="Z2270" s="1" t="s">
        <v>42</v>
      </c>
      <c r="AA2270">
        <v>0.1111111111111111</v>
      </c>
      <c r="AB2270" s="1" t="s">
        <v>52</v>
      </c>
      <c r="AC2270">
        <v>1</v>
      </c>
      <c r="AD2270" s="2">
        <v>44682</v>
      </c>
      <c r="AE2270" s="1" t="s">
        <v>74</v>
      </c>
      <c r="AF2270" s="1" t="s">
        <v>54</v>
      </c>
      <c r="AG2270" s="1" t="s">
        <v>63</v>
      </c>
      <c r="AH2270" s="1" t="s">
        <v>47</v>
      </c>
      <c r="AI2270">
        <v>8944</v>
      </c>
      <c r="AJ2270">
        <v>-111.79999999999927</v>
      </c>
    </row>
    <row r="2271" spans="1:36" x14ac:dyDescent="0.25">
      <c r="A2271">
        <v>12270</v>
      </c>
      <c r="B2271">
        <v>41</v>
      </c>
      <c r="C2271" s="1" t="s">
        <v>60</v>
      </c>
      <c r="D2271" s="1" t="s">
        <v>71</v>
      </c>
      <c r="E2271" s="2">
        <v>44561</v>
      </c>
      <c r="F2271" s="2">
        <v>44908</v>
      </c>
      <c r="G2271" s="1" t="s">
        <v>49</v>
      </c>
      <c r="H2271">
        <v>498</v>
      </c>
      <c r="I2271">
        <v>3</v>
      </c>
      <c r="J2271">
        <v>4</v>
      </c>
      <c r="K2271">
        <v>89.56</v>
      </c>
      <c r="L2271">
        <v>20</v>
      </c>
      <c r="M2271" s="1" t="s">
        <v>39</v>
      </c>
      <c r="N2271" s="1" t="s">
        <v>40</v>
      </c>
      <c r="O2271">
        <v>1394.4</v>
      </c>
      <c r="P2271" t="b">
        <v>1</v>
      </c>
      <c r="Q2271">
        <v>0.25</v>
      </c>
      <c r="R2271">
        <v>464.8</v>
      </c>
      <c r="S2271">
        <v>17.911999999999999</v>
      </c>
      <c r="T2271" s="2">
        <v>44531</v>
      </c>
      <c r="U2271" s="1" t="s">
        <v>51</v>
      </c>
      <c r="V2271">
        <v>1</v>
      </c>
      <c r="W2271" s="1" t="s">
        <v>56</v>
      </c>
      <c r="X2271">
        <v>347</v>
      </c>
      <c r="Y2271" s="1" t="s">
        <v>43</v>
      </c>
      <c r="Z2271" s="1" t="s">
        <v>52</v>
      </c>
      <c r="AA2271">
        <v>1</v>
      </c>
      <c r="AB2271" s="1" t="s">
        <v>42</v>
      </c>
      <c r="AC2271">
        <v>3</v>
      </c>
      <c r="AD2271" s="2">
        <v>44531</v>
      </c>
      <c r="AE2271" s="1" t="s">
        <v>58</v>
      </c>
      <c r="AF2271" s="1" t="s">
        <v>45</v>
      </c>
      <c r="AG2271" s="1" t="s">
        <v>63</v>
      </c>
      <c r="AH2271" s="1" t="s">
        <v>68</v>
      </c>
      <c r="AI2271">
        <v>1494</v>
      </c>
      <c r="AJ2271">
        <v>-99.599999999999909</v>
      </c>
    </row>
    <row r="2272" spans="1:36" x14ac:dyDescent="0.25">
      <c r="A2272">
        <v>12271</v>
      </c>
      <c r="B2272">
        <v>59</v>
      </c>
      <c r="C2272" s="1" t="s">
        <v>60</v>
      </c>
      <c r="D2272" s="1" t="s">
        <v>37</v>
      </c>
      <c r="E2272" s="2">
        <v>44549</v>
      </c>
      <c r="F2272" s="2">
        <v>44624</v>
      </c>
      <c r="G2272" s="1" t="s">
        <v>38</v>
      </c>
      <c r="H2272">
        <v>376</v>
      </c>
      <c r="I2272">
        <v>14</v>
      </c>
      <c r="J2272">
        <v>1</v>
      </c>
      <c r="K2272">
        <v>74.400000000000006</v>
      </c>
      <c r="L2272">
        <v>5</v>
      </c>
      <c r="M2272" s="1" t="s">
        <v>39</v>
      </c>
      <c r="N2272" s="1" t="s">
        <v>40</v>
      </c>
      <c r="O2272">
        <v>5245.2</v>
      </c>
      <c r="P2272" t="b">
        <v>1</v>
      </c>
      <c r="Q2272">
        <v>1.1666666666666667</v>
      </c>
      <c r="R2272">
        <v>374.65714285714284</v>
      </c>
      <c r="S2272">
        <v>37.200000000000003</v>
      </c>
      <c r="T2272" s="2">
        <v>44531</v>
      </c>
      <c r="U2272" s="1" t="s">
        <v>41</v>
      </c>
      <c r="V2272">
        <v>1</v>
      </c>
      <c r="W2272" s="1" t="s">
        <v>56</v>
      </c>
      <c r="X2272">
        <v>75</v>
      </c>
      <c r="Y2272" s="1" t="s">
        <v>43</v>
      </c>
      <c r="Z2272" s="1" t="s">
        <v>42</v>
      </c>
      <c r="AA2272">
        <v>6.6666666666666666E-2</v>
      </c>
      <c r="AB2272" s="1" t="s">
        <v>42</v>
      </c>
      <c r="AC2272">
        <v>1</v>
      </c>
      <c r="AD2272" s="2">
        <v>44531</v>
      </c>
      <c r="AE2272" s="1" t="s">
        <v>53</v>
      </c>
      <c r="AF2272" s="1" t="s">
        <v>54</v>
      </c>
      <c r="AG2272" s="1" t="s">
        <v>63</v>
      </c>
      <c r="AH2272" s="1" t="s">
        <v>68</v>
      </c>
      <c r="AI2272">
        <v>5264</v>
      </c>
      <c r="AJ2272">
        <v>-18.800000000000182</v>
      </c>
    </row>
    <row r="2273" spans="1:36" x14ac:dyDescent="0.25">
      <c r="A2273">
        <v>12272</v>
      </c>
      <c r="B2273">
        <v>25</v>
      </c>
      <c r="C2273" s="1" t="s">
        <v>36</v>
      </c>
      <c r="D2273" s="1" t="s">
        <v>61</v>
      </c>
      <c r="E2273" s="2">
        <v>44996</v>
      </c>
      <c r="F2273" s="2">
        <v>44618</v>
      </c>
      <c r="G2273" s="1" t="s">
        <v>62</v>
      </c>
      <c r="H2273">
        <v>668</v>
      </c>
      <c r="I2273">
        <v>17</v>
      </c>
      <c r="J2273">
        <v>6</v>
      </c>
      <c r="K2273">
        <v>80.17</v>
      </c>
      <c r="L2273">
        <v>5</v>
      </c>
      <c r="M2273" s="1" t="s">
        <v>65</v>
      </c>
      <c r="N2273" s="1" t="s">
        <v>40</v>
      </c>
      <c r="O2273">
        <v>11322.6</v>
      </c>
      <c r="P2273" t="b">
        <v>0</v>
      </c>
      <c r="Q2273">
        <v>1.4166666666666667</v>
      </c>
      <c r="R2273">
        <v>666.03529411764703</v>
      </c>
      <c r="S2273">
        <v>11.452857142857143</v>
      </c>
      <c r="T2273" s="2">
        <v>44986</v>
      </c>
      <c r="U2273" s="1" t="s">
        <v>66</v>
      </c>
      <c r="V2273">
        <v>1</v>
      </c>
      <c r="W2273" s="1" t="s">
        <v>56</v>
      </c>
      <c r="Y2273" s="1" t="s">
        <v>43</v>
      </c>
      <c r="Z2273" s="1" t="s">
        <v>42</v>
      </c>
      <c r="AA2273">
        <v>0.33333333333333331</v>
      </c>
      <c r="AB2273" s="1" t="s">
        <v>52</v>
      </c>
      <c r="AC2273">
        <v>2</v>
      </c>
      <c r="AD2273" s="2">
        <v>44986</v>
      </c>
      <c r="AE2273" s="1" t="s">
        <v>53</v>
      </c>
      <c r="AF2273" s="1" t="s">
        <v>78</v>
      </c>
      <c r="AG2273" s="1" t="s">
        <v>63</v>
      </c>
      <c r="AH2273" s="1" t="s">
        <v>64</v>
      </c>
      <c r="AI2273">
        <v>11356</v>
      </c>
      <c r="AJ2273">
        <v>-33.399999999999636</v>
      </c>
    </row>
    <row r="2274" spans="1:36" x14ac:dyDescent="0.25">
      <c r="A2274">
        <v>12273</v>
      </c>
      <c r="B2274">
        <v>41</v>
      </c>
      <c r="C2274" s="1" t="s">
        <v>36</v>
      </c>
      <c r="D2274" s="1" t="s">
        <v>73</v>
      </c>
      <c r="E2274" s="2">
        <v>44632</v>
      </c>
      <c r="F2274" s="2">
        <v>44361</v>
      </c>
      <c r="G2274" s="1" t="s">
        <v>38</v>
      </c>
      <c r="H2274">
        <v>1132</v>
      </c>
      <c r="I2274">
        <v>34</v>
      </c>
      <c r="J2274">
        <v>6</v>
      </c>
      <c r="K2274">
        <v>29.22</v>
      </c>
      <c r="L2274">
        <v>0</v>
      </c>
      <c r="M2274" s="1" t="s">
        <v>65</v>
      </c>
      <c r="N2274" s="1" t="s">
        <v>56</v>
      </c>
      <c r="O2274">
        <v>38488</v>
      </c>
      <c r="P2274" t="b">
        <v>0</v>
      </c>
      <c r="Q2274">
        <v>2.8333333333333335</v>
      </c>
      <c r="R2274">
        <v>1132</v>
      </c>
      <c r="S2274">
        <v>4.1742857142857144</v>
      </c>
      <c r="T2274" s="2">
        <v>44621</v>
      </c>
      <c r="U2274" s="1" t="s">
        <v>51</v>
      </c>
      <c r="V2274">
        <v>0</v>
      </c>
      <c r="W2274" s="1" t="s">
        <v>40</v>
      </c>
      <c r="Y2274" s="1" t="s">
        <v>52</v>
      </c>
      <c r="Z2274" s="1" t="s">
        <v>42</v>
      </c>
      <c r="AA2274">
        <v>0.17142857142857143</v>
      </c>
      <c r="AB2274" s="1" t="s">
        <v>43</v>
      </c>
      <c r="AC2274">
        <v>1</v>
      </c>
      <c r="AD2274" s="2">
        <v>44621</v>
      </c>
      <c r="AE2274" s="1" t="s">
        <v>44</v>
      </c>
      <c r="AF2274" s="1" t="s">
        <v>78</v>
      </c>
      <c r="AG2274" s="1" t="s">
        <v>70</v>
      </c>
      <c r="AH2274" s="1" t="s">
        <v>47</v>
      </c>
      <c r="AI2274">
        <v>38488</v>
      </c>
      <c r="AJ2274">
        <v>0</v>
      </c>
    </row>
    <row r="2275" spans="1:36" x14ac:dyDescent="0.25">
      <c r="A2275">
        <v>12274</v>
      </c>
      <c r="B2275">
        <v>33</v>
      </c>
      <c r="C2275" s="1" t="s">
        <v>36</v>
      </c>
      <c r="D2275" s="1" t="s">
        <v>73</v>
      </c>
      <c r="E2275" s="2">
        <v>44279</v>
      </c>
      <c r="F2275" s="2">
        <v>44645</v>
      </c>
      <c r="G2275" s="1" t="s">
        <v>38</v>
      </c>
      <c r="H2275">
        <v>825</v>
      </c>
      <c r="I2275">
        <v>6</v>
      </c>
      <c r="J2275">
        <v>3</v>
      </c>
      <c r="K2275">
        <v>42.43</v>
      </c>
      <c r="L2275">
        <v>0</v>
      </c>
      <c r="M2275" s="1" t="s">
        <v>39</v>
      </c>
      <c r="N2275" s="1" t="s">
        <v>56</v>
      </c>
      <c r="O2275">
        <v>4950</v>
      </c>
      <c r="P2275" t="b">
        <v>1</v>
      </c>
      <c r="Q2275">
        <v>0.5</v>
      </c>
      <c r="R2275">
        <v>825</v>
      </c>
      <c r="S2275">
        <v>10.6075</v>
      </c>
      <c r="T2275" s="2">
        <v>44256</v>
      </c>
      <c r="U2275" s="1" t="s">
        <v>57</v>
      </c>
      <c r="V2275">
        <v>0</v>
      </c>
      <c r="W2275" s="1" t="s">
        <v>56</v>
      </c>
      <c r="X2275">
        <v>366</v>
      </c>
      <c r="Y2275" s="1" t="s">
        <v>52</v>
      </c>
      <c r="Z2275" s="1" t="s">
        <v>42</v>
      </c>
      <c r="AA2275">
        <v>0.42857142857142855</v>
      </c>
      <c r="AB2275" s="1" t="s">
        <v>42</v>
      </c>
      <c r="AC2275">
        <v>1</v>
      </c>
      <c r="AD2275" s="2">
        <v>44256</v>
      </c>
      <c r="AE2275" s="1" t="s">
        <v>58</v>
      </c>
      <c r="AF2275" s="1" t="s">
        <v>72</v>
      </c>
      <c r="AG2275" s="1" t="s">
        <v>55</v>
      </c>
      <c r="AH2275" s="1" t="s">
        <v>59</v>
      </c>
      <c r="AI2275">
        <v>4950</v>
      </c>
      <c r="AJ2275">
        <v>0</v>
      </c>
    </row>
    <row r="2276" spans="1:36" x14ac:dyDescent="0.25">
      <c r="A2276">
        <v>12275</v>
      </c>
      <c r="B2276">
        <v>41</v>
      </c>
      <c r="C2276" s="1" t="s">
        <v>60</v>
      </c>
      <c r="D2276" s="1" t="s">
        <v>37</v>
      </c>
      <c r="E2276" s="2">
        <v>44421</v>
      </c>
      <c r="F2276" s="2">
        <v>44811</v>
      </c>
      <c r="G2276" s="1" t="s">
        <v>49</v>
      </c>
      <c r="H2276">
        <v>648</v>
      </c>
      <c r="I2276">
        <v>5</v>
      </c>
      <c r="J2276">
        <v>1</v>
      </c>
      <c r="K2276">
        <v>7.43</v>
      </c>
      <c r="L2276">
        <v>15</v>
      </c>
      <c r="M2276" s="1" t="s">
        <v>67</v>
      </c>
      <c r="N2276" s="1" t="s">
        <v>56</v>
      </c>
      <c r="O2276">
        <v>3142.8</v>
      </c>
      <c r="P2276" t="b">
        <v>1</v>
      </c>
      <c r="Q2276">
        <v>0.41666666666666669</v>
      </c>
      <c r="R2276">
        <v>628.56000000000006</v>
      </c>
      <c r="S2276">
        <v>3.7149999999999999</v>
      </c>
      <c r="T2276" s="2">
        <v>44409</v>
      </c>
      <c r="U2276" s="1" t="s">
        <v>51</v>
      </c>
      <c r="V2276">
        <v>0</v>
      </c>
      <c r="W2276" s="1" t="s">
        <v>56</v>
      </c>
      <c r="X2276">
        <v>390</v>
      </c>
      <c r="Y2276" s="1" t="s">
        <v>42</v>
      </c>
      <c r="Z2276" s="1" t="s">
        <v>42</v>
      </c>
      <c r="AA2276">
        <v>0.16666666666666666</v>
      </c>
      <c r="AB2276" s="1" t="s">
        <v>42</v>
      </c>
      <c r="AC2276">
        <v>3</v>
      </c>
      <c r="AD2276" s="2">
        <v>44409</v>
      </c>
      <c r="AE2276" s="1" t="s">
        <v>58</v>
      </c>
      <c r="AF2276" s="1" t="s">
        <v>54</v>
      </c>
      <c r="AG2276" s="1" t="s">
        <v>77</v>
      </c>
      <c r="AH2276" s="1" t="s">
        <v>64</v>
      </c>
      <c r="AI2276">
        <v>3240</v>
      </c>
      <c r="AJ2276">
        <v>-97.199999999999818</v>
      </c>
    </row>
    <row r="2277" spans="1:36" x14ac:dyDescent="0.25">
      <c r="A2277">
        <v>12276</v>
      </c>
      <c r="B2277">
        <v>44</v>
      </c>
      <c r="C2277" s="1" t="s">
        <v>36</v>
      </c>
      <c r="D2277" s="1" t="s">
        <v>71</v>
      </c>
      <c r="E2277" s="2">
        <v>44608</v>
      </c>
      <c r="F2277" s="2">
        <v>44874</v>
      </c>
      <c r="G2277" s="1" t="s">
        <v>49</v>
      </c>
      <c r="H2277">
        <v>805</v>
      </c>
      <c r="I2277">
        <v>29</v>
      </c>
      <c r="J2277">
        <v>1</v>
      </c>
      <c r="K2277">
        <v>17.46</v>
      </c>
      <c r="L2277">
        <v>10</v>
      </c>
      <c r="M2277" s="1" t="s">
        <v>67</v>
      </c>
      <c r="N2277" s="1" t="s">
        <v>56</v>
      </c>
      <c r="O2277">
        <v>23264.5</v>
      </c>
      <c r="P2277" t="b">
        <v>1</v>
      </c>
      <c r="Q2277">
        <v>2.4166666666666665</v>
      </c>
      <c r="R2277">
        <v>802.22413793103453</v>
      </c>
      <c r="S2277">
        <v>8.73</v>
      </c>
      <c r="T2277" s="2">
        <v>44593</v>
      </c>
      <c r="U2277" s="1" t="s">
        <v>51</v>
      </c>
      <c r="V2277">
        <v>0</v>
      </c>
      <c r="W2277" s="1" t="s">
        <v>40</v>
      </c>
      <c r="X2277">
        <v>266</v>
      </c>
      <c r="Y2277" s="1" t="s">
        <v>42</v>
      </c>
      <c r="Z2277" s="1" t="s">
        <v>42</v>
      </c>
      <c r="AA2277">
        <v>3.3333333333333333E-2</v>
      </c>
      <c r="AB2277" s="1" t="s">
        <v>43</v>
      </c>
      <c r="AC2277">
        <v>3</v>
      </c>
      <c r="AD2277" s="2">
        <v>44593</v>
      </c>
      <c r="AE2277" s="1" t="s">
        <v>44</v>
      </c>
      <c r="AF2277" s="1" t="s">
        <v>54</v>
      </c>
      <c r="AG2277" s="1" t="s">
        <v>46</v>
      </c>
      <c r="AH2277" s="1" t="s">
        <v>59</v>
      </c>
      <c r="AI2277">
        <v>23345</v>
      </c>
      <c r="AJ2277">
        <v>-80.5</v>
      </c>
    </row>
    <row r="2278" spans="1:36" x14ac:dyDescent="0.25">
      <c r="A2278">
        <v>12277</v>
      </c>
      <c r="B2278">
        <v>54</v>
      </c>
      <c r="C2278" s="1" t="s">
        <v>60</v>
      </c>
      <c r="D2278" s="1" t="s">
        <v>71</v>
      </c>
      <c r="E2278" s="2">
        <v>44931</v>
      </c>
      <c r="F2278" s="2">
        <v>44581</v>
      </c>
      <c r="G2278" s="1" t="s">
        <v>38</v>
      </c>
      <c r="H2278">
        <v>942</v>
      </c>
      <c r="I2278">
        <v>35</v>
      </c>
      <c r="J2278">
        <v>2</v>
      </c>
      <c r="K2278">
        <v>35.479999999999997</v>
      </c>
      <c r="L2278">
        <v>15</v>
      </c>
      <c r="M2278" s="1" t="s">
        <v>39</v>
      </c>
      <c r="N2278" s="1" t="s">
        <v>56</v>
      </c>
      <c r="O2278">
        <v>32828.699999999997</v>
      </c>
      <c r="P2278" t="b">
        <v>0</v>
      </c>
      <c r="Q2278">
        <v>2.9166666666666665</v>
      </c>
      <c r="R2278">
        <v>937.96285714285705</v>
      </c>
      <c r="S2278">
        <v>11.826666666666666</v>
      </c>
      <c r="T2278" s="2">
        <v>44927</v>
      </c>
      <c r="U2278" s="1" t="s">
        <v>41</v>
      </c>
      <c r="V2278">
        <v>0</v>
      </c>
      <c r="W2278" s="1" t="s">
        <v>40</v>
      </c>
      <c r="Y2278" s="1" t="s">
        <v>52</v>
      </c>
      <c r="Z2278" s="1" t="s">
        <v>42</v>
      </c>
      <c r="AA2278">
        <v>5.5555555555555552E-2</v>
      </c>
      <c r="AB2278" s="1" t="s">
        <v>43</v>
      </c>
      <c r="AC2278">
        <v>1</v>
      </c>
      <c r="AD2278" s="2">
        <v>44927</v>
      </c>
      <c r="AE2278" s="1" t="s">
        <v>44</v>
      </c>
      <c r="AF2278" s="1" t="s">
        <v>72</v>
      </c>
      <c r="AG2278" s="1" t="s">
        <v>55</v>
      </c>
      <c r="AH2278" s="1" t="s">
        <v>59</v>
      </c>
      <c r="AI2278">
        <v>32970</v>
      </c>
      <c r="AJ2278">
        <v>-141.30000000000291</v>
      </c>
    </row>
    <row r="2279" spans="1:36" x14ac:dyDescent="0.25">
      <c r="A2279">
        <v>12278</v>
      </c>
      <c r="B2279">
        <v>21</v>
      </c>
      <c r="C2279" s="1" t="s">
        <v>60</v>
      </c>
      <c r="D2279" s="1" t="s">
        <v>48</v>
      </c>
      <c r="E2279" s="2">
        <v>44314</v>
      </c>
      <c r="F2279" s="2">
        <v>44922</v>
      </c>
      <c r="G2279" s="1" t="s">
        <v>62</v>
      </c>
      <c r="H2279">
        <v>537</v>
      </c>
      <c r="I2279">
        <v>18</v>
      </c>
      <c r="J2279">
        <v>2</v>
      </c>
      <c r="K2279">
        <v>12.53</v>
      </c>
      <c r="L2279">
        <v>0</v>
      </c>
      <c r="M2279" s="1" t="s">
        <v>67</v>
      </c>
      <c r="N2279" s="1" t="s">
        <v>40</v>
      </c>
      <c r="O2279">
        <v>9666</v>
      </c>
      <c r="P2279" t="b">
        <v>1</v>
      </c>
      <c r="Q2279">
        <v>1.5</v>
      </c>
      <c r="R2279">
        <v>537</v>
      </c>
      <c r="S2279">
        <v>4.1766666666666667</v>
      </c>
      <c r="T2279" s="2">
        <v>44287</v>
      </c>
      <c r="U2279" s="1" t="s">
        <v>66</v>
      </c>
      <c r="V2279">
        <v>1</v>
      </c>
      <c r="W2279" s="1" t="s">
        <v>56</v>
      </c>
      <c r="X2279">
        <v>608</v>
      </c>
      <c r="Y2279" s="1" t="s">
        <v>42</v>
      </c>
      <c r="Z2279" s="1" t="s">
        <v>42</v>
      </c>
      <c r="AA2279">
        <v>0.10526315789473684</v>
      </c>
      <c r="AB2279" s="1" t="s">
        <v>52</v>
      </c>
      <c r="AC2279">
        <v>2</v>
      </c>
      <c r="AD2279" s="2">
        <v>44287</v>
      </c>
      <c r="AE2279" s="1" t="s">
        <v>53</v>
      </c>
      <c r="AF2279" s="1" t="s">
        <v>72</v>
      </c>
      <c r="AG2279" s="1" t="s">
        <v>46</v>
      </c>
      <c r="AH2279" s="1" t="s">
        <v>64</v>
      </c>
      <c r="AI2279">
        <v>9666</v>
      </c>
      <c r="AJ2279">
        <v>0</v>
      </c>
    </row>
    <row r="2280" spans="1:36" x14ac:dyDescent="0.25">
      <c r="A2280">
        <v>12279</v>
      </c>
      <c r="B2280">
        <v>41</v>
      </c>
      <c r="C2280" s="1" t="s">
        <v>60</v>
      </c>
      <c r="D2280" s="1" t="s">
        <v>61</v>
      </c>
      <c r="E2280" s="2">
        <v>44678</v>
      </c>
      <c r="F2280" s="2">
        <v>45055</v>
      </c>
      <c r="G2280" s="1" t="s">
        <v>62</v>
      </c>
      <c r="H2280">
        <v>437</v>
      </c>
      <c r="I2280">
        <v>30</v>
      </c>
      <c r="J2280">
        <v>0</v>
      </c>
      <c r="K2280">
        <v>74.3</v>
      </c>
      <c r="L2280">
        <v>10</v>
      </c>
      <c r="M2280" s="1" t="s">
        <v>67</v>
      </c>
      <c r="N2280" s="1" t="s">
        <v>56</v>
      </c>
      <c r="O2280">
        <v>13022.6</v>
      </c>
      <c r="P2280" t="b">
        <v>1</v>
      </c>
      <c r="Q2280">
        <v>2.5</v>
      </c>
      <c r="R2280">
        <v>434.0866666666667</v>
      </c>
      <c r="S2280">
        <v>74.3</v>
      </c>
      <c r="T2280" s="2">
        <v>44652</v>
      </c>
      <c r="U2280" s="1" t="s">
        <v>51</v>
      </c>
      <c r="V2280">
        <v>0</v>
      </c>
      <c r="W2280" s="1" t="s">
        <v>56</v>
      </c>
      <c r="X2280">
        <v>377</v>
      </c>
      <c r="Y2280" s="1" t="s">
        <v>43</v>
      </c>
      <c r="Z2280" s="1" t="s">
        <v>42</v>
      </c>
      <c r="AA2280">
        <v>0</v>
      </c>
      <c r="AB2280" s="1" t="s">
        <v>52</v>
      </c>
      <c r="AC2280">
        <v>2</v>
      </c>
      <c r="AD2280" s="2">
        <v>44652</v>
      </c>
      <c r="AE2280" s="1" t="s">
        <v>44</v>
      </c>
      <c r="AF2280" s="1" t="s">
        <v>54</v>
      </c>
      <c r="AG2280" s="1" t="s">
        <v>63</v>
      </c>
      <c r="AH2280" s="1" t="s">
        <v>68</v>
      </c>
      <c r="AI2280">
        <v>13110</v>
      </c>
      <c r="AJ2280">
        <v>-87.399999999999636</v>
      </c>
    </row>
    <row r="2281" spans="1:36" x14ac:dyDescent="0.25">
      <c r="A2281">
        <v>12280</v>
      </c>
      <c r="B2281">
        <v>36</v>
      </c>
      <c r="C2281" s="1" t="s">
        <v>60</v>
      </c>
      <c r="D2281" s="1" t="s">
        <v>71</v>
      </c>
      <c r="E2281" s="2">
        <v>44388</v>
      </c>
      <c r="F2281" s="2">
        <v>44374</v>
      </c>
      <c r="G2281" s="1" t="s">
        <v>49</v>
      </c>
      <c r="H2281">
        <v>1465</v>
      </c>
      <c r="I2281">
        <v>15</v>
      </c>
      <c r="J2281">
        <v>2</v>
      </c>
      <c r="K2281">
        <v>119.78</v>
      </c>
      <c r="L2281">
        <v>0</v>
      </c>
      <c r="M2281" s="1" t="s">
        <v>39</v>
      </c>
      <c r="N2281" s="1" t="s">
        <v>56</v>
      </c>
      <c r="O2281">
        <v>21975</v>
      </c>
      <c r="P2281" t="b">
        <v>0</v>
      </c>
      <c r="Q2281">
        <v>1.25</v>
      </c>
      <c r="R2281">
        <v>1465</v>
      </c>
      <c r="S2281">
        <v>39.926666666666669</v>
      </c>
      <c r="T2281" s="2">
        <v>44378</v>
      </c>
      <c r="U2281" s="1" t="s">
        <v>51</v>
      </c>
      <c r="V2281">
        <v>0</v>
      </c>
      <c r="W2281" s="1" t="s">
        <v>40</v>
      </c>
      <c r="Y2281" s="1" t="s">
        <v>43</v>
      </c>
      <c r="Z2281" s="1" t="s">
        <v>42</v>
      </c>
      <c r="AA2281">
        <v>0.125</v>
      </c>
      <c r="AB2281" s="1" t="s">
        <v>43</v>
      </c>
      <c r="AC2281">
        <v>3</v>
      </c>
      <c r="AD2281" s="2">
        <v>44378</v>
      </c>
      <c r="AE2281" s="1" t="s">
        <v>53</v>
      </c>
      <c r="AF2281" s="1" t="s">
        <v>72</v>
      </c>
      <c r="AG2281" s="1" t="s">
        <v>63</v>
      </c>
      <c r="AH2281" s="1" t="s">
        <v>47</v>
      </c>
      <c r="AI2281">
        <v>21975</v>
      </c>
      <c r="AJ2281">
        <v>0</v>
      </c>
    </row>
    <row r="2282" spans="1:36" x14ac:dyDescent="0.25">
      <c r="A2282">
        <v>12281</v>
      </c>
      <c r="B2282">
        <v>53</v>
      </c>
      <c r="C2282" s="1" t="s">
        <v>60</v>
      </c>
      <c r="D2282" s="1" t="s">
        <v>69</v>
      </c>
      <c r="E2282" s="2">
        <v>44787</v>
      </c>
      <c r="F2282" s="2">
        <v>44818</v>
      </c>
      <c r="G2282" s="1" t="s">
        <v>38</v>
      </c>
      <c r="H2282">
        <v>911</v>
      </c>
      <c r="I2282">
        <v>15</v>
      </c>
      <c r="J2282">
        <v>1</v>
      </c>
      <c r="K2282">
        <v>16.59</v>
      </c>
      <c r="L2282">
        <v>10</v>
      </c>
      <c r="M2282" s="1" t="s">
        <v>39</v>
      </c>
      <c r="N2282" s="1" t="s">
        <v>56</v>
      </c>
      <c r="O2282">
        <v>13573.9</v>
      </c>
      <c r="P2282" t="b">
        <v>1</v>
      </c>
      <c r="Q2282">
        <v>1.25</v>
      </c>
      <c r="R2282">
        <v>904.92666666666662</v>
      </c>
      <c r="S2282">
        <v>8.2949999999999999</v>
      </c>
      <c r="T2282" s="2">
        <v>44774</v>
      </c>
      <c r="U2282" s="1" t="s">
        <v>41</v>
      </c>
      <c r="V2282">
        <v>0</v>
      </c>
      <c r="W2282" s="1" t="s">
        <v>40</v>
      </c>
      <c r="X2282">
        <v>31</v>
      </c>
      <c r="Y2282" s="1" t="s">
        <v>42</v>
      </c>
      <c r="Z2282" s="1" t="s">
        <v>42</v>
      </c>
      <c r="AA2282">
        <v>6.25E-2</v>
      </c>
      <c r="AB2282" s="1" t="s">
        <v>52</v>
      </c>
      <c r="AC2282">
        <v>1</v>
      </c>
      <c r="AD2282" s="2">
        <v>44774</v>
      </c>
      <c r="AE2282" s="1" t="s">
        <v>53</v>
      </c>
      <c r="AF2282" s="1" t="s">
        <v>54</v>
      </c>
      <c r="AG2282" s="1" t="s">
        <v>46</v>
      </c>
      <c r="AH2282" s="1" t="s">
        <v>59</v>
      </c>
      <c r="AI2282">
        <v>13665</v>
      </c>
      <c r="AJ2282">
        <v>-91.100000000000364</v>
      </c>
    </row>
    <row r="2283" spans="1:36" x14ac:dyDescent="0.25">
      <c r="A2283">
        <v>12282</v>
      </c>
      <c r="B2283">
        <v>56</v>
      </c>
      <c r="C2283" s="1" t="s">
        <v>60</v>
      </c>
      <c r="D2283" s="1" t="s">
        <v>61</v>
      </c>
      <c r="E2283" s="2">
        <v>44786</v>
      </c>
      <c r="F2283" s="2">
        <v>44440</v>
      </c>
      <c r="G2283" s="1" t="s">
        <v>62</v>
      </c>
      <c r="H2283">
        <v>979</v>
      </c>
      <c r="I2283">
        <v>16</v>
      </c>
      <c r="J2283">
        <v>5</v>
      </c>
      <c r="K2283">
        <v>99.44</v>
      </c>
      <c r="L2283">
        <v>20</v>
      </c>
      <c r="M2283" s="1" t="s">
        <v>65</v>
      </c>
      <c r="N2283" s="1" t="s">
        <v>56</v>
      </c>
      <c r="O2283">
        <v>15468.2</v>
      </c>
      <c r="P2283" t="b">
        <v>0</v>
      </c>
      <c r="Q2283">
        <v>1.3333333333333333</v>
      </c>
      <c r="R2283">
        <v>966.76250000000005</v>
      </c>
      <c r="S2283">
        <v>16.573333333333334</v>
      </c>
      <c r="T2283" s="2">
        <v>44774</v>
      </c>
      <c r="U2283" s="1" t="s">
        <v>41</v>
      </c>
      <c r="V2283">
        <v>0</v>
      </c>
      <c r="W2283" s="1" t="s">
        <v>40</v>
      </c>
      <c r="Y2283" s="1" t="s">
        <v>43</v>
      </c>
      <c r="Z2283" s="1" t="s">
        <v>52</v>
      </c>
      <c r="AA2283">
        <v>0.29411764705882354</v>
      </c>
      <c r="AB2283" s="1" t="s">
        <v>52</v>
      </c>
      <c r="AC2283">
        <v>2</v>
      </c>
      <c r="AD2283" s="2">
        <v>44774</v>
      </c>
      <c r="AE2283" s="1" t="s">
        <v>53</v>
      </c>
      <c r="AF2283" s="1" t="s">
        <v>45</v>
      </c>
      <c r="AG2283" s="1" t="s">
        <v>63</v>
      </c>
      <c r="AH2283" s="1" t="s">
        <v>59</v>
      </c>
      <c r="AI2283">
        <v>15664</v>
      </c>
      <c r="AJ2283">
        <v>-195.79999999999927</v>
      </c>
    </row>
    <row r="2284" spans="1:36" x14ac:dyDescent="0.25">
      <c r="A2284">
        <v>12283</v>
      </c>
      <c r="B2284">
        <v>27</v>
      </c>
      <c r="C2284" s="1" t="s">
        <v>60</v>
      </c>
      <c r="D2284" s="1" t="s">
        <v>73</v>
      </c>
      <c r="E2284" s="2">
        <v>44855</v>
      </c>
      <c r="F2284" s="2">
        <v>44964</v>
      </c>
      <c r="G2284" s="1" t="s">
        <v>62</v>
      </c>
      <c r="H2284">
        <v>1138</v>
      </c>
      <c r="I2284">
        <v>33</v>
      </c>
      <c r="J2284">
        <v>1</v>
      </c>
      <c r="K2284">
        <v>18.66</v>
      </c>
      <c r="L2284">
        <v>15</v>
      </c>
      <c r="M2284" s="1" t="s">
        <v>67</v>
      </c>
      <c r="N2284" s="1" t="s">
        <v>56</v>
      </c>
      <c r="O2284">
        <v>37383.300000000003</v>
      </c>
      <c r="P2284" t="b">
        <v>1</v>
      </c>
      <c r="Q2284">
        <v>2.75</v>
      </c>
      <c r="R2284">
        <v>1132.8272727272729</v>
      </c>
      <c r="S2284">
        <v>9.33</v>
      </c>
      <c r="T2284" s="2">
        <v>44835</v>
      </c>
      <c r="U2284" s="1" t="s">
        <v>57</v>
      </c>
      <c r="V2284">
        <v>0</v>
      </c>
      <c r="W2284" s="1" t="s">
        <v>40</v>
      </c>
      <c r="X2284">
        <v>109</v>
      </c>
      <c r="Y2284" s="1" t="s">
        <v>42</v>
      </c>
      <c r="Z2284" s="1" t="s">
        <v>42</v>
      </c>
      <c r="AA2284">
        <v>2.9411764705882353E-2</v>
      </c>
      <c r="AB2284" s="1" t="s">
        <v>43</v>
      </c>
      <c r="AC2284">
        <v>2</v>
      </c>
      <c r="AD2284" s="2">
        <v>44835</v>
      </c>
      <c r="AE2284" s="1" t="s">
        <v>44</v>
      </c>
      <c r="AF2284" s="1" t="s">
        <v>54</v>
      </c>
      <c r="AG2284" s="1" t="s">
        <v>46</v>
      </c>
      <c r="AH2284" s="1" t="s">
        <v>47</v>
      </c>
      <c r="AI2284">
        <v>37554</v>
      </c>
      <c r="AJ2284">
        <v>-170.69999999999709</v>
      </c>
    </row>
    <row r="2285" spans="1:36" x14ac:dyDescent="0.25">
      <c r="A2285">
        <v>12284</v>
      </c>
      <c r="B2285">
        <v>41</v>
      </c>
      <c r="C2285" s="1" t="s">
        <v>60</v>
      </c>
      <c r="D2285" s="1" t="s">
        <v>61</v>
      </c>
      <c r="E2285" s="2">
        <v>44303</v>
      </c>
      <c r="F2285" s="2">
        <v>44656</v>
      </c>
      <c r="G2285" s="1" t="s">
        <v>38</v>
      </c>
      <c r="H2285">
        <v>1237</v>
      </c>
      <c r="I2285">
        <v>10</v>
      </c>
      <c r="J2285">
        <v>1</v>
      </c>
      <c r="K2285">
        <v>82.04</v>
      </c>
      <c r="L2285">
        <v>15</v>
      </c>
      <c r="M2285" s="1" t="s">
        <v>67</v>
      </c>
      <c r="N2285" s="1" t="s">
        <v>56</v>
      </c>
      <c r="O2285">
        <v>12184.45</v>
      </c>
      <c r="P2285" t="b">
        <v>1</v>
      </c>
      <c r="Q2285">
        <v>0.83333333333333337</v>
      </c>
      <c r="R2285">
        <v>1218.4450000000002</v>
      </c>
      <c r="S2285">
        <v>41.02</v>
      </c>
      <c r="T2285" s="2">
        <v>44287</v>
      </c>
      <c r="U2285" s="1" t="s">
        <v>51</v>
      </c>
      <c r="V2285">
        <v>0</v>
      </c>
      <c r="W2285" s="1" t="s">
        <v>56</v>
      </c>
      <c r="X2285">
        <v>353</v>
      </c>
      <c r="Y2285" s="1" t="s">
        <v>43</v>
      </c>
      <c r="Z2285" s="1" t="s">
        <v>42</v>
      </c>
      <c r="AA2285">
        <v>9.0909090909090912E-2</v>
      </c>
      <c r="AB2285" s="1" t="s">
        <v>52</v>
      </c>
      <c r="AC2285">
        <v>1</v>
      </c>
      <c r="AD2285" s="2">
        <v>44287</v>
      </c>
      <c r="AE2285" s="1" t="s">
        <v>74</v>
      </c>
      <c r="AF2285" s="1" t="s">
        <v>54</v>
      </c>
      <c r="AG2285" s="1" t="s">
        <v>63</v>
      </c>
      <c r="AH2285" s="1" t="s">
        <v>47</v>
      </c>
      <c r="AI2285">
        <v>12370</v>
      </c>
      <c r="AJ2285">
        <v>-185.54999999999927</v>
      </c>
    </row>
    <row r="2286" spans="1:36" x14ac:dyDescent="0.25">
      <c r="A2286">
        <v>12285</v>
      </c>
      <c r="B2286">
        <v>35</v>
      </c>
      <c r="C2286" s="1" t="s">
        <v>60</v>
      </c>
      <c r="D2286" s="1" t="s">
        <v>69</v>
      </c>
      <c r="E2286" s="2">
        <v>44578</v>
      </c>
      <c r="F2286" s="2">
        <v>44399</v>
      </c>
      <c r="G2286" s="1" t="s">
        <v>49</v>
      </c>
      <c r="H2286">
        <v>654</v>
      </c>
      <c r="I2286">
        <v>19</v>
      </c>
      <c r="J2286">
        <v>2</v>
      </c>
      <c r="K2286">
        <v>78.959999999999994</v>
      </c>
      <c r="L2286">
        <v>0</v>
      </c>
      <c r="M2286" s="1" t="s">
        <v>39</v>
      </c>
      <c r="N2286" s="1" t="s">
        <v>56</v>
      </c>
      <c r="O2286">
        <v>12426</v>
      </c>
      <c r="P2286" t="b">
        <v>0</v>
      </c>
      <c r="Q2286">
        <v>1.5833333333333333</v>
      </c>
      <c r="R2286">
        <v>654</v>
      </c>
      <c r="S2286">
        <v>26.319999999999997</v>
      </c>
      <c r="T2286" s="2">
        <v>44562</v>
      </c>
      <c r="U2286" s="1" t="s">
        <v>57</v>
      </c>
      <c r="V2286">
        <v>0</v>
      </c>
      <c r="W2286" s="1" t="s">
        <v>56</v>
      </c>
      <c r="Y2286" s="1" t="s">
        <v>43</v>
      </c>
      <c r="Z2286" s="1" t="s">
        <v>42</v>
      </c>
      <c r="AA2286">
        <v>0.1</v>
      </c>
      <c r="AB2286" s="1" t="s">
        <v>52</v>
      </c>
      <c r="AC2286">
        <v>3</v>
      </c>
      <c r="AD2286" s="2">
        <v>44562</v>
      </c>
      <c r="AE2286" s="1" t="s">
        <v>53</v>
      </c>
      <c r="AF2286" s="1" t="s">
        <v>72</v>
      </c>
      <c r="AG2286" s="1" t="s">
        <v>63</v>
      </c>
      <c r="AH2286" s="1" t="s">
        <v>64</v>
      </c>
      <c r="AI2286">
        <v>12426</v>
      </c>
      <c r="AJ2286">
        <v>0</v>
      </c>
    </row>
    <row r="2287" spans="1:36" x14ac:dyDescent="0.25">
      <c r="A2287">
        <v>12286</v>
      </c>
      <c r="B2287">
        <v>36</v>
      </c>
      <c r="C2287" s="1" t="s">
        <v>60</v>
      </c>
      <c r="D2287" s="1" t="s">
        <v>37</v>
      </c>
      <c r="E2287" s="2">
        <v>44979</v>
      </c>
      <c r="F2287" s="2">
        <v>44666</v>
      </c>
      <c r="G2287" s="1" t="s">
        <v>38</v>
      </c>
      <c r="H2287">
        <v>877</v>
      </c>
      <c r="I2287">
        <v>3</v>
      </c>
      <c r="J2287">
        <v>0</v>
      </c>
      <c r="K2287">
        <v>108.81</v>
      </c>
      <c r="L2287">
        <v>0</v>
      </c>
      <c r="M2287" s="1" t="s">
        <v>50</v>
      </c>
      <c r="N2287" s="1" t="s">
        <v>40</v>
      </c>
      <c r="O2287">
        <v>2631</v>
      </c>
      <c r="P2287" t="b">
        <v>0</v>
      </c>
      <c r="Q2287">
        <v>0.25</v>
      </c>
      <c r="R2287">
        <v>877</v>
      </c>
      <c r="S2287">
        <v>108.81</v>
      </c>
      <c r="T2287" s="2">
        <v>44958</v>
      </c>
      <c r="U2287" s="1" t="s">
        <v>51</v>
      </c>
      <c r="V2287">
        <v>1</v>
      </c>
      <c r="W2287" s="1" t="s">
        <v>56</v>
      </c>
      <c r="Y2287" s="1" t="s">
        <v>43</v>
      </c>
      <c r="Z2287" s="1" t="s">
        <v>42</v>
      </c>
      <c r="AA2287">
        <v>0</v>
      </c>
      <c r="AB2287" s="1" t="s">
        <v>42</v>
      </c>
      <c r="AC2287">
        <v>1</v>
      </c>
      <c r="AD2287" s="2">
        <v>44958</v>
      </c>
      <c r="AE2287" s="1" t="s">
        <v>58</v>
      </c>
      <c r="AF2287" s="1" t="s">
        <v>54</v>
      </c>
      <c r="AG2287" s="1" t="s">
        <v>63</v>
      </c>
      <c r="AH2287" s="1" t="s">
        <v>59</v>
      </c>
      <c r="AI2287">
        <v>2631</v>
      </c>
      <c r="AJ2287">
        <v>0</v>
      </c>
    </row>
    <row r="2288" spans="1:36" x14ac:dyDescent="0.25">
      <c r="A2288">
        <v>12287</v>
      </c>
      <c r="B2288">
        <v>53</v>
      </c>
      <c r="C2288" s="1" t="s">
        <v>60</v>
      </c>
      <c r="D2288" s="1" t="s">
        <v>69</v>
      </c>
      <c r="E2288" s="2">
        <v>44586</v>
      </c>
      <c r="F2288" s="2">
        <v>44528</v>
      </c>
      <c r="G2288" s="1" t="s">
        <v>38</v>
      </c>
      <c r="H2288">
        <v>1146</v>
      </c>
      <c r="I2288">
        <v>4</v>
      </c>
      <c r="J2288">
        <v>1</v>
      </c>
      <c r="K2288">
        <v>18.100000000000001</v>
      </c>
      <c r="L2288">
        <v>15</v>
      </c>
      <c r="M2288" s="1" t="s">
        <v>39</v>
      </c>
      <c r="N2288" s="1" t="s">
        <v>56</v>
      </c>
      <c r="O2288">
        <v>4412.1000000000004</v>
      </c>
      <c r="P2288" t="b">
        <v>0</v>
      </c>
      <c r="Q2288">
        <v>0.33333333333333331</v>
      </c>
      <c r="R2288">
        <v>1103.0250000000001</v>
      </c>
      <c r="S2288">
        <v>9.0500000000000007</v>
      </c>
      <c r="T2288" s="2">
        <v>44562</v>
      </c>
      <c r="U2288" s="1" t="s">
        <v>41</v>
      </c>
      <c r="V2288">
        <v>0</v>
      </c>
      <c r="W2288" s="1" t="s">
        <v>56</v>
      </c>
      <c r="Y2288" s="1" t="s">
        <v>42</v>
      </c>
      <c r="Z2288" s="1" t="s">
        <v>42</v>
      </c>
      <c r="AA2288">
        <v>0.2</v>
      </c>
      <c r="AB2288" s="1" t="s">
        <v>42</v>
      </c>
      <c r="AC2288">
        <v>1</v>
      </c>
      <c r="AD2288" s="2">
        <v>44562</v>
      </c>
      <c r="AE2288" s="1" t="s">
        <v>58</v>
      </c>
      <c r="AF2288" s="1" t="s">
        <v>54</v>
      </c>
      <c r="AG2288" s="1" t="s">
        <v>46</v>
      </c>
      <c r="AH2288" s="1" t="s">
        <v>47</v>
      </c>
      <c r="AI2288">
        <v>4584</v>
      </c>
      <c r="AJ2288">
        <v>-171.89999999999964</v>
      </c>
    </row>
    <row r="2289" spans="1:36" x14ac:dyDescent="0.25">
      <c r="A2289">
        <v>12288</v>
      </c>
      <c r="B2289">
        <v>27</v>
      </c>
      <c r="C2289" s="1" t="s">
        <v>36</v>
      </c>
      <c r="D2289" s="1" t="s">
        <v>76</v>
      </c>
      <c r="E2289" s="2">
        <v>44440</v>
      </c>
      <c r="F2289" s="2">
        <v>44916</v>
      </c>
      <c r="G2289" s="1" t="s">
        <v>62</v>
      </c>
      <c r="H2289">
        <v>858</v>
      </c>
      <c r="I2289">
        <v>11</v>
      </c>
      <c r="J2289">
        <v>3</v>
      </c>
      <c r="K2289">
        <v>41.28</v>
      </c>
      <c r="L2289">
        <v>15</v>
      </c>
      <c r="M2289" s="1" t="s">
        <v>65</v>
      </c>
      <c r="N2289" s="1" t="s">
        <v>56</v>
      </c>
      <c r="O2289">
        <v>9309.2999999999993</v>
      </c>
      <c r="P2289" t="b">
        <v>1</v>
      </c>
      <c r="Q2289">
        <v>0.91666666666666663</v>
      </c>
      <c r="R2289">
        <v>846.3</v>
      </c>
      <c r="S2289">
        <v>10.32</v>
      </c>
      <c r="T2289" s="2">
        <v>44440</v>
      </c>
      <c r="U2289" s="1" t="s">
        <v>57</v>
      </c>
      <c r="V2289">
        <v>0</v>
      </c>
      <c r="W2289" s="1" t="s">
        <v>56</v>
      </c>
      <c r="X2289">
        <v>476</v>
      </c>
      <c r="Y2289" s="1" t="s">
        <v>52</v>
      </c>
      <c r="Z2289" s="1" t="s">
        <v>42</v>
      </c>
      <c r="AA2289">
        <v>0.25</v>
      </c>
      <c r="AB2289" s="1" t="s">
        <v>52</v>
      </c>
      <c r="AC2289">
        <v>2</v>
      </c>
      <c r="AD2289" s="2">
        <v>44440</v>
      </c>
      <c r="AE2289" s="1" t="s">
        <v>74</v>
      </c>
      <c r="AF2289" s="1" t="s">
        <v>72</v>
      </c>
      <c r="AG2289" s="1" t="s">
        <v>55</v>
      </c>
      <c r="AH2289" s="1" t="s">
        <v>59</v>
      </c>
      <c r="AI2289">
        <v>9438</v>
      </c>
      <c r="AJ2289">
        <v>-128.70000000000073</v>
      </c>
    </row>
    <row r="2290" spans="1:36" x14ac:dyDescent="0.25">
      <c r="A2290">
        <v>12289</v>
      </c>
      <c r="B2290">
        <v>50</v>
      </c>
      <c r="C2290" s="1" t="s">
        <v>60</v>
      </c>
      <c r="D2290" s="1" t="s">
        <v>37</v>
      </c>
      <c r="E2290" s="2">
        <v>44781</v>
      </c>
      <c r="F2290" s="2">
        <v>44467</v>
      </c>
      <c r="G2290" s="1" t="s">
        <v>62</v>
      </c>
      <c r="H2290">
        <v>1148</v>
      </c>
      <c r="I2290">
        <v>33</v>
      </c>
      <c r="J2290">
        <v>0</v>
      </c>
      <c r="K2290">
        <v>15.44</v>
      </c>
      <c r="L2290">
        <v>5</v>
      </c>
      <c r="M2290" s="1" t="s">
        <v>50</v>
      </c>
      <c r="N2290" s="1" t="s">
        <v>56</v>
      </c>
      <c r="O2290">
        <v>37826.6</v>
      </c>
      <c r="P2290" t="b">
        <v>0</v>
      </c>
      <c r="Q2290">
        <v>2.75</v>
      </c>
      <c r="R2290">
        <v>1146.2606060606061</v>
      </c>
      <c r="S2290">
        <v>15.44</v>
      </c>
      <c r="T2290" s="2">
        <v>44774</v>
      </c>
      <c r="U2290" s="1" t="s">
        <v>51</v>
      </c>
      <c r="V2290">
        <v>0</v>
      </c>
      <c r="W2290" s="1" t="s">
        <v>40</v>
      </c>
      <c r="Y2290" s="1" t="s">
        <v>42</v>
      </c>
      <c r="Z2290" s="1" t="s">
        <v>42</v>
      </c>
      <c r="AA2290">
        <v>0</v>
      </c>
      <c r="AB2290" s="1" t="s">
        <v>43</v>
      </c>
      <c r="AC2290">
        <v>2</v>
      </c>
      <c r="AD2290" s="2">
        <v>44774</v>
      </c>
      <c r="AE2290" s="1" t="s">
        <v>44</v>
      </c>
      <c r="AF2290" s="1" t="s">
        <v>54</v>
      </c>
      <c r="AG2290" s="1" t="s">
        <v>46</v>
      </c>
      <c r="AH2290" s="1" t="s">
        <v>47</v>
      </c>
      <c r="AI2290">
        <v>37884</v>
      </c>
      <c r="AJ2290">
        <v>-57.400000000001455</v>
      </c>
    </row>
    <row r="2291" spans="1:36" x14ac:dyDescent="0.25">
      <c r="A2291">
        <v>12290</v>
      </c>
      <c r="B2291">
        <v>22</v>
      </c>
      <c r="C2291" s="1" t="s">
        <v>60</v>
      </c>
      <c r="D2291" s="1" t="s">
        <v>37</v>
      </c>
      <c r="E2291" s="2">
        <v>45065</v>
      </c>
      <c r="F2291" s="2">
        <v>45167</v>
      </c>
      <c r="G2291" s="1" t="s">
        <v>38</v>
      </c>
      <c r="H2291">
        <v>1469</v>
      </c>
      <c r="I2291">
        <v>28</v>
      </c>
      <c r="J2291">
        <v>4</v>
      </c>
      <c r="K2291">
        <v>51.85</v>
      </c>
      <c r="L2291">
        <v>10</v>
      </c>
      <c r="M2291" s="1" t="s">
        <v>50</v>
      </c>
      <c r="N2291" s="1" t="s">
        <v>56</v>
      </c>
      <c r="O2291">
        <v>40985.1</v>
      </c>
      <c r="P2291" t="b">
        <v>1</v>
      </c>
      <c r="Q2291">
        <v>2.3333333333333335</v>
      </c>
      <c r="R2291">
        <v>1463.7535714285714</v>
      </c>
      <c r="S2291">
        <v>10.370000000000001</v>
      </c>
      <c r="T2291" s="2">
        <v>45047</v>
      </c>
      <c r="U2291" s="1" t="s">
        <v>66</v>
      </c>
      <c r="V2291">
        <v>0</v>
      </c>
      <c r="W2291" s="1" t="s">
        <v>40</v>
      </c>
      <c r="X2291">
        <v>102</v>
      </c>
      <c r="Y2291" s="1" t="s">
        <v>52</v>
      </c>
      <c r="Z2291" s="1" t="s">
        <v>42</v>
      </c>
      <c r="AA2291">
        <v>0.13793103448275862</v>
      </c>
      <c r="AB2291" s="1" t="s">
        <v>43</v>
      </c>
      <c r="AC2291">
        <v>1</v>
      </c>
      <c r="AD2291" s="2">
        <v>45047</v>
      </c>
      <c r="AE2291" s="1" t="s">
        <v>44</v>
      </c>
      <c r="AF2291" s="1" t="s">
        <v>45</v>
      </c>
      <c r="AG2291" s="1" t="s">
        <v>63</v>
      </c>
      <c r="AH2291" s="1" t="s">
        <v>47</v>
      </c>
      <c r="AI2291">
        <v>41132</v>
      </c>
      <c r="AJ2291">
        <v>-146.90000000000146</v>
      </c>
    </row>
    <row r="2292" spans="1:36" x14ac:dyDescent="0.25">
      <c r="A2292">
        <v>12291</v>
      </c>
      <c r="B2292">
        <v>64</v>
      </c>
      <c r="C2292" s="1" t="s">
        <v>60</v>
      </c>
      <c r="D2292" s="1" t="s">
        <v>37</v>
      </c>
      <c r="E2292" s="2">
        <v>44664</v>
      </c>
      <c r="F2292" s="2">
        <v>45222</v>
      </c>
      <c r="G2292" s="1" t="s">
        <v>38</v>
      </c>
      <c r="H2292">
        <v>1475</v>
      </c>
      <c r="I2292">
        <v>32</v>
      </c>
      <c r="J2292">
        <v>1</v>
      </c>
      <c r="K2292">
        <v>109.83</v>
      </c>
      <c r="L2292">
        <v>5</v>
      </c>
      <c r="M2292" s="1" t="s">
        <v>50</v>
      </c>
      <c r="N2292" s="1" t="s">
        <v>56</v>
      </c>
      <c r="O2292">
        <v>47126.25</v>
      </c>
      <c r="P2292" t="b">
        <v>1</v>
      </c>
      <c r="Q2292">
        <v>2.6666666666666665</v>
      </c>
      <c r="R2292">
        <v>1472.6953125</v>
      </c>
      <c r="S2292">
        <v>54.914999999999999</v>
      </c>
      <c r="T2292" s="2">
        <v>44652</v>
      </c>
      <c r="U2292" s="1" t="s">
        <v>41</v>
      </c>
      <c r="V2292">
        <v>0</v>
      </c>
      <c r="W2292" s="1" t="s">
        <v>40</v>
      </c>
      <c r="X2292">
        <v>558</v>
      </c>
      <c r="Y2292" s="1" t="s">
        <v>43</v>
      </c>
      <c r="Z2292" s="1" t="s">
        <v>42</v>
      </c>
      <c r="AA2292">
        <v>3.0303030303030304E-2</v>
      </c>
      <c r="AB2292" s="1" t="s">
        <v>43</v>
      </c>
      <c r="AC2292">
        <v>1</v>
      </c>
      <c r="AD2292" s="2">
        <v>44652</v>
      </c>
      <c r="AE2292" s="1" t="s">
        <v>44</v>
      </c>
      <c r="AF2292" s="1" t="s">
        <v>54</v>
      </c>
      <c r="AG2292" s="1" t="s">
        <v>63</v>
      </c>
      <c r="AH2292" s="1" t="s">
        <v>47</v>
      </c>
      <c r="AI2292">
        <v>47200</v>
      </c>
      <c r="AJ2292">
        <v>-73.75</v>
      </c>
    </row>
    <row r="2293" spans="1:36" x14ac:dyDescent="0.25">
      <c r="A2293">
        <v>12292</v>
      </c>
      <c r="B2293">
        <v>41</v>
      </c>
      <c r="C2293" s="1" t="s">
        <v>36</v>
      </c>
      <c r="D2293" s="1" t="s">
        <v>37</v>
      </c>
      <c r="E2293" s="2">
        <v>45062</v>
      </c>
      <c r="F2293" s="2">
        <v>44390</v>
      </c>
      <c r="G2293" s="1" t="s">
        <v>49</v>
      </c>
      <c r="H2293">
        <v>439</v>
      </c>
      <c r="I2293">
        <v>16</v>
      </c>
      <c r="J2293">
        <v>0</v>
      </c>
      <c r="K2293">
        <v>94.88</v>
      </c>
      <c r="L2293">
        <v>5</v>
      </c>
      <c r="M2293" s="1" t="s">
        <v>65</v>
      </c>
      <c r="N2293" s="1" t="s">
        <v>56</v>
      </c>
      <c r="O2293">
        <v>7002.05</v>
      </c>
      <c r="P2293" t="b">
        <v>0</v>
      </c>
      <c r="Q2293">
        <v>1.3333333333333333</v>
      </c>
      <c r="R2293">
        <v>437.62812500000001</v>
      </c>
      <c r="S2293">
        <v>94.88</v>
      </c>
      <c r="T2293" s="2">
        <v>45047</v>
      </c>
      <c r="U2293" s="1" t="s">
        <v>51</v>
      </c>
      <c r="V2293">
        <v>0</v>
      </c>
      <c r="W2293" s="1" t="s">
        <v>56</v>
      </c>
      <c r="Y2293" s="1" t="s">
        <v>43</v>
      </c>
      <c r="Z2293" s="1" t="s">
        <v>42</v>
      </c>
      <c r="AA2293">
        <v>0</v>
      </c>
      <c r="AB2293" s="1" t="s">
        <v>42</v>
      </c>
      <c r="AC2293">
        <v>3</v>
      </c>
      <c r="AD2293" s="2">
        <v>45047</v>
      </c>
      <c r="AE2293" s="1" t="s">
        <v>53</v>
      </c>
      <c r="AF2293" s="1" t="s">
        <v>54</v>
      </c>
      <c r="AG2293" s="1" t="s">
        <v>63</v>
      </c>
      <c r="AH2293" s="1" t="s">
        <v>68</v>
      </c>
      <c r="AI2293">
        <v>7024</v>
      </c>
      <c r="AJ2293">
        <v>-21.949999999999818</v>
      </c>
    </row>
    <row r="2294" spans="1:36" x14ac:dyDescent="0.25">
      <c r="A2294">
        <v>12293</v>
      </c>
      <c r="B2294">
        <v>61</v>
      </c>
      <c r="C2294" s="1" t="s">
        <v>36</v>
      </c>
      <c r="D2294" s="1" t="s">
        <v>37</v>
      </c>
      <c r="E2294" s="2">
        <v>44734</v>
      </c>
      <c r="F2294" s="2">
        <v>44994</v>
      </c>
      <c r="G2294" s="1" t="s">
        <v>38</v>
      </c>
      <c r="H2294">
        <v>962</v>
      </c>
      <c r="I2294">
        <v>9</v>
      </c>
      <c r="J2294">
        <v>4</v>
      </c>
      <c r="K2294">
        <v>88.13</v>
      </c>
      <c r="L2294">
        <v>15</v>
      </c>
      <c r="M2294" s="1" t="s">
        <v>67</v>
      </c>
      <c r="N2294" s="1" t="s">
        <v>40</v>
      </c>
      <c r="O2294">
        <v>8513.7000000000007</v>
      </c>
      <c r="P2294" t="b">
        <v>1</v>
      </c>
      <c r="Q2294">
        <v>0.75</v>
      </c>
      <c r="R2294">
        <v>945.9666666666667</v>
      </c>
      <c r="S2294">
        <v>17.625999999999998</v>
      </c>
      <c r="T2294" s="2">
        <v>44713</v>
      </c>
      <c r="U2294" s="1" t="s">
        <v>41</v>
      </c>
      <c r="V2294">
        <v>1</v>
      </c>
      <c r="W2294" s="1" t="s">
        <v>56</v>
      </c>
      <c r="X2294">
        <v>260</v>
      </c>
      <c r="Y2294" s="1" t="s">
        <v>43</v>
      </c>
      <c r="Z2294" s="1" t="s">
        <v>42</v>
      </c>
      <c r="AA2294">
        <v>0.4</v>
      </c>
      <c r="AB2294" s="1" t="s">
        <v>42</v>
      </c>
      <c r="AC2294">
        <v>1</v>
      </c>
      <c r="AD2294" s="2">
        <v>44713</v>
      </c>
      <c r="AE2294" s="1" t="s">
        <v>74</v>
      </c>
      <c r="AF2294" s="1" t="s">
        <v>45</v>
      </c>
      <c r="AG2294" s="1" t="s">
        <v>63</v>
      </c>
      <c r="AH2294" s="1" t="s">
        <v>59</v>
      </c>
      <c r="AI2294">
        <v>8658</v>
      </c>
      <c r="AJ2294">
        <v>-144.29999999999927</v>
      </c>
    </row>
    <row r="2295" spans="1:36" x14ac:dyDescent="0.25">
      <c r="A2295">
        <v>12294</v>
      </c>
      <c r="B2295">
        <v>51</v>
      </c>
      <c r="C2295" s="1" t="s">
        <v>36</v>
      </c>
      <c r="D2295" s="1" t="s">
        <v>69</v>
      </c>
      <c r="E2295" s="2">
        <v>44406</v>
      </c>
      <c r="F2295" s="2">
        <v>45232</v>
      </c>
      <c r="G2295" s="1" t="s">
        <v>62</v>
      </c>
      <c r="H2295">
        <v>320</v>
      </c>
      <c r="I2295">
        <v>11</v>
      </c>
      <c r="J2295">
        <v>3</v>
      </c>
      <c r="K2295">
        <v>66.3</v>
      </c>
      <c r="L2295">
        <v>10</v>
      </c>
      <c r="M2295" s="1" t="s">
        <v>39</v>
      </c>
      <c r="N2295" s="1" t="s">
        <v>56</v>
      </c>
      <c r="O2295">
        <v>3488</v>
      </c>
      <c r="P2295" t="b">
        <v>1</v>
      </c>
      <c r="Q2295">
        <v>0.91666666666666663</v>
      </c>
      <c r="R2295">
        <v>317.09090909090907</v>
      </c>
      <c r="S2295">
        <v>16.574999999999999</v>
      </c>
      <c r="T2295" s="2">
        <v>44378</v>
      </c>
      <c r="U2295" s="1" t="s">
        <v>41</v>
      </c>
      <c r="V2295">
        <v>0</v>
      </c>
      <c r="W2295" s="1" t="s">
        <v>56</v>
      </c>
      <c r="X2295">
        <v>826</v>
      </c>
      <c r="Y2295" s="1" t="s">
        <v>43</v>
      </c>
      <c r="Z2295" s="1" t="s">
        <v>42</v>
      </c>
      <c r="AA2295">
        <v>0.25</v>
      </c>
      <c r="AB2295" s="1" t="s">
        <v>42</v>
      </c>
      <c r="AC2295">
        <v>2</v>
      </c>
      <c r="AD2295" s="2">
        <v>44378</v>
      </c>
      <c r="AE2295" s="1" t="s">
        <v>74</v>
      </c>
      <c r="AF2295" s="1" t="s">
        <v>72</v>
      </c>
      <c r="AG2295" s="1" t="s">
        <v>63</v>
      </c>
      <c r="AH2295" s="1" t="s">
        <v>68</v>
      </c>
      <c r="AI2295">
        <v>3520</v>
      </c>
      <c r="AJ2295">
        <v>-32</v>
      </c>
    </row>
    <row r="2296" spans="1:36" x14ac:dyDescent="0.25">
      <c r="A2296">
        <v>12295</v>
      </c>
      <c r="B2296">
        <v>50</v>
      </c>
      <c r="C2296" s="1" t="s">
        <v>36</v>
      </c>
      <c r="D2296" s="1" t="s">
        <v>48</v>
      </c>
      <c r="E2296" s="2">
        <v>44800</v>
      </c>
      <c r="F2296" s="2">
        <v>44607</v>
      </c>
      <c r="G2296" s="1" t="s">
        <v>62</v>
      </c>
      <c r="H2296">
        <v>363</v>
      </c>
      <c r="I2296">
        <v>6</v>
      </c>
      <c r="J2296">
        <v>1</v>
      </c>
      <c r="K2296">
        <v>106.6</v>
      </c>
      <c r="L2296">
        <v>15</v>
      </c>
      <c r="M2296" s="1" t="s">
        <v>65</v>
      </c>
      <c r="N2296" s="1" t="s">
        <v>56</v>
      </c>
      <c r="O2296">
        <v>2123.5500000000002</v>
      </c>
      <c r="P2296" t="b">
        <v>0</v>
      </c>
      <c r="Q2296">
        <v>0.5</v>
      </c>
      <c r="R2296">
        <v>353.92500000000001</v>
      </c>
      <c r="S2296">
        <v>53.3</v>
      </c>
      <c r="T2296" s="2">
        <v>44774</v>
      </c>
      <c r="U2296" s="1" t="s">
        <v>51</v>
      </c>
      <c r="V2296">
        <v>0</v>
      </c>
      <c r="W2296" s="1" t="s">
        <v>56</v>
      </c>
      <c r="Y2296" s="1" t="s">
        <v>43</v>
      </c>
      <c r="Z2296" s="1" t="s">
        <v>42</v>
      </c>
      <c r="AA2296">
        <v>0.14285714285714285</v>
      </c>
      <c r="AB2296" s="1" t="s">
        <v>42</v>
      </c>
      <c r="AC2296">
        <v>2</v>
      </c>
      <c r="AD2296" s="2">
        <v>44774</v>
      </c>
      <c r="AE2296" s="1" t="s">
        <v>58</v>
      </c>
      <c r="AF2296" s="1" t="s">
        <v>54</v>
      </c>
      <c r="AG2296" s="1" t="s">
        <v>63</v>
      </c>
      <c r="AH2296" s="1" t="s">
        <v>68</v>
      </c>
      <c r="AI2296">
        <v>2178</v>
      </c>
      <c r="AJ2296">
        <v>-54.449999999999818</v>
      </c>
    </row>
    <row r="2297" spans="1:36" x14ac:dyDescent="0.25">
      <c r="A2297">
        <v>12296</v>
      </c>
      <c r="B2297">
        <v>38</v>
      </c>
      <c r="C2297" s="1" t="s">
        <v>36</v>
      </c>
      <c r="D2297" s="1" t="s">
        <v>48</v>
      </c>
      <c r="E2297" s="2">
        <v>44833</v>
      </c>
      <c r="F2297" s="2">
        <v>44544</v>
      </c>
      <c r="G2297" s="1" t="s">
        <v>38</v>
      </c>
      <c r="H2297">
        <v>1395</v>
      </c>
      <c r="I2297">
        <v>27</v>
      </c>
      <c r="J2297">
        <v>3</v>
      </c>
      <c r="K2297">
        <v>62.59</v>
      </c>
      <c r="L2297">
        <v>5</v>
      </c>
      <c r="M2297" s="1" t="s">
        <v>65</v>
      </c>
      <c r="N2297" s="1" t="s">
        <v>56</v>
      </c>
      <c r="O2297">
        <v>37595.25</v>
      </c>
      <c r="P2297" t="b">
        <v>0</v>
      </c>
      <c r="Q2297">
        <v>2.25</v>
      </c>
      <c r="R2297">
        <v>1392.4166666666667</v>
      </c>
      <c r="S2297">
        <v>15.647500000000001</v>
      </c>
      <c r="T2297" s="2">
        <v>44805</v>
      </c>
      <c r="U2297" s="1" t="s">
        <v>51</v>
      </c>
      <c r="V2297">
        <v>0</v>
      </c>
      <c r="W2297" s="1" t="s">
        <v>40</v>
      </c>
      <c r="Y2297" s="1" t="s">
        <v>43</v>
      </c>
      <c r="Z2297" s="1" t="s">
        <v>42</v>
      </c>
      <c r="AA2297">
        <v>0.10714285714285714</v>
      </c>
      <c r="AB2297" s="1" t="s">
        <v>43</v>
      </c>
      <c r="AC2297">
        <v>1</v>
      </c>
      <c r="AD2297" s="2">
        <v>44805</v>
      </c>
      <c r="AE2297" s="1" t="s">
        <v>44</v>
      </c>
      <c r="AF2297" s="1" t="s">
        <v>72</v>
      </c>
      <c r="AG2297" s="1" t="s">
        <v>63</v>
      </c>
      <c r="AH2297" s="1" t="s">
        <v>47</v>
      </c>
      <c r="AI2297">
        <v>37665</v>
      </c>
      <c r="AJ2297">
        <v>-69.75</v>
      </c>
    </row>
    <row r="2298" spans="1:36" x14ac:dyDescent="0.25">
      <c r="A2298">
        <v>12297</v>
      </c>
      <c r="B2298">
        <v>34</v>
      </c>
      <c r="C2298" s="1" t="s">
        <v>36</v>
      </c>
      <c r="D2298" s="1" t="s">
        <v>76</v>
      </c>
      <c r="E2298" s="2">
        <v>44269</v>
      </c>
      <c r="F2298" s="2">
        <v>44992</v>
      </c>
      <c r="G2298" s="1" t="s">
        <v>49</v>
      </c>
      <c r="H2298">
        <v>1289</v>
      </c>
      <c r="I2298">
        <v>12</v>
      </c>
      <c r="J2298">
        <v>2</v>
      </c>
      <c r="K2298">
        <v>22.21</v>
      </c>
      <c r="L2298">
        <v>5</v>
      </c>
      <c r="M2298" s="1" t="s">
        <v>50</v>
      </c>
      <c r="N2298" s="1" t="s">
        <v>56</v>
      </c>
      <c r="O2298">
        <v>15403.55</v>
      </c>
      <c r="P2298" t="b">
        <v>1</v>
      </c>
      <c r="Q2298">
        <v>1</v>
      </c>
      <c r="R2298">
        <v>1283.6291666666666</v>
      </c>
      <c r="S2298">
        <v>7.4033333333333333</v>
      </c>
      <c r="T2298" s="2">
        <v>44256</v>
      </c>
      <c r="U2298" s="1" t="s">
        <v>57</v>
      </c>
      <c r="V2298">
        <v>0</v>
      </c>
      <c r="W2298" s="1" t="s">
        <v>40</v>
      </c>
      <c r="X2298">
        <v>723</v>
      </c>
      <c r="Y2298" s="1" t="s">
        <v>52</v>
      </c>
      <c r="Z2298" s="1" t="s">
        <v>42</v>
      </c>
      <c r="AA2298">
        <v>0.15384615384615385</v>
      </c>
      <c r="AB2298" s="1" t="s">
        <v>52</v>
      </c>
      <c r="AC2298">
        <v>3</v>
      </c>
      <c r="AD2298" s="2">
        <v>44256</v>
      </c>
      <c r="AE2298" s="1" t="s">
        <v>74</v>
      </c>
      <c r="AF2298" s="1" t="s">
        <v>72</v>
      </c>
      <c r="AG2298" s="1" t="s">
        <v>70</v>
      </c>
      <c r="AH2298" s="1" t="s">
        <v>47</v>
      </c>
      <c r="AI2298">
        <v>15468</v>
      </c>
      <c r="AJ2298">
        <v>-64.450000000000728</v>
      </c>
    </row>
    <row r="2299" spans="1:36" x14ac:dyDescent="0.25">
      <c r="A2299">
        <v>12298</v>
      </c>
      <c r="B2299">
        <v>39</v>
      </c>
      <c r="C2299" s="1" t="s">
        <v>36</v>
      </c>
      <c r="D2299" s="1" t="s">
        <v>48</v>
      </c>
      <c r="E2299" s="2">
        <v>44831</v>
      </c>
      <c r="F2299" s="2">
        <v>44602</v>
      </c>
      <c r="G2299" s="1" t="s">
        <v>62</v>
      </c>
      <c r="H2299">
        <v>461</v>
      </c>
      <c r="I2299">
        <v>22</v>
      </c>
      <c r="J2299">
        <v>3</v>
      </c>
      <c r="K2299">
        <v>101.32</v>
      </c>
      <c r="L2299">
        <v>15</v>
      </c>
      <c r="M2299" s="1" t="s">
        <v>50</v>
      </c>
      <c r="N2299" s="1" t="s">
        <v>56</v>
      </c>
      <c r="O2299">
        <v>10072.85</v>
      </c>
      <c r="P2299" t="b">
        <v>0</v>
      </c>
      <c r="Q2299">
        <v>1.8333333333333333</v>
      </c>
      <c r="R2299">
        <v>457.8568181818182</v>
      </c>
      <c r="S2299">
        <v>25.33</v>
      </c>
      <c r="T2299" s="2">
        <v>44805</v>
      </c>
      <c r="U2299" s="1" t="s">
        <v>51</v>
      </c>
      <c r="V2299">
        <v>0</v>
      </c>
      <c r="W2299" s="1" t="s">
        <v>56</v>
      </c>
      <c r="Y2299" s="1" t="s">
        <v>43</v>
      </c>
      <c r="Z2299" s="1" t="s">
        <v>42</v>
      </c>
      <c r="AA2299">
        <v>0.13043478260869565</v>
      </c>
      <c r="AB2299" s="1" t="s">
        <v>52</v>
      </c>
      <c r="AC2299">
        <v>2</v>
      </c>
      <c r="AD2299" s="2">
        <v>44805</v>
      </c>
      <c r="AE2299" s="1" t="s">
        <v>53</v>
      </c>
      <c r="AF2299" s="1" t="s">
        <v>72</v>
      </c>
      <c r="AG2299" s="1" t="s">
        <v>63</v>
      </c>
      <c r="AH2299" s="1" t="s">
        <v>68</v>
      </c>
      <c r="AI2299">
        <v>10142</v>
      </c>
      <c r="AJ2299">
        <v>-69.149999999999636</v>
      </c>
    </row>
    <row r="2300" spans="1:36" x14ac:dyDescent="0.25">
      <c r="A2300">
        <v>12299</v>
      </c>
      <c r="B2300">
        <v>41</v>
      </c>
      <c r="C2300" s="1" t="s">
        <v>60</v>
      </c>
      <c r="D2300" s="1" t="s">
        <v>73</v>
      </c>
      <c r="E2300" s="2">
        <v>44505</v>
      </c>
      <c r="F2300" s="2">
        <v>45079</v>
      </c>
      <c r="G2300" s="1" t="s">
        <v>62</v>
      </c>
      <c r="H2300">
        <v>429</v>
      </c>
      <c r="I2300">
        <v>21</v>
      </c>
      <c r="J2300">
        <v>1</v>
      </c>
      <c r="K2300">
        <v>37.159999999999997</v>
      </c>
      <c r="L2300">
        <v>0</v>
      </c>
      <c r="M2300" s="1" t="s">
        <v>65</v>
      </c>
      <c r="N2300" s="1" t="s">
        <v>56</v>
      </c>
      <c r="O2300">
        <v>9009</v>
      </c>
      <c r="P2300" t="b">
        <v>1</v>
      </c>
      <c r="Q2300">
        <v>1.75</v>
      </c>
      <c r="R2300">
        <v>429</v>
      </c>
      <c r="S2300">
        <v>18.579999999999998</v>
      </c>
      <c r="T2300" s="2">
        <v>44501</v>
      </c>
      <c r="U2300" s="1" t="s">
        <v>51</v>
      </c>
      <c r="V2300">
        <v>0</v>
      </c>
      <c r="W2300" s="1" t="s">
        <v>56</v>
      </c>
      <c r="X2300">
        <v>574</v>
      </c>
      <c r="Y2300" s="1" t="s">
        <v>52</v>
      </c>
      <c r="Z2300" s="1" t="s">
        <v>42</v>
      </c>
      <c r="AA2300">
        <v>4.5454545454545456E-2</v>
      </c>
      <c r="AB2300" s="1" t="s">
        <v>52</v>
      </c>
      <c r="AC2300">
        <v>2</v>
      </c>
      <c r="AD2300" s="2">
        <v>44501</v>
      </c>
      <c r="AE2300" s="1" t="s">
        <v>53</v>
      </c>
      <c r="AF2300" s="1" t="s">
        <v>54</v>
      </c>
      <c r="AG2300" s="1" t="s">
        <v>55</v>
      </c>
      <c r="AH2300" s="1" t="s">
        <v>68</v>
      </c>
      <c r="AI2300">
        <v>9009</v>
      </c>
      <c r="AJ2300">
        <v>0</v>
      </c>
    </row>
    <row r="2301" spans="1:36" x14ac:dyDescent="0.25">
      <c r="A2301">
        <v>12300</v>
      </c>
      <c r="B2301">
        <v>32</v>
      </c>
      <c r="C2301" s="1" t="s">
        <v>60</v>
      </c>
      <c r="D2301" s="1" t="s">
        <v>76</v>
      </c>
      <c r="E2301" s="2">
        <v>44892</v>
      </c>
      <c r="F2301" s="2">
        <v>44683</v>
      </c>
      <c r="G2301" s="1" t="s">
        <v>62</v>
      </c>
      <c r="H2301">
        <v>880</v>
      </c>
      <c r="I2301">
        <v>33</v>
      </c>
      <c r="J2301">
        <v>1</v>
      </c>
      <c r="K2301">
        <v>11.17</v>
      </c>
      <c r="L2301">
        <v>0</v>
      </c>
      <c r="M2301" s="1" t="s">
        <v>67</v>
      </c>
      <c r="N2301" s="1" t="s">
        <v>40</v>
      </c>
      <c r="O2301">
        <v>29040</v>
      </c>
      <c r="P2301" t="b">
        <v>0</v>
      </c>
      <c r="Q2301">
        <v>2.75</v>
      </c>
      <c r="R2301">
        <v>880</v>
      </c>
      <c r="S2301">
        <v>5.585</v>
      </c>
      <c r="T2301" s="2">
        <v>44866</v>
      </c>
      <c r="U2301" s="1" t="s">
        <v>57</v>
      </c>
      <c r="V2301">
        <v>1</v>
      </c>
      <c r="W2301" s="1" t="s">
        <v>40</v>
      </c>
      <c r="Y2301" s="1" t="s">
        <v>42</v>
      </c>
      <c r="Z2301" s="1" t="s">
        <v>42</v>
      </c>
      <c r="AA2301">
        <v>2.9411764705882353E-2</v>
      </c>
      <c r="AB2301" s="1" t="s">
        <v>43</v>
      </c>
      <c r="AC2301">
        <v>2</v>
      </c>
      <c r="AD2301" s="2">
        <v>44866</v>
      </c>
      <c r="AE2301" s="1" t="s">
        <v>44</v>
      </c>
      <c r="AF2301" s="1" t="s">
        <v>54</v>
      </c>
      <c r="AG2301" s="1" t="s">
        <v>46</v>
      </c>
      <c r="AH2301" s="1" t="s">
        <v>59</v>
      </c>
      <c r="AI2301">
        <v>29040</v>
      </c>
      <c r="AJ2301">
        <v>0</v>
      </c>
    </row>
    <row r="2302" spans="1:36" x14ac:dyDescent="0.25">
      <c r="A2302">
        <v>12301</v>
      </c>
      <c r="B2302">
        <v>52</v>
      </c>
      <c r="C2302" s="1" t="s">
        <v>60</v>
      </c>
      <c r="D2302" s="1" t="s">
        <v>69</v>
      </c>
      <c r="E2302" s="2">
        <v>44895</v>
      </c>
      <c r="F2302" s="2">
        <v>44900</v>
      </c>
      <c r="G2302" s="1" t="s">
        <v>62</v>
      </c>
      <c r="H2302">
        <v>524</v>
      </c>
      <c r="I2302">
        <v>17</v>
      </c>
      <c r="J2302">
        <v>2</v>
      </c>
      <c r="K2302">
        <v>19.489999999999998</v>
      </c>
      <c r="L2302">
        <v>15</v>
      </c>
      <c r="M2302" s="1" t="s">
        <v>50</v>
      </c>
      <c r="N2302" s="1" t="s">
        <v>56</v>
      </c>
      <c r="O2302">
        <v>8829.4</v>
      </c>
      <c r="P2302" t="b">
        <v>1</v>
      </c>
      <c r="Q2302">
        <v>1.4166666666666667</v>
      </c>
      <c r="R2302">
        <v>519.37647058823529</v>
      </c>
      <c r="S2302">
        <v>6.4966666666666661</v>
      </c>
      <c r="T2302" s="2">
        <v>44866</v>
      </c>
      <c r="U2302" s="1" t="s">
        <v>41</v>
      </c>
      <c r="V2302">
        <v>0</v>
      </c>
      <c r="W2302" s="1" t="s">
        <v>56</v>
      </c>
      <c r="X2302">
        <v>5</v>
      </c>
      <c r="Y2302" s="1" t="s">
        <v>42</v>
      </c>
      <c r="Z2302" s="1" t="s">
        <v>42</v>
      </c>
      <c r="AA2302">
        <v>0.1111111111111111</v>
      </c>
      <c r="AB2302" s="1" t="s">
        <v>52</v>
      </c>
      <c r="AC2302">
        <v>2</v>
      </c>
      <c r="AD2302" s="2">
        <v>44866</v>
      </c>
      <c r="AE2302" s="1" t="s">
        <v>53</v>
      </c>
      <c r="AF2302" s="1" t="s">
        <v>72</v>
      </c>
      <c r="AG2302" s="1" t="s">
        <v>46</v>
      </c>
      <c r="AH2302" s="1" t="s">
        <v>64</v>
      </c>
      <c r="AI2302">
        <v>8908</v>
      </c>
      <c r="AJ2302">
        <v>-78.600000000000364</v>
      </c>
    </row>
    <row r="2303" spans="1:36" x14ac:dyDescent="0.25">
      <c r="A2303">
        <v>12302</v>
      </c>
      <c r="B2303">
        <v>45</v>
      </c>
      <c r="C2303" s="1" t="s">
        <v>36</v>
      </c>
      <c r="D2303" s="1" t="s">
        <v>37</v>
      </c>
      <c r="E2303" s="2">
        <v>44906</v>
      </c>
      <c r="F2303" s="2">
        <v>44849</v>
      </c>
      <c r="G2303" s="1" t="s">
        <v>62</v>
      </c>
      <c r="H2303">
        <v>879</v>
      </c>
      <c r="I2303">
        <v>29</v>
      </c>
      <c r="J2303">
        <v>1</v>
      </c>
      <c r="K2303">
        <v>75.040000000000006</v>
      </c>
      <c r="L2303">
        <v>20</v>
      </c>
      <c r="M2303" s="1" t="s">
        <v>65</v>
      </c>
      <c r="N2303" s="1" t="s">
        <v>40</v>
      </c>
      <c r="O2303">
        <v>25315.200000000001</v>
      </c>
      <c r="P2303" t="b">
        <v>0</v>
      </c>
      <c r="Q2303">
        <v>2.4166666666666665</v>
      </c>
      <c r="R2303">
        <v>872.93793103448274</v>
      </c>
      <c r="S2303">
        <v>37.520000000000003</v>
      </c>
      <c r="T2303" s="2">
        <v>44896</v>
      </c>
      <c r="U2303" s="1" t="s">
        <v>51</v>
      </c>
      <c r="V2303">
        <v>1</v>
      </c>
      <c r="W2303" s="1" t="s">
        <v>40</v>
      </c>
      <c r="Y2303" s="1" t="s">
        <v>43</v>
      </c>
      <c r="Z2303" s="1" t="s">
        <v>52</v>
      </c>
      <c r="AA2303">
        <v>3.3333333333333333E-2</v>
      </c>
      <c r="AB2303" s="1" t="s">
        <v>43</v>
      </c>
      <c r="AC2303">
        <v>2</v>
      </c>
      <c r="AD2303" s="2">
        <v>44896</v>
      </c>
      <c r="AE2303" s="1" t="s">
        <v>44</v>
      </c>
      <c r="AF2303" s="1" t="s">
        <v>54</v>
      </c>
      <c r="AG2303" s="1" t="s">
        <v>63</v>
      </c>
      <c r="AH2303" s="1" t="s">
        <v>59</v>
      </c>
      <c r="AI2303">
        <v>25491</v>
      </c>
      <c r="AJ2303">
        <v>-175.79999999999927</v>
      </c>
    </row>
    <row r="2304" spans="1:36" x14ac:dyDescent="0.25">
      <c r="A2304">
        <v>12303</v>
      </c>
      <c r="B2304">
        <v>24</v>
      </c>
      <c r="C2304" s="1" t="s">
        <v>36</v>
      </c>
      <c r="D2304" s="1" t="s">
        <v>37</v>
      </c>
      <c r="E2304" s="2">
        <v>44786</v>
      </c>
      <c r="F2304" s="2">
        <v>45247</v>
      </c>
      <c r="G2304" s="1" t="s">
        <v>49</v>
      </c>
      <c r="H2304">
        <v>1282</v>
      </c>
      <c r="I2304">
        <v>10</v>
      </c>
      <c r="J2304">
        <v>6</v>
      </c>
      <c r="K2304">
        <v>74.81</v>
      </c>
      <c r="L2304">
        <v>20</v>
      </c>
      <c r="M2304" s="1" t="s">
        <v>50</v>
      </c>
      <c r="N2304" s="1" t="s">
        <v>40</v>
      </c>
      <c r="O2304">
        <v>12563.6</v>
      </c>
      <c r="P2304" t="b">
        <v>1</v>
      </c>
      <c r="Q2304">
        <v>0.83333333333333337</v>
      </c>
      <c r="R2304">
        <v>1256.3600000000001</v>
      </c>
      <c r="S2304">
        <v>10.687142857142858</v>
      </c>
      <c r="T2304" s="2">
        <v>44774</v>
      </c>
      <c r="U2304" s="1" t="s">
        <v>66</v>
      </c>
      <c r="V2304">
        <v>1</v>
      </c>
      <c r="W2304" s="1" t="s">
        <v>56</v>
      </c>
      <c r="X2304">
        <v>461</v>
      </c>
      <c r="Y2304" s="1" t="s">
        <v>43</v>
      </c>
      <c r="Z2304" s="1" t="s">
        <v>52</v>
      </c>
      <c r="AA2304">
        <v>0.54545454545454541</v>
      </c>
      <c r="AB2304" s="1" t="s">
        <v>52</v>
      </c>
      <c r="AC2304">
        <v>3</v>
      </c>
      <c r="AD2304" s="2">
        <v>44774</v>
      </c>
      <c r="AE2304" s="1" t="s">
        <v>74</v>
      </c>
      <c r="AF2304" s="1" t="s">
        <v>78</v>
      </c>
      <c r="AG2304" s="1" t="s">
        <v>63</v>
      </c>
      <c r="AH2304" s="1" t="s">
        <v>47</v>
      </c>
      <c r="AI2304">
        <v>12820</v>
      </c>
      <c r="AJ2304">
        <v>-256.39999999999964</v>
      </c>
    </row>
    <row r="2305" spans="1:36" x14ac:dyDescent="0.25">
      <c r="A2305">
        <v>12304</v>
      </c>
      <c r="B2305">
        <v>49</v>
      </c>
      <c r="C2305" s="1" t="s">
        <v>36</v>
      </c>
      <c r="D2305" s="1" t="s">
        <v>69</v>
      </c>
      <c r="E2305" s="2">
        <v>45056</v>
      </c>
      <c r="F2305" s="2">
        <v>44602</v>
      </c>
      <c r="G2305" s="1" t="s">
        <v>38</v>
      </c>
      <c r="H2305">
        <v>1304</v>
      </c>
      <c r="I2305">
        <v>18</v>
      </c>
      <c r="J2305">
        <v>3</v>
      </c>
      <c r="K2305">
        <v>34.92</v>
      </c>
      <c r="L2305">
        <v>0</v>
      </c>
      <c r="M2305" s="1" t="s">
        <v>39</v>
      </c>
      <c r="N2305" s="1" t="s">
        <v>56</v>
      </c>
      <c r="O2305">
        <v>23472</v>
      </c>
      <c r="P2305" t="b">
        <v>0</v>
      </c>
      <c r="Q2305">
        <v>1.5</v>
      </c>
      <c r="R2305">
        <v>1304</v>
      </c>
      <c r="S2305">
        <v>8.73</v>
      </c>
      <c r="T2305" s="2">
        <v>45047</v>
      </c>
      <c r="U2305" s="1" t="s">
        <v>51</v>
      </c>
      <c r="V2305">
        <v>0</v>
      </c>
      <c r="W2305" s="1" t="s">
        <v>40</v>
      </c>
      <c r="Y2305" s="1" t="s">
        <v>52</v>
      </c>
      <c r="Z2305" s="1" t="s">
        <v>42</v>
      </c>
      <c r="AA2305">
        <v>0.15789473684210525</v>
      </c>
      <c r="AB2305" s="1" t="s">
        <v>43</v>
      </c>
      <c r="AC2305">
        <v>1</v>
      </c>
      <c r="AD2305" s="2">
        <v>45047</v>
      </c>
      <c r="AE2305" s="1" t="s">
        <v>53</v>
      </c>
      <c r="AF2305" s="1" t="s">
        <v>72</v>
      </c>
      <c r="AG2305" s="1" t="s">
        <v>55</v>
      </c>
      <c r="AH2305" s="1" t="s">
        <v>47</v>
      </c>
      <c r="AI2305">
        <v>23472</v>
      </c>
      <c r="AJ2305">
        <v>0</v>
      </c>
    </row>
    <row r="2306" spans="1:36" x14ac:dyDescent="0.25">
      <c r="A2306">
        <v>12305</v>
      </c>
      <c r="B2306">
        <v>28</v>
      </c>
      <c r="C2306" s="1" t="s">
        <v>60</v>
      </c>
      <c r="D2306" s="1" t="s">
        <v>73</v>
      </c>
      <c r="E2306" s="2">
        <v>44382</v>
      </c>
      <c r="F2306" s="2">
        <v>44861</v>
      </c>
      <c r="G2306" s="1" t="s">
        <v>38</v>
      </c>
      <c r="H2306">
        <v>406</v>
      </c>
      <c r="I2306">
        <v>13</v>
      </c>
      <c r="J2306">
        <v>5</v>
      </c>
      <c r="K2306">
        <v>88.63</v>
      </c>
      <c r="L2306">
        <v>10</v>
      </c>
      <c r="M2306" s="1" t="s">
        <v>39</v>
      </c>
      <c r="N2306" s="1" t="s">
        <v>40</v>
      </c>
      <c r="O2306">
        <v>5237.3999999999996</v>
      </c>
      <c r="P2306" t="b">
        <v>1</v>
      </c>
      <c r="Q2306">
        <v>1.0833333333333333</v>
      </c>
      <c r="R2306">
        <v>402.87692307692305</v>
      </c>
      <c r="S2306">
        <v>14.771666666666667</v>
      </c>
      <c r="T2306" s="2">
        <v>44378</v>
      </c>
      <c r="U2306" s="1" t="s">
        <v>57</v>
      </c>
      <c r="V2306">
        <v>1</v>
      </c>
      <c r="W2306" s="1" t="s">
        <v>56</v>
      </c>
      <c r="X2306">
        <v>479</v>
      </c>
      <c r="Y2306" s="1" t="s">
        <v>43</v>
      </c>
      <c r="Z2306" s="1" t="s">
        <v>42</v>
      </c>
      <c r="AA2306">
        <v>0.35714285714285715</v>
      </c>
      <c r="AB2306" s="1" t="s">
        <v>42</v>
      </c>
      <c r="AC2306">
        <v>1</v>
      </c>
      <c r="AD2306" s="2">
        <v>44378</v>
      </c>
      <c r="AE2306" s="1" t="s">
        <v>53</v>
      </c>
      <c r="AF2306" s="1" t="s">
        <v>45</v>
      </c>
      <c r="AG2306" s="1" t="s">
        <v>63</v>
      </c>
      <c r="AH2306" s="1" t="s">
        <v>68</v>
      </c>
      <c r="AI2306">
        <v>5278</v>
      </c>
      <c r="AJ2306">
        <v>-40.600000000000364</v>
      </c>
    </row>
    <row r="2307" spans="1:36" x14ac:dyDescent="0.25">
      <c r="A2307">
        <v>12306</v>
      </c>
      <c r="B2307">
        <v>27</v>
      </c>
      <c r="C2307" s="1" t="s">
        <v>60</v>
      </c>
      <c r="D2307" s="1" t="s">
        <v>48</v>
      </c>
      <c r="E2307" s="2">
        <v>45052</v>
      </c>
      <c r="F2307" s="2">
        <v>45054</v>
      </c>
      <c r="G2307" s="1" t="s">
        <v>38</v>
      </c>
      <c r="H2307">
        <v>920</v>
      </c>
      <c r="I2307">
        <v>27</v>
      </c>
      <c r="J2307">
        <v>1</v>
      </c>
      <c r="K2307">
        <v>93.97</v>
      </c>
      <c r="L2307">
        <v>5</v>
      </c>
      <c r="M2307" s="1" t="s">
        <v>39</v>
      </c>
      <c r="N2307" s="1" t="s">
        <v>56</v>
      </c>
      <c r="O2307">
        <v>24794</v>
      </c>
      <c r="P2307" t="b">
        <v>1</v>
      </c>
      <c r="Q2307">
        <v>2.25</v>
      </c>
      <c r="R2307">
        <v>918.2962962962963</v>
      </c>
      <c r="S2307">
        <v>46.984999999999999</v>
      </c>
      <c r="T2307" s="2">
        <v>45047</v>
      </c>
      <c r="U2307" s="1" t="s">
        <v>57</v>
      </c>
      <c r="V2307">
        <v>0</v>
      </c>
      <c r="W2307" s="1" t="s">
        <v>40</v>
      </c>
      <c r="X2307">
        <v>2</v>
      </c>
      <c r="Y2307" s="1" t="s">
        <v>43</v>
      </c>
      <c r="Z2307" s="1" t="s">
        <v>42</v>
      </c>
      <c r="AA2307">
        <v>3.5714285714285712E-2</v>
      </c>
      <c r="AB2307" s="1" t="s">
        <v>43</v>
      </c>
      <c r="AC2307">
        <v>1</v>
      </c>
      <c r="AD2307" s="2">
        <v>45047</v>
      </c>
      <c r="AE2307" s="1" t="s">
        <v>44</v>
      </c>
      <c r="AF2307" s="1" t="s">
        <v>54</v>
      </c>
      <c r="AG2307" s="1" t="s">
        <v>63</v>
      </c>
      <c r="AH2307" s="1" t="s">
        <v>59</v>
      </c>
      <c r="AI2307">
        <v>24840</v>
      </c>
      <c r="AJ2307">
        <v>-46</v>
      </c>
    </row>
    <row r="2308" spans="1:36" x14ac:dyDescent="0.25">
      <c r="A2308">
        <v>12307</v>
      </c>
      <c r="B2308">
        <v>26</v>
      </c>
      <c r="C2308" s="1" t="s">
        <v>60</v>
      </c>
      <c r="D2308" s="1" t="s">
        <v>69</v>
      </c>
      <c r="E2308" s="2">
        <v>44449</v>
      </c>
      <c r="F2308" s="2">
        <v>44589</v>
      </c>
      <c r="G2308" s="1" t="s">
        <v>38</v>
      </c>
      <c r="H2308">
        <v>1139</v>
      </c>
      <c r="I2308">
        <v>10</v>
      </c>
      <c r="J2308">
        <v>1</v>
      </c>
      <c r="K2308">
        <v>110.86</v>
      </c>
      <c r="L2308">
        <v>10</v>
      </c>
      <c r="M2308" s="1" t="s">
        <v>50</v>
      </c>
      <c r="N2308" s="1" t="s">
        <v>56</v>
      </c>
      <c r="O2308">
        <v>11276.1</v>
      </c>
      <c r="P2308" t="b">
        <v>1</v>
      </c>
      <c r="Q2308">
        <v>0.83333333333333337</v>
      </c>
      <c r="R2308">
        <v>1127.6100000000001</v>
      </c>
      <c r="S2308">
        <v>55.43</v>
      </c>
      <c r="T2308" s="2">
        <v>44440</v>
      </c>
      <c r="U2308" s="1" t="s">
        <v>57</v>
      </c>
      <c r="V2308">
        <v>0</v>
      </c>
      <c r="W2308" s="1" t="s">
        <v>56</v>
      </c>
      <c r="X2308">
        <v>140</v>
      </c>
      <c r="Y2308" s="1" t="s">
        <v>43</v>
      </c>
      <c r="Z2308" s="1" t="s">
        <v>42</v>
      </c>
      <c r="AA2308">
        <v>9.0909090909090912E-2</v>
      </c>
      <c r="AB2308" s="1" t="s">
        <v>52</v>
      </c>
      <c r="AC2308">
        <v>1</v>
      </c>
      <c r="AD2308" s="2">
        <v>44440</v>
      </c>
      <c r="AE2308" s="1" t="s">
        <v>74</v>
      </c>
      <c r="AF2308" s="1" t="s">
        <v>54</v>
      </c>
      <c r="AG2308" s="1" t="s">
        <v>63</v>
      </c>
      <c r="AH2308" s="1" t="s">
        <v>47</v>
      </c>
      <c r="AI2308">
        <v>11390</v>
      </c>
      <c r="AJ2308">
        <v>-113.89999999999964</v>
      </c>
    </row>
    <row r="2309" spans="1:36" x14ac:dyDescent="0.25">
      <c r="A2309">
        <v>12308</v>
      </c>
      <c r="B2309">
        <v>31</v>
      </c>
      <c r="C2309" s="1" t="s">
        <v>60</v>
      </c>
      <c r="D2309" s="1" t="s">
        <v>71</v>
      </c>
      <c r="E2309" s="2">
        <v>44209</v>
      </c>
      <c r="F2309" s="2">
        <v>44496</v>
      </c>
      <c r="G2309" s="1" t="s">
        <v>38</v>
      </c>
      <c r="H2309">
        <v>1426</v>
      </c>
      <c r="I2309">
        <v>32</v>
      </c>
      <c r="J2309">
        <v>3</v>
      </c>
      <c r="K2309">
        <v>72.27</v>
      </c>
      <c r="L2309">
        <v>0</v>
      </c>
      <c r="M2309" s="1" t="s">
        <v>50</v>
      </c>
      <c r="N2309" s="1" t="s">
        <v>40</v>
      </c>
      <c r="O2309">
        <v>45632</v>
      </c>
      <c r="P2309" t="b">
        <v>1</v>
      </c>
      <c r="Q2309">
        <v>2.6666666666666665</v>
      </c>
      <c r="R2309">
        <v>1426</v>
      </c>
      <c r="S2309">
        <v>18.067499999999999</v>
      </c>
      <c r="T2309" s="2">
        <v>44197</v>
      </c>
      <c r="U2309" s="1" t="s">
        <v>57</v>
      </c>
      <c r="V2309">
        <v>1</v>
      </c>
      <c r="W2309" s="1" t="s">
        <v>40</v>
      </c>
      <c r="X2309">
        <v>287</v>
      </c>
      <c r="Y2309" s="1" t="s">
        <v>43</v>
      </c>
      <c r="Z2309" s="1" t="s">
        <v>42</v>
      </c>
      <c r="AA2309">
        <v>9.0909090909090912E-2</v>
      </c>
      <c r="AB2309" s="1" t="s">
        <v>43</v>
      </c>
      <c r="AC2309">
        <v>1</v>
      </c>
      <c r="AD2309" s="2">
        <v>44197</v>
      </c>
      <c r="AE2309" s="1" t="s">
        <v>44</v>
      </c>
      <c r="AF2309" s="1" t="s">
        <v>72</v>
      </c>
      <c r="AG2309" s="1" t="s">
        <v>63</v>
      </c>
      <c r="AH2309" s="1" t="s">
        <v>47</v>
      </c>
      <c r="AI2309">
        <v>45632</v>
      </c>
      <c r="AJ2309">
        <v>0</v>
      </c>
    </row>
    <row r="2310" spans="1:36" x14ac:dyDescent="0.25">
      <c r="A2310">
        <v>12309</v>
      </c>
      <c r="B2310">
        <v>30</v>
      </c>
      <c r="C2310" s="1" t="s">
        <v>36</v>
      </c>
      <c r="D2310" s="1" t="s">
        <v>37</v>
      </c>
      <c r="E2310" s="2">
        <v>44495</v>
      </c>
      <c r="F2310" s="2">
        <v>45057</v>
      </c>
      <c r="G2310" s="1" t="s">
        <v>49</v>
      </c>
      <c r="H2310">
        <v>1464</v>
      </c>
      <c r="I2310">
        <v>3</v>
      </c>
      <c r="J2310">
        <v>0</v>
      </c>
      <c r="K2310">
        <v>94.63</v>
      </c>
      <c r="L2310">
        <v>15</v>
      </c>
      <c r="M2310" s="1" t="s">
        <v>67</v>
      </c>
      <c r="N2310" s="1" t="s">
        <v>40</v>
      </c>
      <c r="O2310">
        <v>4172.3999999999996</v>
      </c>
      <c r="P2310" t="b">
        <v>1</v>
      </c>
      <c r="Q2310">
        <v>0.25</v>
      </c>
      <c r="R2310">
        <v>1390.8</v>
      </c>
      <c r="S2310">
        <v>94.63</v>
      </c>
      <c r="T2310" s="2">
        <v>44470</v>
      </c>
      <c r="U2310" s="1" t="s">
        <v>57</v>
      </c>
      <c r="V2310">
        <v>1</v>
      </c>
      <c r="W2310" s="1" t="s">
        <v>56</v>
      </c>
      <c r="X2310">
        <v>562</v>
      </c>
      <c r="Y2310" s="1" t="s">
        <v>43</v>
      </c>
      <c r="Z2310" s="1" t="s">
        <v>42</v>
      </c>
      <c r="AA2310">
        <v>0</v>
      </c>
      <c r="AB2310" s="1" t="s">
        <v>42</v>
      </c>
      <c r="AC2310">
        <v>3</v>
      </c>
      <c r="AD2310" s="2">
        <v>44470</v>
      </c>
      <c r="AE2310" s="1" t="s">
        <v>58</v>
      </c>
      <c r="AF2310" s="1" t="s">
        <v>54</v>
      </c>
      <c r="AG2310" s="1" t="s">
        <v>63</v>
      </c>
      <c r="AH2310" s="1" t="s">
        <v>47</v>
      </c>
      <c r="AI2310">
        <v>4392</v>
      </c>
      <c r="AJ2310">
        <v>-219.60000000000036</v>
      </c>
    </row>
    <row r="2311" spans="1:36" x14ac:dyDescent="0.25">
      <c r="A2311">
        <v>12310</v>
      </c>
      <c r="B2311">
        <v>42</v>
      </c>
      <c r="C2311" s="1" t="s">
        <v>36</v>
      </c>
      <c r="D2311" s="1" t="s">
        <v>61</v>
      </c>
      <c r="E2311" s="2">
        <v>44272</v>
      </c>
      <c r="F2311" s="2">
        <v>44646</v>
      </c>
      <c r="G2311" s="1" t="s">
        <v>62</v>
      </c>
      <c r="H2311">
        <v>876</v>
      </c>
      <c r="I2311">
        <v>22</v>
      </c>
      <c r="J2311">
        <v>1</v>
      </c>
      <c r="K2311">
        <v>91.61</v>
      </c>
      <c r="L2311">
        <v>20</v>
      </c>
      <c r="M2311" s="1" t="s">
        <v>39</v>
      </c>
      <c r="N2311" s="1" t="s">
        <v>56</v>
      </c>
      <c r="O2311">
        <v>19096.8</v>
      </c>
      <c r="P2311" t="b">
        <v>1</v>
      </c>
      <c r="Q2311">
        <v>1.8333333333333333</v>
      </c>
      <c r="R2311">
        <v>868.0363636363636</v>
      </c>
      <c r="S2311">
        <v>45.805</v>
      </c>
      <c r="T2311" s="2">
        <v>44256</v>
      </c>
      <c r="U2311" s="1" t="s">
        <v>51</v>
      </c>
      <c r="V2311">
        <v>0</v>
      </c>
      <c r="W2311" s="1" t="s">
        <v>40</v>
      </c>
      <c r="X2311">
        <v>374</v>
      </c>
      <c r="Y2311" s="1" t="s">
        <v>43</v>
      </c>
      <c r="Z2311" s="1" t="s">
        <v>52</v>
      </c>
      <c r="AA2311">
        <v>4.3478260869565216E-2</v>
      </c>
      <c r="AB2311" s="1" t="s">
        <v>52</v>
      </c>
      <c r="AC2311">
        <v>2</v>
      </c>
      <c r="AD2311" s="2">
        <v>44256</v>
      </c>
      <c r="AE2311" s="1" t="s">
        <v>53</v>
      </c>
      <c r="AF2311" s="1" t="s">
        <v>54</v>
      </c>
      <c r="AG2311" s="1" t="s">
        <v>63</v>
      </c>
      <c r="AH2311" s="1" t="s">
        <v>59</v>
      </c>
      <c r="AI2311">
        <v>19272</v>
      </c>
      <c r="AJ2311">
        <v>-175.20000000000073</v>
      </c>
    </row>
    <row r="2312" spans="1:36" x14ac:dyDescent="0.25">
      <c r="A2312">
        <v>12311</v>
      </c>
      <c r="B2312">
        <v>19</v>
      </c>
      <c r="C2312" s="1" t="s">
        <v>60</v>
      </c>
      <c r="D2312" s="1" t="s">
        <v>71</v>
      </c>
      <c r="E2312" s="2">
        <v>44247</v>
      </c>
      <c r="F2312" s="2">
        <v>45104</v>
      </c>
      <c r="G2312" s="1" t="s">
        <v>62</v>
      </c>
      <c r="H2312">
        <v>1457</v>
      </c>
      <c r="I2312">
        <v>27</v>
      </c>
      <c r="J2312">
        <v>0</v>
      </c>
      <c r="K2312">
        <v>34.65</v>
      </c>
      <c r="L2312">
        <v>0</v>
      </c>
      <c r="M2312" s="1" t="s">
        <v>67</v>
      </c>
      <c r="N2312" s="1" t="s">
        <v>56</v>
      </c>
      <c r="O2312">
        <v>39339</v>
      </c>
      <c r="P2312" t="b">
        <v>1</v>
      </c>
      <c r="Q2312">
        <v>2.25</v>
      </c>
      <c r="R2312">
        <v>1457</v>
      </c>
      <c r="S2312">
        <v>34.65</v>
      </c>
      <c r="T2312" s="2">
        <v>44228</v>
      </c>
      <c r="U2312" s="1" t="s">
        <v>66</v>
      </c>
      <c r="V2312">
        <v>0</v>
      </c>
      <c r="W2312" s="1" t="s">
        <v>40</v>
      </c>
      <c r="X2312">
        <v>857</v>
      </c>
      <c r="Y2312" s="1" t="s">
        <v>52</v>
      </c>
      <c r="Z2312" s="1" t="s">
        <v>42</v>
      </c>
      <c r="AA2312">
        <v>0</v>
      </c>
      <c r="AB2312" s="1" t="s">
        <v>43</v>
      </c>
      <c r="AC2312">
        <v>2</v>
      </c>
      <c r="AD2312" s="2">
        <v>44228</v>
      </c>
      <c r="AE2312" s="1" t="s">
        <v>44</v>
      </c>
      <c r="AF2312" s="1" t="s">
        <v>54</v>
      </c>
      <c r="AG2312" s="1" t="s">
        <v>55</v>
      </c>
      <c r="AH2312" s="1" t="s">
        <v>47</v>
      </c>
      <c r="AI2312">
        <v>39339</v>
      </c>
      <c r="AJ2312">
        <v>0</v>
      </c>
    </row>
    <row r="2313" spans="1:36" x14ac:dyDescent="0.25">
      <c r="A2313">
        <v>12312</v>
      </c>
      <c r="B2313">
        <v>52</v>
      </c>
      <c r="C2313" s="1" t="s">
        <v>36</v>
      </c>
      <c r="D2313" s="1" t="s">
        <v>73</v>
      </c>
      <c r="E2313" s="2">
        <v>44983</v>
      </c>
      <c r="F2313" s="2">
        <v>45197</v>
      </c>
      <c r="G2313" s="1" t="s">
        <v>62</v>
      </c>
      <c r="H2313">
        <v>498</v>
      </c>
      <c r="I2313">
        <v>3</v>
      </c>
      <c r="J2313">
        <v>2</v>
      </c>
      <c r="K2313">
        <v>40.68</v>
      </c>
      <c r="L2313">
        <v>10</v>
      </c>
      <c r="M2313" s="1" t="s">
        <v>65</v>
      </c>
      <c r="N2313" s="1" t="s">
        <v>56</v>
      </c>
      <c r="O2313">
        <v>1444.2</v>
      </c>
      <c r="P2313" t="b">
        <v>1</v>
      </c>
      <c r="Q2313">
        <v>0.25</v>
      </c>
      <c r="R2313">
        <v>481.40000000000003</v>
      </c>
      <c r="S2313">
        <v>13.56</v>
      </c>
      <c r="T2313" s="2">
        <v>44958</v>
      </c>
      <c r="U2313" s="1" t="s">
        <v>41</v>
      </c>
      <c r="V2313">
        <v>0</v>
      </c>
      <c r="W2313" s="1" t="s">
        <v>56</v>
      </c>
      <c r="X2313">
        <v>214</v>
      </c>
      <c r="Y2313" s="1" t="s">
        <v>52</v>
      </c>
      <c r="Z2313" s="1" t="s">
        <v>42</v>
      </c>
      <c r="AA2313">
        <v>0.5</v>
      </c>
      <c r="AB2313" s="1" t="s">
        <v>42</v>
      </c>
      <c r="AC2313">
        <v>2</v>
      </c>
      <c r="AD2313" s="2">
        <v>44958</v>
      </c>
      <c r="AE2313" s="1" t="s">
        <v>58</v>
      </c>
      <c r="AF2313" s="1" t="s">
        <v>72</v>
      </c>
      <c r="AG2313" s="1" t="s">
        <v>55</v>
      </c>
      <c r="AH2313" s="1" t="s">
        <v>68</v>
      </c>
      <c r="AI2313">
        <v>1494</v>
      </c>
      <c r="AJ2313">
        <v>-49.799999999999955</v>
      </c>
    </row>
    <row r="2314" spans="1:36" x14ac:dyDescent="0.25">
      <c r="A2314">
        <v>12313</v>
      </c>
      <c r="B2314">
        <v>41</v>
      </c>
      <c r="C2314" s="1" t="s">
        <v>60</v>
      </c>
      <c r="D2314" s="1" t="s">
        <v>71</v>
      </c>
      <c r="E2314" s="2">
        <v>44345</v>
      </c>
      <c r="F2314" s="2">
        <v>44967</v>
      </c>
      <c r="G2314" s="1" t="s">
        <v>49</v>
      </c>
      <c r="H2314">
        <v>809</v>
      </c>
      <c r="I2314">
        <v>33</v>
      </c>
      <c r="J2314">
        <v>2</v>
      </c>
      <c r="K2314">
        <v>60.03</v>
      </c>
      <c r="L2314">
        <v>10</v>
      </c>
      <c r="M2314" s="1" t="s">
        <v>65</v>
      </c>
      <c r="N2314" s="1" t="s">
        <v>40</v>
      </c>
      <c r="O2314">
        <v>26616.1</v>
      </c>
      <c r="P2314" t="b">
        <v>1</v>
      </c>
      <c r="Q2314">
        <v>2.75</v>
      </c>
      <c r="R2314">
        <v>806.5484848484848</v>
      </c>
      <c r="S2314">
        <v>20.010000000000002</v>
      </c>
      <c r="T2314" s="2">
        <v>44317</v>
      </c>
      <c r="U2314" s="1" t="s">
        <v>51</v>
      </c>
      <c r="V2314">
        <v>1</v>
      </c>
      <c r="W2314" s="1" t="s">
        <v>40</v>
      </c>
      <c r="X2314">
        <v>622</v>
      </c>
      <c r="Y2314" s="1" t="s">
        <v>43</v>
      </c>
      <c r="Z2314" s="1" t="s">
        <v>42</v>
      </c>
      <c r="AA2314">
        <v>5.8823529411764705E-2</v>
      </c>
      <c r="AB2314" s="1" t="s">
        <v>43</v>
      </c>
      <c r="AC2314">
        <v>3</v>
      </c>
      <c r="AD2314" s="2">
        <v>44317</v>
      </c>
      <c r="AE2314" s="1" t="s">
        <v>44</v>
      </c>
      <c r="AF2314" s="1" t="s">
        <v>72</v>
      </c>
      <c r="AG2314" s="1" t="s">
        <v>63</v>
      </c>
      <c r="AH2314" s="1" t="s">
        <v>59</v>
      </c>
      <c r="AI2314">
        <v>26697</v>
      </c>
      <c r="AJ2314">
        <v>-80.900000000001455</v>
      </c>
    </row>
    <row r="2315" spans="1:36" x14ac:dyDescent="0.25">
      <c r="A2315">
        <v>12314</v>
      </c>
      <c r="B2315">
        <v>38</v>
      </c>
      <c r="C2315" s="1" t="s">
        <v>75</v>
      </c>
      <c r="D2315" s="1" t="s">
        <v>69</v>
      </c>
      <c r="E2315" s="2">
        <v>44927</v>
      </c>
      <c r="F2315" s="2">
        <v>44800</v>
      </c>
      <c r="G2315" s="1" t="s">
        <v>62</v>
      </c>
      <c r="H2315">
        <v>966</v>
      </c>
      <c r="I2315">
        <v>2</v>
      </c>
      <c r="J2315">
        <v>2</v>
      </c>
      <c r="K2315">
        <v>7.19</v>
      </c>
      <c r="L2315">
        <v>0</v>
      </c>
      <c r="M2315" s="1" t="s">
        <v>39</v>
      </c>
      <c r="N2315" s="1" t="s">
        <v>56</v>
      </c>
      <c r="O2315">
        <v>1932</v>
      </c>
      <c r="P2315" t="b">
        <v>0</v>
      </c>
      <c r="Q2315">
        <v>0.16666666666666666</v>
      </c>
      <c r="R2315">
        <v>966</v>
      </c>
      <c r="S2315">
        <v>2.3966666666666669</v>
      </c>
      <c r="T2315" s="2">
        <v>44927</v>
      </c>
      <c r="U2315" s="1" t="s">
        <v>51</v>
      </c>
      <c r="V2315">
        <v>0</v>
      </c>
      <c r="W2315" s="1" t="s">
        <v>56</v>
      </c>
      <c r="Y2315" s="1" t="s">
        <v>42</v>
      </c>
      <c r="Z2315" s="1" t="s">
        <v>42</v>
      </c>
      <c r="AA2315">
        <v>0.66666666666666663</v>
      </c>
      <c r="AB2315" s="1" t="s">
        <v>42</v>
      </c>
      <c r="AC2315">
        <v>2</v>
      </c>
      <c r="AD2315" s="2">
        <v>44927</v>
      </c>
      <c r="AE2315" s="1" t="s">
        <v>58</v>
      </c>
      <c r="AF2315" s="1" t="s">
        <v>72</v>
      </c>
      <c r="AG2315" s="1" t="s">
        <v>77</v>
      </c>
      <c r="AH2315" s="1" t="s">
        <v>59</v>
      </c>
      <c r="AI2315">
        <v>1932</v>
      </c>
      <c r="AJ2315">
        <v>0</v>
      </c>
    </row>
    <row r="2316" spans="1:36" x14ac:dyDescent="0.25">
      <c r="A2316">
        <v>12315</v>
      </c>
      <c r="B2316">
        <v>35</v>
      </c>
      <c r="C2316" s="1" t="s">
        <v>60</v>
      </c>
      <c r="D2316" s="1" t="s">
        <v>48</v>
      </c>
      <c r="E2316" s="2">
        <v>44318</v>
      </c>
      <c r="F2316" s="2">
        <v>44740</v>
      </c>
      <c r="G2316" s="1" t="s">
        <v>49</v>
      </c>
      <c r="H2316">
        <v>378</v>
      </c>
      <c r="I2316">
        <v>11</v>
      </c>
      <c r="J2316">
        <v>1</v>
      </c>
      <c r="K2316">
        <v>39.200000000000003</v>
      </c>
      <c r="L2316">
        <v>5</v>
      </c>
      <c r="M2316" s="1" t="s">
        <v>67</v>
      </c>
      <c r="N2316" s="1" t="s">
        <v>56</v>
      </c>
      <c r="O2316">
        <v>4139.1000000000004</v>
      </c>
      <c r="P2316" t="b">
        <v>1</v>
      </c>
      <c r="Q2316">
        <v>0.91666666666666663</v>
      </c>
      <c r="R2316">
        <v>376.28181818181821</v>
      </c>
      <c r="S2316">
        <v>19.600000000000001</v>
      </c>
      <c r="T2316" s="2">
        <v>44317</v>
      </c>
      <c r="U2316" s="1" t="s">
        <v>57</v>
      </c>
      <c r="V2316">
        <v>0</v>
      </c>
      <c r="W2316" s="1" t="s">
        <v>56</v>
      </c>
      <c r="X2316">
        <v>422</v>
      </c>
      <c r="Y2316" s="1" t="s">
        <v>52</v>
      </c>
      <c r="Z2316" s="1" t="s">
        <v>42</v>
      </c>
      <c r="AA2316">
        <v>8.3333333333333329E-2</v>
      </c>
      <c r="AB2316" s="1" t="s">
        <v>42</v>
      </c>
      <c r="AC2316">
        <v>3</v>
      </c>
      <c r="AD2316" s="2">
        <v>44317</v>
      </c>
      <c r="AE2316" s="1" t="s">
        <v>74</v>
      </c>
      <c r="AF2316" s="1" t="s">
        <v>54</v>
      </c>
      <c r="AG2316" s="1" t="s">
        <v>55</v>
      </c>
      <c r="AH2316" s="1" t="s">
        <v>68</v>
      </c>
      <c r="AI2316">
        <v>4158</v>
      </c>
      <c r="AJ2316">
        <v>-18.899999999999636</v>
      </c>
    </row>
    <row r="2317" spans="1:36" x14ac:dyDescent="0.25">
      <c r="A2317">
        <v>12316</v>
      </c>
      <c r="B2317">
        <v>20</v>
      </c>
      <c r="C2317" s="1" t="s">
        <v>60</v>
      </c>
      <c r="D2317" s="1" t="s">
        <v>37</v>
      </c>
      <c r="E2317" s="2">
        <v>44407</v>
      </c>
      <c r="F2317" s="2">
        <v>44559</v>
      </c>
      <c r="G2317" s="1" t="s">
        <v>38</v>
      </c>
      <c r="H2317">
        <v>1193</v>
      </c>
      <c r="I2317">
        <v>10</v>
      </c>
      <c r="J2317">
        <v>1</v>
      </c>
      <c r="K2317">
        <v>59.5</v>
      </c>
      <c r="L2317">
        <v>10</v>
      </c>
      <c r="M2317" s="1" t="s">
        <v>50</v>
      </c>
      <c r="N2317" s="1" t="s">
        <v>56</v>
      </c>
      <c r="O2317">
        <v>11810.7</v>
      </c>
      <c r="P2317" t="b">
        <v>1</v>
      </c>
      <c r="Q2317">
        <v>0.83333333333333337</v>
      </c>
      <c r="R2317">
        <v>1181.0700000000002</v>
      </c>
      <c r="S2317">
        <v>29.75</v>
      </c>
      <c r="T2317" s="2">
        <v>44378</v>
      </c>
      <c r="U2317" s="1" t="s">
        <v>66</v>
      </c>
      <c r="V2317">
        <v>0</v>
      </c>
      <c r="W2317" s="1" t="s">
        <v>56</v>
      </c>
      <c r="X2317">
        <v>152</v>
      </c>
      <c r="Y2317" s="1" t="s">
        <v>52</v>
      </c>
      <c r="Z2317" s="1" t="s">
        <v>42</v>
      </c>
      <c r="AA2317">
        <v>9.0909090909090912E-2</v>
      </c>
      <c r="AB2317" s="1" t="s">
        <v>52</v>
      </c>
      <c r="AC2317">
        <v>1</v>
      </c>
      <c r="AD2317" s="2">
        <v>44378</v>
      </c>
      <c r="AE2317" s="1" t="s">
        <v>74</v>
      </c>
      <c r="AF2317" s="1" t="s">
        <v>54</v>
      </c>
      <c r="AG2317" s="1" t="s">
        <v>63</v>
      </c>
      <c r="AH2317" s="1" t="s">
        <v>47</v>
      </c>
      <c r="AI2317">
        <v>11930</v>
      </c>
      <c r="AJ2317">
        <v>-119.29999999999927</v>
      </c>
    </row>
    <row r="2318" spans="1:36" x14ac:dyDescent="0.25">
      <c r="A2318">
        <v>12317</v>
      </c>
      <c r="B2318">
        <v>59</v>
      </c>
      <c r="C2318" s="1" t="s">
        <v>60</v>
      </c>
      <c r="D2318" s="1" t="s">
        <v>76</v>
      </c>
      <c r="E2318" s="2">
        <v>44476</v>
      </c>
      <c r="F2318" s="2">
        <v>45015</v>
      </c>
      <c r="G2318" s="1" t="s">
        <v>49</v>
      </c>
      <c r="H2318">
        <v>811</v>
      </c>
      <c r="I2318">
        <v>33</v>
      </c>
      <c r="J2318">
        <v>1</v>
      </c>
      <c r="K2318">
        <v>17.43</v>
      </c>
      <c r="L2318">
        <v>5</v>
      </c>
      <c r="M2318" s="1" t="s">
        <v>67</v>
      </c>
      <c r="N2318" s="1" t="s">
        <v>40</v>
      </c>
      <c r="O2318">
        <v>26722.45</v>
      </c>
      <c r="P2318" t="b">
        <v>1</v>
      </c>
      <c r="Q2318">
        <v>2.75</v>
      </c>
      <c r="R2318">
        <v>809.7712121212121</v>
      </c>
      <c r="S2318">
        <v>8.7149999999999999</v>
      </c>
      <c r="T2318" s="2">
        <v>44470</v>
      </c>
      <c r="U2318" s="1" t="s">
        <v>41</v>
      </c>
      <c r="V2318">
        <v>1</v>
      </c>
      <c r="W2318" s="1" t="s">
        <v>40</v>
      </c>
      <c r="X2318">
        <v>539</v>
      </c>
      <c r="Y2318" s="1" t="s">
        <v>42</v>
      </c>
      <c r="Z2318" s="1" t="s">
        <v>42</v>
      </c>
      <c r="AA2318">
        <v>2.9411764705882353E-2</v>
      </c>
      <c r="AB2318" s="1" t="s">
        <v>43</v>
      </c>
      <c r="AC2318">
        <v>3</v>
      </c>
      <c r="AD2318" s="2">
        <v>44470</v>
      </c>
      <c r="AE2318" s="1" t="s">
        <v>44</v>
      </c>
      <c r="AF2318" s="1" t="s">
        <v>54</v>
      </c>
      <c r="AG2318" s="1" t="s">
        <v>46</v>
      </c>
      <c r="AH2318" s="1" t="s">
        <v>59</v>
      </c>
      <c r="AI2318">
        <v>26763</v>
      </c>
      <c r="AJ2318">
        <v>-40.549999999999272</v>
      </c>
    </row>
    <row r="2319" spans="1:36" x14ac:dyDescent="0.25">
      <c r="A2319">
        <v>12318</v>
      </c>
      <c r="B2319">
        <v>56</v>
      </c>
      <c r="C2319" s="1" t="s">
        <v>60</v>
      </c>
      <c r="D2319" s="1" t="s">
        <v>73</v>
      </c>
      <c r="E2319" s="2">
        <v>44734</v>
      </c>
      <c r="F2319" s="2">
        <v>44885</v>
      </c>
      <c r="G2319" s="1" t="s">
        <v>62</v>
      </c>
      <c r="H2319">
        <v>549</v>
      </c>
      <c r="I2319">
        <v>7</v>
      </c>
      <c r="J2319">
        <v>1</v>
      </c>
      <c r="K2319">
        <v>19.52</v>
      </c>
      <c r="L2319">
        <v>5</v>
      </c>
      <c r="M2319" s="1" t="s">
        <v>65</v>
      </c>
      <c r="N2319" s="1" t="s">
        <v>56</v>
      </c>
      <c r="O2319">
        <v>3815.55</v>
      </c>
      <c r="P2319" t="b">
        <v>1</v>
      </c>
      <c r="Q2319">
        <v>0.58333333333333337</v>
      </c>
      <c r="R2319">
        <v>545.07857142857142</v>
      </c>
      <c r="S2319">
        <v>9.76</v>
      </c>
      <c r="T2319" s="2">
        <v>44713</v>
      </c>
      <c r="U2319" s="1" t="s">
        <v>41</v>
      </c>
      <c r="V2319">
        <v>0</v>
      </c>
      <c r="W2319" s="1" t="s">
        <v>56</v>
      </c>
      <c r="X2319">
        <v>151</v>
      </c>
      <c r="Y2319" s="1" t="s">
        <v>42</v>
      </c>
      <c r="Z2319" s="1" t="s">
        <v>42</v>
      </c>
      <c r="AA2319">
        <v>0.125</v>
      </c>
      <c r="AB2319" s="1" t="s">
        <v>42</v>
      </c>
      <c r="AC2319">
        <v>2</v>
      </c>
      <c r="AD2319" s="2">
        <v>44713</v>
      </c>
      <c r="AE2319" s="1" t="s">
        <v>74</v>
      </c>
      <c r="AF2319" s="1" t="s">
        <v>54</v>
      </c>
      <c r="AG2319" s="1" t="s">
        <v>46</v>
      </c>
      <c r="AH2319" s="1" t="s">
        <v>64</v>
      </c>
      <c r="AI2319">
        <v>3843</v>
      </c>
      <c r="AJ2319">
        <v>-27.449999999999818</v>
      </c>
    </row>
    <row r="2320" spans="1:36" x14ac:dyDescent="0.25">
      <c r="A2320">
        <v>12319</v>
      </c>
      <c r="B2320">
        <v>58</v>
      </c>
      <c r="C2320" s="1" t="s">
        <v>60</v>
      </c>
      <c r="D2320" s="1" t="s">
        <v>61</v>
      </c>
      <c r="E2320" s="2">
        <v>44881</v>
      </c>
      <c r="F2320" s="2">
        <v>44941</v>
      </c>
      <c r="G2320" s="1" t="s">
        <v>38</v>
      </c>
      <c r="H2320">
        <v>1188</v>
      </c>
      <c r="I2320">
        <v>15</v>
      </c>
      <c r="J2320">
        <v>1</v>
      </c>
      <c r="K2320">
        <v>58.27</v>
      </c>
      <c r="L2320">
        <v>15</v>
      </c>
      <c r="M2320" s="1" t="s">
        <v>67</v>
      </c>
      <c r="N2320" s="1" t="s">
        <v>56</v>
      </c>
      <c r="O2320">
        <v>17641.8</v>
      </c>
      <c r="P2320" t="b">
        <v>1</v>
      </c>
      <c r="Q2320">
        <v>1.25</v>
      </c>
      <c r="R2320">
        <v>1176.1199999999999</v>
      </c>
      <c r="S2320">
        <v>29.135000000000002</v>
      </c>
      <c r="T2320" s="2">
        <v>44866</v>
      </c>
      <c r="U2320" s="1" t="s">
        <v>41</v>
      </c>
      <c r="V2320">
        <v>0</v>
      </c>
      <c r="W2320" s="1" t="s">
        <v>40</v>
      </c>
      <c r="X2320">
        <v>60</v>
      </c>
      <c r="Y2320" s="1" t="s">
        <v>52</v>
      </c>
      <c r="Z2320" s="1" t="s">
        <v>42</v>
      </c>
      <c r="AA2320">
        <v>6.25E-2</v>
      </c>
      <c r="AB2320" s="1" t="s">
        <v>52</v>
      </c>
      <c r="AC2320">
        <v>1</v>
      </c>
      <c r="AD2320" s="2">
        <v>44866</v>
      </c>
      <c r="AE2320" s="1" t="s">
        <v>53</v>
      </c>
      <c r="AF2320" s="1" t="s">
        <v>54</v>
      </c>
      <c r="AG2320" s="1" t="s">
        <v>63</v>
      </c>
      <c r="AH2320" s="1" t="s">
        <v>47</v>
      </c>
      <c r="AI2320">
        <v>17820</v>
      </c>
      <c r="AJ2320">
        <v>-178.20000000000073</v>
      </c>
    </row>
    <row r="2321" spans="1:36" x14ac:dyDescent="0.25">
      <c r="A2321">
        <v>12320</v>
      </c>
      <c r="B2321">
        <v>28</v>
      </c>
      <c r="C2321" s="1" t="s">
        <v>36</v>
      </c>
      <c r="D2321" s="1" t="s">
        <v>71</v>
      </c>
      <c r="E2321" s="2">
        <v>44352</v>
      </c>
      <c r="F2321" s="2">
        <v>44942</v>
      </c>
      <c r="G2321" s="1" t="s">
        <v>62</v>
      </c>
      <c r="H2321">
        <v>1323</v>
      </c>
      <c r="I2321">
        <v>26</v>
      </c>
      <c r="J2321">
        <v>0</v>
      </c>
      <c r="K2321">
        <v>89.06</v>
      </c>
      <c r="L2321">
        <v>0</v>
      </c>
      <c r="M2321" s="1" t="s">
        <v>65</v>
      </c>
      <c r="N2321" s="1" t="s">
        <v>56</v>
      </c>
      <c r="O2321">
        <v>34398</v>
      </c>
      <c r="P2321" t="b">
        <v>1</v>
      </c>
      <c r="Q2321">
        <v>2.1666666666666665</v>
      </c>
      <c r="R2321">
        <v>1323</v>
      </c>
      <c r="S2321">
        <v>89.06</v>
      </c>
      <c r="T2321" s="2">
        <v>44348</v>
      </c>
      <c r="U2321" s="1" t="s">
        <v>57</v>
      </c>
      <c r="V2321">
        <v>0</v>
      </c>
      <c r="W2321" s="1" t="s">
        <v>40</v>
      </c>
      <c r="X2321">
        <v>590</v>
      </c>
      <c r="Y2321" s="1" t="s">
        <v>43</v>
      </c>
      <c r="Z2321" s="1" t="s">
        <v>42</v>
      </c>
      <c r="AA2321">
        <v>0</v>
      </c>
      <c r="AB2321" s="1" t="s">
        <v>43</v>
      </c>
      <c r="AC2321">
        <v>2</v>
      </c>
      <c r="AD2321" s="2">
        <v>44348</v>
      </c>
      <c r="AE2321" s="1" t="s">
        <v>44</v>
      </c>
      <c r="AF2321" s="1" t="s">
        <v>54</v>
      </c>
      <c r="AG2321" s="1" t="s">
        <v>63</v>
      </c>
      <c r="AH2321" s="1" t="s">
        <v>47</v>
      </c>
      <c r="AI2321">
        <v>34398</v>
      </c>
      <c r="AJ2321">
        <v>0</v>
      </c>
    </row>
    <row r="2322" spans="1:36" x14ac:dyDescent="0.25">
      <c r="A2322">
        <v>12321</v>
      </c>
      <c r="B2322">
        <v>56</v>
      </c>
      <c r="C2322" s="1" t="s">
        <v>36</v>
      </c>
      <c r="D2322" s="1" t="s">
        <v>61</v>
      </c>
      <c r="E2322" s="2">
        <v>44434</v>
      </c>
      <c r="F2322" s="2">
        <v>44478</v>
      </c>
      <c r="G2322" s="1" t="s">
        <v>62</v>
      </c>
      <c r="H2322">
        <v>898</v>
      </c>
      <c r="I2322">
        <v>11</v>
      </c>
      <c r="J2322">
        <v>2</v>
      </c>
      <c r="K2322">
        <v>100.88</v>
      </c>
      <c r="L2322">
        <v>0</v>
      </c>
      <c r="M2322" s="1" t="s">
        <v>65</v>
      </c>
      <c r="N2322" s="1" t="s">
        <v>56</v>
      </c>
      <c r="O2322">
        <v>9878</v>
      </c>
      <c r="P2322" t="b">
        <v>1</v>
      </c>
      <c r="Q2322">
        <v>0.91666666666666663</v>
      </c>
      <c r="R2322">
        <v>898</v>
      </c>
      <c r="S2322">
        <v>33.626666666666665</v>
      </c>
      <c r="T2322" s="2">
        <v>44409</v>
      </c>
      <c r="U2322" s="1" t="s">
        <v>41</v>
      </c>
      <c r="V2322">
        <v>0</v>
      </c>
      <c r="W2322" s="1" t="s">
        <v>56</v>
      </c>
      <c r="X2322">
        <v>44</v>
      </c>
      <c r="Y2322" s="1" t="s">
        <v>43</v>
      </c>
      <c r="Z2322" s="1" t="s">
        <v>42</v>
      </c>
      <c r="AA2322">
        <v>0.16666666666666666</v>
      </c>
      <c r="AB2322" s="1" t="s">
        <v>52</v>
      </c>
      <c r="AC2322">
        <v>2</v>
      </c>
      <c r="AD2322" s="2">
        <v>44409</v>
      </c>
      <c r="AE2322" s="1" t="s">
        <v>74</v>
      </c>
      <c r="AF2322" s="1" t="s">
        <v>72</v>
      </c>
      <c r="AG2322" s="1" t="s">
        <v>63</v>
      </c>
      <c r="AH2322" s="1" t="s">
        <v>59</v>
      </c>
      <c r="AI2322">
        <v>9878</v>
      </c>
      <c r="AJ2322">
        <v>0</v>
      </c>
    </row>
    <row r="2323" spans="1:36" x14ac:dyDescent="0.25">
      <c r="A2323">
        <v>12322</v>
      </c>
      <c r="B2323">
        <v>41</v>
      </c>
      <c r="C2323" s="1" t="s">
        <v>36</v>
      </c>
      <c r="D2323" s="1" t="s">
        <v>48</v>
      </c>
      <c r="E2323" s="2">
        <v>44572</v>
      </c>
      <c r="F2323" s="2">
        <v>44676</v>
      </c>
      <c r="G2323" s="1" t="s">
        <v>38</v>
      </c>
      <c r="H2323">
        <v>1052</v>
      </c>
      <c r="I2323">
        <v>27</v>
      </c>
      <c r="J2323">
        <v>3</v>
      </c>
      <c r="K2323">
        <v>67.83</v>
      </c>
      <c r="L2323">
        <v>5</v>
      </c>
      <c r="M2323" s="1" t="s">
        <v>67</v>
      </c>
      <c r="N2323" s="1" t="s">
        <v>56</v>
      </c>
      <c r="O2323">
        <v>28351.4</v>
      </c>
      <c r="P2323" t="b">
        <v>1</v>
      </c>
      <c r="Q2323">
        <v>2.25</v>
      </c>
      <c r="R2323">
        <v>1050.051851851852</v>
      </c>
      <c r="S2323">
        <v>16.9575</v>
      </c>
      <c r="T2323" s="2">
        <v>44562</v>
      </c>
      <c r="U2323" s="1" t="s">
        <v>51</v>
      </c>
      <c r="V2323">
        <v>0</v>
      </c>
      <c r="W2323" s="1" t="s">
        <v>40</v>
      </c>
      <c r="X2323">
        <v>104</v>
      </c>
      <c r="Y2323" s="1" t="s">
        <v>43</v>
      </c>
      <c r="Z2323" s="1" t="s">
        <v>42</v>
      </c>
      <c r="AA2323">
        <v>0.10714285714285714</v>
      </c>
      <c r="AB2323" s="1" t="s">
        <v>43</v>
      </c>
      <c r="AC2323">
        <v>1</v>
      </c>
      <c r="AD2323" s="2">
        <v>44562</v>
      </c>
      <c r="AE2323" s="1" t="s">
        <v>44</v>
      </c>
      <c r="AF2323" s="1" t="s">
        <v>72</v>
      </c>
      <c r="AG2323" s="1" t="s">
        <v>63</v>
      </c>
      <c r="AH2323" s="1" t="s">
        <v>47</v>
      </c>
      <c r="AI2323">
        <v>28404</v>
      </c>
      <c r="AJ2323">
        <v>-52.599999999998545</v>
      </c>
    </row>
    <row r="2324" spans="1:36" x14ac:dyDescent="0.25">
      <c r="A2324">
        <v>12323</v>
      </c>
      <c r="B2324">
        <v>63</v>
      </c>
      <c r="C2324" s="1" t="s">
        <v>60</v>
      </c>
      <c r="D2324" s="1" t="s">
        <v>48</v>
      </c>
      <c r="E2324" s="2">
        <v>44278</v>
      </c>
      <c r="F2324" s="2">
        <v>44959</v>
      </c>
      <c r="G2324" s="1" t="s">
        <v>62</v>
      </c>
      <c r="H2324">
        <v>899</v>
      </c>
      <c r="I2324">
        <v>7</v>
      </c>
      <c r="J2324">
        <v>2</v>
      </c>
      <c r="K2324">
        <v>59.6</v>
      </c>
      <c r="L2324">
        <v>15</v>
      </c>
      <c r="M2324" s="1" t="s">
        <v>50</v>
      </c>
      <c r="N2324" s="1" t="s">
        <v>56</v>
      </c>
      <c r="O2324">
        <v>6158.15</v>
      </c>
      <c r="P2324" t="b">
        <v>1</v>
      </c>
      <c r="Q2324">
        <v>0.58333333333333337</v>
      </c>
      <c r="R2324">
        <v>879.73571428571427</v>
      </c>
      <c r="S2324">
        <v>19.866666666666667</v>
      </c>
      <c r="T2324" s="2">
        <v>44256</v>
      </c>
      <c r="U2324" s="1" t="s">
        <v>41</v>
      </c>
      <c r="V2324">
        <v>0</v>
      </c>
      <c r="W2324" s="1" t="s">
        <v>56</v>
      </c>
      <c r="X2324">
        <v>681</v>
      </c>
      <c r="Y2324" s="1" t="s">
        <v>52</v>
      </c>
      <c r="Z2324" s="1" t="s">
        <v>42</v>
      </c>
      <c r="AA2324">
        <v>0.25</v>
      </c>
      <c r="AB2324" s="1" t="s">
        <v>42</v>
      </c>
      <c r="AC2324">
        <v>2</v>
      </c>
      <c r="AD2324" s="2">
        <v>44256</v>
      </c>
      <c r="AE2324" s="1" t="s">
        <v>74</v>
      </c>
      <c r="AF2324" s="1" t="s">
        <v>72</v>
      </c>
      <c r="AG2324" s="1" t="s">
        <v>63</v>
      </c>
      <c r="AH2324" s="1" t="s">
        <v>59</v>
      </c>
      <c r="AI2324">
        <v>6293</v>
      </c>
      <c r="AJ2324">
        <v>-134.85000000000036</v>
      </c>
    </row>
    <row r="2325" spans="1:36" x14ac:dyDescent="0.25">
      <c r="A2325">
        <v>12324</v>
      </c>
      <c r="B2325">
        <v>36</v>
      </c>
      <c r="C2325" s="1" t="s">
        <v>36</v>
      </c>
      <c r="D2325" s="1" t="s">
        <v>61</v>
      </c>
      <c r="E2325" s="2">
        <v>44688</v>
      </c>
      <c r="F2325" s="2">
        <v>44603</v>
      </c>
      <c r="G2325" s="1" t="s">
        <v>38</v>
      </c>
      <c r="H2325">
        <v>1274</v>
      </c>
      <c r="I2325">
        <v>1</v>
      </c>
      <c r="J2325">
        <v>6</v>
      </c>
      <c r="K2325">
        <v>49.19</v>
      </c>
      <c r="L2325">
        <v>10</v>
      </c>
      <c r="M2325" s="1" t="s">
        <v>65</v>
      </c>
      <c r="N2325" s="1" t="s">
        <v>56</v>
      </c>
      <c r="O2325">
        <v>1146.5999999999999</v>
      </c>
      <c r="P2325" t="b">
        <v>0</v>
      </c>
      <c r="Q2325">
        <v>8.3333333333333329E-2</v>
      </c>
      <c r="R2325">
        <v>1146.5999999999999</v>
      </c>
      <c r="S2325">
        <v>7.0271428571428567</v>
      </c>
      <c r="T2325" s="2">
        <v>44682</v>
      </c>
      <c r="U2325" s="1" t="s">
        <v>51</v>
      </c>
      <c r="V2325">
        <v>0</v>
      </c>
      <c r="W2325" s="1" t="s">
        <v>56</v>
      </c>
      <c r="Y2325" s="1" t="s">
        <v>52</v>
      </c>
      <c r="Z2325" s="1" t="s">
        <v>42</v>
      </c>
      <c r="AA2325">
        <v>3</v>
      </c>
      <c r="AB2325" s="1" t="s">
        <v>42</v>
      </c>
      <c r="AC2325">
        <v>1</v>
      </c>
      <c r="AD2325" s="2">
        <v>44682</v>
      </c>
      <c r="AE2325" s="1" t="s">
        <v>58</v>
      </c>
      <c r="AF2325" s="1" t="s">
        <v>78</v>
      </c>
      <c r="AG2325" s="1" t="s">
        <v>63</v>
      </c>
      <c r="AH2325" s="1" t="s">
        <v>47</v>
      </c>
      <c r="AI2325">
        <v>1274</v>
      </c>
      <c r="AJ2325">
        <v>-127.40000000000009</v>
      </c>
    </row>
    <row r="2326" spans="1:36" x14ac:dyDescent="0.25">
      <c r="A2326">
        <v>12325</v>
      </c>
      <c r="B2326">
        <v>21</v>
      </c>
      <c r="C2326" s="1" t="s">
        <v>60</v>
      </c>
      <c r="D2326" s="1" t="s">
        <v>37</v>
      </c>
      <c r="E2326" s="2">
        <v>44552</v>
      </c>
      <c r="F2326" s="2">
        <v>44826</v>
      </c>
      <c r="G2326" s="1" t="s">
        <v>38</v>
      </c>
      <c r="H2326">
        <v>782</v>
      </c>
      <c r="I2326">
        <v>10</v>
      </c>
      <c r="J2326">
        <v>2</v>
      </c>
      <c r="K2326">
        <v>27.19</v>
      </c>
      <c r="L2326">
        <v>10</v>
      </c>
      <c r="M2326" s="1" t="s">
        <v>67</v>
      </c>
      <c r="N2326" s="1" t="s">
        <v>40</v>
      </c>
      <c r="O2326">
        <v>7741.8</v>
      </c>
      <c r="P2326" t="b">
        <v>1</v>
      </c>
      <c r="Q2326">
        <v>0.83333333333333337</v>
      </c>
      <c r="R2326">
        <v>774.18000000000006</v>
      </c>
      <c r="S2326">
        <v>9.0633333333333344</v>
      </c>
      <c r="T2326" s="2">
        <v>44531</v>
      </c>
      <c r="U2326" s="1" t="s">
        <v>66</v>
      </c>
      <c r="V2326">
        <v>1</v>
      </c>
      <c r="W2326" s="1" t="s">
        <v>56</v>
      </c>
      <c r="X2326">
        <v>274</v>
      </c>
      <c r="Y2326" s="1" t="s">
        <v>52</v>
      </c>
      <c r="Z2326" s="1" t="s">
        <v>42</v>
      </c>
      <c r="AA2326">
        <v>0.18181818181818182</v>
      </c>
      <c r="AB2326" s="1" t="s">
        <v>42</v>
      </c>
      <c r="AC2326">
        <v>1</v>
      </c>
      <c r="AD2326" s="2">
        <v>44531</v>
      </c>
      <c r="AE2326" s="1" t="s">
        <v>74</v>
      </c>
      <c r="AF2326" s="1" t="s">
        <v>72</v>
      </c>
      <c r="AG2326" s="1" t="s">
        <v>70</v>
      </c>
      <c r="AH2326" s="1" t="s">
        <v>59</v>
      </c>
      <c r="AI2326">
        <v>7820</v>
      </c>
      <c r="AJ2326">
        <v>-78.199999999999818</v>
      </c>
    </row>
    <row r="2327" spans="1:36" x14ac:dyDescent="0.25">
      <c r="A2327">
        <v>12326</v>
      </c>
      <c r="B2327">
        <v>43</v>
      </c>
      <c r="C2327" s="1" t="s">
        <v>60</v>
      </c>
      <c r="D2327" s="1" t="s">
        <v>48</v>
      </c>
      <c r="E2327" s="2">
        <v>44469</v>
      </c>
      <c r="F2327" s="2">
        <v>44908</v>
      </c>
      <c r="G2327" s="1" t="s">
        <v>49</v>
      </c>
      <c r="H2327">
        <v>1135</v>
      </c>
      <c r="I2327">
        <v>21</v>
      </c>
      <c r="J2327">
        <v>7</v>
      </c>
      <c r="K2327">
        <v>21.85</v>
      </c>
      <c r="L2327">
        <v>0</v>
      </c>
      <c r="M2327" s="1" t="s">
        <v>65</v>
      </c>
      <c r="N2327" s="1" t="s">
        <v>56</v>
      </c>
      <c r="O2327">
        <v>23835</v>
      </c>
      <c r="P2327" t="b">
        <v>1</v>
      </c>
      <c r="Q2327">
        <v>1.75</v>
      </c>
      <c r="R2327">
        <v>1135</v>
      </c>
      <c r="S2327">
        <v>2.7312500000000002</v>
      </c>
      <c r="T2327" s="2">
        <v>44440</v>
      </c>
      <c r="U2327" s="1" t="s">
        <v>51</v>
      </c>
      <c r="V2327">
        <v>0</v>
      </c>
      <c r="W2327" s="1" t="s">
        <v>40</v>
      </c>
      <c r="X2327">
        <v>439</v>
      </c>
      <c r="Y2327" s="1" t="s">
        <v>52</v>
      </c>
      <c r="Z2327" s="1" t="s">
        <v>42</v>
      </c>
      <c r="AA2327">
        <v>0.31818181818181818</v>
      </c>
      <c r="AB2327" s="1" t="s">
        <v>43</v>
      </c>
      <c r="AC2327">
        <v>3</v>
      </c>
      <c r="AD2327" s="2">
        <v>44440</v>
      </c>
      <c r="AE2327" s="1" t="s">
        <v>53</v>
      </c>
      <c r="AF2327" s="1" t="s">
        <v>78</v>
      </c>
      <c r="AG2327" s="1" t="s">
        <v>70</v>
      </c>
      <c r="AH2327" s="1" t="s">
        <v>47</v>
      </c>
      <c r="AI2327">
        <v>23835</v>
      </c>
      <c r="AJ2327">
        <v>0</v>
      </c>
    </row>
    <row r="2328" spans="1:36" x14ac:dyDescent="0.25">
      <c r="A2328">
        <v>12327</v>
      </c>
      <c r="B2328">
        <v>55</v>
      </c>
      <c r="C2328" s="1" t="s">
        <v>36</v>
      </c>
      <c r="D2328" s="1" t="s">
        <v>61</v>
      </c>
      <c r="E2328" s="2">
        <v>44776</v>
      </c>
      <c r="F2328" s="2">
        <v>44410</v>
      </c>
      <c r="G2328" s="1" t="s">
        <v>62</v>
      </c>
      <c r="H2328">
        <v>471</v>
      </c>
      <c r="I2328">
        <v>15</v>
      </c>
      <c r="J2328">
        <v>0</v>
      </c>
      <c r="K2328">
        <v>96.07</v>
      </c>
      <c r="L2328">
        <v>5</v>
      </c>
      <c r="M2328" s="1" t="s">
        <v>39</v>
      </c>
      <c r="N2328" s="1" t="s">
        <v>56</v>
      </c>
      <c r="O2328">
        <v>7041.45</v>
      </c>
      <c r="P2328" t="b">
        <v>0</v>
      </c>
      <c r="Q2328">
        <v>1.25</v>
      </c>
      <c r="R2328">
        <v>469.43</v>
      </c>
      <c r="S2328">
        <v>96.07</v>
      </c>
      <c r="T2328" s="2">
        <v>44774</v>
      </c>
      <c r="U2328" s="1" t="s">
        <v>41</v>
      </c>
      <c r="V2328">
        <v>0</v>
      </c>
      <c r="W2328" s="1" t="s">
        <v>56</v>
      </c>
      <c r="Y2328" s="1" t="s">
        <v>43</v>
      </c>
      <c r="Z2328" s="1" t="s">
        <v>42</v>
      </c>
      <c r="AA2328">
        <v>0</v>
      </c>
      <c r="AB2328" s="1" t="s">
        <v>42</v>
      </c>
      <c r="AC2328">
        <v>2</v>
      </c>
      <c r="AD2328" s="2">
        <v>44774</v>
      </c>
      <c r="AE2328" s="1" t="s">
        <v>53</v>
      </c>
      <c r="AF2328" s="1" t="s">
        <v>54</v>
      </c>
      <c r="AG2328" s="1" t="s">
        <v>63</v>
      </c>
      <c r="AH2328" s="1" t="s">
        <v>68</v>
      </c>
      <c r="AI2328">
        <v>7065</v>
      </c>
      <c r="AJ2328">
        <v>-23.550000000000182</v>
      </c>
    </row>
    <row r="2329" spans="1:36" x14ac:dyDescent="0.25">
      <c r="A2329">
        <v>12328</v>
      </c>
      <c r="B2329">
        <v>59</v>
      </c>
      <c r="C2329" s="1" t="s">
        <v>36</v>
      </c>
      <c r="D2329" s="1" t="s">
        <v>71</v>
      </c>
      <c r="E2329" s="2">
        <v>44240</v>
      </c>
      <c r="F2329" s="2">
        <v>44658</v>
      </c>
      <c r="G2329" s="1" t="s">
        <v>49</v>
      </c>
      <c r="H2329">
        <v>1168</v>
      </c>
      <c r="I2329">
        <v>30</v>
      </c>
      <c r="J2329">
        <v>2</v>
      </c>
      <c r="K2329">
        <v>58.48</v>
      </c>
      <c r="L2329">
        <v>15</v>
      </c>
      <c r="M2329" s="1" t="s">
        <v>50</v>
      </c>
      <c r="N2329" s="1" t="s">
        <v>40</v>
      </c>
      <c r="O2329">
        <v>34864.800000000003</v>
      </c>
      <c r="P2329" t="b">
        <v>1</v>
      </c>
      <c r="Q2329">
        <v>2.5</v>
      </c>
      <c r="R2329">
        <v>1162.1600000000001</v>
      </c>
      <c r="S2329">
        <v>19.493333333333332</v>
      </c>
      <c r="T2329" s="2">
        <v>44228</v>
      </c>
      <c r="U2329" s="1" t="s">
        <v>41</v>
      </c>
      <c r="V2329">
        <v>1</v>
      </c>
      <c r="W2329" s="1" t="s">
        <v>40</v>
      </c>
      <c r="X2329">
        <v>418</v>
      </c>
      <c r="Y2329" s="1" t="s">
        <v>52</v>
      </c>
      <c r="Z2329" s="1" t="s">
        <v>42</v>
      </c>
      <c r="AA2329">
        <v>6.4516129032258063E-2</v>
      </c>
      <c r="AB2329" s="1" t="s">
        <v>43</v>
      </c>
      <c r="AC2329">
        <v>3</v>
      </c>
      <c r="AD2329" s="2">
        <v>44228</v>
      </c>
      <c r="AE2329" s="1" t="s">
        <v>44</v>
      </c>
      <c r="AF2329" s="1" t="s">
        <v>72</v>
      </c>
      <c r="AG2329" s="1" t="s">
        <v>63</v>
      </c>
      <c r="AH2329" s="1" t="s">
        <v>47</v>
      </c>
      <c r="AI2329">
        <v>35040</v>
      </c>
      <c r="AJ2329">
        <v>-175.19999999999709</v>
      </c>
    </row>
    <row r="2330" spans="1:36" x14ac:dyDescent="0.25">
      <c r="A2330">
        <v>12329</v>
      </c>
      <c r="B2330">
        <v>49</v>
      </c>
      <c r="C2330" s="1" t="s">
        <v>60</v>
      </c>
      <c r="D2330" s="1" t="s">
        <v>61</v>
      </c>
      <c r="E2330" s="2">
        <v>44769</v>
      </c>
      <c r="F2330" s="2">
        <v>44754</v>
      </c>
      <c r="G2330" s="1" t="s">
        <v>62</v>
      </c>
      <c r="H2330">
        <v>316</v>
      </c>
      <c r="I2330">
        <v>30</v>
      </c>
      <c r="J2330">
        <v>2</v>
      </c>
      <c r="K2330">
        <v>95.89</v>
      </c>
      <c r="L2330">
        <v>15</v>
      </c>
      <c r="M2330" s="1" t="s">
        <v>39</v>
      </c>
      <c r="N2330" s="1" t="s">
        <v>56</v>
      </c>
      <c r="O2330">
        <v>9432.6</v>
      </c>
      <c r="P2330" t="b">
        <v>0</v>
      </c>
      <c r="Q2330">
        <v>2.5</v>
      </c>
      <c r="R2330">
        <v>314.42</v>
      </c>
      <c r="S2330">
        <v>31.963333333333335</v>
      </c>
      <c r="T2330" s="2">
        <v>44743</v>
      </c>
      <c r="U2330" s="1" t="s">
        <v>51</v>
      </c>
      <c r="V2330">
        <v>0</v>
      </c>
      <c r="W2330" s="1" t="s">
        <v>56</v>
      </c>
      <c r="Y2330" s="1" t="s">
        <v>43</v>
      </c>
      <c r="Z2330" s="1" t="s">
        <v>42</v>
      </c>
      <c r="AA2330">
        <v>6.4516129032258063E-2</v>
      </c>
      <c r="AB2330" s="1" t="s">
        <v>52</v>
      </c>
      <c r="AC2330">
        <v>2</v>
      </c>
      <c r="AD2330" s="2">
        <v>44743</v>
      </c>
      <c r="AE2330" s="1" t="s">
        <v>44</v>
      </c>
      <c r="AF2330" s="1" t="s">
        <v>72</v>
      </c>
      <c r="AG2330" s="1" t="s">
        <v>63</v>
      </c>
      <c r="AH2330" s="1" t="s">
        <v>68</v>
      </c>
      <c r="AI2330">
        <v>9480</v>
      </c>
      <c r="AJ2330">
        <v>-47.399999999999636</v>
      </c>
    </row>
    <row r="2331" spans="1:36" x14ac:dyDescent="0.25">
      <c r="A2331">
        <v>12330</v>
      </c>
      <c r="B2331">
        <v>56</v>
      </c>
      <c r="C2331" s="1" t="s">
        <v>60</v>
      </c>
      <c r="D2331" s="1" t="s">
        <v>61</v>
      </c>
      <c r="E2331" s="2">
        <v>44319</v>
      </c>
      <c r="F2331" s="2">
        <v>45149</v>
      </c>
      <c r="G2331" s="1" t="s">
        <v>38</v>
      </c>
      <c r="H2331">
        <v>693</v>
      </c>
      <c r="I2331">
        <v>8</v>
      </c>
      <c r="J2331">
        <v>4</v>
      </c>
      <c r="K2331">
        <v>85.97</v>
      </c>
      <c r="L2331">
        <v>10</v>
      </c>
      <c r="M2331" s="1" t="s">
        <v>65</v>
      </c>
      <c r="N2331" s="1" t="s">
        <v>56</v>
      </c>
      <c r="O2331">
        <v>5474.7</v>
      </c>
      <c r="P2331" t="b">
        <v>1</v>
      </c>
      <c r="Q2331">
        <v>0.66666666666666663</v>
      </c>
      <c r="R2331">
        <v>684.33749999999998</v>
      </c>
      <c r="S2331">
        <v>17.193999999999999</v>
      </c>
      <c r="T2331" s="2">
        <v>44317</v>
      </c>
      <c r="U2331" s="1" t="s">
        <v>41</v>
      </c>
      <c r="V2331">
        <v>0</v>
      </c>
      <c r="W2331" s="1" t="s">
        <v>56</v>
      </c>
      <c r="X2331">
        <v>830</v>
      </c>
      <c r="Y2331" s="1" t="s">
        <v>43</v>
      </c>
      <c r="Z2331" s="1" t="s">
        <v>42</v>
      </c>
      <c r="AA2331">
        <v>0.44444444444444442</v>
      </c>
      <c r="AB2331" s="1" t="s">
        <v>42</v>
      </c>
      <c r="AC2331">
        <v>1</v>
      </c>
      <c r="AD2331" s="2">
        <v>44317</v>
      </c>
      <c r="AE2331" s="1" t="s">
        <v>74</v>
      </c>
      <c r="AF2331" s="1" t="s">
        <v>45</v>
      </c>
      <c r="AG2331" s="1" t="s">
        <v>63</v>
      </c>
      <c r="AH2331" s="1" t="s">
        <v>64</v>
      </c>
      <c r="AI2331">
        <v>5544</v>
      </c>
      <c r="AJ2331">
        <v>-69.300000000000182</v>
      </c>
    </row>
    <row r="2332" spans="1:36" x14ac:dyDescent="0.25">
      <c r="A2332">
        <v>12331</v>
      </c>
      <c r="B2332">
        <v>62</v>
      </c>
      <c r="C2332" s="1" t="s">
        <v>75</v>
      </c>
      <c r="D2332" s="1" t="s">
        <v>69</v>
      </c>
      <c r="E2332" s="2">
        <v>44545</v>
      </c>
      <c r="F2332" s="2">
        <v>44452</v>
      </c>
      <c r="G2332" s="1" t="s">
        <v>62</v>
      </c>
      <c r="H2332">
        <v>533</v>
      </c>
      <c r="I2332">
        <v>24</v>
      </c>
      <c r="J2332">
        <v>2</v>
      </c>
      <c r="K2332">
        <v>27.3</v>
      </c>
      <c r="L2332">
        <v>10</v>
      </c>
      <c r="M2332" s="1" t="s">
        <v>50</v>
      </c>
      <c r="N2332" s="1" t="s">
        <v>56</v>
      </c>
      <c r="O2332">
        <v>12738.7</v>
      </c>
      <c r="P2332" t="b">
        <v>0</v>
      </c>
      <c r="Q2332">
        <v>2</v>
      </c>
      <c r="R2332">
        <v>530.7791666666667</v>
      </c>
      <c r="S2332">
        <v>9.1</v>
      </c>
      <c r="T2332" s="2">
        <v>44531</v>
      </c>
      <c r="U2332" s="1" t="s">
        <v>41</v>
      </c>
      <c r="V2332">
        <v>0</v>
      </c>
      <c r="W2332" s="1" t="s">
        <v>56</v>
      </c>
      <c r="Y2332" s="1" t="s">
        <v>52</v>
      </c>
      <c r="Z2332" s="1" t="s">
        <v>42</v>
      </c>
      <c r="AA2332">
        <v>0.08</v>
      </c>
      <c r="AB2332" s="1" t="s">
        <v>52</v>
      </c>
      <c r="AC2332">
        <v>2</v>
      </c>
      <c r="AD2332" s="2">
        <v>44531</v>
      </c>
      <c r="AE2332" s="1" t="s">
        <v>53</v>
      </c>
      <c r="AF2332" s="1" t="s">
        <v>72</v>
      </c>
      <c r="AG2332" s="1" t="s">
        <v>70</v>
      </c>
      <c r="AH2332" s="1" t="s">
        <v>64</v>
      </c>
      <c r="AI2332">
        <v>12792</v>
      </c>
      <c r="AJ2332">
        <v>-53.299999999999272</v>
      </c>
    </row>
    <row r="2333" spans="1:36" x14ac:dyDescent="0.25">
      <c r="A2333">
        <v>12332</v>
      </c>
      <c r="B2333">
        <v>63</v>
      </c>
      <c r="C2333" s="1" t="s">
        <v>60</v>
      </c>
      <c r="D2333" s="1" t="s">
        <v>48</v>
      </c>
      <c r="E2333" s="2">
        <v>44904</v>
      </c>
      <c r="F2333" s="2">
        <v>44964</v>
      </c>
      <c r="G2333" s="1" t="s">
        <v>62</v>
      </c>
      <c r="H2333">
        <v>547</v>
      </c>
      <c r="I2333">
        <v>19</v>
      </c>
      <c r="J2333">
        <v>1</v>
      </c>
      <c r="K2333">
        <v>63.69</v>
      </c>
      <c r="L2333">
        <v>20</v>
      </c>
      <c r="M2333" s="1" t="s">
        <v>67</v>
      </c>
      <c r="N2333" s="1" t="s">
        <v>56</v>
      </c>
      <c r="O2333">
        <v>10283.6</v>
      </c>
      <c r="P2333" t="b">
        <v>1</v>
      </c>
      <c r="Q2333">
        <v>1.5833333333333333</v>
      </c>
      <c r="R2333">
        <v>541.2421052631579</v>
      </c>
      <c r="S2333">
        <v>31.844999999999999</v>
      </c>
      <c r="T2333" s="2">
        <v>44896</v>
      </c>
      <c r="U2333" s="1" t="s">
        <v>41</v>
      </c>
      <c r="V2333">
        <v>0</v>
      </c>
      <c r="W2333" s="1" t="s">
        <v>56</v>
      </c>
      <c r="X2333">
        <v>60</v>
      </c>
      <c r="Y2333" s="1" t="s">
        <v>43</v>
      </c>
      <c r="Z2333" s="1" t="s">
        <v>52</v>
      </c>
      <c r="AA2333">
        <v>0.05</v>
      </c>
      <c r="AB2333" s="1" t="s">
        <v>52</v>
      </c>
      <c r="AC2333">
        <v>2</v>
      </c>
      <c r="AD2333" s="2">
        <v>44896</v>
      </c>
      <c r="AE2333" s="1" t="s">
        <v>53</v>
      </c>
      <c r="AF2333" s="1" t="s">
        <v>54</v>
      </c>
      <c r="AG2333" s="1" t="s">
        <v>63</v>
      </c>
      <c r="AH2333" s="1" t="s">
        <v>64</v>
      </c>
      <c r="AI2333">
        <v>10393</v>
      </c>
      <c r="AJ2333">
        <v>-109.39999999999964</v>
      </c>
    </row>
    <row r="2334" spans="1:36" x14ac:dyDescent="0.25">
      <c r="A2334">
        <v>12333</v>
      </c>
      <c r="B2334">
        <v>53</v>
      </c>
      <c r="C2334" s="1" t="s">
        <v>60</v>
      </c>
      <c r="D2334" s="1" t="s">
        <v>37</v>
      </c>
      <c r="E2334" s="2">
        <v>44526</v>
      </c>
      <c r="F2334" s="2">
        <v>45184</v>
      </c>
      <c r="G2334" s="1" t="s">
        <v>49</v>
      </c>
      <c r="H2334">
        <v>351</v>
      </c>
      <c r="I2334">
        <v>3</v>
      </c>
      <c r="J2334">
        <v>1</v>
      </c>
      <c r="K2334">
        <v>56.06</v>
      </c>
      <c r="L2334">
        <v>20</v>
      </c>
      <c r="M2334" s="1" t="s">
        <v>67</v>
      </c>
      <c r="N2334" s="1" t="s">
        <v>56</v>
      </c>
      <c r="O2334">
        <v>982.8</v>
      </c>
      <c r="P2334" t="b">
        <v>1</v>
      </c>
      <c r="Q2334">
        <v>0.25</v>
      </c>
      <c r="R2334">
        <v>327.59999999999997</v>
      </c>
      <c r="S2334">
        <v>28.03</v>
      </c>
      <c r="T2334" s="2">
        <v>44501</v>
      </c>
      <c r="U2334" s="1" t="s">
        <v>41</v>
      </c>
      <c r="V2334">
        <v>0</v>
      </c>
      <c r="W2334" s="1" t="s">
        <v>56</v>
      </c>
      <c r="X2334">
        <v>658</v>
      </c>
      <c r="Y2334" s="1" t="s">
        <v>52</v>
      </c>
      <c r="Z2334" s="1" t="s">
        <v>52</v>
      </c>
      <c r="AA2334">
        <v>0.25</v>
      </c>
      <c r="AB2334" s="1" t="s">
        <v>42</v>
      </c>
      <c r="AC2334">
        <v>3</v>
      </c>
      <c r="AD2334" s="2">
        <v>44501</v>
      </c>
      <c r="AE2334" s="1" t="s">
        <v>58</v>
      </c>
      <c r="AF2334" s="1" t="s">
        <v>54</v>
      </c>
      <c r="AG2334" s="1" t="s">
        <v>63</v>
      </c>
      <c r="AH2334" s="1" t="s">
        <v>68</v>
      </c>
      <c r="AI2334">
        <v>1053</v>
      </c>
      <c r="AJ2334">
        <v>-70.200000000000045</v>
      </c>
    </row>
    <row r="2335" spans="1:36" x14ac:dyDescent="0.25">
      <c r="A2335">
        <v>12334</v>
      </c>
      <c r="B2335">
        <v>41</v>
      </c>
      <c r="C2335" s="1" t="s">
        <v>36</v>
      </c>
      <c r="D2335" s="1" t="s">
        <v>37</v>
      </c>
      <c r="E2335" s="2">
        <v>44605</v>
      </c>
      <c r="F2335" s="2">
        <v>44362</v>
      </c>
      <c r="G2335" s="1" t="s">
        <v>38</v>
      </c>
      <c r="H2335">
        <v>314</v>
      </c>
      <c r="I2335">
        <v>15</v>
      </c>
      <c r="J2335">
        <v>6</v>
      </c>
      <c r="K2335">
        <v>53.75</v>
      </c>
      <c r="L2335">
        <v>5</v>
      </c>
      <c r="M2335" s="1" t="s">
        <v>50</v>
      </c>
      <c r="N2335" s="1" t="s">
        <v>56</v>
      </c>
      <c r="O2335">
        <v>4694.3</v>
      </c>
      <c r="P2335" t="b">
        <v>0</v>
      </c>
      <c r="Q2335">
        <v>1.25</v>
      </c>
      <c r="R2335">
        <v>312.95333333333332</v>
      </c>
      <c r="S2335">
        <v>7.6785714285714288</v>
      </c>
      <c r="T2335" s="2">
        <v>44593</v>
      </c>
      <c r="U2335" s="1" t="s">
        <v>51</v>
      </c>
      <c r="V2335">
        <v>0</v>
      </c>
      <c r="W2335" s="1" t="s">
        <v>56</v>
      </c>
      <c r="Y2335" s="1" t="s">
        <v>52</v>
      </c>
      <c r="Z2335" s="1" t="s">
        <v>42</v>
      </c>
      <c r="AA2335">
        <v>0.375</v>
      </c>
      <c r="AB2335" s="1" t="s">
        <v>42</v>
      </c>
      <c r="AC2335">
        <v>1</v>
      </c>
      <c r="AD2335" s="2">
        <v>44593</v>
      </c>
      <c r="AE2335" s="1" t="s">
        <v>53</v>
      </c>
      <c r="AF2335" s="1" t="s">
        <v>78</v>
      </c>
      <c r="AG2335" s="1" t="s">
        <v>63</v>
      </c>
      <c r="AH2335" s="1" t="s">
        <v>68</v>
      </c>
      <c r="AI2335">
        <v>4710</v>
      </c>
      <c r="AJ2335">
        <v>-15.699999999999818</v>
      </c>
    </row>
    <row r="2336" spans="1:36" x14ac:dyDescent="0.25">
      <c r="A2336">
        <v>12335</v>
      </c>
      <c r="B2336">
        <v>54</v>
      </c>
      <c r="C2336" s="1" t="s">
        <v>60</v>
      </c>
      <c r="D2336" s="1" t="s">
        <v>69</v>
      </c>
      <c r="E2336" s="2">
        <v>44519</v>
      </c>
      <c r="F2336" s="2">
        <v>45034</v>
      </c>
      <c r="G2336" s="1" t="s">
        <v>49</v>
      </c>
      <c r="H2336">
        <v>740</v>
      </c>
      <c r="I2336">
        <v>6</v>
      </c>
      <c r="J2336">
        <v>3</v>
      </c>
      <c r="K2336">
        <v>67.400000000000006</v>
      </c>
      <c r="L2336">
        <v>20</v>
      </c>
      <c r="M2336" s="1" t="s">
        <v>39</v>
      </c>
      <c r="N2336" s="1" t="s">
        <v>56</v>
      </c>
      <c r="O2336">
        <v>4292</v>
      </c>
      <c r="P2336" t="b">
        <v>1</v>
      </c>
      <c r="Q2336">
        <v>0.5</v>
      </c>
      <c r="R2336">
        <v>715.33333333333337</v>
      </c>
      <c r="S2336">
        <v>16.850000000000001</v>
      </c>
      <c r="T2336" s="2">
        <v>44501</v>
      </c>
      <c r="U2336" s="1" t="s">
        <v>41</v>
      </c>
      <c r="V2336">
        <v>0</v>
      </c>
      <c r="W2336" s="1" t="s">
        <v>56</v>
      </c>
      <c r="X2336">
        <v>515</v>
      </c>
      <c r="Y2336" s="1" t="s">
        <v>43</v>
      </c>
      <c r="Z2336" s="1" t="s">
        <v>52</v>
      </c>
      <c r="AA2336">
        <v>0.42857142857142855</v>
      </c>
      <c r="AB2336" s="1" t="s">
        <v>42</v>
      </c>
      <c r="AC2336">
        <v>3</v>
      </c>
      <c r="AD2336" s="2">
        <v>44501</v>
      </c>
      <c r="AE2336" s="1" t="s">
        <v>58</v>
      </c>
      <c r="AF2336" s="1" t="s">
        <v>72</v>
      </c>
      <c r="AG2336" s="1" t="s">
        <v>63</v>
      </c>
      <c r="AH2336" s="1" t="s">
        <v>59</v>
      </c>
      <c r="AI2336">
        <v>4440</v>
      </c>
      <c r="AJ2336">
        <v>-148</v>
      </c>
    </row>
    <row r="2337" spans="1:36" x14ac:dyDescent="0.25">
      <c r="A2337">
        <v>12336</v>
      </c>
      <c r="B2337">
        <v>50</v>
      </c>
      <c r="C2337" s="1" t="s">
        <v>60</v>
      </c>
      <c r="D2337" s="1" t="s">
        <v>73</v>
      </c>
      <c r="E2337" s="2">
        <v>44307</v>
      </c>
      <c r="F2337" s="2">
        <v>44606</v>
      </c>
      <c r="G2337" s="1" t="s">
        <v>49</v>
      </c>
      <c r="H2337">
        <v>1435</v>
      </c>
      <c r="I2337">
        <v>18</v>
      </c>
      <c r="J2337">
        <v>0</v>
      </c>
      <c r="K2337">
        <v>117.94</v>
      </c>
      <c r="L2337">
        <v>15</v>
      </c>
      <c r="M2337" s="1" t="s">
        <v>39</v>
      </c>
      <c r="N2337" s="1" t="s">
        <v>56</v>
      </c>
      <c r="O2337">
        <v>25614.75</v>
      </c>
      <c r="P2337" t="b">
        <v>1</v>
      </c>
      <c r="Q2337">
        <v>1.5</v>
      </c>
      <c r="R2337">
        <v>1423.0416666666667</v>
      </c>
      <c r="S2337">
        <v>117.94</v>
      </c>
      <c r="T2337" s="2">
        <v>44287</v>
      </c>
      <c r="U2337" s="1" t="s">
        <v>51</v>
      </c>
      <c r="V2337">
        <v>0</v>
      </c>
      <c r="W2337" s="1" t="s">
        <v>40</v>
      </c>
      <c r="X2337">
        <v>299</v>
      </c>
      <c r="Y2337" s="1" t="s">
        <v>43</v>
      </c>
      <c r="Z2337" s="1" t="s">
        <v>42</v>
      </c>
      <c r="AA2337">
        <v>0</v>
      </c>
      <c r="AB2337" s="1" t="s">
        <v>43</v>
      </c>
      <c r="AC2337">
        <v>3</v>
      </c>
      <c r="AD2337" s="2">
        <v>44287</v>
      </c>
      <c r="AE2337" s="1" t="s">
        <v>53</v>
      </c>
      <c r="AF2337" s="1" t="s">
        <v>54</v>
      </c>
      <c r="AG2337" s="1" t="s">
        <v>63</v>
      </c>
      <c r="AH2337" s="1" t="s">
        <v>47</v>
      </c>
      <c r="AI2337">
        <v>25830</v>
      </c>
      <c r="AJ2337">
        <v>-215.25</v>
      </c>
    </row>
    <row r="2338" spans="1:36" x14ac:dyDescent="0.25">
      <c r="A2338">
        <v>12337</v>
      </c>
      <c r="B2338">
        <v>53</v>
      </c>
      <c r="C2338" s="1" t="s">
        <v>60</v>
      </c>
      <c r="D2338" s="1" t="s">
        <v>37</v>
      </c>
      <c r="E2338" s="2">
        <v>44966</v>
      </c>
      <c r="F2338" s="2">
        <v>45070</v>
      </c>
      <c r="G2338" s="1" t="s">
        <v>62</v>
      </c>
      <c r="H2338">
        <v>995</v>
      </c>
      <c r="I2338">
        <v>19</v>
      </c>
      <c r="J2338">
        <v>2</v>
      </c>
      <c r="K2338">
        <v>98.48</v>
      </c>
      <c r="L2338">
        <v>20</v>
      </c>
      <c r="M2338" s="1" t="s">
        <v>50</v>
      </c>
      <c r="N2338" s="1" t="s">
        <v>56</v>
      </c>
      <c r="O2338">
        <v>18706</v>
      </c>
      <c r="P2338" t="b">
        <v>1</v>
      </c>
      <c r="Q2338">
        <v>1.5833333333333333</v>
      </c>
      <c r="R2338">
        <v>984.52631578947364</v>
      </c>
      <c r="S2338">
        <v>32.826666666666668</v>
      </c>
      <c r="T2338" s="2">
        <v>44958</v>
      </c>
      <c r="U2338" s="1" t="s">
        <v>41</v>
      </c>
      <c r="V2338">
        <v>0</v>
      </c>
      <c r="W2338" s="1" t="s">
        <v>40</v>
      </c>
      <c r="X2338">
        <v>104</v>
      </c>
      <c r="Y2338" s="1" t="s">
        <v>43</v>
      </c>
      <c r="Z2338" s="1" t="s">
        <v>52</v>
      </c>
      <c r="AA2338">
        <v>0.1</v>
      </c>
      <c r="AB2338" s="1" t="s">
        <v>52</v>
      </c>
      <c r="AC2338">
        <v>2</v>
      </c>
      <c r="AD2338" s="2">
        <v>44958</v>
      </c>
      <c r="AE2338" s="1" t="s">
        <v>53</v>
      </c>
      <c r="AF2338" s="1" t="s">
        <v>72</v>
      </c>
      <c r="AG2338" s="1" t="s">
        <v>63</v>
      </c>
      <c r="AH2338" s="1" t="s">
        <v>59</v>
      </c>
      <c r="AI2338">
        <v>18905</v>
      </c>
      <c r="AJ2338">
        <v>-199</v>
      </c>
    </row>
    <row r="2339" spans="1:36" x14ac:dyDescent="0.25">
      <c r="A2339">
        <v>12338</v>
      </c>
      <c r="B2339">
        <v>20</v>
      </c>
      <c r="C2339" s="1" t="s">
        <v>36</v>
      </c>
      <c r="D2339" s="1" t="s">
        <v>61</v>
      </c>
      <c r="E2339" s="2">
        <v>44285</v>
      </c>
      <c r="F2339" s="2">
        <v>44759</v>
      </c>
      <c r="G2339" s="1" t="s">
        <v>49</v>
      </c>
      <c r="H2339">
        <v>306</v>
      </c>
      <c r="I2339">
        <v>30</v>
      </c>
      <c r="J2339">
        <v>5</v>
      </c>
      <c r="K2339">
        <v>108.93</v>
      </c>
      <c r="L2339">
        <v>0</v>
      </c>
      <c r="M2339" s="1" t="s">
        <v>67</v>
      </c>
      <c r="N2339" s="1" t="s">
        <v>40</v>
      </c>
      <c r="O2339">
        <v>9180</v>
      </c>
      <c r="P2339" t="b">
        <v>1</v>
      </c>
      <c r="Q2339">
        <v>2.5</v>
      </c>
      <c r="R2339">
        <v>306</v>
      </c>
      <c r="S2339">
        <v>18.155000000000001</v>
      </c>
      <c r="T2339" s="2">
        <v>44256</v>
      </c>
      <c r="U2339" s="1" t="s">
        <v>66</v>
      </c>
      <c r="V2339">
        <v>1</v>
      </c>
      <c r="W2339" s="1" t="s">
        <v>56</v>
      </c>
      <c r="X2339">
        <v>474</v>
      </c>
      <c r="Y2339" s="1" t="s">
        <v>43</v>
      </c>
      <c r="Z2339" s="1" t="s">
        <v>42</v>
      </c>
      <c r="AA2339">
        <v>0.16129032258064516</v>
      </c>
      <c r="AB2339" s="1" t="s">
        <v>52</v>
      </c>
      <c r="AC2339">
        <v>3</v>
      </c>
      <c r="AD2339" s="2">
        <v>44256</v>
      </c>
      <c r="AE2339" s="1" t="s">
        <v>44</v>
      </c>
      <c r="AF2339" s="1" t="s">
        <v>45</v>
      </c>
      <c r="AG2339" s="1" t="s">
        <v>63</v>
      </c>
      <c r="AH2339" s="1" t="s">
        <v>68</v>
      </c>
      <c r="AI2339">
        <v>9180</v>
      </c>
      <c r="AJ2339">
        <v>0</v>
      </c>
    </row>
    <row r="2340" spans="1:36" x14ac:dyDescent="0.25">
      <c r="A2340">
        <v>12339</v>
      </c>
      <c r="B2340">
        <v>26</v>
      </c>
      <c r="C2340" s="1" t="s">
        <v>36</v>
      </c>
      <c r="D2340" s="1" t="s">
        <v>69</v>
      </c>
      <c r="E2340" s="2">
        <v>44629</v>
      </c>
      <c r="F2340" s="2">
        <v>44606</v>
      </c>
      <c r="G2340" s="1" t="s">
        <v>38</v>
      </c>
      <c r="H2340">
        <v>1125</v>
      </c>
      <c r="I2340">
        <v>13</v>
      </c>
      <c r="J2340">
        <v>1</v>
      </c>
      <c r="K2340">
        <v>8.41</v>
      </c>
      <c r="L2340">
        <v>0</v>
      </c>
      <c r="M2340" s="1" t="s">
        <v>50</v>
      </c>
      <c r="N2340" s="1" t="s">
        <v>56</v>
      </c>
      <c r="O2340">
        <v>14625</v>
      </c>
      <c r="P2340" t="b">
        <v>0</v>
      </c>
      <c r="Q2340">
        <v>1.0833333333333333</v>
      </c>
      <c r="R2340">
        <v>1125</v>
      </c>
      <c r="S2340">
        <v>4.2050000000000001</v>
      </c>
      <c r="T2340" s="2">
        <v>44621</v>
      </c>
      <c r="U2340" s="1" t="s">
        <v>57</v>
      </c>
      <c r="V2340">
        <v>0</v>
      </c>
      <c r="W2340" s="1" t="s">
        <v>40</v>
      </c>
      <c r="Y2340" s="1" t="s">
        <v>42</v>
      </c>
      <c r="Z2340" s="1" t="s">
        <v>42</v>
      </c>
      <c r="AA2340">
        <v>7.1428571428571425E-2</v>
      </c>
      <c r="AB2340" s="1" t="s">
        <v>52</v>
      </c>
      <c r="AC2340">
        <v>1</v>
      </c>
      <c r="AD2340" s="2">
        <v>44621</v>
      </c>
      <c r="AE2340" s="1" t="s">
        <v>53</v>
      </c>
      <c r="AF2340" s="1" t="s">
        <v>54</v>
      </c>
      <c r="AG2340" s="1" t="s">
        <v>77</v>
      </c>
      <c r="AH2340" s="1" t="s">
        <v>47</v>
      </c>
      <c r="AI2340">
        <v>14625</v>
      </c>
      <c r="AJ2340">
        <v>0</v>
      </c>
    </row>
    <row r="2341" spans="1:36" x14ac:dyDescent="0.25">
      <c r="A2341">
        <v>12340</v>
      </c>
      <c r="B2341">
        <v>25</v>
      </c>
      <c r="C2341" s="1" t="s">
        <v>36</v>
      </c>
      <c r="D2341" s="1" t="s">
        <v>71</v>
      </c>
      <c r="E2341" s="2">
        <v>44906</v>
      </c>
      <c r="F2341" s="2">
        <v>44961</v>
      </c>
      <c r="G2341" s="1" t="s">
        <v>49</v>
      </c>
      <c r="H2341">
        <v>1429</v>
      </c>
      <c r="I2341">
        <v>12</v>
      </c>
      <c r="J2341">
        <v>2</v>
      </c>
      <c r="K2341">
        <v>21.14</v>
      </c>
      <c r="L2341">
        <v>10</v>
      </c>
      <c r="M2341" s="1" t="s">
        <v>39</v>
      </c>
      <c r="N2341" s="1" t="s">
        <v>56</v>
      </c>
      <c r="O2341">
        <v>17005.099999999999</v>
      </c>
      <c r="P2341" t="b">
        <v>1</v>
      </c>
      <c r="Q2341">
        <v>1</v>
      </c>
      <c r="R2341">
        <v>1417.0916666666665</v>
      </c>
      <c r="S2341">
        <v>7.0466666666666669</v>
      </c>
      <c r="T2341" s="2">
        <v>44896</v>
      </c>
      <c r="U2341" s="1" t="s">
        <v>66</v>
      </c>
      <c r="V2341">
        <v>0</v>
      </c>
      <c r="W2341" s="1" t="s">
        <v>40</v>
      </c>
      <c r="X2341">
        <v>55</v>
      </c>
      <c r="Y2341" s="1" t="s">
        <v>52</v>
      </c>
      <c r="Z2341" s="1" t="s">
        <v>42</v>
      </c>
      <c r="AA2341">
        <v>0.15384615384615385</v>
      </c>
      <c r="AB2341" s="1" t="s">
        <v>52</v>
      </c>
      <c r="AC2341">
        <v>3</v>
      </c>
      <c r="AD2341" s="2">
        <v>44896</v>
      </c>
      <c r="AE2341" s="1" t="s">
        <v>74</v>
      </c>
      <c r="AF2341" s="1" t="s">
        <v>72</v>
      </c>
      <c r="AG2341" s="1" t="s">
        <v>70</v>
      </c>
      <c r="AH2341" s="1" t="s">
        <v>47</v>
      </c>
      <c r="AI2341">
        <v>17148</v>
      </c>
      <c r="AJ2341">
        <v>-142.90000000000146</v>
      </c>
    </row>
    <row r="2342" spans="1:36" x14ac:dyDescent="0.25">
      <c r="A2342">
        <v>12341</v>
      </c>
      <c r="B2342">
        <v>50</v>
      </c>
      <c r="C2342" s="1" t="s">
        <v>75</v>
      </c>
      <c r="D2342" s="1" t="s">
        <v>48</v>
      </c>
      <c r="E2342" s="2">
        <v>44990</v>
      </c>
      <c r="F2342" s="2">
        <v>44607</v>
      </c>
      <c r="G2342" s="1" t="s">
        <v>62</v>
      </c>
      <c r="H2342">
        <v>1336</v>
      </c>
      <c r="I2342">
        <v>34</v>
      </c>
      <c r="J2342">
        <v>0</v>
      </c>
      <c r="K2342">
        <v>14.75</v>
      </c>
      <c r="L2342">
        <v>10</v>
      </c>
      <c r="M2342" s="1" t="s">
        <v>65</v>
      </c>
      <c r="N2342" s="1" t="s">
        <v>56</v>
      </c>
      <c r="O2342">
        <v>45290.400000000001</v>
      </c>
      <c r="P2342" t="b">
        <v>0</v>
      </c>
      <c r="Q2342">
        <v>2.8333333333333335</v>
      </c>
      <c r="R2342">
        <v>1332.0705882352941</v>
      </c>
      <c r="S2342">
        <v>14.75</v>
      </c>
      <c r="T2342" s="2">
        <v>44986</v>
      </c>
      <c r="U2342" s="1" t="s">
        <v>51</v>
      </c>
      <c r="V2342">
        <v>0</v>
      </c>
      <c r="W2342" s="1" t="s">
        <v>40</v>
      </c>
      <c r="Y2342" s="1" t="s">
        <v>42</v>
      </c>
      <c r="Z2342" s="1" t="s">
        <v>42</v>
      </c>
      <c r="AA2342">
        <v>0</v>
      </c>
      <c r="AB2342" s="1" t="s">
        <v>43</v>
      </c>
      <c r="AC2342">
        <v>2</v>
      </c>
      <c r="AD2342" s="2">
        <v>44986</v>
      </c>
      <c r="AE2342" s="1" t="s">
        <v>44</v>
      </c>
      <c r="AF2342" s="1" t="s">
        <v>54</v>
      </c>
      <c r="AG2342" s="1" t="s">
        <v>46</v>
      </c>
      <c r="AH2342" s="1" t="s">
        <v>47</v>
      </c>
      <c r="AI2342">
        <v>45424</v>
      </c>
      <c r="AJ2342">
        <v>-133.59999999999854</v>
      </c>
    </row>
    <row r="2343" spans="1:36" x14ac:dyDescent="0.25">
      <c r="A2343">
        <v>12342</v>
      </c>
      <c r="B2343">
        <v>23</v>
      </c>
      <c r="C2343" s="1" t="s">
        <v>36</v>
      </c>
      <c r="D2343" s="1" t="s">
        <v>48</v>
      </c>
      <c r="E2343" s="2">
        <v>44908</v>
      </c>
      <c r="F2343" s="2">
        <v>45203</v>
      </c>
      <c r="G2343" s="1" t="s">
        <v>38</v>
      </c>
      <c r="H2343">
        <v>1469</v>
      </c>
      <c r="I2343">
        <v>12</v>
      </c>
      <c r="J2343">
        <v>3</v>
      </c>
      <c r="K2343">
        <v>35.270000000000003</v>
      </c>
      <c r="L2343">
        <v>5</v>
      </c>
      <c r="M2343" s="1" t="s">
        <v>67</v>
      </c>
      <c r="N2343" s="1" t="s">
        <v>56</v>
      </c>
      <c r="O2343">
        <v>17554.55</v>
      </c>
      <c r="P2343" t="b">
        <v>1</v>
      </c>
      <c r="Q2343">
        <v>1</v>
      </c>
      <c r="R2343">
        <v>1462.8791666666666</v>
      </c>
      <c r="S2343">
        <v>8.8175000000000008</v>
      </c>
      <c r="T2343" s="2">
        <v>44896</v>
      </c>
      <c r="U2343" s="1" t="s">
        <v>66</v>
      </c>
      <c r="V2343">
        <v>0</v>
      </c>
      <c r="W2343" s="1" t="s">
        <v>40</v>
      </c>
      <c r="X2343">
        <v>295</v>
      </c>
      <c r="Y2343" s="1" t="s">
        <v>52</v>
      </c>
      <c r="Z2343" s="1" t="s">
        <v>42</v>
      </c>
      <c r="AA2343">
        <v>0.23076923076923078</v>
      </c>
      <c r="AB2343" s="1" t="s">
        <v>52</v>
      </c>
      <c r="AC2343">
        <v>1</v>
      </c>
      <c r="AD2343" s="2">
        <v>44896</v>
      </c>
      <c r="AE2343" s="1" t="s">
        <v>74</v>
      </c>
      <c r="AF2343" s="1" t="s">
        <v>72</v>
      </c>
      <c r="AG2343" s="1" t="s">
        <v>55</v>
      </c>
      <c r="AH2343" s="1" t="s">
        <v>47</v>
      </c>
      <c r="AI2343">
        <v>17628</v>
      </c>
      <c r="AJ2343">
        <v>-73.450000000000728</v>
      </c>
    </row>
    <row r="2344" spans="1:36" x14ac:dyDescent="0.25">
      <c r="A2344">
        <v>12343</v>
      </c>
      <c r="B2344">
        <v>58</v>
      </c>
      <c r="C2344" s="1" t="s">
        <v>60</v>
      </c>
      <c r="D2344" s="1" t="s">
        <v>48</v>
      </c>
      <c r="E2344" s="2">
        <v>44295</v>
      </c>
      <c r="F2344" s="2">
        <v>45018</v>
      </c>
      <c r="G2344" s="1" t="s">
        <v>49</v>
      </c>
      <c r="H2344">
        <v>777</v>
      </c>
      <c r="I2344">
        <v>24</v>
      </c>
      <c r="J2344">
        <v>1</v>
      </c>
      <c r="K2344">
        <v>55.82</v>
      </c>
      <c r="L2344">
        <v>0</v>
      </c>
      <c r="M2344" s="1" t="s">
        <v>50</v>
      </c>
      <c r="N2344" s="1" t="s">
        <v>56</v>
      </c>
      <c r="O2344">
        <v>18648</v>
      </c>
      <c r="P2344" t="b">
        <v>1</v>
      </c>
      <c r="Q2344">
        <v>2</v>
      </c>
      <c r="R2344">
        <v>777</v>
      </c>
      <c r="S2344">
        <v>27.91</v>
      </c>
      <c r="T2344" s="2">
        <v>44287</v>
      </c>
      <c r="U2344" s="1" t="s">
        <v>41</v>
      </c>
      <c r="V2344">
        <v>0</v>
      </c>
      <c r="W2344" s="1" t="s">
        <v>40</v>
      </c>
      <c r="X2344">
        <v>723</v>
      </c>
      <c r="Y2344" s="1" t="s">
        <v>52</v>
      </c>
      <c r="Z2344" s="1" t="s">
        <v>42</v>
      </c>
      <c r="AA2344">
        <v>0.04</v>
      </c>
      <c r="AB2344" s="1" t="s">
        <v>52</v>
      </c>
      <c r="AC2344">
        <v>3</v>
      </c>
      <c r="AD2344" s="2">
        <v>44287</v>
      </c>
      <c r="AE2344" s="1" t="s">
        <v>53</v>
      </c>
      <c r="AF2344" s="1" t="s">
        <v>54</v>
      </c>
      <c r="AG2344" s="1" t="s">
        <v>63</v>
      </c>
      <c r="AH2344" s="1" t="s">
        <v>59</v>
      </c>
      <c r="AI2344">
        <v>18648</v>
      </c>
      <c r="AJ2344">
        <v>0</v>
      </c>
    </row>
    <row r="2345" spans="1:36" x14ac:dyDescent="0.25">
      <c r="A2345">
        <v>12344</v>
      </c>
      <c r="B2345">
        <v>56</v>
      </c>
      <c r="C2345" s="1" t="s">
        <v>60</v>
      </c>
      <c r="D2345" s="1" t="s">
        <v>61</v>
      </c>
      <c r="E2345" s="2">
        <v>44735</v>
      </c>
      <c r="F2345" s="2">
        <v>44392</v>
      </c>
      <c r="G2345" s="1" t="s">
        <v>62</v>
      </c>
      <c r="H2345">
        <v>930</v>
      </c>
      <c r="I2345">
        <v>4</v>
      </c>
      <c r="J2345">
        <v>2</v>
      </c>
      <c r="K2345">
        <v>62.59</v>
      </c>
      <c r="L2345">
        <v>5</v>
      </c>
      <c r="M2345" s="1" t="s">
        <v>65</v>
      </c>
      <c r="N2345" s="1" t="s">
        <v>40</v>
      </c>
      <c r="O2345">
        <v>3673.5</v>
      </c>
      <c r="P2345" t="b">
        <v>0</v>
      </c>
      <c r="Q2345">
        <v>0.33333333333333331</v>
      </c>
      <c r="R2345">
        <v>918.375</v>
      </c>
      <c r="S2345">
        <v>20.863333333333333</v>
      </c>
      <c r="T2345" s="2">
        <v>44713</v>
      </c>
      <c r="U2345" s="1" t="s">
        <v>41</v>
      </c>
      <c r="V2345">
        <v>1</v>
      </c>
      <c r="W2345" s="1" t="s">
        <v>56</v>
      </c>
      <c r="Y2345" s="1" t="s">
        <v>43</v>
      </c>
      <c r="Z2345" s="1" t="s">
        <v>42</v>
      </c>
      <c r="AA2345">
        <v>0.4</v>
      </c>
      <c r="AB2345" s="1" t="s">
        <v>42</v>
      </c>
      <c r="AC2345">
        <v>2</v>
      </c>
      <c r="AD2345" s="2">
        <v>44713</v>
      </c>
      <c r="AE2345" s="1" t="s">
        <v>58</v>
      </c>
      <c r="AF2345" s="1" t="s">
        <v>72</v>
      </c>
      <c r="AG2345" s="1" t="s">
        <v>63</v>
      </c>
      <c r="AH2345" s="1" t="s">
        <v>59</v>
      </c>
      <c r="AI2345">
        <v>3720</v>
      </c>
      <c r="AJ2345">
        <v>-46.5</v>
      </c>
    </row>
    <row r="2346" spans="1:36" x14ac:dyDescent="0.25">
      <c r="A2346">
        <v>12345</v>
      </c>
      <c r="B2346">
        <v>21</v>
      </c>
      <c r="C2346" s="1" t="s">
        <v>36</v>
      </c>
      <c r="D2346" s="1" t="s">
        <v>71</v>
      </c>
      <c r="E2346" s="2">
        <v>44797</v>
      </c>
      <c r="F2346" s="2">
        <v>45160</v>
      </c>
      <c r="G2346" s="1" t="s">
        <v>62</v>
      </c>
      <c r="H2346">
        <v>1014</v>
      </c>
      <c r="I2346">
        <v>14</v>
      </c>
      <c r="J2346">
        <v>2</v>
      </c>
      <c r="K2346">
        <v>62.6</v>
      </c>
      <c r="L2346">
        <v>5</v>
      </c>
      <c r="M2346" s="1" t="s">
        <v>39</v>
      </c>
      <c r="N2346" s="1" t="s">
        <v>40</v>
      </c>
      <c r="O2346">
        <v>14145.3</v>
      </c>
      <c r="P2346" t="b">
        <v>1</v>
      </c>
      <c r="Q2346">
        <v>1.1666666666666667</v>
      </c>
      <c r="R2346">
        <v>1010.3785714285714</v>
      </c>
      <c r="S2346">
        <v>20.866666666666667</v>
      </c>
      <c r="T2346" s="2">
        <v>44774</v>
      </c>
      <c r="U2346" s="1" t="s">
        <v>66</v>
      </c>
      <c r="V2346">
        <v>1</v>
      </c>
      <c r="W2346" s="1" t="s">
        <v>40</v>
      </c>
      <c r="X2346">
        <v>363</v>
      </c>
      <c r="Y2346" s="1" t="s">
        <v>43</v>
      </c>
      <c r="Z2346" s="1" t="s">
        <v>42</v>
      </c>
      <c r="AA2346">
        <v>0.13333333333333333</v>
      </c>
      <c r="AB2346" s="1" t="s">
        <v>52</v>
      </c>
      <c r="AC2346">
        <v>2</v>
      </c>
      <c r="AD2346" s="2">
        <v>44774</v>
      </c>
      <c r="AE2346" s="1" t="s">
        <v>53</v>
      </c>
      <c r="AF2346" s="1" t="s">
        <v>72</v>
      </c>
      <c r="AG2346" s="1" t="s">
        <v>63</v>
      </c>
      <c r="AH2346" s="1" t="s">
        <v>47</v>
      </c>
      <c r="AI2346">
        <v>14196</v>
      </c>
      <c r="AJ2346">
        <v>-50.700000000000728</v>
      </c>
    </row>
    <row r="2347" spans="1:36" x14ac:dyDescent="0.25">
      <c r="A2347">
        <v>12346</v>
      </c>
      <c r="B2347">
        <v>30</v>
      </c>
      <c r="C2347" s="1" t="s">
        <v>36</v>
      </c>
      <c r="D2347" s="1" t="s">
        <v>69</v>
      </c>
      <c r="E2347" s="2">
        <v>44342</v>
      </c>
      <c r="F2347" s="2">
        <v>45110</v>
      </c>
      <c r="G2347" s="1" t="s">
        <v>62</v>
      </c>
      <c r="H2347">
        <v>414</v>
      </c>
      <c r="I2347">
        <v>17</v>
      </c>
      <c r="J2347">
        <v>3</v>
      </c>
      <c r="K2347">
        <v>108.87</v>
      </c>
      <c r="L2347">
        <v>20</v>
      </c>
      <c r="M2347" s="1" t="s">
        <v>67</v>
      </c>
      <c r="N2347" s="1" t="s">
        <v>56</v>
      </c>
      <c r="O2347">
        <v>6955.2</v>
      </c>
      <c r="P2347" t="b">
        <v>1</v>
      </c>
      <c r="Q2347">
        <v>1.4166666666666667</v>
      </c>
      <c r="R2347">
        <v>409.12941176470588</v>
      </c>
      <c r="S2347">
        <v>27.217500000000001</v>
      </c>
      <c r="T2347" s="2">
        <v>44317</v>
      </c>
      <c r="U2347" s="1" t="s">
        <v>57</v>
      </c>
      <c r="V2347">
        <v>0</v>
      </c>
      <c r="W2347" s="1" t="s">
        <v>56</v>
      </c>
      <c r="X2347">
        <v>768</v>
      </c>
      <c r="Y2347" s="1" t="s">
        <v>43</v>
      </c>
      <c r="Z2347" s="1" t="s">
        <v>52</v>
      </c>
      <c r="AA2347">
        <v>0.16666666666666666</v>
      </c>
      <c r="AB2347" s="1" t="s">
        <v>42</v>
      </c>
      <c r="AC2347">
        <v>2</v>
      </c>
      <c r="AD2347" s="2">
        <v>44317</v>
      </c>
      <c r="AE2347" s="1" t="s">
        <v>53</v>
      </c>
      <c r="AF2347" s="1" t="s">
        <v>72</v>
      </c>
      <c r="AG2347" s="1" t="s">
        <v>63</v>
      </c>
      <c r="AH2347" s="1" t="s">
        <v>68</v>
      </c>
      <c r="AI2347">
        <v>7038</v>
      </c>
      <c r="AJ2347">
        <v>-82.800000000000182</v>
      </c>
    </row>
    <row r="2348" spans="1:36" x14ac:dyDescent="0.25">
      <c r="A2348">
        <v>12347</v>
      </c>
      <c r="B2348">
        <v>41</v>
      </c>
      <c r="C2348" s="1" t="s">
        <v>36</v>
      </c>
      <c r="D2348" s="1" t="s">
        <v>69</v>
      </c>
      <c r="E2348" s="2">
        <v>44890</v>
      </c>
      <c r="F2348" s="2">
        <v>44678</v>
      </c>
      <c r="G2348" s="1" t="s">
        <v>38</v>
      </c>
      <c r="H2348">
        <v>808</v>
      </c>
      <c r="I2348">
        <v>3</v>
      </c>
      <c r="J2348">
        <v>3</v>
      </c>
      <c r="K2348">
        <v>113.08</v>
      </c>
      <c r="L2348">
        <v>10</v>
      </c>
      <c r="M2348" s="1" t="s">
        <v>50</v>
      </c>
      <c r="N2348" s="1" t="s">
        <v>56</v>
      </c>
      <c r="O2348">
        <v>2343.1999999999998</v>
      </c>
      <c r="P2348" t="b">
        <v>0</v>
      </c>
      <c r="Q2348">
        <v>0.25</v>
      </c>
      <c r="R2348">
        <v>781.06666666666661</v>
      </c>
      <c r="S2348">
        <v>28.27</v>
      </c>
      <c r="T2348" s="2">
        <v>44866</v>
      </c>
      <c r="U2348" s="1" t="s">
        <v>51</v>
      </c>
      <c r="V2348">
        <v>0</v>
      </c>
      <c r="W2348" s="1" t="s">
        <v>56</v>
      </c>
      <c r="Y2348" s="1" t="s">
        <v>43</v>
      </c>
      <c r="Z2348" s="1" t="s">
        <v>42</v>
      </c>
      <c r="AA2348">
        <v>0.75</v>
      </c>
      <c r="AB2348" s="1" t="s">
        <v>42</v>
      </c>
      <c r="AC2348">
        <v>1</v>
      </c>
      <c r="AD2348" s="2">
        <v>44866</v>
      </c>
      <c r="AE2348" s="1" t="s">
        <v>58</v>
      </c>
      <c r="AF2348" s="1" t="s">
        <v>72</v>
      </c>
      <c r="AG2348" s="1" t="s">
        <v>63</v>
      </c>
      <c r="AH2348" s="1" t="s">
        <v>59</v>
      </c>
      <c r="AI2348">
        <v>2424</v>
      </c>
      <c r="AJ2348">
        <v>-80.800000000000182</v>
      </c>
    </row>
    <row r="2349" spans="1:36" x14ac:dyDescent="0.25">
      <c r="A2349">
        <v>12348</v>
      </c>
      <c r="B2349">
        <v>41</v>
      </c>
      <c r="C2349" s="1" t="s">
        <v>36</v>
      </c>
      <c r="D2349" s="1" t="s">
        <v>48</v>
      </c>
      <c r="E2349" s="2">
        <v>44453</v>
      </c>
      <c r="F2349" s="2">
        <v>44512</v>
      </c>
      <c r="G2349" s="1" t="s">
        <v>62</v>
      </c>
      <c r="H2349">
        <v>1475</v>
      </c>
      <c r="I2349">
        <v>23</v>
      </c>
      <c r="J2349">
        <v>1</v>
      </c>
      <c r="K2349">
        <v>23.8</v>
      </c>
      <c r="L2349">
        <v>5</v>
      </c>
      <c r="M2349" s="1" t="s">
        <v>39</v>
      </c>
      <c r="N2349" s="1" t="s">
        <v>56</v>
      </c>
      <c r="O2349">
        <v>33851.25</v>
      </c>
      <c r="P2349" t="b">
        <v>1</v>
      </c>
      <c r="Q2349">
        <v>1.9166666666666667</v>
      </c>
      <c r="R2349">
        <v>1471.7934782608695</v>
      </c>
      <c r="S2349">
        <v>11.9</v>
      </c>
      <c r="T2349" s="2">
        <v>44440</v>
      </c>
      <c r="U2349" s="1" t="s">
        <v>51</v>
      </c>
      <c r="V2349">
        <v>0</v>
      </c>
      <c r="W2349" s="1" t="s">
        <v>40</v>
      </c>
      <c r="X2349">
        <v>59</v>
      </c>
      <c r="Y2349" s="1" t="s">
        <v>52</v>
      </c>
      <c r="Z2349" s="1" t="s">
        <v>42</v>
      </c>
      <c r="AA2349">
        <v>4.1666666666666664E-2</v>
      </c>
      <c r="AB2349" s="1" t="s">
        <v>43</v>
      </c>
      <c r="AC2349">
        <v>2</v>
      </c>
      <c r="AD2349" s="2">
        <v>44440</v>
      </c>
      <c r="AE2349" s="1" t="s">
        <v>53</v>
      </c>
      <c r="AF2349" s="1" t="s">
        <v>54</v>
      </c>
      <c r="AG2349" s="1" t="s">
        <v>70</v>
      </c>
      <c r="AH2349" s="1" t="s">
        <v>47</v>
      </c>
      <c r="AI2349">
        <v>33925</v>
      </c>
      <c r="AJ2349">
        <v>-73.75</v>
      </c>
    </row>
    <row r="2350" spans="1:36" x14ac:dyDescent="0.25">
      <c r="A2350">
        <v>12349</v>
      </c>
      <c r="B2350">
        <v>61</v>
      </c>
      <c r="C2350" s="1" t="s">
        <v>60</v>
      </c>
      <c r="D2350" s="1" t="s">
        <v>71</v>
      </c>
      <c r="E2350" s="2">
        <v>44385</v>
      </c>
      <c r="F2350" s="2">
        <v>44540</v>
      </c>
      <c r="G2350" s="1" t="s">
        <v>49</v>
      </c>
      <c r="H2350">
        <v>356</v>
      </c>
      <c r="I2350">
        <v>13</v>
      </c>
      <c r="J2350">
        <v>1</v>
      </c>
      <c r="K2350">
        <v>103.08</v>
      </c>
      <c r="L2350">
        <v>5</v>
      </c>
      <c r="M2350" s="1" t="s">
        <v>50</v>
      </c>
      <c r="N2350" s="1" t="s">
        <v>56</v>
      </c>
      <c r="O2350">
        <v>4610.2</v>
      </c>
      <c r="P2350" t="b">
        <v>1</v>
      </c>
      <c r="Q2350">
        <v>1.0833333333333333</v>
      </c>
      <c r="R2350">
        <v>354.6307692307692</v>
      </c>
      <c r="S2350">
        <v>51.54</v>
      </c>
      <c r="T2350" s="2">
        <v>44378</v>
      </c>
      <c r="U2350" s="1" t="s">
        <v>41</v>
      </c>
      <c r="V2350">
        <v>0</v>
      </c>
      <c r="W2350" s="1" t="s">
        <v>56</v>
      </c>
      <c r="X2350">
        <v>155</v>
      </c>
      <c r="Y2350" s="1" t="s">
        <v>43</v>
      </c>
      <c r="Z2350" s="1" t="s">
        <v>42</v>
      </c>
      <c r="AA2350">
        <v>7.1428571428571425E-2</v>
      </c>
      <c r="AB2350" s="1" t="s">
        <v>42</v>
      </c>
      <c r="AC2350">
        <v>3</v>
      </c>
      <c r="AD2350" s="2">
        <v>44378</v>
      </c>
      <c r="AE2350" s="1" t="s">
        <v>53</v>
      </c>
      <c r="AF2350" s="1" t="s">
        <v>54</v>
      </c>
      <c r="AG2350" s="1" t="s">
        <v>63</v>
      </c>
      <c r="AH2350" s="1" t="s">
        <v>68</v>
      </c>
      <c r="AI2350">
        <v>4628</v>
      </c>
      <c r="AJ2350">
        <v>-17.800000000000182</v>
      </c>
    </row>
    <row r="2351" spans="1:36" x14ac:dyDescent="0.25">
      <c r="A2351">
        <v>12350</v>
      </c>
      <c r="B2351">
        <v>44</v>
      </c>
      <c r="C2351" s="1" t="s">
        <v>60</v>
      </c>
      <c r="D2351" s="1" t="s">
        <v>71</v>
      </c>
      <c r="E2351" s="2">
        <v>44436</v>
      </c>
      <c r="F2351" s="2">
        <v>44868</v>
      </c>
      <c r="G2351" s="1" t="s">
        <v>38</v>
      </c>
      <c r="H2351">
        <v>681</v>
      </c>
      <c r="I2351">
        <v>9</v>
      </c>
      <c r="J2351">
        <v>1</v>
      </c>
      <c r="K2351">
        <v>60.4</v>
      </c>
      <c r="L2351">
        <v>10</v>
      </c>
      <c r="M2351" s="1" t="s">
        <v>50</v>
      </c>
      <c r="N2351" s="1" t="s">
        <v>56</v>
      </c>
      <c r="O2351">
        <v>6060.9</v>
      </c>
      <c r="P2351" t="b">
        <v>1</v>
      </c>
      <c r="Q2351">
        <v>0.75</v>
      </c>
      <c r="R2351">
        <v>673.43333333333328</v>
      </c>
      <c r="S2351">
        <v>30.2</v>
      </c>
      <c r="T2351" s="2">
        <v>44409</v>
      </c>
      <c r="U2351" s="1" t="s">
        <v>51</v>
      </c>
      <c r="V2351">
        <v>0</v>
      </c>
      <c r="W2351" s="1" t="s">
        <v>56</v>
      </c>
      <c r="X2351">
        <v>432</v>
      </c>
      <c r="Y2351" s="1" t="s">
        <v>43</v>
      </c>
      <c r="Z2351" s="1" t="s">
        <v>42</v>
      </c>
      <c r="AA2351">
        <v>0.1</v>
      </c>
      <c r="AB2351" s="1" t="s">
        <v>42</v>
      </c>
      <c r="AC2351">
        <v>1</v>
      </c>
      <c r="AD2351" s="2">
        <v>44409</v>
      </c>
      <c r="AE2351" s="1" t="s">
        <v>74</v>
      </c>
      <c r="AF2351" s="1" t="s">
        <v>54</v>
      </c>
      <c r="AG2351" s="1" t="s">
        <v>63</v>
      </c>
      <c r="AH2351" s="1" t="s">
        <v>64</v>
      </c>
      <c r="AI2351">
        <v>6129</v>
      </c>
      <c r="AJ2351">
        <v>-68.100000000000364</v>
      </c>
    </row>
    <row r="2352" spans="1:36" x14ac:dyDescent="0.25">
      <c r="A2352">
        <v>12351</v>
      </c>
      <c r="B2352">
        <v>49</v>
      </c>
      <c r="C2352" s="1" t="s">
        <v>60</v>
      </c>
      <c r="D2352" s="1" t="s">
        <v>71</v>
      </c>
      <c r="E2352" s="2">
        <v>45067</v>
      </c>
      <c r="F2352" s="2">
        <v>44748</v>
      </c>
      <c r="G2352" s="1" t="s">
        <v>38</v>
      </c>
      <c r="H2352">
        <v>1480</v>
      </c>
      <c r="I2352">
        <v>21</v>
      </c>
      <c r="J2352">
        <v>0</v>
      </c>
      <c r="K2352">
        <v>57.13</v>
      </c>
      <c r="L2352">
        <v>10</v>
      </c>
      <c r="M2352" s="1" t="s">
        <v>67</v>
      </c>
      <c r="N2352" s="1" t="s">
        <v>56</v>
      </c>
      <c r="O2352">
        <v>30932</v>
      </c>
      <c r="P2352" t="b">
        <v>0</v>
      </c>
      <c r="Q2352">
        <v>1.75</v>
      </c>
      <c r="R2352">
        <v>1472.952380952381</v>
      </c>
      <c r="S2352">
        <v>57.13</v>
      </c>
      <c r="T2352" s="2">
        <v>45047</v>
      </c>
      <c r="U2352" s="1" t="s">
        <v>51</v>
      </c>
      <c r="V2352">
        <v>0</v>
      </c>
      <c r="W2352" s="1" t="s">
        <v>40</v>
      </c>
      <c r="Y2352" s="1" t="s">
        <v>52</v>
      </c>
      <c r="Z2352" s="1" t="s">
        <v>42</v>
      </c>
      <c r="AA2352">
        <v>0</v>
      </c>
      <c r="AB2352" s="1" t="s">
        <v>43</v>
      </c>
      <c r="AC2352">
        <v>1</v>
      </c>
      <c r="AD2352" s="2">
        <v>45047</v>
      </c>
      <c r="AE2352" s="1" t="s">
        <v>53</v>
      </c>
      <c r="AF2352" s="1" t="s">
        <v>54</v>
      </c>
      <c r="AG2352" s="1" t="s">
        <v>63</v>
      </c>
      <c r="AH2352" s="1" t="s">
        <v>47</v>
      </c>
      <c r="AI2352">
        <v>31080</v>
      </c>
      <c r="AJ2352">
        <v>-148</v>
      </c>
    </row>
    <row r="2353" spans="1:36" x14ac:dyDescent="0.25">
      <c r="A2353">
        <v>12352</v>
      </c>
      <c r="B2353">
        <v>38</v>
      </c>
      <c r="C2353" s="1" t="s">
        <v>60</v>
      </c>
      <c r="D2353" s="1" t="s">
        <v>37</v>
      </c>
      <c r="E2353" s="2">
        <v>45095</v>
      </c>
      <c r="F2353" s="2">
        <v>44721</v>
      </c>
      <c r="G2353" s="1" t="s">
        <v>38</v>
      </c>
      <c r="H2353">
        <v>1251</v>
      </c>
      <c r="I2353">
        <v>8</v>
      </c>
      <c r="J2353">
        <v>5</v>
      </c>
      <c r="K2353">
        <v>95.27</v>
      </c>
      <c r="L2353">
        <v>0</v>
      </c>
      <c r="M2353" s="1" t="s">
        <v>39</v>
      </c>
      <c r="N2353" s="1" t="s">
        <v>56</v>
      </c>
      <c r="O2353">
        <v>10008</v>
      </c>
      <c r="P2353" t="b">
        <v>0</v>
      </c>
      <c r="Q2353">
        <v>0.66666666666666663</v>
      </c>
      <c r="R2353">
        <v>1251</v>
      </c>
      <c r="S2353">
        <v>15.878333333333332</v>
      </c>
      <c r="T2353" s="2">
        <v>45078</v>
      </c>
      <c r="U2353" s="1" t="s">
        <v>51</v>
      </c>
      <c r="V2353">
        <v>0</v>
      </c>
      <c r="W2353" s="1" t="s">
        <v>56</v>
      </c>
      <c r="Y2353" s="1" t="s">
        <v>43</v>
      </c>
      <c r="Z2353" s="1" t="s">
        <v>42</v>
      </c>
      <c r="AA2353">
        <v>0.55555555555555558</v>
      </c>
      <c r="AB2353" s="1" t="s">
        <v>52</v>
      </c>
      <c r="AC2353">
        <v>1</v>
      </c>
      <c r="AD2353" s="2">
        <v>45078</v>
      </c>
      <c r="AE2353" s="1" t="s">
        <v>74</v>
      </c>
      <c r="AF2353" s="1" t="s">
        <v>45</v>
      </c>
      <c r="AG2353" s="1" t="s">
        <v>63</v>
      </c>
      <c r="AH2353" s="1" t="s">
        <v>47</v>
      </c>
      <c r="AI2353">
        <v>10008</v>
      </c>
      <c r="AJ2353">
        <v>0</v>
      </c>
    </row>
    <row r="2354" spans="1:36" x14ac:dyDescent="0.25">
      <c r="A2354">
        <v>12353</v>
      </c>
      <c r="B2354">
        <v>25</v>
      </c>
      <c r="C2354" s="1" t="s">
        <v>60</v>
      </c>
      <c r="D2354" s="1" t="s">
        <v>37</v>
      </c>
      <c r="E2354" s="2">
        <v>44699</v>
      </c>
      <c r="F2354" s="2">
        <v>44412</v>
      </c>
      <c r="G2354" s="1" t="s">
        <v>38</v>
      </c>
      <c r="H2354">
        <v>1456</v>
      </c>
      <c r="I2354">
        <v>17</v>
      </c>
      <c r="J2354">
        <v>2</v>
      </c>
      <c r="K2354">
        <v>15.71</v>
      </c>
      <c r="L2354">
        <v>10</v>
      </c>
      <c r="M2354" s="1" t="s">
        <v>39</v>
      </c>
      <c r="N2354" s="1" t="s">
        <v>56</v>
      </c>
      <c r="O2354">
        <v>24606.400000000001</v>
      </c>
      <c r="P2354" t="b">
        <v>0</v>
      </c>
      <c r="Q2354">
        <v>1.4166666666666667</v>
      </c>
      <c r="R2354">
        <v>1447.4352941176471</v>
      </c>
      <c r="S2354">
        <v>5.2366666666666672</v>
      </c>
      <c r="T2354" s="2">
        <v>44682</v>
      </c>
      <c r="U2354" s="1" t="s">
        <v>66</v>
      </c>
      <c r="V2354">
        <v>0</v>
      </c>
      <c r="W2354" s="1" t="s">
        <v>40</v>
      </c>
      <c r="Y2354" s="1" t="s">
        <v>42</v>
      </c>
      <c r="Z2354" s="1" t="s">
        <v>42</v>
      </c>
      <c r="AA2354">
        <v>0.1111111111111111</v>
      </c>
      <c r="AB2354" s="1" t="s">
        <v>43</v>
      </c>
      <c r="AC2354">
        <v>1</v>
      </c>
      <c r="AD2354" s="2">
        <v>44682</v>
      </c>
      <c r="AE2354" s="1" t="s">
        <v>53</v>
      </c>
      <c r="AF2354" s="1" t="s">
        <v>72</v>
      </c>
      <c r="AG2354" s="1" t="s">
        <v>46</v>
      </c>
      <c r="AH2354" s="1" t="s">
        <v>47</v>
      </c>
      <c r="AI2354">
        <v>24752</v>
      </c>
      <c r="AJ2354">
        <v>-145.59999999999854</v>
      </c>
    </row>
    <row r="2355" spans="1:36" x14ac:dyDescent="0.25">
      <c r="A2355">
        <v>12354</v>
      </c>
      <c r="B2355">
        <v>41</v>
      </c>
      <c r="C2355" s="1" t="s">
        <v>36</v>
      </c>
      <c r="D2355" s="1" t="s">
        <v>48</v>
      </c>
      <c r="E2355" s="2">
        <v>44904</v>
      </c>
      <c r="F2355" s="2">
        <v>44734</v>
      </c>
      <c r="G2355" s="1" t="s">
        <v>62</v>
      </c>
      <c r="H2355">
        <v>1486</v>
      </c>
      <c r="I2355">
        <v>16</v>
      </c>
      <c r="J2355">
        <v>2</v>
      </c>
      <c r="K2355">
        <v>106.49</v>
      </c>
      <c r="L2355">
        <v>20</v>
      </c>
      <c r="M2355" s="1" t="s">
        <v>65</v>
      </c>
      <c r="N2355" s="1" t="s">
        <v>56</v>
      </c>
      <c r="O2355">
        <v>23478.799999999999</v>
      </c>
      <c r="P2355" t="b">
        <v>0</v>
      </c>
      <c r="Q2355">
        <v>1.3333333333333333</v>
      </c>
      <c r="R2355">
        <v>1467.425</v>
      </c>
      <c r="S2355">
        <v>35.496666666666663</v>
      </c>
      <c r="T2355" s="2">
        <v>44896</v>
      </c>
      <c r="U2355" s="1" t="s">
        <v>51</v>
      </c>
      <c r="V2355">
        <v>0</v>
      </c>
      <c r="W2355" s="1" t="s">
        <v>40</v>
      </c>
      <c r="Y2355" s="1" t="s">
        <v>43</v>
      </c>
      <c r="Z2355" s="1" t="s">
        <v>52</v>
      </c>
      <c r="AA2355">
        <v>0.11764705882352941</v>
      </c>
      <c r="AB2355" s="1" t="s">
        <v>43</v>
      </c>
      <c r="AC2355">
        <v>2</v>
      </c>
      <c r="AD2355" s="2">
        <v>44896</v>
      </c>
      <c r="AE2355" s="1" t="s">
        <v>53</v>
      </c>
      <c r="AF2355" s="1" t="s">
        <v>72</v>
      </c>
      <c r="AG2355" s="1" t="s">
        <v>63</v>
      </c>
      <c r="AH2355" s="1" t="s">
        <v>47</v>
      </c>
      <c r="AI2355">
        <v>23776</v>
      </c>
      <c r="AJ2355">
        <v>-297.20000000000073</v>
      </c>
    </row>
    <row r="2356" spans="1:36" x14ac:dyDescent="0.25">
      <c r="A2356">
        <v>12355</v>
      </c>
      <c r="B2356">
        <v>25</v>
      </c>
      <c r="C2356" s="1" t="s">
        <v>36</v>
      </c>
      <c r="D2356" s="1" t="s">
        <v>71</v>
      </c>
      <c r="E2356" s="2">
        <v>45005</v>
      </c>
      <c r="F2356" s="2">
        <v>44842</v>
      </c>
      <c r="G2356" s="1" t="s">
        <v>62</v>
      </c>
      <c r="H2356">
        <v>574</v>
      </c>
      <c r="I2356">
        <v>16</v>
      </c>
      <c r="J2356">
        <v>2</v>
      </c>
      <c r="K2356">
        <v>82.15</v>
      </c>
      <c r="L2356">
        <v>0</v>
      </c>
      <c r="M2356" s="1" t="s">
        <v>39</v>
      </c>
      <c r="N2356" s="1" t="s">
        <v>56</v>
      </c>
      <c r="O2356">
        <v>9184</v>
      </c>
      <c r="P2356" t="b">
        <v>0</v>
      </c>
      <c r="Q2356">
        <v>1.3333333333333333</v>
      </c>
      <c r="R2356">
        <v>574</v>
      </c>
      <c r="S2356">
        <v>27.383333333333336</v>
      </c>
      <c r="T2356" s="2">
        <v>44986</v>
      </c>
      <c r="U2356" s="1" t="s">
        <v>66</v>
      </c>
      <c r="V2356">
        <v>0</v>
      </c>
      <c r="W2356" s="1" t="s">
        <v>56</v>
      </c>
      <c r="Y2356" s="1" t="s">
        <v>43</v>
      </c>
      <c r="Z2356" s="1" t="s">
        <v>42</v>
      </c>
      <c r="AA2356">
        <v>0.11764705882352941</v>
      </c>
      <c r="AB2356" s="1" t="s">
        <v>52</v>
      </c>
      <c r="AC2356">
        <v>2</v>
      </c>
      <c r="AD2356" s="2">
        <v>44986</v>
      </c>
      <c r="AE2356" s="1" t="s">
        <v>53</v>
      </c>
      <c r="AF2356" s="1" t="s">
        <v>72</v>
      </c>
      <c r="AG2356" s="1" t="s">
        <v>63</v>
      </c>
      <c r="AH2356" s="1" t="s">
        <v>64</v>
      </c>
      <c r="AI2356">
        <v>9184</v>
      </c>
      <c r="AJ2356">
        <v>0</v>
      </c>
    </row>
    <row r="2357" spans="1:36" x14ac:dyDescent="0.25">
      <c r="A2357">
        <v>12356</v>
      </c>
      <c r="B2357">
        <v>20</v>
      </c>
      <c r="C2357" s="1" t="s">
        <v>60</v>
      </c>
      <c r="D2357" s="1" t="s">
        <v>73</v>
      </c>
      <c r="E2357" s="2">
        <v>44873</v>
      </c>
      <c r="F2357" s="2">
        <v>45141</v>
      </c>
      <c r="G2357" s="1" t="s">
        <v>49</v>
      </c>
      <c r="H2357">
        <v>1400</v>
      </c>
      <c r="I2357">
        <v>28</v>
      </c>
      <c r="J2357">
        <v>2</v>
      </c>
      <c r="K2357">
        <v>105.66</v>
      </c>
      <c r="L2357">
        <v>5</v>
      </c>
      <c r="M2357" s="1" t="s">
        <v>39</v>
      </c>
      <c r="N2357" s="1" t="s">
        <v>56</v>
      </c>
      <c r="O2357">
        <v>39130</v>
      </c>
      <c r="P2357" t="b">
        <v>1</v>
      </c>
      <c r="Q2357">
        <v>2.3333333333333335</v>
      </c>
      <c r="R2357">
        <v>1397.5</v>
      </c>
      <c r="S2357">
        <v>35.22</v>
      </c>
      <c r="T2357" s="2">
        <v>44866</v>
      </c>
      <c r="U2357" s="1" t="s">
        <v>66</v>
      </c>
      <c r="V2357">
        <v>0</v>
      </c>
      <c r="W2357" s="1" t="s">
        <v>40</v>
      </c>
      <c r="X2357">
        <v>268</v>
      </c>
      <c r="Y2357" s="1" t="s">
        <v>43</v>
      </c>
      <c r="Z2357" s="1" t="s">
        <v>42</v>
      </c>
      <c r="AA2357">
        <v>6.8965517241379309E-2</v>
      </c>
      <c r="AB2357" s="1" t="s">
        <v>43</v>
      </c>
      <c r="AC2357">
        <v>3</v>
      </c>
      <c r="AD2357" s="2">
        <v>44866</v>
      </c>
      <c r="AE2357" s="1" t="s">
        <v>44</v>
      </c>
      <c r="AF2357" s="1" t="s">
        <v>72</v>
      </c>
      <c r="AG2357" s="1" t="s">
        <v>63</v>
      </c>
      <c r="AH2357" s="1" t="s">
        <v>47</v>
      </c>
      <c r="AI2357">
        <v>39200</v>
      </c>
      <c r="AJ2357">
        <v>-70</v>
      </c>
    </row>
    <row r="2358" spans="1:36" x14ac:dyDescent="0.25">
      <c r="A2358">
        <v>12357</v>
      </c>
      <c r="B2358">
        <v>61</v>
      </c>
      <c r="C2358" s="1" t="s">
        <v>60</v>
      </c>
      <c r="D2358" s="1" t="s">
        <v>71</v>
      </c>
      <c r="E2358" s="2">
        <v>45015</v>
      </c>
      <c r="F2358" s="2">
        <v>45040</v>
      </c>
      <c r="G2358" s="1" t="s">
        <v>62</v>
      </c>
      <c r="H2358">
        <v>343</v>
      </c>
      <c r="I2358">
        <v>16</v>
      </c>
      <c r="J2358">
        <v>1</v>
      </c>
      <c r="K2358">
        <v>119.36</v>
      </c>
      <c r="L2358">
        <v>20</v>
      </c>
      <c r="M2358" s="1" t="s">
        <v>67</v>
      </c>
      <c r="N2358" s="1" t="s">
        <v>56</v>
      </c>
      <c r="O2358">
        <v>5419.4</v>
      </c>
      <c r="P2358" t="b">
        <v>1</v>
      </c>
      <c r="Q2358">
        <v>1.3333333333333333</v>
      </c>
      <c r="R2358">
        <v>338.71249999999998</v>
      </c>
      <c r="S2358">
        <v>59.68</v>
      </c>
      <c r="T2358" s="2">
        <v>44986</v>
      </c>
      <c r="U2358" s="1" t="s">
        <v>41</v>
      </c>
      <c r="V2358">
        <v>0</v>
      </c>
      <c r="W2358" s="1" t="s">
        <v>56</v>
      </c>
      <c r="X2358">
        <v>25</v>
      </c>
      <c r="Y2358" s="1" t="s">
        <v>43</v>
      </c>
      <c r="Z2358" s="1" t="s">
        <v>52</v>
      </c>
      <c r="AA2358">
        <v>5.8823529411764705E-2</v>
      </c>
      <c r="AB2358" s="1" t="s">
        <v>42</v>
      </c>
      <c r="AC2358">
        <v>2</v>
      </c>
      <c r="AD2358" s="2">
        <v>44986</v>
      </c>
      <c r="AE2358" s="1" t="s">
        <v>53</v>
      </c>
      <c r="AF2358" s="1" t="s">
        <v>54</v>
      </c>
      <c r="AG2358" s="1" t="s">
        <v>63</v>
      </c>
      <c r="AH2358" s="1" t="s">
        <v>68</v>
      </c>
      <c r="AI2358">
        <v>5488</v>
      </c>
      <c r="AJ2358">
        <v>-68.600000000000364</v>
      </c>
    </row>
    <row r="2359" spans="1:36" x14ac:dyDescent="0.25">
      <c r="A2359">
        <v>12358</v>
      </c>
      <c r="B2359">
        <v>20</v>
      </c>
      <c r="C2359" s="1" t="s">
        <v>36</v>
      </c>
      <c r="D2359" s="1" t="s">
        <v>69</v>
      </c>
      <c r="E2359" s="2">
        <v>44467</v>
      </c>
      <c r="F2359" s="2">
        <v>44762</v>
      </c>
      <c r="G2359" s="1" t="s">
        <v>38</v>
      </c>
      <c r="H2359">
        <v>1017</v>
      </c>
      <c r="I2359">
        <v>14</v>
      </c>
      <c r="J2359">
        <v>1</v>
      </c>
      <c r="K2359">
        <v>64.569999999999993</v>
      </c>
      <c r="L2359">
        <v>20</v>
      </c>
      <c r="M2359" s="1" t="s">
        <v>65</v>
      </c>
      <c r="N2359" s="1" t="s">
        <v>56</v>
      </c>
      <c r="O2359">
        <v>14034.6</v>
      </c>
      <c r="P2359" t="b">
        <v>1</v>
      </c>
      <c r="Q2359">
        <v>1.1666666666666667</v>
      </c>
      <c r="R2359">
        <v>1002.4714285714286</v>
      </c>
      <c r="S2359">
        <v>32.284999999999997</v>
      </c>
      <c r="T2359" s="2">
        <v>44440</v>
      </c>
      <c r="U2359" s="1" t="s">
        <v>66</v>
      </c>
      <c r="V2359">
        <v>0</v>
      </c>
      <c r="W2359" s="1" t="s">
        <v>40</v>
      </c>
      <c r="X2359">
        <v>295</v>
      </c>
      <c r="Y2359" s="1" t="s">
        <v>43</v>
      </c>
      <c r="Z2359" s="1" t="s">
        <v>52</v>
      </c>
      <c r="AA2359">
        <v>6.6666666666666666E-2</v>
      </c>
      <c r="AB2359" s="1" t="s">
        <v>52</v>
      </c>
      <c r="AC2359">
        <v>1</v>
      </c>
      <c r="AD2359" s="2">
        <v>44440</v>
      </c>
      <c r="AE2359" s="1" t="s">
        <v>53</v>
      </c>
      <c r="AF2359" s="1" t="s">
        <v>54</v>
      </c>
      <c r="AG2359" s="1" t="s">
        <v>63</v>
      </c>
      <c r="AH2359" s="1" t="s">
        <v>47</v>
      </c>
      <c r="AI2359">
        <v>14238</v>
      </c>
      <c r="AJ2359">
        <v>-203.39999999999964</v>
      </c>
    </row>
    <row r="2360" spans="1:36" x14ac:dyDescent="0.25">
      <c r="A2360">
        <v>12359</v>
      </c>
      <c r="B2360">
        <v>39</v>
      </c>
      <c r="C2360" s="1" t="s">
        <v>60</v>
      </c>
      <c r="D2360" s="1" t="s">
        <v>69</v>
      </c>
      <c r="E2360" s="2">
        <v>44716</v>
      </c>
      <c r="F2360" s="2">
        <v>45141</v>
      </c>
      <c r="G2360" s="1" t="s">
        <v>49</v>
      </c>
      <c r="H2360">
        <v>617</v>
      </c>
      <c r="I2360">
        <v>20</v>
      </c>
      <c r="J2360">
        <v>1</v>
      </c>
      <c r="K2360">
        <v>15.73</v>
      </c>
      <c r="L2360">
        <v>0</v>
      </c>
      <c r="M2360" s="1" t="s">
        <v>67</v>
      </c>
      <c r="N2360" s="1" t="s">
        <v>56</v>
      </c>
      <c r="O2360">
        <v>12340</v>
      </c>
      <c r="P2360" t="b">
        <v>1</v>
      </c>
      <c r="Q2360">
        <v>1.6666666666666667</v>
      </c>
      <c r="R2360">
        <v>617</v>
      </c>
      <c r="S2360">
        <v>7.8650000000000002</v>
      </c>
      <c r="T2360" s="2">
        <v>44713</v>
      </c>
      <c r="U2360" s="1" t="s">
        <v>51</v>
      </c>
      <c r="V2360">
        <v>0</v>
      </c>
      <c r="W2360" s="1" t="s">
        <v>56</v>
      </c>
      <c r="X2360">
        <v>425</v>
      </c>
      <c r="Y2360" s="1" t="s">
        <v>42</v>
      </c>
      <c r="Z2360" s="1" t="s">
        <v>42</v>
      </c>
      <c r="AA2360">
        <v>4.7619047619047616E-2</v>
      </c>
      <c r="AB2360" s="1" t="s">
        <v>52</v>
      </c>
      <c r="AC2360">
        <v>3</v>
      </c>
      <c r="AD2360" s="2">
        <v>44713</v>
      </c>
      <c r="AE2360" s="1" t="s">
        <v>53</v>
      </c>
      <c r="AF2360" s="1" t="s">
        <v>54</v>
      </c>
      <c r="AG2360" s="1" t="s">
        <v>46</v>
      </c>
      <c r="AH2360" s="1" t="s">
        <v>64</v>
      </c>
      <c r="AI2360">
        <v>12340</v>
      </c>
      <c r="AJ2360">
        <v>0</v>
      </c>
    </row>
    <row r="2361" spans="1:36" x14ac:dyDescent="0.25">
      <c r="A2361">
        <v>12360</v>
      </c>
      <c r="B2361">
        <v>23</v>
      </c>
      <c r="C2361" s="1" t="s">
        <v>36</v>
      </c>
      <c r="D2361" s="1" t="s">
        <v>48</v>
      </c>
      <c r="E2361" s="2">
        <v>44746</v>
      </c>
      <c r="F2361" s="2">
        <v>45138</v>
      </c>
      <c r="G2361" s="1" t="s">
        <v>62</v>
      </c>
      <c r="H2361">
        <v>833</v>
      </c>
      <c r="I2361">
        <v>34</v>
      </c>
      <c r="J2361">
        <v>0</v>
      </c>
      <c r="K2361">
        <v>24.15</v>
      </c>
      <c r="L2361">
        <v>5</v>
      </c>
      <c r="M2361" s="1" t="s">
        <v>39</v>
      </c>
      <c r="N2361" s="1" t="s">
        <v>56</v>
      </c>
      <c r="O2361">
        <v>28280.35</v>
      </c>
      <c r="P2361" t="b">
        <v>1</v>
      </c>
      <c r="Q2361">
        <v>2.8333333333333335</v>
      </c>
      <c r="R2361">
        <v>831.77499999999998</v>
      </c>
      <c r="S2361">
        <v>24.15</v>
      </c>
      <c r="T2361" s="2">
        <v>44743</v>
      </c>
      <c r="U2361" s="1" t="s">
        <v>66</v>
      </c>
      <c r="V2361">
        <v>0</v>
      </c>
      <c r="W2361" s="1" t="s">
        <v>40</v>
      </c>
      <c r="X2361">
        <v>392</v>
      </c>
      <c r="Y2361" s="1" t="s">
        <v>52</v>
      </c>
      <c r="Z2361" s="1" t="s">
        <v>42</v>
      </c>
      <c r="AA2361">
        <v>0</v>
      </c>
      <c r="AB2361" s="1" t="s">
        <v>43</v>
      </c>
      <c r="AC2361">
        <v>2</v>
      </c>
      <c r="AD2361" s="2">
        <v>44743</v>
      </c>
      <c r="AE2361" s="1" t="s">
        <v>44</v>
      </c>
      <c r="AF2361" s="1" t="s">
        <v>54</v>
      </c>
      <c r="AG2361" s="1" t="s">
        <v>70</v>
      </c>
      <c r="AH2361" s="1" t="s">
        <v>59</v>
      </c>
      <c r="AI2361">
        <v>28322</v>
      </c>
      <c r="AJ2361">
        <v>-41.650000000001455</v>
      </c>
    </row>
    <row r="2362" spans="1:36" x14ac:dyDescent="0.25">
      <c r="A2362">
        <v>12361</v>
      </c>
      <c r="B2362">
        <v>19</v>
      </c>
      <c r="C2362" s="1" t="s">
        <v>36</v>
      </c>
      <c r="D2362" s="1" t="s">
        <v>73</v>
      </c>
      <c r="E2362" s="2">
        <v>44310</v>
      </c>
      <c r="F2362" s="2">
        <v>44377</v>
      </c>
      <c r="G2362" s="1" t="s">
        <v>62</v>
      </c>
      <c r="H2362">
        <v>1477</v>
      </c>
      <c r="I2362">
        <v>29</v>
      </c>
      <c r="J2362">
        <v>4</v>
      </c>
      <c r="K2362">
        <v>42.22</v>
      </c>
      <c r="L2362">
        <v>0</v>
      </c>
      <c r="M2362" s="1" t="s">
        <v>65</v>
      </c>
      <c r="N2362" s="1" t="s">
        <v>56</v>
      </c>
      <c r="O2362">
        <v>42833</v>
      </c>
      <c r="P2362" t="b">
        <v>1</v>
      </c>
      <c r="Q2362">
        <v>2.4166666666666665</v>
      </c>
      <c r="R2362">
        <v>1477</v>
      </c>
      <c r="S2362">
        <v>8.4439999999999991</v>
      </c>
      <c r="T2362" s="2">
        <v>44287</v>
      </c>
      <c r="U2362" s="1" t="s">
        <v>66</v>
      </c>
      <c r="V2362">
        <v>0</v>
      </c>
      <c r="W2362" s="1" t="s">
        <v>40</v>
      </c>
      <c r="X2362">
        <v>67</v>
      </c>
      <c r="Y2362" s="1" t="s">
        <v>52</v>
      </c>
      <c r="Z2362" s="1" t="s">
        <v>42</v>
      </c>
      <c r="AA2362">
        <v>0.13333333333333333</v>
      </c>
      <c r="AB2362" s="1" t="s">
        <v>43</v>
      </c>
      <c r="AC2362">
        <v>2</v>
      </c>
      <c r="AD2362" s="2">
        <v>44287</v>
      </c>
      <c r="AE2362" s="1" t="s">
        <v>44</v>
      </c>
      <c r="AF2362" s="1" t="s">
        <v>45</v>
      </c>
      <c r="AG2362" s="1" t="s">
        <v>55</v>
      </c>
      <c r="AH2362" s="1" t="s">
        <v>47</v>
      </c>
      <c r="AI2362">
        <v>42833</v>
      </c>
      <c r="AJ2362">
        <v>0</v>
      </c>
    </row>
    <row r="2363" spans="1:36" x14ac:dyDescent="0.25">
      <c r="A2363">
        <v>12362</v>
      </c>
      <c r="B2363">
        <v>40</v>
      </c>
      <c r="C2363" s="1" t="s">
        <v>36</v>
      </c>
      <c r="D2363" s="1" t="s">
        <v>71</v>
      </c>
      <c r="E2363" s="2">
        <v>44535</v>
      </c>
      <c r="F2363" s="2">
        <v>44613</v>
      </c>
      <c r="G2363" s="1" t="s">
        <v>62</v>
      </c>
      <c r="H2363">
        <v>536</v>
      </c>
      <c r="I2363">
        <v>3</v>
      </c>
      <c r="J2363">
        <v>3</v>
      </c>
      <c r="K2363">
        <v>16.91</v>
      </c>
      <c r="L2363">
        <v>15</v>
      </c>
      <c r="M2363" s="1" t="s">
        <v>67</v>
      </c>
      <c r="N2363" s="1" t="s">
        <v>56</v>
      </c>
      <c r="O2363">
        <v>1527.6</v>
      </c>
      <c r="P2363" t="b">
        <v>1</v>
      </c>
      <c r="Q2363">
        <v>0.25</v>
      </c>
      <c r="R2363">
        <v>509.2</v>
      </c>
      <c r="S2363">
        <v>4.2275</v>
      </c>
      <c r="T2363" s="2">
        <v>44531</v>
      </c>
      <c r="U2363" s="1" t="s">
        <v>51</v>
      </c>
      <c r="V2363">
        <v>0</v>
      </c>
      <c r="W2363" s="1" t="s">
        <v>56</v>
      </c>
      <c r="X2363">
        <v>78</v>
      </c>
      <c r="Y2363" s="1" t="s">
        <v>42</v>
      </c>
      <c r="Z2363" s="1" t="s">
        <v>42</v>
      </c>
      <c r="AA2363">
        <v>0.75</v>
      </c>
      <c r="AB2363" s="1" t="s">
        <v>42</v>
      </c>
      <c r="AC2363">
        <v>2</v>
      </c>
      <c r="AD2363" s="2">
        <v>44531</v>
      </c>
      <c r="AE2363" s="1" t="s">
        <v>58</v>
      </c>
      <c r="AF2363" s="1" t="s">
        <v>72</v>
      </c>
      <c r="AG2363" s="1" t="s">
        <v>46</v>
      </c>
      <c r="AH2363" s="1" t="s">
        <v>64</v>
      </c>
      <c r="AI2363">
        <v>1608</v>
      </c>
      <c r="AJ2363">
        <v>-80.400000000000091</v>
      </c>
    </row>
    <row r="2364" spans="1:36" x14ac:dyDescent="0.25">
      <c r="A2364">
        <v>12363</v>
      </c>
      <c r="B2364">
        <v>61</v>
      </c>
      <c r="C2364" s="1" t="s">
        <v>36</v>
      </c>
      <c r="D2364" s="1" t="s">
        <v>73</v>
      </c>
      <c r="E2364" s="2">
        <v>44764</v>
      </c>
      <c r="F2364" s="2">
        <v>44675</v>
      </c>
      <c r="G2364" s="1" t="s">
        <v>49</v>
      </c>
      <c r="H2364">
        <v>1192</v>
      </c>
      <c r="I2364">
        <v>10</v>
      </c>
      <c r="J2364">
        <v>2</v>
      </c>
      <c r="K2364">
        <v>98.76</v>
      </c>
      <c r="L2364">
        <v>15</v>
      </c>
      <c r="M2364" s="1" t="s">
        <v>65</v>
      </c>
      <c r="N2364" s="1" t="s">
        <v>56</v>
      </c>
      <c r="O2364">
        <v>11741.2</v>
      </c>
      <c r="P2364" t="b">
        <v>0</v>
      </c>
      <c r="Q2364">
        <v>0.83333333333333337</v>
      </c>
      <c r="R2364">
        <v>1174.1200000000001</v>
      </c>
      <c r="S2364">
        <v>32.92</v>
      </c>
      <c r="T2364" s="2">
        <v>44743</v>
      </c>
      <c r="U2364" s="1" t="s">
        <v>41</v>
      </c>
      <c r="V2364">
        <v>0</v>
      </c>
      <c r="W2364" s="1" t="s">
        <v>56</v>
      </c>
      <c r="Y2364" s="1" t="s">
        <v>43</v>
      </c>
      <c r="Z2364" s="1" t="s">
        <v>42</v>
      </c>
      <c r="AA2364">
        <v>0.18181818181818182</v>
      </c>
      <c r="AB2364" s="1" t="s">
        <v>52</v>
      </c>
      <c r="AC2364">
        <v>3</v>
      </c>
      <c r="AD2364" s="2">
        <v>44743</v>
      </c>
      <c r="AE2364" s="1" t="s">
        <v>74</v>
      </c>
      <c r="AF2364" s="1" t="s">
        <v>72</v>
      </c>
      <c r="AG2364" s="1" t="s">
        <v>63</v>
      </c>
      <c r="AH2364" s="1" t="s">
        <v>47</v>
      </c>
      <c r="AI2364">
        <v>11920</v>
      </c>
      <c r="AJ2364">
        <v>-178.79999999999927</v>
      </c>
    </row>
    <row r="2365" spans="1:36" x14ac:dyDescent="0.25">
      <c r="A2365">
        <v>12364</v>
      </c>
      <c r="B2365">
        <v>19</v>
      </c>
      <c r="C2365" s="1" t="s">
        <v>36</v>
      </c>
      <c r="D2365" s="1" t="s">
        <v>48</v>
      </c>
      <c r="E2365" s="2">
        <v>44555</v>
      </c>
      <c r="F2365" s="2">
        <v>44839</v>
      </c>
      <c r="G2365" s="1" t="s">
        <v>62</v>
      </c>
      <c r="H2365">
        <v>816</v>
      </c>
      <c r="I2365">
        <v>20</v>
      </c>
      <c r="J2365">
        <v>5</v>
      </c>
      <c r="K2365">
        <v>39.14</v>
      </c>
      <c r="L2365">
        <v>0</v>
      </c>
      <c r="M2365" s="1" t="s">
        <v>39</v>
      </c>
      <c r="N2365" s="1" t="s">
        <v>56</v>
      </c>
      <c r="O2365">
        <v>16320</v>
      </c>
      <c r="P2365" t="b">
        <v>1</v>
      </c>
      <c r="Q2365">
        <v>1.6666666666666667</v>
      </c>
      <c r="R2365">
        <v>816</v>
      </c>
      <c r="S2365">
        <v>6.5233333333333334</v>
      </c>
      <c r="T2365" s="2">
        <v>44531</v>
      </c>
      <c r="U2365" s="1" t="s">
        <v>66</v>
      </c>
      <c r="V2365">
        <v>0</v>
      </c>
      <c r="W2365" s="1" t="s">
        <v>40</v>
      </c>
      <c r="X2365">
        <v>284</v>
      </c>
      <c r="Y2365" s="1" t="s">
        <v>52</v>
      </c>
      <c r="Z2365" s="1" t="s">
        <v>42</v>
      </c>
      <c r="AA2365">
        <v>0.23809523809523808</v>
      </c>
      <c r="AB2365" s="1" t="s">
        <v>52</v>
      </c>
      <c r="AC2365">
        <v>2</v>
      </c>
      <c r="AD2365" s="2">
        <v>44531</v>
      </c>
      <c r="AE2365" s="1" t="s">
        <v>53</v>
      </c>
      <c r="AF2365" s="1" t="s">
        <v>45</v>
      </c>
      <c r="AG2365" s="1" t="s">
        <v>55</v>
      </c>
      <c r="AH2365" s="1" t="s">
        <v>59</v>
      </c>
      <c r="AI2365">
        <v>16320</v>
      </c>
      <c r="AJ2365">
        <v>0</v>
      </c>
    </row>
    <row r="2366" spans="1:36" x14ac:dyDescent="0.25">
      <c r="A2366">
        <v>12365</v>
      </c>
      <c r="B2366">
        <v>55</v>
      </c>
      <c r="C2366" s="1" t="s">
        <v>60</v>
      </c>
      <c r="D2366" s="1" t="s">
        <v>69</v>
      </c>
      <c r="E2366" s="2">
        <v>44846</v>
      </c>
      <c r="F2366" s="2">
        <v>44564</v>
      </c>
      <c r="G2366" s="1" t="s">
        <v>38</v>
      </c>
      <c r="H2366">
        <v>337</v>
      </c>
      <c r="I2366">
        <v>2</v>
      </c>
      <c r="J2366">
        <v>4</v>
      </c>
      <c r="K2366">
        <v>117.23</v>
      </c>
      <c r="L2366">
        <v>5</v>
      </c>
      <c r="M2366" s="1" t="s">
        <v>65</v>
      </c>
      <c r="N2366" s="1" t="s">
        <v>56</v>
      </c>
      <c r="O2366">
        <v>657.15</v>
      </c>
      <c r="P2366" t="b">
        <v>0</v>
      </c>
      <c r="Q2366">
        <v>0.16666666666666666</v>
      </c>
      <c r="R2366">
        <v>328.57499999999999</v>
      </c>
      <c r="S2366">
        <v>23.446000000000002</v>
      </c>
      <c r="T2366" s="2">
        <v>44835</v>
      </c>
      <c r="U2366" s="1" t="s">
        <v>41</v>
      </c>
      <c r="V2366">
        <v>0</v>
      </c>
      <c r="W2366" s="1" t="s">
        <v>56</v>
      </c>
      <c r="Y2366" s="1" t="s">
        <v>43</v>
      </c>
      <c r="Z2366" s="1" t="s">
        <v>42</v>
      </c>
      <c r="AA2366">
        <v>1.3333333333333333</v>
      </c>
      <c r="AB2366" s="1" t="s">
        <v>42</v>
      </c>
      <c r="AC2366">
        <v>1</v>
      </c>
      <c r="AD2366" s="2">
        <v>44835</v>
      </c>
      <c r="AE2366" s="1" t="s">
        <v>58</v>
      </c>
      <c r="AF2366" s="1" t="s">
        <v>45</v>
      </c>
      <c r="AG2366" s="1" t="s">
        <v>63</v>
      </c>
      <c r="AH2366" s="1" t="s">
        <v>68</v>
      </c>
      <c r="AI2366">
        <v>674</v>
      </c>
      <c r="AJ2366">
        <v>-16.850000000000023</v>
      </c>
    </row>
    <row r="2367" spans="1:36" x14ac:dyDescent="0.25">
      <c r="A2367">
        <v>12366</v>
      </c>
      <c r="B2367">
        <v>34</v>
      </c>
      <c r="C2367" s="1" t="s">
        <v>60</v>
      </c>
      <c r="D2367" s="1" t="s">
        <v>69</v>
      </c>
      <c r="E2367" s="2">
        <v>44810</v>
      </c>
      <c r="F2367" s="2">
        <v>44667</v>
      </c>
      <c r="G2367" s="1" t="s">
        <v>62</v>
      </c>
      <c r="H2367">
        <v>953</v>
      </c>
      <c r="I2367">
        <v>27</v>
      </c>
      <c r="J2367">
        <v>3</v>
      </c>
      <c r="K2367">
        <v>85.8</v>
      </c>
      <c r="L2367">
        <v>5</v>
      </c>
      <c r="M2367" s="1" t="s">
        <v>65</v>
      </c>
      <c r="N2367" s="1" t="s">
        <v>56</v>
      </c>
      <c r="O2367">
        <v>25683.35</v>
      </c>
      <c r="P2367" t="b">
        <v>0</v>
      </c>
      <c r="Q2367">
        <v>2.25</v>
      </c>
      <c r="R2367">
        <v>951.23518518518517</v>
      </c>
      <c r="S2367">
        <v>21.45</v>
      </c>
      <c r="T2367" s="2">
        <v>44805</v>
      </c>
      <c r="U2367" s="1" t="s">
        <v>57</v>
      </c>
      <c r="V2367">
        <v>0</v>
      </c>
      <c r="W2367" s="1" t="s">
        <v>40</v>
      </c>
      <c r="Y2367" s="1" t="s">
        <v>43</v>
      </c>
      <c r="Z2367" s="1" t="s">
        <v>42</v>
      </c>
      <c r="AA2367">
        <v>0.10714285714285714</v>
      </c>
      <c r="AB2367" s="1" t="s">
        <v>43</v>
      </c>
      <c r="AC2367">
        <v>2</v>
      </c>
      <c r="AD2367" s="2">
        <v>44805</v>
      </c>
      <c r="AE2367" s="1" t="s">
        <v>44</v>
      </c>
      <c r="AF2367" s="1" t="s">
        <v>72</v>
      </c>
      <c r="AG2367" s="1" t="s">
        <v>63</v>
      </c>
      <c r="AH2367" s="1" t="s">
        <v>59</v>
      </c>
      <c r="AI2367">
        <v>25731</v>
      </c>
      <c r="AJ2367">
        <v>-47.650000000001455</v>
      </c>
    </row>
    <row r="2368" spans="1:36" x14ac:dyDescent="0.25">
      <c r="A2368">
        <v>12367</v>
      </c>
      <c r="B2368">
        <v>52</v>
      </c>
      <c r="C2368" s="1" t="s">
        <v>60</v>
      </c>
      <c r="D2368" s="1" t="s">
        <v>37</v>
      </c>
      <c r="E2368" s="2">
        <v>44530</v>
      </c>
      <c r="F2368" s="2">
        <v>44746</v>
      </c>
      <c r="G2368" s="1" t="s">
        <v>38</v>
      </c>
      <c r="H2368">
        <v>1046</v>
      </c>
      <c r="I2368">
        <v>32</v>
      </c>
      <c r="J2368">
        <v>3</v>
      </c>
      <c r="K2368">
        <v>24.94</v>
      </c>
      <c r="L2368">
        <v>10</v>
      </c>
      <c r="M2368" s="1" t="s">
        <v>65</v>
      </c>
      <c r="N2368" s="1" t="s">
        <v>40</v>
      </c>
      <c r="O2368">
        <v>33367.4</v>
      </c>
      <c r="P2368" t="b">
        <v>1</v>
      </c>
      <c r="Q2368">
        <v>2.6666666666666665</v>
      </c>
      <c r="R2368">
        <v>1042.73125</v>
      </c>
      <c r="S2368">
        <v>6.2350000000000003</v>
      </c>
      <c r="T2368" s="2">
        <v>44501</v>
      </c>
      <c r="U2368" s="1" t="s">
        <v>41</v>
      </c>
      <c r="V2368">
        <v>1</v>
      </c>
      <c r="W2368" s="1" t="s">
        <v>40</v>
      </c>
      <c r="X2368">
        <v>216</v>
      </c>
      <c r="Y2368" s="1" t="s">
        <v>52</v>
      </c>
      <c r="Z2368" s="1" t="s">
        <v>42</v>
      </c>
      <c r="AA2368">
        <v>9.0909090909090912E-2</v>
      </c>
      <c r="AB2368" s="1" t="s">
        <v>43</v>
      </c>
      <c r="AC2368">
        <v>1</v>
      </c>
      <c r="AD2368" s="2">
        <v>44501</v>
      </c>
      <c r="AE2368" s="1" t="s">
        <v>44</v>
      </c>
      <c r="AF2368" s="1" t="s">
        <v>72</v>
      </c>
      <c r="AG2368" s="1" t="s">
        <v>70</v>
      </c>
      <c r="AH2368" s="1" t="s">
        <v>47</v>
      </c>
      <c r="AI2368">
        <v>33472</v>
      </c>
      <c r="AJ2368">
        <v>-104.59999999999854</v>
      </c>
    </row>
    <row r="2369" spans="1:36" x14ac:dyDescent="0.25">
      <c r="A2369">
        <v>12368</v>
      </c>
      <c r="B2369">
        <v>51</v>
      </c>
      <c r="C2369" s="1" t="s">
        <v>75</v>
      </c>
      <c r="D2369" s="1" t="s">
        <v>48</v>
      </c>
      <c r="E2369" s="2">
        <v>44885</v>
      </c>
      <c r="F2369" s="2">
        <v>45238</v>
      </c>
      <c r="G2369" s="1" t="s">
        <v>38</v>
      </c>
      <c r="H2369">
        <v>1140</v>
      </c>
      <c r="I2369">
        <v>10</v>
      </c>
      <c r="J2369">
        <v>2</v>
      </c>
      <c r="K2369">
        <v>59.74</v>
      </c>
      <c r="L2369">
        <v>20</v>
      </c>
      <c r="M2369" s="1" t="s">
        <v>39</v>
      </c>
      <c r="N2369" s="1" t="s">
        <v>56</v>
      </c>
      <c r="O2369">
        <v>11172</v>
      </c>
      <c r="P2369" t="b">
        <v>1</v>
      </c>
      <c r="Q2369">
        <v>0.83333333333333337</v>
      </c>
      <c r="R2369">
        <v>1117.2</v>
      </c>
      <c r="S2369">
        <v>19.913333333333334</v>
      </c>
      <c r="T2369" s="2">
        <v>44866</v>
      </c>
      <c r="U2369" s="1" t="s">
        <v>41</v>
      </c>
      <c r="V2369">
        <v>0</v>
      </c>
      <c r="W2369" s="1" t="s">
        <v>56</v>
      </c>
      <c r="X2369">
        <v>353</v>
      </c>
      <c r="Y2369" s="1" t="s">
        <v>52</v>
      </c>
      <c r="Z2369" s="1" t="s">
        <v>52</v>
      </c>
      <c r="AA2369">
        <v>0.18181818181818182</v>
      </c>
      <c r="AB2369" s="1" t="s">
        <v>52</v>
      </c>
      <c r="AC2369">
        <v>1</v>
      </c>
      <c r="AD2369" s="2">
        <v>44866</v>
      </c>
      <c r="AE2369" s="1" t="s">
        <v>74</v>
      </c>
      <c r="AF2369" s="1" t="s">
        <v>72</v>
      </c>
      <c r="AG2369" s="1" t="s">
        <v>63</v>
      </c>
      <c r="AH2369" s="1" t="s">
        <v>47</v>
      </c>
      <c r="AI2369">
        <v>11400</v>
      </c>
      <c r="AJ2369">
        <v>-228</v>
      </c>
    </row>
    <row r="2370" spans="1:36" x14ac:dyDescent="0.25">
      <c r="A2370">
        <v>12369</v>
      </c>
      <c r="B2370">
        <v>40</v>
      </c>
      <c r="C2370" s="1" t="s">
        <v>60</v>
      </c>
      <c r="D2370" s="1" t="s">
        <v>48</v>
      </c>
      <c r="E2370" s="2">
        <v>44365</v>
      </c>
      <c r="F2370" s="2">
        <v>44452</v>
      </c>
      <c r="G2370" s="1" t="s">
        <v>38</v>
      </c>
      <c r="H2370">
        <v>747</v>
      </c>
      <c r="I2370">
        <v>17</v>
      </c>
      <c r="J2370">
        <v>1</v>
      </c>
      <c r="K2370">
        <v>58.69</v>
      </c>
      <c r="L2370">
        <v>0</v>
      </c>
      <c r="M2370" s="1" t="s">
        <v>39</v>
      </c>
      <c r="N2370" s="1" t="s">
        <v>56</v>
      </c>
      <c r="O2370">
        <v>12699</v>
      </c>
      <c r="P2370" t="b">
        <v>1</v>
      </c>
      <c r="Q2370">
        <v>1.4166666666666667</v>
      </c>
      <c r="R2370">
        <v>747</v>
      </c>
      <c r="S2370">
        <v>29.344999999999999</v>
      </c>
      <c r="T2370" s="2">
        <v>44348</v>
      </c>
      <c r="U2370" s="1" t="s">
        <v>51</v>
      </c>
      <c r="V2370">
        <v>0</v>
      </c>
      <c r="W2370" s="1" t="s">
        <v>56</v>
      </c>
      <c r="X2370">
        <v>87</v>
      </c>
      <c r="Y2370" s="1" t="s">
        <v>52</v>
      </c>
      <c r="Z2370" s="1" t="s">
        <v>42</v>
      </c>
      <c r="AA2370">
        <v>5.5555555555555552E-2</v>
      </c>
      <c r="AB2370" s="1" t="s">
        <v>52</v>
      </c>
      <c r="AC2370">
        <v>1</v>
      </c>
      <c r="AD2370" s="2">
        <v>44348</v>
      </c>
      <c r="AE2370" s="1" t="s">
        <v>53</v>
      </c>
      <c r="AF2370" s="1" t="s">
        <v>54</v>
      </c>
      <c r="AG2370" s="1" t="s">
        <v>63</v>
      </c>
      <c r="AH2370" s="1" t="s">
        <v>59</v>
      </c>
      <c r="AI2370">
        <v>12699</v>
      </c>
      <c r="AJ2370">
        <v>0</v>
      </c>
    </row>
    <row r="2371" spans="1:36" x14ac:dyDescent="0.25">
      <c r="A2371">
        <v>12370</v>
      </c>
      <c r="B2371">
        <v>47</v>
      </c>
      <c r="C2371" s="1" t="s">
        <v>60</v>
      </c>
      <c r="D2371" s="1" t="s">
        <v>71</v>
      </c>
      <c r="E2371" s="2">
        <v>44535</v>
      </c>
      <c r="F2371" s="2">
        <v>45043</v>
      </c>
      <c r="G2371" s="1" t="s">
        <v>38</v>
      </c>
      <c r="H2371">
        <v>983</v>
      </c>
      <c r="I2371">
        <v>33</v>
      </c>
      <c r="J2371">
        <v>4</v>
      </c>
      <c r="K2371">
        <v>61.64</v>
      </c>
      <c r="L2371">
        <v>20</v>
      </c>
      <c r="M2371" s="1" t="s">
        <v>65</v>
      </c>
      <c r="N2371" s="1" t="s">
        <v>56</v>
      </c>
      <c r="O2371">
        <v>32242.400000000001</v>
      </c>
      <c r="P2371" t="b">
        <v>1</v>
      </c>
      <c r="Q2371">
        <v>2.75</v>
      </c>
      <c r="R2371">
        <v>977.04242424242432</v>
      </c>
      <c r="S2371">
        <v>12.327999999999999</v>
      </c>
      <c r="T2371" s="2">
        <v>44531</v>
      </c>
      <c r="U2371" s="1" t="s">
        <v>51</v>
      </c>
      <c r="V2371">
        <v>0</v>
      </c>
      <c r="W2371" s="1" t="s">
        <v>40</v>
      </c>
      <c r="X2371">
        <v>508</v>
      </c>
      <c r="Y2371" s="1" t="s">
        <v>43</v>
      </c>
      <c r="Z2371" s="1" t="s">
        <v>52</v>
      </c>
      <c r="AA2371">
        <v>0.11764705882352941</v>
      </c>
      <c r="AB2371" s="1" t="s">
        <v>43</v>
      </c>
      <c r="AC2371">
        <v>1</v>
      </c>
      <c r="AD2371" s="2">
        <v>44531</v>
      </c>
      <c r="AE2371" s="1" t="s">
        <v>44</v>
      </c>
      <c r="AF2371" s="1" t="s">
        <v>45</v>
      </c>
      <c r="AG2371" s="1" t="s">
        <v>63</v>
      </c>
      <c r="AH2371" s="1" t="s">
        <v>59</v>
      </c>
      <c r="AI2371">
        <v>32439</v>
      </c>
      <c r="AJ2371">
        <v>-196.59999999999854</v>
      </c>
    </row>
    <row r="2372" spans="1:36" x14ac:dyDescent="0.25">
      <c r="A2372">
        <v>12371</v>
      </c>
      <c r="B2372">
        <v>41</v>
      </c>
      <c r="C2372" s="1" t="s">
        <v>36</v>
      </c>
      <c r="D2372" s="1" t="s">
        <v>71</v>
      </c>
      <c r="E2372" s="2">
        <v>44994</v>
      </c>
      <c r="F2372" s="2">
        <v>44677</v>
      </c>
      <c r="G2372" s="1" t="s">
        <v>38</v>
      </c>
      <c r="H2372">
        <v>424</v>
      </c>
      <c r="I2372">
        <v>6</v>
      </c>
      <c r="J2372">
        <v>3</v>
      </c>
      <c r="K2372">
        <v>66.599999999999994</v>
      </c>
      <c r="L2372">
        <v>20</v>
      </c>
      <c r="M2372" s="1" t="s">
        <v>67</v>
      </c>
      <c r="N2372" s="1" t="s">
        <v>40</v>
      </c>
      <c r="O2372">
        <v>2459.1999999999998</v>
      </c>
      <c r="P2372" t="b">
        <v>0</v>
      </c>
      <c r="Q2372">
        <v>0.5</v>
      </c>
      <c r="R2372">
        <v>409.86666666666662</v>
      </c>
      <c r="S2372">
        <v>16.649999999999999</v>
      </c>
      <c r="T2372" s="2">
        <v>44986</v>
      </c>
      <c r="U2372" s="1" t="s">
        <v>51</v>
      </c>
      <c r="V2372">
        <v>1</v>
      </c>
      <c r="W2372" s="1" t="s">
        <v>56</v>
      </c>
      <c r="Y2372" s="1" t="s">
        <v>43</v>
      </c>
      <c r="Z2372" s="1" t="s">
        <v>52</v>
      </c>
      <c r="AA2372">
        <v>0.42857142857142855</v>
      </c>
      <c r="AB2372" s="1" t="s">
        <v>42</v>
      </c>
      <c r="AC2372">
        <v>1</v>
      </c>
      <c r="AD2372" s="2">
        <v>44986</v>
      </c>
      <c r="AE2372" s="1" t="s">
        <v>58</v>
      </c>
      <c r="AF2372" s="1" t="s">
        <v>72</v>
      </c>
      <c r="AG2372" s="1" t="s">
        <v>63</v>
      </c>
      <c r="AH2372" s="1" t="s">
        <v>68</v>
      </c>
      <c r="AI2372">
        <v>2544</v>
      </c>
      <c r="AJ2372">
        <v>-84.800000000000182</v>
      </c>
    </row>
    <row r="2373" spans="1:36" x14ac:dyDescent="0.25">
      <c r="A2373">
        <v>12372</v>
      </c>
      <c r="B2373">
        <v>41</v>
      </c>
      <c r="C2373" s="1" t="s">
        <v>36</v>
      </c>
      <c r="D2373" s="1" t="s">
        <v>37</v>
      </c>
      <c r="E2373" s="2">
        <v>44457</v>
      </c>
      <c r="F2373" s="2">
        <v>45007</v>
      </c>
      <c r="G2373" s="1" t="s">
        <v>38</v>
      </c>
      <c r="H2373">
        <v>1388</v>
      </c>
      <c r="I2373">
        <v>18</v>
      </c>
      <c r="J2373">
        <v>2</v>
      </c>
      <c r="K2373">
        <v>8.58</v>
      </c>
      <c r="L2373">
        <v>15</v>
      </c>
      <c r="M2373" s="1" t="s">
        <v>67</v>
      </c>
      <c r="N2373" s="1" t="s">
        <v>40</v>
      </c>
      <c r="O2373">
        <v>24775.8</v>
      </c>
      <c r="P2373" t="b">
        <v>1</v>
      </c>
      <c r="Q2373">
        <v>1.5</v>
      </c>
      <c r="R2373">
        <v>1376.4333333333334</v>
      </c>
      <c r="S2373">
        <v>2.86</v>
      </c>
      <c r="T2373" s="2">
        <v>44440</v>
      </c>
      <c r="U2373" s="1" t="s">
        <v>51</v>
      </c>
      <c r="V2373">
        <v>1</v>
      </c>
      <c r="W2373" s="1" t="s">
        <v>40</v>
      </c>
      <c r="X2373">
        <v>550</v>
      </c>
      <c r="Y2373" s="1" t="s">
        <v>42</v>
      </c>
      <c r="Z2373" s="1" t="s">
        <v>42</v>
      </c>
      <c r="AA2373">
        <v>0.10526315789473684</v>
      </c>
      <c r="AB2373" s="1" t="s">
        <v>43</v>
      </c>
      <c r="AC2373">
        <v>1</v>
      </c>
      <c r="AD2373" s="2">
        <v>44440</v>
      </c>
      <c r="AE2373" s="1" t="s">
        <v>53</v>
      </c>
      <c r="AF2373" s="1" t="s">
        <v>72</v>
      </c>
      <c r="AG2373" s="1" t="s">
        <v>77</v>
      </c>
      <c r="AH2373" s="1" t="s">
        <v>47</v>
      </c>
      <c r="AI2373">
        <v>24984</v>
      </c>
      <c r="AJ2373">
        <v>-208.20000000000073</v>
      </c>
    </row>
    <row r="2374" spans="1:36" x14ac:dyDescent="0.25">
      <c r="A2374">
        <v>12373</v>
      </c>
      <c r="B2374">
        <v>61</v>
      </c>
      <c r="C2374" s="1" t="s">
        <v>36</v>
      </c>
      <c r="D2374" s="1" t="s">
        <v>61</v>
      </c>
      <c r="E2374" s="2">
        <v>45083</v>
      </c>
      <c r="F2374" s="2">
        <v>44964</v>
      </c>
      <c r="G2374" s="1" t="s">
        <v>62</v>
      </c>
      <c r="H2374">
        <v>1092</v>
      </c>
      <c r="I2374">
        <v>9</v>
      </c>
      <c r="J2374">
        <v>5</v>
      </c>
      <c r="K2374">
        <v>83.92</v>
      </c>
      <c r="L2374">
        <v>15</v>
      </c>
      <c r="M2374" s="1" t="s">
        <v>39</v>
      </c>
      <c r="N2374" s="1" t="s">
        <v>56</v>
      </c>
      <c r="O2374">
        <v>9664.2000000000007</v>
      </c>
      <c r="P2374" t="b">
        <v>0</v>
      </c>
      <c r="Q2374">
        <v>0.75</v>
      </c>
      <c r="R2374">
        <v>1073.8000000000002</v>
      </c>
      <c r="S2374">
        <v>13.986666666666666</v>
      </c>
      <c r="T2374" s="2">
        <v>45078</v>
      </c>
      <c r="U2374" s="1" t="s">
        <v>41</v>
      </c>
      <c r="V2374">
        <v>0</v>
      </c>
      <c r="W2374" s="1" t="s">
        <v>56</v>
      </c>
      <c r="Y2374" s="1" t="s">
        <v>43</v>
      </c>
      <c r="Z2374" s="1" t="s">
        <v>42</v>
      </c>
      <c r="AA2374">
        <v>0.5</v>
      </c>
      <c r="AB2374" s="1" t="s">
        <v>52</v>
      </c>
      <c r="AC2374">
        <v>2</v>
      </c>
      <c r="AD2374" s="2">
        <v>45078</v>
      </c>
      <c r="AE2374" s="1" t="s">
        <v>74</v>
      </c>
      <c r="AF2374" s="1" t="s">
        <v>45</v>
      </c>
      <c r="AG2374" s="1" t="s">
        <v>63</v>
      </c>
      <c r="AH2374" s="1" t="s">
        <v>47</v>
      </c>
      <c r="AI2374">
        <v>9828</v>
      </c>
      <c r="AJ2374">
        <v>-163.79999999999927</v>
      </c>
    </row>
    <row r="2375" spans="1:36" x14ac:dyDescent="0.25">
      <c r="A2375">
        <v>12374</v>
      </c>
      <c r="B2375">
        <v>53</v>
      </c>
      <c r="C2375" s="1" t="s">
        <v>60</v>
      </c>
      <c r="D2375" s="1" t="s">
        <v>76</v>
      </c>
      <c r="E2375" s="2">
        <v>44931</v>
      </c>
      <c r="F2375" s="2">
        <v>44394</v>
      </c>
      <c r="G2375" s="1" t="s">
        <v>49</v>
      </c>
      <c r="H2375">
        <v>1083</v>
      </c>
      <c r="I2375">
        <v>8</v>
      </c>
      <c r="J2375">
        <v>3</v>
      </c>
      <c r="K2375">
        <v>61.03</v>
      </c>
      <c r="L2375">
        <v>0</v>
      </c>
      <c r="M2375" s="1" t="s">
        <v>50</v>
      </c>
      <c r="N2375" s="1" t="s">
        <v>56</v>
      </c>
      <c r="O2375">
        <v>8664</v>
      </c>
      <c r="P2375" t="b">
        <v>0</v>
      </c>
      <c r="Q2375">
        <v>0.66666666666666663</v>
      </c>
      <c r="R2375">
        <v>1083</v>
      </c>
      <c r="S2375">
        <v>15.2575</v>
      </c>
      <c r="T2375" s="2">
        <v>44927</v>
      </c>
      <c r="U2375" s="1" t="s">
        <v>41</v>
      </c>
      <c r="V2375">
        <v>0</v>
      </c>
      <c r="W2375" s="1" t="s">
        <v>56</v>
      </c>
      <c r="Y2375" s="1" t="s">
        <v>43</v>
      </c>
      <c r="Z2375" s="1" t="s">
        <v>42</v>
      </c>
      <c r="AA2375">
        <v>0.33333333333333331</v>
      </c>
      <c r="AB2375" s="1" t="s">
        <v>42</v>
      </c>
      <c r="AC2375">
        <v>3</v>
      </c>
      <c r="AD2375" s="2">
        <v>44927</v>
      </c>
      <c r="AE2375" s="1" t="s">
        <v>74</v>
      </c>
      <c r="AF2375" s="1" t="s">
        <v>72</v>
      </c>
      <c r="AG2375" s="1" t="s">
        <v>63</v>
      </c>
      <c r="AH2375" s="1" t="s">
        <v>47</v>
      </c>
      <c r="AI2375">
        <v>8664</v>
      </c>
      <c r="AJ2375">
        <v>0</v>
      </c>
    </row>
    <row r="2376" spans="1:36" x14ac:dyDescent="0.25">
      <c r="A2376">
        <v>12375</v>
      </c>
      <c r="B2376">
        <v>22</v>
      </c>
      <c r="C2376" s="1" t="s">
        <v>60</v>
      </c>
      <c r="D2376" s="1" t="s">
        <v>61</v>
      </c>
      <c r="E2376" s="2">
        <v>44395</v>
      </c>
      <c r="F2376" s="2">
        <v>44946</v>
      </c>
      <c r="G2376" s="1" t="s">
        <v>49</v>
      </c>
      <c r="H2376">
        <v>525</v>
      </c>
      <c r="I2376">
        <v>25</v>
      </c>
      <c r="J2376">
        <v>1</v>
      </c>
      <c r="K2376">
        <v>95.96</v>
      </c>
      <c r="L2376">
        <v>0</v>
      </c>
      <c r="M2376" s="1" t="s">
        <v>67</v>
      </c>
      <c r="N2376" s="1" t="s">
        <v>56</v>
      </c>
      <c r="O2376">
        <v>13125</v>
      </c>
      <c r="P2376" t="b">
        <v>1</v>
      </c>
      <c r="Q2376">
        <v>2.0833333333333335</v>
      </c>
      <c r="R2376">
        <v>525</v>
      </c>
      <c r="S2376">
        <v>47.98</v>
      </c>
      <c r="T2376" s="2">
        <v>44378</v>
      </c>
      <c r="U2376" s="1" t="s">
        <v>66</v>
      </c>
      <c r="V2376">
        <v>0</v>
      </c>
      <c r="W2376" s="1" t="s">
        <v>56</v>
      </c>
      <c r="X2376">
        <v>551</v>
      </c>
      <c r="Y2376" s="1" t="s">
        <v>43</v>
      </c>
      <c r="Z2376" s="1" t="s">
        <v>42</v>
      </c>
      <c r="AA2376">
        <v>3.8461538461538464E-2</v>
      </c>
      <c r="AB2376" s="1" t="s">
        <v>52</v>
      </c>
      <c r="AC2376">
        <v>3</v>
      </c>
      <c r="AD2376" s="2">
        <v>44378</v>
      </c>
      <c r="AE2376" s="1" t="s">
        <v>44</v>
      </c>
      <c r="AF2376" s="1" t="s">
        <v>54</v>
      </c>
      <c r="AG2376" s="1" t="s">
        <v>63</v>
      </c>
      <c r="AH2376" s="1" t="s">
        <v>64</v>
      </c>
      <c r="AI2376">
        <v>13125</v>
      </c>
      <c r="AJ2376">
        <v>0</v>
      </c>
    </row>
    <row r="2377" spans="1:36" x14ac:dyDescent="0.25">
      <c r="A2377">
        <v>12376</v>
      </c>
      <c r="B2377">
        <v>30</v>
      </c>
      <c r="C2377" s="1" t="s">
        <v>60</v>
      </c>
      <c r="D2377" s="1" t="s">
        <v>61</v>
      </c>
      <c r="E2377" s="2">
        <v>44407</v>
      </c>
      <c r="F2377" s="2">
        <v>45168</v>
      </c>
      <c r="G2377" s="1" t="s">
        <v>38</v>
      </c>
      <c r="H2377">
        <v>764</v>
      </c>
      <c r="I2377">
        <v>31</v>
      </c>
      <c r="J2377">
        <v>1</v>
      </c>
      <c r="K2377">
        <v>98.77</v>
      </c>
      <c r="L2377">
        <v>5</v>
      </c>
      <c r="M2377" s="1" t="s">
        <v>65</v>
      </c>
      <c r="N2377" s="1" t="s">
        <v>56</v>
      </c>
      <c r="O2377">
        <v>23645.8</v>
      </c>
      <c r="P2377" t="b">
        <v>1</v>
      </c>
      <c r="Q2377">
        <v>2.5833333333333335</v>
      </c>
      <c r="R2377">
        <v>762.76774193548385</v>
      </c>
      <c r="S2377">
        <v>49.384999999999998</v>
      </c>
      <c r="T2377" s="2">
        <v>44378</v>
      </c>
      <c r="U2377" s="1" t="s">
        <v>57</v>
      </c>
      <c r="V2377">
        <v>0</v>
      </c>
      <c r="W2377" s="1" t="s">
        <v>40</v>
      </c>
      <c r="X2377">
        <v>761</v>
      </c>
      <c r="Y2377" s="1" t="s">
        <v>43</v>
      </c>
      <c r="Z2377" s="1" t="s">
        <v>42</v>
      </c>
      <c r="AA2377">
        <v>3.125E-2</v>
      </c>
      <c r="AB2377" s="1" t="s">
        <v>43</v>
      </c>
      <c r="AC2377">
        <v>1</v>
      </c>
      <c r="AD2377" s="2">
        <v>44378</v>
      </c>
      <c r="AE2377" s="1" t="s">
        <v>44</v>
      </c>
      <c r="AF2377" s="1" t="s">
        <v>54</v>
      </c>
      <c r="AG2377" s="1" t="s">
        <v>63</v>
      </c>
      <c r="AH2377" s="1" t="s">
        <v>59</v>
      </c>
      <c r="AI2377">
        <v>23684</v>
      </c>
      <c r="AJ2377">
        <v>-38.200000000000728</v>
      </c>
    </row>
    <row r="2378" spans="1:36" x14ac:dyDescent="0.25">
      <c r="A2378">
        <v>12377</v>
      </c>
      <c r="B2378">
        <v>46</v>
      </c>
      <c r="C2378" s="1" t="s">
        <v>60</v>
      </c>
      <c r="D2378" s="1" t="s">
        <v>48</v>
      </c>
      <c r="E2378" s="2">
        <v>44483</v>
      </c>
      <c r="F2378" s="2">
        <v>44988</v>
      </c>
      <c r="G2378" s="1" t="s">
        <v>62</v>
      </c>
      <c r="H2378">
        <v>942</v>
      </c>
      <c r="I2378">
        <v>4</v>
      </c>
      <c r="J2378">
        <v>3</v>
      </c>
      <c r="K2378">
        <v>31.51</v>
      </c>
      <c r="L2378">
        <v>0</v>
      </c>
      <c r="M2378" s="1" t="s">
        <v>50</v>
      </c>
      <c r="N2378" s="1" t="s">
        <v>40</v>
      </c>
      <c r="O2378">
        <v>3768</v>
      </c>
      <c r="P2378" t="b">
        <v>1</v>
      </c>
      <c r="Q2378">
        <v>0.33333333333333331</v>
      </c>
      <c r="R2378">
        <v>942</v>
      </c>
      <c r="S2378">
        <v>7.8775000000000004</v>
      </c>
      <c r="T2378" s="2">
        <v>44470</v>
      </c>
      <c r="U2378" s="1" t="s">
        <v>51</v>
      </c>
      <c r="V2378">
        <v>1</v>
      </c>
      <c r="W2378" s="1" t="s">
        <v>56</v>
      </c>
      <c r="X2378">
        <v>505</v>
      </c>
      <c r="Y2378" s="1" t="s">
        <v>52</v>
      </c>
      <c r="Z2378" s="1" t="s">
        <v>42</v>
      </c>
      <c r="AA2378">
        <v>0.6</v>
      </c>
      <c r="AB2378" s="1" t="s">
        <v>42</v>
      </c>
      <c r="AC2378">
        <v>2</v>
      </c>
      <c r="AD2378" s="2">
        <v>44470</v>
      </c>
      <c r="AE2378" s="1" t="s">
        <v>58</v>
      </c>
      <c r="AF2378" s="1" t="s">
        <v>72</v>
      </c>
      <c r="AG2378" s="1" t="s">
        <v>55</v>
      </c>
      <c r="AH2378" s="1" t="s">
        <v>59</v>
      </c>
      <c r="AI2378">
        <v>3768</v>
      </c>
      <c r="AJ2378">
        <v>0</v>
      </c>
    </row>
    <row r="2379" spans="1:36" x14ac:dyDescent="0.25">
      <c r="A2379">
        <v>12378</v>
      </c>
      <c r="B2379">
        <v>48</v>
      </c>
      <c r="C2379" s="1" t="s">
        <v>60</v>
      </c>
      <c r="D2379" s="1" t="s">
        <v>73</v>
      </c>
      <c r="E2379" s="2">
        <v>44888</v>
      </c>
      <c r="F2379" s="2">
        <v>45117</v>
      </c>
      <c r="G2379" s="1" t="s">
        <v>49</v>
      </c>
      <c r="H2379">
        <v>592</v>
      </c>
      <c r="I2379">
        <v>20</v>
      </c>
      <c r="J2379">
        <v>0</v>
      </c>
      <c r="K2379">
        <v>10.57</v>
      </c>
      <c r="L2379">
        <v>5</v>
      </c>
      <c r="M2379" s="1" t="s">
        <v>39</v>
      </c>
      <c r="N2379" s="1" t="s">
        <v>40</v>
      </c>
      <c r="O2379">
        <v>11810.4</v>
      </c>
      <c r="P2379" t="b">
        <v>1</v>
      </c>
      <c r="Q2379">
        <v>1.6666666666666667</v>
      </c>
      <c r="R2379">
        <v>590.52</v>
      </c>
      <c r="S2379">
        <v>10.57</v>
      </c>
      <c r="T2379" s="2">
        <v>44866</v>
      </c>
      <c r="U2379" s="1" t="s">
        <v>51</v>
      </c>
      <c r="V2379">
        <v>1</v>
      </c>
      <c r="W2379" s="1" t="s">
        <v>56</v>
      </c>
      <c r="X2379">
        <v>229</v>
      </c>
      <c r="Y2379" s="1" t="s">
        <v>42</v>
      </c>
      <c r="Z2379" s="1" t="s">
        <v>42</v>
      </c>
      <c r="AA2379">
        <v>0</v>
      </c>
      <c r="AB2379" s="1" t="s">
        <v>52</v>
      </c>
      <c r="AC2379">
        <v>3</v>
      </c>
      <c r="AD2379" s="2">
        <v>44866</v>
      </c>
      <c r="AE2379" s="1" t="s">
        <v>53</v>
      </c>
      <c r="AF2379" s="1" t="s">
        <v>54</v>
      </c>
      <c r="AG2379" s="1" t="s">
        <v>46</v>
      </c>
      <c r="AH2379" s="1" t="s">
        <v>64</v>
      </c>
      <c r="AI2379">
        <v>11840</v>
      </c>
      <c r="AJ2379">
        <v>-29.600000000000364</v>
      </c>
    </row>
    <row r="2380" spans="1:36" x14ac:dyDescent="0.25">
      <c r="A2380">
        <v>12379</v>
      </c>
      <c r="B2380">
        <v>64</v>
      </c>
      <c r="C2380" s="1" t="s">
        <v>60</v>
      </c>
      <c r="D2380" s="1" t="s">
        <v>48</v>
      </c>
      <c r="E2380" s="2">
        <v>44958</v>
      </c>
      <c r="F2380" s="2">
        <v>44661</v>
      </c>
      <c r="G2380" s="1" t="s">
        <v>38</v>
      </c>
      <c r="H2380">
        <v>1020</v>
      </c>
      <c r="I2380">
        <v>28</v>
      </c>
      <c r="J2380">
        <v>4</v>
      </c>
      <c r="K2380">
        <v>85.87</v>
      </c>
      <c r="L2380">
        <v>5</v>
      </c>
      <c r="M2380" s="1" t="s">
        <v>67</v>
      </c>
      <c r="N2380" s="1" t="s">
        <v>40</v>
      </c>
      <c r="O2380">
        <v>28509</v>
      </c>
      <c r="P2380" t="b">
        <v>0</v>
      </c>
      <c r="Q2380">
        <v>2.3333333333333335</v>
      </c>
      <c r="R2380">
        <v>1018.1785714285714</v>
      </c>
      <c r="S2380">
        <v>17.173999999999999</v>
      </c>
      <c r="T2380" s="2">
        <v>44958</v>
      </c>
      <c r="U2380" s="1" t="s">
        <v>41</v>
      </c>
      <c r="V2380">
        <v>1</v>
      </c>
      <c r="W2380" s="1" t="s">
        <v>40</v>
      </c>
      <c r="Y2380" s="1" t="s">
        <v>43</v>
      </c>
      <c r="Z2380" s="1" t="s">
        <v>42</v>
      </c>
      <c r="AA2380">
        <v>0.13793103448275862</v>
      </c>
      <c r="AB2380" s="1" t="s">
        <v>43</v>
      </c>
      <c r="AC2380">
        <v>1</v>
      </c>
      <c r="AD2380" s="2">
        <v>44958</v>
      </c>
      <c r="AE2380" s="1" t="s">
        <v>44</v>
      </c>
      <c r="AF2380" s="1" t="s">
        <v>45</v>
      </c>
      <c r="AG2380" s="1" t="s">
        <v>63</v>
      </c>
      <c r="AH2380" s="1" t="s">
        <v>47</v>
      </c>
      <c r="AI2380">
        <v>28560</v>
      </c>
      <c r="AJ2380">
        <v>-51</v>
      </c>
    </row>
    <row r="2381" spans="1:36" x14ac:dyDescent="0.25">
      <c r="A2381">
        <v>12380</v>
      </c>
      <c r="B2381">
        <v>33</v>
      </c>
      <c r="C2381" s="1" t="s">
        <v>36</v>
      </c>
      <c r="D2381" s="1" t="s">
        <v>73</v>
      </c>
      <c r="E2381" s="2">
        <v>44939</v>
      </c>
      <c r="F2381" s="2">
        <v>44494</v>
      </c>
      <c r="G2381" s="1" t="s">
        <v>62</v>
      </c>
      <c r="H2381">
        <v>1055</v>
      </c>
      <c r="I2381">
        <v>1</v>
      </c>
      <c r="J2381">
        <v>1</v>
      </c>
      <c r="K2381">
        <v>117.44</v>
      </c>
      <c r="L2381">
        <v>0</v>
      </c>
      <c r="M2381" s="1" t="s">
        <v>50</v>
      </c>
      <c r="N2381" s="1" t="s">
        <v>56</v>
      </c>
      <c r="O2381">
        <v>1055</v>
      </c>
      <c r="P2381" t="b">
        <v>0</v>
      </c>
      <c r="Q2381">
        <v>8.3333333333333329E-2</v>
      </c>
      <c r="R2381">
        <v>1055</v>
      </c>
      <c r="S2381">
        <v>58.72</v>
      </c>
      <c r="T2381" s="2">
        <v>44927</v>
      </c>
      <c r="U2381" s="1" t="s">
        <v>57</v>
      </c>
      <c r="V2381">
        <v>0</v>
      </c>
      <c r="W2381" s="1" t="s">
        <v>56</v>
      </c>
      <c r="Y2381" s="1" t="s">
        <v>43</v>
      </c>
      <c r="Z2381" s="1" t="s">
        <v>42</v>
      </c>
      <c r="AA2381">
        <v>0.5</v>
      </c>
      <c r="AB2381" s="1" t="s">
        <v>42</v>
      </c>
      <c r="AC2381">
        <v>2</v>
      </c>
      <c r="AD2381" s="2">
        <v>44927</v>
      </c>
      <c r="AE2381" s="1" t="s">
        <v>58</v>
      </c>
      <c r="AF2381" s="1" t="s">
        <v>54</v>
      </c>
      <c r="AG2381" s="1" t="s">
        <v>63</v>
      </c>
      <c r="AH2381" s="1" t="s">
        <v>47</v>
      </c>
      <c r="AI2381">
        <v>1055</v>
      </c>
      <c r="AJ2381">
        <v>0</v>
      </c>
    </row>
    <row r="2382" spans="1:36" x14ac:dyDescent="0.25">
      <c r="A2382">
        <v>12381</v>
      </c>
      <c r="B2382">
        <v>59</v>
      </c>
      <c r="C2382" s="1" t="s">
        <v>60</v>
      </c>
      <c r="D2382" s="1" t="s">
        <v>69</v>
      </c>
      <c r="E2382" s="2">
        <v>44668</v>
      </c>
      <c r="F2382" s="2">
        <v>44809</v>
      </c>
      <c r="G2382" s="1" t="s">
        <v>62</v>
      </c>
      <c r="H2382">
        <v>465</v>
      </c>
      <c r="I2382">
        <v>23</v>
      </c>
      <c r="J2382">
        <v>1</v>
      </c>
      <c r="K2382">
        <v>56.37</v>
      </c>
      <c r="L2382">
        <v>5</v>
      </c>
      <c r="M2382" s="1" t="s">
        <v>39</v>
      </c>
      <c r="N2382" s="1" t="s">
        <v>56</v>
      </c>
      <c r="O2382">
        <v>10671.75</v>
      </c>
      <c r="P2382" t="b">
        <v>1</v>
      </c>
      <c r="Q2382">
        <v>1.9166666666666667</v>
      </c>
      <c r="R2382">
        <v>463.98913043478262</v>
      </c>
      <c r="S2382">
        <v>28.184999999999999</v>
      </c>
      <c r="T2382" s="2">
        <v>44652</v>
      </c>
      <c r="U2382" s="1" t="s">
        <v>41</v>
      </c>
      <c r="V2382">
        <v>0</v>
      </c>
      <c r="W2382" s="1" t="s">
        <v>56</v>
      </c>
      <c r="X2382">
        <v>141</v>
      </c>
      <c r="Y2382" s="1" t="s">
        <v>52</v>
      </c>
      <c r="Z2382" s="1" t="s">
        <v>42</v>
      </c>
      <c r="AA2382">
        <v>4.1666666666666664E-2</v>
      </c>
      <c r="AB2382" s="1" t="s">
        <v>52</v>
      </c>
      <c r="AC2382">
        <v>2</v>
      </c>
      <c r="AD2382" s="2">
        <v>44652</v>
      </c>
      <c r="AE2382" s="1" t="s">
        <v>53</v>
      </c>
      <c r="AF2382" s="1" t="s">
        <v>54</v>
      </c>
      <c r="AG2382" s="1" t="s">
        <v>63</v>
      </c>
      <c r="AH2382" s="1" t="s">
        <v>68</v>
      </c>
      <c r="AI2382">
        <v>10695</v>
      </c>
      <c r="AJ2382">
        <v>-23.25</v>
      </c>
    </row>
    <row r="2383" spans="1:36" x14ac:dyDescent="0.25">
      <c r="A2383">
        <v>12382</v>
      </c>
      <c r="B2383">
        <v>47</v>
      </c>
      <c r="C2383" s="1" t="s">
        <v>36</v>
      </c>
      <c r="D2383" s="1" t="s">
        <v>48</v>
      </c>
      <c r="E2383" s="2">
        <v>44678</v>
      </c>
      <c r="F2383" s="2">
        <v>44931</v>
      </c>
      <c r="G2383" s="1" t="s">
        <v>38</v>
      </c>
      <c r="H2383">
        <v>1068</v>
      </c>
      <c r="I2383">
        <v>13</v>
      </c>
      <c r="J2383">
        <v>2</v>
      </c>
      <c r="K2383">
        <v>34.86</v>
      </c>
      <c r="L2383">
        <v>20</v>
      </c>
      <c r="M2383" s="1" t="s">
        <v>39</v>
      </c>
      <c r="N2383" s="1" t="s">
        <v>56</v>
      </c>
      <c r="O2383">
        <v>13670.4</v>
      </c>
      <c r="P2383" t="b">
        <v>1</v>
      </c>
      <c r="Q2383">
        <v>1.0833333333333333</v>
      </c>
      <c r="R2383">
        <v>1051.5692307692307</v>
      </c>
      <c r="S2383">
        <v>11.62</v>
      </c>
      <c r="T2383" s="2">
        <v>44652</v>
      </c>
      <c r="U2383" s="1" t="s">
        <v>51</v>
      </c>
      <c r="V2383">
        <v>0</v>
      </c>
      <c r="W2383" s="1" t="s">
        <v>40</v>
      </c>
      <c r="X2383">
        <v>253</v>
      </c>
      <c r="Y2383" s="1" t="s">
        <v>52</v>
      </c>
      <c r="Z2383" s="1" t="s">
        <v>52</v>
      </c>
      <c r="AA2383">
        <v>0.14285714285714285</v>
      </c>
      <c r="AB2383" s="1" t="s">
        <v>52</v>
      </c>
      <c r="AC2383">
        <v>1</v>
      </c>
      <c r="AD2383" s="2">
        <v>44652</v>
      </c>
      <c r="AE2383" s="1" t="s">
        <v>53</v>
      </c>
      <c r="AF2383" s="1" t="s">
        <v>72</v>
      </c>
      <c r="AG2383" s="1" t="s">
        <v>55</v>
      </c>
      <c r="AH2383" s="1" t="s">
        <v>47</v>
      </c>
      <c r="AI2383">
        <v>13884</v>
      </c>
      <c r="AJ2383">
        <v>-213.60000000000036</v>
      </c>
    </row>
    <row r="2384" spans="1:36" x14ac:dyDescent="0.25">
      <c r="A2384">
        <v>12383</v>
      </c>
      <c r="B2384">
        <v>33</v>
      </c>
      <c r="C2384" s="1" t="s">
        <v>36</v>
      </c>
      <c r="D2384" s="1" t="s">
        <v>48</v>
      </c>
      <c r="E2384" s="2">
        <v>44219</v>
      </c>
      <c r="F2384" s="2">
        <v>44833</v>
      </c>
      <c r="G2384" s="1" t="s">
        <v>49</v>
      </c>
      <c r="H2384">
        <v>1306</v>
      </c>
      <c r="I2384">
        <v>16</v>
      </c>
      <c r="J2384">
        <v>3</v>
      </c>
      <c r="K2384">
        <v>23.02</v>
      </c>
      <c r="L2384">
        <v>5</v>
      </c>
      <c r="M2384" s="1" t="s">
        <v>65</v>
      </c>
      <c r="N2384" s="1" t="s">
        <v>56</v>
      </c>
      <c r="O2384">
        <v>20830.7</v>
      </c>
      <c r="P2384" t="b">
        <v>1</v>
      </c>
      <c r="Q2384">
        <v>1.3333333333333333</v>
      </c>
      <c r="R2384">
        <v>1301.91875</v>
      </c>
      <c r="S2384">
        <v>5.7549999999999999</v>
      </c>
      <c r="T2384" s="2">
        <v>44197</v>
      </c>
      <c r="U2384" s="1" t="s">
        <v>57</v>
      </c>
      <c r="V2384">
        <v>0</v>
      </c>
      <c r="W2384" s="1" t="s">
        <v>40</v>
      </c>
      <c r="X2384">
        <v>614</v>
      </c>
      <c r="Y2384" s="1" t="s">
        <v>52</v>
      </c>
      <c r="Z2384" s="1" t="s">
        <v>42</v>
      </c>
      <c r="AA2384">
        <v>0.17647058823529413</v>
      </c>
      <c r="AB2384" s="1" t="s">
        <v>43</v>
      </c>
      <c r="AC2384">
        <v>3</v>
      </c>
      <c r="AD2384" s="2">
        <v>44197</v>
      </c>
      <c r="AE2384" s="1" t="s">
        <v>53</v>
      </c>
      <c r="AF2384" s="1" t="s">
        <v>72</v>
      </c>
      <c r="AG2384" s="1" t="s">
        <v>70</v>
      </c>
      <c r="AH2384" s="1" t="s">
        <v>47</v>
      </c>
      <c r="AI2384">
        <v>20896</v>
      </c>
      <c r="AJ2384">
        <v>-65.299999999999272</v>
      </c>
    </row>
    <row r="2385" spans="1:36" x14ac:dyDescent="0.25">
      <c r="A2385">
        <v>12384</v>
      </c>
      <c r="B2385">
        <v>29</v>
      </c>
      <c r="C2385" s="1" t="s">
        <v>60</v>
      </c>
      <c r="D2385" s="1" t="s">
        <v>48</v>
      </c>
      <c r="E2385" s="2">
        <v>44756</v>
      </c>
      <c r="F2385" s="2">
        <v>44999</v>
      </c>
      <c r="G2385" s="1" t="s">
        <v>49</v>
      </c>
      <c r="H2385">
        <v>1170</v>
      </c>
      <c r="I2385">
        <v>26</v>
      </c>
      <c r="J2385">
        <v>2</v>
      </c>
      <c r="K2385">
        <v>38.06</v>
      </c>
      <c r="L2385">
        <v>20</v>
      </c>
      <c r="M2385" s="1" t="s">
        <v>67</v>
      </c>
      <c r="N2385" s="1" t="s">
        <v>56</v>
      </c>
      <c r="O2385">
        <v>30186</v>
      </c>
      <c r="P2385" t="b">
        <v>1</v>
      </c>
      <c r="Q2385">
        <v>2.1666666666666665</v>
      </c>
      <c r="R2385">
        <v>1161</v>
      </c>
      <c r="S2385">
        <v>12.686666666666667</v>
      </c>
      <c r="T2385" s="2">
        <v>44743</v>
      </c>
      <c r="U2385" s="1" t="s">
        <v>57</v>
      </c>
      <c r="V2385">
        <v>0</v>
      </c>
      <c r="W2385" s="1" t="s">
        <v>40</v>
      </c>
      <c r="X2385">
        <v>243</v>
      </c>
      <c r="Y2385" s="1" t="s">
        <v>52</v>
      </c>
      <c r="Z2385" s="1" t="s">
        <v>52</v>
      </c>
      <c r="AA2385">
        <v>7.407407407407407E-2</v>
      </c>
      <c r="AB2385" s="1" t="s">
        <v>43</v>
      </c>
      <c r="AC2385">
        <v>3</v>
      </c>
      <c r="AD2385" s="2">
        <v>44743</v>
      </c>
      <c r="AE2385" s="1" t="s">
        <v>44</v>
      </c>
      <c r="AF2385" s="1" t="s">
        <v>72</v>
      </c>
      <c r="AG2385" s="1" t="s">
        <v>55</v>
      </c>
      <c r="AH2385" s="1" t="s">
        <v>47</v>
      </c>
      <c r="AI2385">
        <v>30420</v>
      </c>
      <c r="AJ2385">
        <v>-234</v>
      </c>
    </row>
    <row r="2386" spans="1:36" x14ac:dyDescent="0.25">
      <c r="A2386">
        <v>12385</v>
      </c>
      <c r="B2386">
        <v>34</v>
      </c>
      <c r="C2386" s="1" t="s">
        <v>36</v>
      </c>
      <c r="D2386" s="1" t="s">
        <v>37</v>
      </c>
      <c r="E2386" s="2">
        <v>44305</v>
      </c>
      <c r="F2386" s="2">
        <v>44757</v>
      </c>
      <c r="G2386" s="1" t="s">
        <v>38</v>
      </c>
      <c r="H2386">
        <v>1375</v>
      </c>
      <c r="I2386">
        <v>31</v>
      </c>
      <c r="J2386">
        <v>2</v>
      </c>
      <c r="K2386">
        <v>62.59</v>
      </c>
      <c r="L2386">
        <v>20</v>
      </c>
      <c r="M2386" s="1" t="s">
        <v>50</v>
      </c>
      <c r="N2386" s="1" t="s">
        <v>56</v>
      </c>
      <c r="O2386">
        <v>42350</v>
      </c>
      <c r="P2386" t="b">
        <v>1</v>
      </c>
      <c r="Q2386">
        <v>2.5833333333333335</v>
      </c>
      <c r="R2386">
        <v>1366.1290322580646</v>
      </c>
      <c r="S2386">
        <v>20.863333333333333</v>
      </c>
      <c r="T2386" s="2">
        <v>44287</v>
      </c>
      <c r="U2386" s="1" t="s">
        <v>57</v>
      </c>
      <c r="V2386">
        <v>0</v>
      </c>
      <c r="W2386" s="1" t="s">
        <v>40</v>
      </c>
      <c r="X2386">
        <v>452</v>
      </c>
      <c r="Y2386" s="1" t="s">
        <v>43</v>
      </c>
      <c r="Z2386" s="1" t="s">
        <v>52</v>
      </c>
      <c r="AA2386">
        <v>6.25E-2</v>
      </c>
      <c r="AB2386" s="1" t="s">
        <v>43</v>
      </c>
      <c r="AC2386">
        <v>1</v>
      </c>
      <c r="AD2386" s="2">
        <v>44287</v>
      </c>
      <c r="AE2386" s="1" t="s">
        <v>44</v>
      </c>
      <c r="AF2386" s="1" t="s">
        <v>72</v>
      </c>
      <c r="AG2386" s="1" t="s">
        <v>63</v>
      </c>
      <c r="AH2386" s="1" t="s">
        <v>47</v>
      </c>
      <c r="AI2386">
        <v>42625</v>
      </c>
      <c r="AJ2386">
        <v>-275</v>
      </c>
    </row>
    <row r="2387" spans="1:36" x14ac:dyDescent="0.25">
      <c r="A2387">
        <v>12386</v>
      </c>
      <c r="B2387">
        <v>33</v>
      </c>
      <c r="C2387" s="1" t="s">
        <v>60</v>
      </c>
      <c r="D2387" s="1" t="s">
        <v>48</v>
      </c>
      <c r="E2387" s="2">
        <v>44492</v>
      </c>
      <c r="F2387" s="2">
        <v>44374</v>
      </c>
      <c r="G2387" s="1" t="s">
        <v>38</v>
      </c>
      <c r="H2387">
        <v>866</v>
      </c>
      <c r="I2387">
        <v>1</v>
      </c>
      <c r="J2387">
        <v>2</v>
      </c>
      <c r="K2387">
        <v>53.75</v>
      </c>
      <c r="L2387">
        <v>20</v>
      </c>
      <c r="M2387" s="1" t="s">
        <v>65</v>
      </c>
      <c r="N2387" s="1" t="s">
        <v>56</v>
      </c>
      <c r="O2387">
        <v>692.8</v>
      </c>
      <c r="P2387" t="b">
        <v>0</v>
      </c>
      <c r="Q2387">
        <v>8.3333333333333329E-2</v>
      </c>
      <c r="R2387">
        <v>692.8</v>
      </c>
      <c r="S2387">
        <v>17.916666666666668</v>
      </c>
      <c r="T2387" s="2">
        <v>44470</v>
      </c>
      <c r="U2387" s="1" t="s">
        <v>57</v>
      </c>
      <c r="V2387">
        <v>0</v>
      </c>
      <c r="W2387" s="1" t="s">
        <v>56</v>
      </c>
      <c r="Y2387" s="1" t="s">
        <v>52</v>
      </c>
      <c r="Z2387" s="1" t="s">
        <v>52</v>
      </c>
      <c r="AA2387">
        <v>1</v>
      </c>
      <c r="AB2387" s="1" t="s">
        <v>42</v>
      </c>
      <c r="AC2387">
        <v>1</v>
      </c>
      <c r="AD2387" s="2">
        <v>44470</v>
      </c>
      <c r="AE2387" s="1" t="s">
        <v>58</v>
      </c>
      <c r="AF2387" s="1" t="s">
        <v>72</v>
      </c>
      <c r="AG2387" s="1" t="s">
        <v>63</v>
      </c>
      <c r="AH2387" s="1" t="s">
        <v>59</v>
      </c>
      <c r="AI2387">
        <v>866</v>
      </c>
      <c r="AJ2387">
        <v>-173.20000000000005</v>
      </c>
    </row>
    <row r="2388" spans="1:36" x14ac:dyDescent="0.25">
      <c r="A2388">
        <v>12387</v>
      </c>
      <c r="B2388">
        <v>29</v>
      </c>
      <c r="C2388" s="1" t="s">
        <v>60</v>
      </c>
      <c r="D2388" s="1" t="s">
        <v>71</v>
      </c>
      <c r="E2388" s="2">
        <v>44202</v>
      </c>
      <c r="F2388" s="2">
        <v>44376</v>
      </c>
      <c r="G2388" s="1" t="s">
        <v>38</v>
      </c>
      <c r="H2388">
        <v>1337</v>
      </c>
      <c r="I2388">
        <v>17</v>
      </c>
      <c r="J2388">
        <v>1</v>
      </c>
      <c r="K2388">
        <v>80.37</v>
      </c>
      <c r="L2388">
        <v>10</v>
      </c>
      <c r="M2388" s="1" t="s">
        <v>67</v>
      </c>
      <c r="N2388" s="1" t="s">
        <v>56</v>
      </c>
      <c r="O2388">
        <v>22595.3</v>
      </c>
      <c r="P2388" t="b">
        <v>1</v>
      </c>
      <c r="Q2388">
        <v>1.4166666666666667</v>
      </c>
      <c r="R2388">
        <v>1329.1352941176469</v>
      </c>
      <c r="S2388">
        <v>40.185000000000002</v>
      </c>
      <c r="T2388" s="2">
        <v>44197</v>
      </c>
      <c r="U2388" s="1" t="s">
        <v>57</v>
      </c>
      <c r="V2388">
        <v>0</v>
      </c>
      <c r="W2388" s="1" t="s">
        <v>40</v>
      </c>
      <c r="X2388">
        <v>174</v>
      </c>
      <c r="Y2388" s="1" t="s">
        <v>43</v>
      </c>
      <c r="Z2388" s="1" t="s">
        <v>42</v>
      </c>
      <c r="AA2388">
        <v>5.5555555555555552E-2</v>
      </c>
      <c r="AB2388" s="1" t="s">
        <v>43</v>
      </c>
      <c r="AC2388">
        <v>1</v>
      </c>
      <c r="AD2388" s="2">
        <v>44197</v>
      </c>
      <c r="AE2388" s="1" t="s">
        <v>53</v>
      </c>
      <c r="AF2388" s="1" t="s">
        <v>54</v>
      </c>
      <c r="AG2388" s="1" t="s">
        <v>63</v>
      </c>
      <c r="AH2388" s="1" t="s">
        <v>47</v>
      </c>
      <c r="AI2388">
        <v>22729</v>
      </c>
      <c r="AJ2388">
        <v>-133.70000000000073</v>
      </c>
    </row>
    <row r="2389" spans="1:36" x14ac:dyDescent="0.25">
      <c r="A2389">
        <v>12388</v>
      </c>
      <c r="B2389">
        <v>25</v>
      </c>
      <c r="C2389" s="1" t="s">
        <v>36</v>
      </c>
      <c r="D2389" s="1" t="s">
        <v>71</v>
      </c>
      <c r="E2389" s="2">
        <v>44746</v>
      </c>
      <c r="F2389" s="2">
        <v>44618</v>
      </c>
      <c r="G2389" s="1" t="s">
        <v>38</v>
      </c>
      <c r="H2389">
        <v>901</v>
      </c>
      <c r="I2389">
        <v>16</v>
      </c>
      <c r="J2389">
        <v>1</v>
      </c>
      <c r="K2389">
        <v>62.59</v>
      </c>
      <c r="L2389">
        <v>10</v>
      </c>
      <c r="M2389" s="1" t="s">
        <v>50</v>
      </c>
      <c r="N2389" s="1" t="s">
        <v>56</v>
      </c>
      <c r="O2389">
        <v>14325.9</v>
      </c>
      <c r="P2389" t="b">
        <v>0</v>
      </c>
      <c r="Q2389">
        <v>1.3333333333333333</v>
      </c>
      <c r="R2389">
        <v>895.36874999999998</v>
      </c>
      <c r="S2389">
        <v>31.295000000000002</v>
      </c>
      <c r="T2389" s="2">
        <v>44743</v>
      </c>
      <c r="U2389" s="1" t="s">
        <v>66</v>
      </c>
      <c r="V2389">
        <v>0</v>
      </c>
      <c r="W2389" s="1" t="s">
        <v>40</v>
      </c>
      <c r="Y2389" s="1" t="s">
        <v>43</v>
      </c>
      <c r="Z2389" s="1" t="s">
        <v>42</v>
      </c>
      <c r="AA2389">
        <v>5.8823529411764705E-2</v>
      </c>
      <c r="AB2389" s="1" t="s">
        <v>52</v>
      </c>
      <c r="AC2389">
        <v>1</v>
      </c>
      <c r="AD2389" s="2">
        <v>44743</v>
      </c>
      <c r="AE2389" s="1" t="s">
        <v>53</v>
      </c>
      <c r="AF2389" s="1" t="s">
        <v>54</v>
      </c>
      <c r="AG2389" s="1" t="s">
        <v>63</v>
      </c>
      <c r="AH2389" s="1" t="s">
        <v>59</v>
      </c>
      <c r="AI2389">
        <v>14416</v>
      </c>
      <c r="AJ2389">
        <v>-90.100000000000364</v>
      </c>
    </row>
    <row r="2390" spans="1:36" x14ac:dyDescent="0.25">
      <c r="A2390">
        <v>12389</v>
      </c>
      <c r="B2390">
        <v>37</v>
      </c>
      <c r="C2390" s="1" t="s">
        <v>60</v>
      </c>
      <c r="D2390" s="1" t="s">
        <v>73</v>
      </c>
      <c r="E2390" s="2">
        <v>44877</v>
      </c>
      <c r="F2390" s="2">
        <v>45033</v>
      </c>
      <c r="G2390" s="1" t="s">
        <v>62</v>
      </c>
      <c r="H2390">
        <v>1412</v>
      </c>
      <c r="I2390">
        <v>10</v>
      </c>
      <c r="J2390">
        <v>3</v>
      </c>
      <c r="K2390">
        <v>10.86</v>
      </c>
      <c r="L2390">
        <v>5</v>
      </c>
      <c r="M2390" s="1" t="s">
        <v>39</v>
      </c>
      <c r="N2390" s="1" t="s">
        <v>40</v>
      </c>
      <c r="O2390">
        <v>14049.4</v>
      </c>
      <c r="P2390" t="b">
        <v>1</v>
      </c>
      <c r="Q2390">
        <v>0.83333333333333337</v>
      </c>
      <c r="R2390">
        <v>1404.94</v>
      </c>
      <c r="S2390">
        <v>2.7149999999999999</v>
      </c>
      <c r="T2390" s="2">
        <v>44866</v>
      </c>
      <c r="U2390" s="1" t="s">
        <v>51</v>
      </c>
      <c r="V2390">
        <v>1</v>
      </c>
      <c r="W2390" s="1" t="s">
        <v>40</v>
      </c>
      <c r="X2390">
        <v>156</v>
      </c>
      <c r="Y2390" s="1" t="s">
        <v>42</v>
      </c>
      <c r="Z2390" s="1" t="s">
        <v>42</v>
      </c>
      <c r="AA2390">
        <v>0.27272727272727271</v>
      </c>
      <c r="AB2390" s="1" t="s">
        <v>52</v>
      </c>
      <c r="AC2390">
        <v>2</v>
      </c>
      <c r="AD2390" s="2">
        <v>44866</v>
      </c>
      <c r="AE2390" s="1" t="s">
        <v>74</v>
      </c>
      <c r="AF2390" s="1" t="s">
        <v>72</v>
      </c>
      <c r="AG2390" s="1" t="s">
        <v>46</v>
      </c>
      <c r="AH2390" s="1" t="s">
        <v>47</v>
      </c>
      <c r="AI2390">
        <v>14120</v>
      </c>
      <c r="AJ2390">
        <v>-70.600000000000364</v>
      </c>
    </row>
    <row r="2391" spans="1:36" x14ac:dyDescent="0.25">
      <c r="A2391">
        <v>12390</v>
      </c>
      <c r="B2391">
        <v>20</v>
      </c>
      <c r="C2391" s="1" t="s">
        <v>75</v>
      </c>
      <c r="D2391" s="1" t="s">
        <v>69</v>
      </c>
      <c r="E2391" s="2">
        <v>45064</v>
      </c>
      <c r="F2391" s="2">
        <v>44848</v>
      </c>
      <c r="G2391" s="1" t="s">
        <v>62</v>
      </c>
      <c r="H2391">
        <v>1204</v>
      </c>
      <c r="I2391">
        <v>31</v>
      </c>
      <c r="J2391">
        <v>0</v>
      </c>
      <c r="K2391">
        <v>47.93</v>
      </c>
      <c r="L2391">
        <v>0</v>
      </c>
      <c r="M2391" s="1" t="s">
        <v>39</v>
      </c>
      <c r="N2391" s="1" t="s">
        <v>56</v>
      </c>
      <c r="O2391">
        <v>37324</v>
      </c>
      <c r="P2391" t="b">
        <v>0</v>
      </c>
      <c r="Q2391">
        <v>2.5833333333333335</v>
      </c>
      <c r="R2391">
        <v>1204</v>
      </c>
      <c r="S2391">
        <v>47.93</v>
      </c>
      <c r="T2391" s="2">
        <v>45047</v>
      </c>
      <c r="U2391" s="1" t="s">
        <v>66</v>
      </c>
      <c r="V2391">
        <v>0</v>
      </c>
      <c r="W2391" s="1" t="s">
        <v>40</v>
      </c>
      <c r="Y2391" s="1" t="s">
        <v>52</v>
      </c>
      <c r="Z2391" s="1" t="s">
        <v>42</v>
      </c>
      <c r="AA2391">
        <v>0</v>
      </c>
      <c r="AB2391" s="1" t="s">
        <v>43</v>
      </c>
      <c r="AC2391">
        <v>2</v>
      </c>
      <c r="AD2391" s="2">
        <v>45047</v>
      </c>
      <c r="AE2391" s="1" t="s">
        <v>44</v>
      </c>
      <c r="AF2391" s="1" t="s">
        <v>54</v>
      </c>
      <c r="AG2391" s="1" t="s">
        <v>63</v>
      </c>
      <c r="AH2391" s="1" t="s">
        <v>47</v>
      </c>
      <c r="AI2391">
        <v>37324</v>
      </c>
      <c r="AJ2391">
        <v>0</v>
      </c>
    </row>
    <row r="2392" spans="1:36" x14ac:dyDescent="0.25">
      <c r="A2392">
        <v>12391</v>
      </c>
      <c r="B2392">
        <v>41</v>
      </c>
      <c r="C2392" s="1" t="s">
        <v>60</v>
      </c>
      <c r="D2392" s="1" t="s">
        <v>37</v>
      </c>
      <c r="E2392" s="2">
        <v>44991</v>
      </c>
      <c r="F2392" s="2">
        <v>44600</v>
      </c>
      <c r="G2392" s="1" t="s">
        <v>38</v>
      </c>
      <c r="H2392">
        <v>340</v>
      </c>
      <c r="I2392">
        <v>10</v>
      </c>
      <c r="J2392">
        <v>2</v>
      </c>
      <c r="K2392">
        <v>103.4</v>
      </c>
      <c r="L2392">
        <v>5</v>
      </c>
      <c r="M2392" s="1" t="s">
        <v>67</v>
      </c>
      <c r="N2392" s="1" t="s">
        <v>56</v>
      </c>
      <c r="O2392">
        <v>3383</v>
      </c>
      <c r="P2392" t="b">
        <v>0</v>
      </c>
      <c r="Q2392">
        <v>0.83333333333333337</v>
      </c>
      <c r="R2392">
        <v>338.3</v>
      </c>
      <c r="S2392">
        <v>34.466666666666669</v>
      </c>
      <c r="T2392" s="2">
        <v>44986</v>
      </c>
      <c r="U2392" s="1" t="s">
        <v>51</v>
      </c>
      <c r="V2392">
        <v>0</v>
      </c>
      <c r="W2392" s="1" t="s">
        <v>56</v>
      </c>
      <c r="Y2392" s="1" t="s">
        <v>43</v>
      </c>
      <c r="Z2392" s="1" t="s">
        <v>42</v>
      </c>
      <c r="AA2392">
        <v>0.18181818181818182</v>
      </c>
      <c r="AB2392" s="1" t="s">
        <v>42</v>
      </c>
      <c r="AC2392">
        <v>1</v>
      </c>
      <c r="AD2392" s="2">
        <v>44986</v>
      </c>
      <c r="AE2392" s="1" t="s">
        <v>74</v>
      </c>
      <c r="AF2392" s="1" t="s">
        <v>72</v>
      </c>
      <c r="AG2392" s="1" t="s">
        <v>63</v>
      </c>
      <c r="AH2392" s="1" t="s">
        <v>68</v>
      </c>
      <c r="AI2392">
        <v>3400</v>
      </c>
      <c r="AJ2392">
        <v>-17</v>
      </c>
    </row>
    <row r="2393" spans="1:36" x14ac:dyDescent="0.25">
      <c r="A2393">
        <v>12392</v>
      </c>
      <c r="B2393">
        <v>47</v>
      </c>
      <c r="C2393" s="1" t="s">
        <v>36</v>
      </c>
      <c r="D2393" s="1" t="s">
        <v>73</v>
      </c>
      <c r="E2393" s="2">
        <v>44399</v>
      </c>
      <c r="F2393" s="2">
        <v>44732</v>
      </c>
      <c r="G2393" s="1" t="s">
        <v>49</v>
      </c>
      <c r="H2393">
        <v>1461</v>
      </c>
      <c r="I2393">
        <v>34</v>
      </c>
      <c r="J2393">
        <v>3</v>
      </c>
      <c r="K2393">
        <v>62.31</v>
      </c>
      <c r="L2393">
        <v>10</v>
      </c>
      <c r="M2393" s="1" t="s">
        <v>65</v>
      </c>
      <c r="N2393" s="1" t="s">
        <v>56</v>
      </c>
      <c r="O2393">
        <v>49527.9</v>
      </c>
      <c r="P2393" t="b">
        <v>1</v>
      </c>
      <c r="Q2393">
        <v>2.8333333333333335</v>
      </c>
      <c r="R2393">
        <v>1456.7029411764706</v>
      </c>
      <c r="S2393">
        <v>15.577500000000001</v>
      </c>
      <c r="T2393" s="2">
        <v>44378</v>
      </c>
      <c r="U2393" s="1" t="s">
        <v>51</v>
      </c>
      <c r="V2393">
        <v>0</v>
      </c>
      <c r="W2393" s="1" t="s">
        <v>40</v>
      </c>
      <c r="X2393">
        <v>333</v>
      </c>
      <c r="Y2393" s="1" t="s">
        <v>43</v>
      </c>
      <c r="Z2393" s="1" t="s">
        <v>42</v>
      </c>
      <c r="AA2393">
        <v>8.5714285714285715E-2</v>
      </c>
      <c r="AB2393" s="1" t="s">
        <v>43</v>
      </c>
      <c r="AC2393">
        <v>3</v>
      </c>
      <c r="AD2393" s="2">
        <v>44378</v>
      </c>
      <c r="AE2393" s="1" t="s">
        <v>44</v>
      </c>
      <c r="AF2393" s="1" t="s">
        <v>72</v>
      </c>
      <c r="AG2393" s="1" t="s">
        <v>63</v>
      </c>
      <c r="AH2393" s="1" t="s">
        <v>47</v>
      </c>
      <c r="AI2393">
        <v>49674</v>
      </c>
      <c r="AJ2393">
        <v>-146.09999999999854</v>
      </c>
    </row>
    <row r="2394" spans="1:36" x14ac:dyDescent="0.25">
      <c r="A2394">
        <v>12393</v>
      </c>
      <c r="B2394">
        <v>62</v>
      </c>
      <c r="C2394" s="1" t="s">
        <v>60</v>
      </c>
      <c r="D2394" s="1" t="s">
        <v>71</v>
      </c>
      <c r="E2394" s="2">
        <v>44521</v>
      </c>
      <c r="F2394" s="2">
        <v>44407</v>
      </c>
      <c r="G2394" s="1" t="s">
        <v>38</v>
      </c>
      <c r="H2394">
        <v>1329</v>
      </c>
      <c r="I2394">
        <v>6</v>
      </c>
      <c r="J2394">
        <v>4</v>
      </c>
      <c r="K2394">
        <v>115.95</v>
      </c>
      <c r="L2394">
        <v>15</v>
      </c>
      <c r="M2394" s="1" t="s">
        <v>50</v>
      </c>
      <c r="N2394" s="1" t="s">
        <v>56</v>
      </c>
      <c r="O2394">
        <v>7774.65</v>
      </c>
      <c r="P2394" t="b">
        <v>0</v>
      </c>
      <c r="Q2394">
        <v>0.5</v>
      </c>
      <c r="R2394">
        <v>1295.7749999999999</v>
      </c>
      <c r="S2394">
        <v>23.19</v>
      </c>
      <c r="T2394" s="2">
        <v>44501</v>
      </c>
      <c r="U2394" s="1" t="s">
        <v>41</v>
      </c>
      <c r="V2394">
        <v>0</v>
      </c>
      <c r="W2394" s="1" t="s">
        <v>56</v>
      </c>
      <c r="Y2394" s="1" t="s">
        <v>43</v>
      </c>
      <c r="Z2394" s="1" t="s">
        <v>42</v>
      </c>
      <c r="AA2394">
        <v>0.5714285714285714</v>
      </c>
      <c r="AB2394" s="1" t="s">
        <v>42</v>
      </c>
      <c r="AC2394">
        <v>1</v>
      </c>
      <c r="AD2394" s="2">
        <v>44501</v>
      </c>
      <c r="AE2394" s="1" t="s">
        <v>58</v>
      </c>
      <c r="AF2394" s="1" t="s">
        <v>45</v>
      </c>
      <c r="AG2394" s="1" t="s">
        <v>63</v>
      </c>
      <c r="AH2394" s="1" t="s">
        <v>47</v>
      </c>
      <c r="AI2394">
        <v>7974</v>
      </c>
      <c r="AJ2394">
        <v>-199.35000000000036</v>
      </c>
    </row>
    <row r="2395" spans="1:36" x14ac:dyDescent="0.25">
      <c r="A2395">
        <v>12394</v>
      </c>
      <c r="B2395">
        <v>40</v>
      </c>
      <c r="C2395" s="1" t="s">
        <v>60</v>
      </c>
      <c r="D2395" s="1" t="s">
        <v>37</v>
      </c>
      <c r="E2395" s="2">
        <v>45021</v>
      </c>
      <c r="F2395" s="2">
        <v>44454</v>
      </c>
      <c r="G2395" s="1" t="s">
        <v>38</v>
      </c>
      <c r="H2395">
        <v>541</v>
      </c>
      <c r="I2395">
        <v>28</v>
      </c>
      <c r="J2395">
        <v>5</v>
      </c>
      <c r="K2395">
        <v>62.92</v>
      </c>
      <c r="L2395">
        <v>15</v>
      </c>
      <c r="M2395" s="1" t="s">
        <v>50</v>
      </c>
      <c r="N2395" s="1" t="s">
        <v>40</v>
      </c>
      <c r="O2395">
        <v>15066.85</v>
      </c>
      <c r="P2395" t="b">
        <v>0</v>
      </c>
      <c r="Q2395">
        <v>2.3333333333333335</v>
      </c>
      <c r="R2395">
        <v>538.10178571428571</v>
      </c>
      <c r="S2395">
        <v>10.486666666666666</v>
      </c>
      <c r="T2395" s="2">
        <v>45017</v>
      </c>
      <c r="U2395" s="1" t="s">
        <v>51</v>
      </c>
      <c r="V2395">
        <v>1</v>
      </c>
      <c r="W2395" s="1" t="s">
        <v>40</v>
      </c>
      <c r="Y2395" s="1" t="s">
        <v>43</v>
      </c>
      <c r="Z2395" s="1" t="s">
        <v>42</v>
      </c>
      <c r="AA2395">
        <v>0.17241379310344829</v>
      </c>
      <c r="AB2395" s="1" t="s">
        <v>52</v>
      </c>
      <c r="AC2395">
        <v>1</v>
      </c>
      <c r="AD2395" s="2">
        <v>45017</v>
      </c>
      <c r="AE2395" s="1" t="s">
        <v>44</v>
      </c>
      <c r="AF2395" s="1" t="s">
        <v>45</v>
      </c>
      <c r="AG2395" s="1" t="s">
        <v>63</v>
      </c>
      <c r="AH2395" s="1" t="s">
        <v>64</v>
      </c>
      <c r="AI2395">
        <v>15148</v>
      </c>
      <c r="AJ2395">
        <v>-81.149999999999636</v>
      </c>
    </row>
    <row r="2396" spans="1:36" x14ac:dyDescent="0.25">
      <c r="A2396">
        <v>12395</v>
      </c>
      <c r="B2396">
        <v>45</v>
      </c>
      <c r="C2396" s="1" t="s">
        <v>60</v>
      </c>
      <c r="D2396" s="1" t="s">
        <v>37</v>
      </c>
      <c r="E2396" s="2">
        <v>44981</v>
      </c>
      <c r="F2396" s="2">
        <v>44567</v>
      </c>
      <c r="G2396" s="1" t="s">
        <v>38</v>
      </c>
      <c r="H2396">
        <v>461</v>
      </c>
      <c r="I2396">
        <v>28</v>
      </c>
      <c r="J2396">
        <v>0</v>
      </c>
      <c r="K2396">
        <v>36.729999999999997</v>
      </c>
      <c r="L2396">
        <v>5</v>
      </c>
      <c r="M2396" s="1" t="s">
        <v>39</v>
      </c>
      <c r="N2396" s="1" t="s">
        <v>56</v>
      </c>
      <c r="O2396">
        <v>12884.95</v>
      </c>
      <c r="P2396" t="b">
        <v>0</v>
      </c>
      <c r="Q2396">
        <v>2.3333333333333335</v>
      </c>
      <c r="R2396">
        <v>460.17678571428576</v>
      </c>
      <c r="S2396">
        <v>36.729999999999997</v>
      </c>
      <c r="T2396" s="2">
        <v>44958</v>
      </c>
      <c r="U2396" s="1" t="s">
        <v>51</v>
      </c>
      <c r="V2396">
        <v>0</v>
      </c>
      <c r="W2396" s="1" t="s">
        <v>56</v>
      </c>
      <c r="Y2396" s="1" t="s">
        <v>52</v>
      </c>
      <c r="Z2396" s="1" t="s">
        <v>42</v>
      </c>
      <c r="AA2396">
        <v>0</v>
      </c>
      <c r="AB2396" s="1" t="s">
        <v>52</v>
      </c>
      <c r="AC2396">
        <v>1</v>
      </c>
      <c r="AD2396" s="2">
        <v>44958</v>
      </c>
      <c r="AE2396" s="1" t="s">
        <v>44</v>
      </c>
      <c r="AF2396" s="1" t="s">
        <v>54</v>
      </c>
      <c r="AG2396" s="1" t="s">
        <v>55</v>
      </c>
      <c r="AH2396" s="1" t="s">
        <v>68</v>
      </c>
      <c r="AI2396">
        <v>12908</v>
      </c>
      <c r="AJ2396">
        <v>-23.049999999999272</v>
      </c>
    </row>
    <row r="2397" spans="1:36" x14ac:dyDescent="0.25">
      <c r="A2397">
        <v>12396</v>
      </c>
      <c r="B2397">
        <v>57</v>
      </c>
      <c r="C2397" s="1" t="s">
        <v>36</v>
      </c>
      <c r="D2397" s="1" t="s">
        <v>69</v>
      </c>
      <c r="E2397" s="2">
        <v>44440</v>
      </c>
      <c r="F2397" s="2">
        <v>44788</v>
      </c>
      <c r="G2397" s="1" t="s">
        <v>62</v>
      </c>
      <c r="H2397">
        <v>1318</v>
      </c>
      <c r="I2397">
        <v>13</v>
      </c>
      <c r="J2397">
        <v>2</v>
      </c>
      <c r="K2397">
        <v>62.59</v>
      </c>
      <c r="L2397">
        <v>10</v>
      </c>
      <c r="M2397" s="1" t="s">
        <v>67</v>
      </c>
      <c r="N2397" s="1" t="s">
        <v>56</v>
      </c>
      <c r="O2397">
        <v>17002.2</v>
      </c>
      <c r="P2397" t="b">
        <v>1</v>
      </c>
      <c r="Q2397">
        <v>1.0833333333333333</v>
      </c>
      <c r="R2397">
        <v>1307.8615384615384</v>
      </c>
      <c r="S2397">
        <v>20.863333333333333</v>
      </c>
      <c r="T2397" s="2">
        <v>44440</v>
      </c>
      <c r="U2397" s="1" t="s">
        <v>41</v>
      </c>
      <c r="V2397">
        <v>0</v>
      </c>
      <c r="W2397" s="1" t="s">
        <v>40</v>
      </c>
      <c r="X2397">
        <v>348</v>
      </c>
      <c r="Y2397" s="1" t="s">
        <v>43</v>
      </c>
      <c r="Z2397" s="1" t="s">
        <v>42</v>
      </c>
      <c r="AA2397">
        <v>0.14285714285714285</v>
      </c>
      <c r="AB2397" s="1" t="s">
        <v>52</v>
      </c>
      <c r="AC2397">
        <v>2</v>
      </c>
      <c r="AD2397" s="2">
        <v>44440</v>
      </c>
      <c r="AE2397" s="1" t="s">
        <v>53</v>
      </c>
      <c r="AF2397" s="1" t="s">
        <v>72</v>
      </c>
      <c r="AG2397" s="1" t="s">
        <v>63</v>
      </c>
      <c r="AH2397" s="1" t="s">
        <v>47</v>
      </c>
      <c r="AI2397">
        <v>17134</v>
      </c>
      <c r="AJ2397">
        <v>-131.79999999999927</v>
      </c>
    </row>
    <row r="2398" spans="1:36" x14ac:dyDescent="0.25">
      <c r="A2398">
        <v>12397</v>
      </c>
      <c r="B2398">
        <v>22</v>
      </c>
      <c r="C2398" s="1" t="s">
        <v>36</v>
      </c>
      <c r="D2398" s="1" t="s">
        <v>37</v>
      </c>
      <c r="E2398" s="2">
        <v>44523</v>
      </c>
      <c r="F2398" s="2">
        <v>45118</v>
      </c>
      <c r="G2398" s="1" t="s">
        <v>38</v>
      </c>
      <c r="H2398">
        <v>991</v>
      </c>
      <c r="I2398">
        <v>12</v>
      </c>
      <c r="J2398">
        <v>2</v>
      </c>
      <c r="K2398">
        <v>84.87</v>
      </c>
      <c r="L2398">
        <v>20</v>
      </c>
      <c r="M2398" s="1" t="s">
        <v>65</v>
      </c>
      <c r="N2398" s="1" t="s">
        <v>56</v>
      </c>
      <c r="O2398">
        <v>11693.8</v>
      </c>
      <c r="P2398" t="b">
        <v>1</v>
      </c>
      <c r="Q2398">
        <v>1</v>
      </c>
      <c r="R2398">
        <v>974.48333333333323</v>
      </c>
      <c r="S2398">
        <v>28.290000000000003</v>
      </c>
      <c r="T2398" s="2">
        <v>44501</v>
      </c>
      <c r="U2398" s="1" t="s">
        <v>66</v>
      </c>
      <c r="V2398">
        <v>0</v>
      </c>
      <c r="W2398" s="1" t="s">
        <v>56</v>
      </c>
      <c r="X2398">
        <v>595</v>
      </c>
      <c r="Y2398" s="1" t="s">
        <v>43</v>
      </c>
      <c r="Z2398" s="1" t="s">
        <v>52</v>
      </c>
      <c r="AA2398">
        <v>0.15384615384615385</v>
      </c>
      <c r="AB2398" s="1" t="s">
        <v>52</v>
      </c>
      <c r="AC2398">
        <v>1</v>
      </c>
      <c r="AD2398" s="2">
        <v>44501</v>
      </c>
      <c r="AE2398" s="1" t="s">
        <v>74</v>
      </c>
      <c r="AF2398" s="1" t="s">
        <v>72</v>
      </c>
      <c r="AG2398" s="1" t="s">
        <v>63</v>
      </c>
      <c r="AH2398" s="1" t="s">
        <v>59</v>
      </c>
      <c r="AI2398">
        <v>11892</v>
      </c>
      <c r="AJ2398">
        <v>-198.20000000000073</v>
      </c>
    </row>
    <row r="2399" spans="1:36" x14ac:dyDescent="0.25">
      <c r="A2399">
        <v>12398</v>
      </c>
      <c r="B2399">
        <v>37</v>
      </c>
      <c r="C2399" s="1" t="s">
        <v>36</v>
      </c>
      <c r="D2399" s="1" t="s">
        <v>48</v>
      </c>
      <c r="E2399" s="2">
        <v>44243</v>
      </c>
      <c r="F2399" s="2">
        <v>45230</v>
      </c>
      <c r="G2399" s="1" t="s">
        <v>38</v>
      </c>
      <c r="H2399">
        <v>1108</v>
      </c>
      <c r="I2399">
        <v>2</v>
      </c>
      <c r="J2399">
        <v>1</v>
      </c>
      <c r="K2399">
        <v>66.680000000000007</v>
      </c>
      <c r="L2399">
        <v>10</v>
      </c>
      <c r="M2399" s="1" t="s">
        <v>39</v>
      </c>
      <c r="N2399" s="1" t="s">
        <v>56</v>
      </c>
      <c r="O2399">
        <v>2105.1999999999998</v>
      </c>
      <c r="P2399" t="b">
        <v>1</v>
      </c>
      <c r="Q2399">
        <v>0.16666666666666666</v>
      </c>
      <c r="R2399">
        <v>1052.5999999999999</v>
      </c>
      <c r="S2399">
        <v>33.340000000000003</v>
      </c>
      <c r="T2399" s="2">
        <v>44228</v>
      </c>
      <c r="U2399" s="1" t="s">
        <v>51</v>
      </c>
      <c r="V2399">
        <v>0</v>
      </c>
      <c r="W2399" s="1" t="s">
        <v>56</v>
      </c>
      <c r="X2399">
        <v>987</v>
      </c>
      <c r="Y2399" s="1" t="s">
        <v>43</v>
      </c>
      <c r="Z2399" s="1" t="s">
        <v>42</v>
      </c>
      <c r="AA2399">
        <v>0.33333333333333331</v>
      </c>
      <c r="AB2399" s="1" t="s">
        <v>42</v>
      </c>
      <c r="AC2399">
        <v>1</v>
      </c>
      <c r="AD2399" s="2">
        <v>44228</v>
      </c>
      <c r="AE2399" s="1" t="s">
        <v>58</v>
      </c>
      <c r="AF2399" s="1" t="s">
        <v>54</v>
      </c>
      <c r="AG2399" s="1" t="s">
        <v>63</v>
      </c>
      <c r="AH2399" s="1" t="s">
        <v>47</v>
      </c>
      <c r="AI2399">
        <v>2216</v>
      </c>
      <c r="AJ2399">
        <v>-110.80000000000018</v>
      </c>
    </row>
    <row r="2400" spans="1:36" x14ac:dyDescent="0.25">
      <c r="A2400">
        <v>12399</v>
      </c>
      <c r="B2400">
        <v>57</v>
      </c>
      <c r="C2400" s="1" t="s">
        <v>36</v>
      </c>
      <c r="D2400" s="1" t="s">
        <v>37</v>
      </c>
      <c r="E2400" s="2">
        <v>44957</v>
      </c>
      <c r="F2400" s="2">
        <v>45005</v>
      </c>
      <c r="G2400" s="1" t="s">
        <v>38</v>
      </c>
      <c r="H2400">
        <v>1278</v>
      </c>
      <c r="I2400">
        <v>8</v>
      </c>
      <c r="J2400">
        <v>0</v>
      </c>
      <c r="K2400">
        <v>74.459999999999994</v>
      </c>
      <c r="L2400">
        <v>5</v>
      </c>
      <c r="M2400" s="1" t="s">
        <v>39</v>
      </c>
      <c r="N2400" s="1" t="s">
        <v>40</v>
      </c>
      <c r="O2400">
        <v>10160.1</v>
      </c>
      <c r="P2400" t="b">
        <v>1</v>
      </c>
      <c r="Q2400">
        <v>0.66666666666666663</v>
      </c>
      <c r="R2400">
        <v>1270.0125</v>
      </c>
      <c r="S2400">
        <v>74.459999999999994</v>
      </c>
      <c r="T2400" s="2">
        <v>44927</v>
      </c>
      <c r="U2400" s="1" t="s">
        <v>41</v>
      </c>
      <c r="V2400">
        <v>1</v>
      </c>
      <c r="W2400" s="1" t="s">
        <v>56</v>
      </c>
      <c r="X2400">
        <v>48</v>
      </c>
      <c r="Y2400" s="1" t="s">
        <v>43</v>
      </c>
      <c r="Z2400" s="1" t="s">
        <v>42</v>
      </c>
      <c r="AA2400">
        <v>0</v>
      </c>
      <c r="AB2400" s="1" t="s">
        <v>52</v>
      </c>
      <c r="AC2400">
        <v>1</v>
      </c>
      <c r="AD2400" s="2">
        <v>44927</v>
      </c>
      <c r="AE2400" s="1" t="s">
        <v>74</v>
      </c>
      <c r="AF2400" s="1" t="s">
        <v>54</v>
      </c>
      <c r="AG2400" s="1" t="s">
        <v>63</v>
      </c>
      <c r="AH2400" s="1" t="s">
        <v>47</v>
      </c>
      <c r="AI2400">
        <v>10224</v>
      </c>
      <c r="AJ2400">
        <v>-63.899999999999636</v>
      </c>
    </row>
    <row r="2401" spans="1:36" x14ac:dyDescent="0.25">
      <c r="A2401">
        <v>12400</v>
      </c>
      <c r="B2401">
        <v>61</v>
      </c>
      <c r="C2401" s="1" t="s">
        <v>36</v>
      </c>
      <c r="D2401" s="1" t="s">
        <v>69</v>
      </c>
      <c r="E2401" s="2">
        <v>44787</v>
      </c>
      <c r="F2401" s="2">
        <v>44911</v>
      </c>
      <c r="G2401" s="1" t="s">
        <v>49</v>
      </c>
      <c r="H2401">
        <v>817</v>
      </c>
      <c r="I2401">
        <v>9</v>
      </c>
      <c r="J2401">
        <v>1</v>
      </c>
      <c r="K2401">
        <v>91.84</v>
      </c>
      <c r="L2401">
        <v>10</v>
      </c>
      <c r="M2401" s="1" t="s">
        <v>65</v>
      </c>
      <c r="N2401" s="1" t="s">
        <v>56</v>
      </c>
      <c r="O2401">
        <v>7271.3</v>
      </c>
      <c r="P2401" t="b">
        <v>1</v>
      </c>
      <c r="Q2401">
        <v>0.75</v>
      </c>
      <c r="R2401">
        <v>807.92222222222222</v>
      </c>
      <c r="S2401">
        <v>45.92</v>
      </c>
      <c r="T2401" s="2">
        <v>44774</v>
      </c>
      <c r="U2401" s="1" t="s">
        <v>41</v>
      </c>
      <c r="V2401">
        <v>0</v>
      </c>
      <c r="W2401" s="1" t="s">
        <v>56</v>
      </c>
      <c r="X2401">
        <v>124</v>
      </c>
      <c r="Y2401" s="1" t="s">
        <v>43</v>
      </c>
      <c r="Z2401" s="1" t="s">
        <v>42</v>
      </c>
      <c r="AA2401">
        <v>0.1</v>
      </c>
      <c r="AB2401" s="1" t="s">
        <v>42</v>
      </c>
      <c r="AC2401">
        <v>3</v>
      </c>
      <c r="AD2401" s="2">
        <v>44774</v>
      </c>
      <c r="AE2401" s="1" t="s">
        <v>74</v>
      </c>
      <c r="AF2401" s="1" t="s">
        <v>54</v>
      </c>
      <c r="AG2401" s="1" t="s">
        <v>63</v>
      </c>
      <c r="AH2401" s="1" t="s">
        <v>59</v>
      </c>
      <c r="AI2401">
        <v>7353</v>
      </c>
      <c r="AJ2401">
        <v>-81.699999999999818</v>
      </c>
    </row>
    <row r="2402" spans="1:36" x14ac:dyDescent="0.25">
      <c r="A2402">
        <v>12401</v>
      </c>
      <c r="B2402">
        <v>18</v>
      </c>
      <c r="C2402" s="1" t="s">
        <v>36</v>
      </c>
      <c r="D2402" s="1" t="s">
        <v>73</v>
      </c>
      <c r="E2402" s="2">
        <v>44818</v>
      </c>
      <c r="F2402" s="2">
        <v>44919</v>
      </c>
      <c r="G2402" s="1" t="s">
        <v>49</v>
      </c>
      <c r="H2402">
        <v>1197</v>
      </c>
      <c r="I2402">
        <v>8</v>
      </c>
      <c r="J2402">
        <v>3</v>
      </c>
      <c r="K2402">
        <v>88.48</v>
      </c>
      <c r="L2402">
        <v>15</v>
      </c>
      <c r="M2402" s="1" t="s">
        <v>50</v>
      </c>
      <c r="N2402" s="1" t="s">
        <v>56</v>
      </c>
      <c r="O2402">
        <v>9396.4500000000007</v>
      </c>
      <c r="P2402" t="b">
        <v>1</v>
      </c>
      <c r="Q2402">
        <v>0.66666666666666663</v>
      </c>
      <c r="R2402">
        <v>1174.5562500000001</v>
      </c>
      <c r="S2402">
        <v>22.12</v>
      </c>
      <c r="T2402" s="2">
        <v>44805</v>
      </c>
      <c r="U2402" s="1" t="s">
        <v>66</v>
      </c>
      <c r="V2402">
        <v>0</v>
      </c>
      <c r="W2402" s="1" t="s">
        <v>56</v>
      </c>
      <c r="X2402">
        <v>101</v>
      </c>
      <c r="Y2402" s="1" t="s">
        <v>43</v>
      </c>
      <c r="Z2402" s="1" t="s">
        <v>42</v>
      </c>
      <c r="AA2402">
        <v>0.33333333333333331</v>
      </c>
      <c r="AB2402" s="1" t="s">
        <v>52</v>
      </c>
      <c r="AC2402">
        <v>3</v>
      </c>
      <c r="AD2402" s="2">
        <v>44805</v>
      </c>
      <c r="AE2402" s="1" t="s">
        <v>74</v>
      </c>
      <c r="AF2402" s="1" t="s">
        <v>72</v>
      </c>
      <c r="AG2402" s="1" t="s">
        <v>63</v>
      </c>
      <c r="AH2402" s="1" t="s">
        <v>47</v>
      </c>
      <c r="AI2402">
        <v>9576</v>
      </c>
      <c r="AJ2402">
        <v>-179.54999999999927</v>
      </c>
    </row>
    <row r="2403" spans="1:36" x14ac:dyDescent="0.25">
      <c r="A2403">
        <v>12402</v>
      </c>
      <c r="B2403">
        <v>47</v>
      </c>
      <c r="C2403" s="1" t="s">
        <v>36</v>
      </c>
      <c r="D2403" s="1" t="s">
        <v>69</v>
      </c>
      <c r="E2403" s="2">
        <v>44209</v>
      </c>
      <c r="F2403" s="2">
        <v>44893</v>
      </c>
      <c r="G2403" s="1" t="s">
        <v>38</v>
      </c>
      <c r="H2403">
        <v>1082</v>
      </c>
      <c r="I2403">
        <v>3</v>
      </c>
      <c r="J2403">
        <v>1</v>
      </c>
      <c r="K2403">
        <v>9.99</v>
      </c>
      <c r="L2403">
        <v>20</v>
      </c>
      <c r="M2403" s="1" t="s">
        <v>50</v>
      </c>
      <c r="N2403" s="1" t="s">
        <v>56</v>
      </c>
      <c r="O2403">
        <v>3029.6</v>
      </c>
      <c r="P2403" t="b">
        <v>1</v>
      </c>
      <c r="Q2403">
        <v>0.25</v>
      </c>
      <c r="R2403">
        <v>1009.8666666666667</v>
      </c>
      <c r="S2403">
        <v>4.9950000000000001</v>
      </c>
      <c r="T2403" s="2">
        <v>44197</v>
      </c>
      <c r="U2403" s="1" t="s">
        <v>51</v>
      </c>
      <c r="V2403">
        <v>0</v>
      </c>
      <c r="W2403" s="1" t="s">
        <v>56</v>
      </c>
      <c r="X2403">
        <v>684</v>
      </c>
      <c r="Y2403" s="1" t="s">
        <v>42</v>
      </c>
      <c r="Z2403" s="1" t="s">
        <v>52</v>
      </c>
      <c r="AA2403">
        <v>0.25</v>
      </c>
      <c r="AB2403" s="1" t="s">
        <v>42</v>
      </c>
      <c r="AC2403">
        <v>1</v>
      </c>
      <c r="AD2403" s="2">
        <v>44197</v>
      </c>
      <c r="AE2403" s="1" t="s">
        <v>58</v>
      </c>
      <c r="AF2403" s="1" t="s">
        <v>54</v>
      </c>
      <c r="AG2403" s="1" t="s">
        <v>77</v>
      </c>
      <c r="AH2403" s="1" t="s">
        <v>47</v>
      </c>
      <c r="AI2403">
        <v>3246</v>
      </c>
      <c r="AJ2403">
        <v>-216.40000000000009</v>
      </c>
    </row>
    <row r="2404" spans="1:36" x14ac:dyDescent="0.25">
      <c r="A2404">
        <v>12403</v>
      </c>
      <c r="B2404">
        <v>38</v>
      </c>
      <c r="C2404" s="1" t="s">
        <v>36</v>
      </c>
      <c r="D2404" s="1" t="s">
        <v>76</v>
      </c>
      <c r="E2404" s="2">
        <v>44576</v>
      </c>
      <c r="F2404" s="2">
        <v>44443</v>
      </c>
      <c r="G2404" s="1" t="s">
        <v>38</v>
      </c>
      <c r="H2404">
        <v>1083</v>
      </c>
      <c r="I2404">
        <v>9</v>
      </c>
      <c r="J2404">
        <v>2</v>
      </c>
      <c r="K2404">
        <v>97.3</v>
      </c>
      <c r="L2404">
        <v>5</v>
      </c>
      <c r="M2404" s="1" t="s">
        <v>67</v>
      </c>
      <c r="N2404" s="1" t="s">
        <v>56</v>
      </c>
      <c r="O2404">
        <v>9692.85</v>
      </c>
      <c r="P2404" t="b">
        <v>0</v>
      </c>
      <c r="Q2404">
        <v>0.75</v>
      </c>
      <c r="R2404">
        <v>1076.9833333333333</v>
      </c>
      <c r="S2404">
        <v>32.43333333333333</v>
      </c>
      <c r="T2404" s="2">
        <v>44562</v>
      </c>
      <c r="U2404" s="1" t="s">
        <v>51</v>
      </c>
      <c r="V2404">
        <v>0</v>
      </c>
      <c r="W2404" s="1" t="s">
        <v>56</v>
      </c>
      <c r="Y2404" s="1" t="s">
        <v>43</v>
      </c>
      <c r="Z2404" s="1" t="s">
        <v>42</v>
      </c>
      <c r="AA2404">
        <v>0.2</v>
      </c>
      <c r="AB2404" s="1" t="s">
        <v>52</v>
      </c>
      <c r="AC2404">
        <v>1</v>
      </c>
      <c r="AD2404" s="2">
        <v>44562</v>
      </c>
      <c r="AE2404" s="1" t="s">
        <v>74</v>
      </c>
      <c r="AF2404" s="1" t="s">
        <v>72</v>
      </c>
      <c r="AG2404" s="1" t="s">
        <v>63</v>
      </c>
      <c r="AH2404" s="1" t="s">
        <v>47</v>
      </c>
      <c r="AI2404">
        <v>9747</v>
      </c>
      <c r="AJ2404">
        <v>-54.149999999999636</v>
      </c>
    </row>
    <row r="2405" spans="1:36" x14ac:dyDescent="0.25">
      <c r="A2405">
        <v>12404</v>
      </c>
      <c r="B2405">
        <v>37</v>
      </c>
      <c r="C2405" s="1" t="s">
        <v>36</v>
      </c>
      <c r="D2405" s="1" t="s">
        <v>71</v>
      </c>
      <c r="E2405" s="2">
        <v>44561</v>
      </c>
      <c r="F2405" s="2">
        <v>44436</v>
      </c>
      <c r="G2405" s="1" t="s">
        <v>62</v>
      </c>
      <c r="H2405">
        <v>1479</v>
      </c>
      <c r="I2405">
        <v>13</v>
      </c>
      <c r="J2405">
        <v>0</v>
      </c>
      <c r="K2405">
        <v>66.260000000000005</v>
      </c>
      <c r="L2405">
        <v>5</v>
      </c>
      <c r="M2405" s="1" t="s">
        <v>39</v>
      </c>
      <c r="N2405" s="1" t="s">
        <v>56</v>
      </c>
      <c r="O2405">
        <v>19153.05</v>
      </c>
      <c r="P2405" t="b">
        <v>0</v>
      </c>
      <c r="Q2405">
        <v>1.0833333333333333</v>
      </c>
      <c r="R2405">
        <v>1473.3115384615385</v>
      </c>
      <c r="S2405">
        <v>66.260000000000005</v>
      </c>
      <c r="T2405" s="2">
        <v>44531</v>
      </c>
      <c r="U2405" s="1" t="s">
        <v>51</v>
      </c>
      <c r="V2405">
        <v>0</v>
      </c>
      <c r="W2405" s="1" t="s">
        <v>40</v>
      </c>
      <c r="Y2405" s="1" t="s">
        <v>43</v>
      </c>
      <c r="Z2405" s="1" t="s">
        <v>42</v>
      </c>
      <c r="AA2405">
        <v>0</v>
      </c>
      <c r="AB2405" s="1" t="s">
        <v>52</v>
      </c>
      <c r="AC2405">
        <v>2</v>
      </c>
      <c r="AD2405" s="2">
        <v>44531</v>
      </c>
      <c r="AE2405" s="1" t="s">
        <v>53</v>
      </c>
      <c r="AF2405" s="1" t="s">
        <v>54</v>
      </c>
      <c r="AG2405" s="1" t="s">
        <v>63</v>
      </c>
      <c r="AH2405" s="1" t="s">
        <v>47</v>
      </c>
      <c r="AI2405">
        <v>19227</v>
      </c>
      <c r="AJ2405">
        <v>-73.950000000000728</v>
      </c>
    </row>
    <row r="2406" spans="1:36" x14ac:dyDescent="0.25">
      <c r="A2406">
        <v>12405</v>
      </c>
      <c r="B2406">
        <v>23</v>
      </c>
      <c r="C2406" s="1" t="s">
        <v>36</v>
      </c>
      <c r="D2406" s="1" t="s">
        <v>76</v>
      </c>
      <c r="E2406" s="2">
        <v>44798</v>
      </c>
      <c r="F2406" s="2">
        <v>45175</v>
      </c>
      <c r="G2406" s="1" t="s">
        <v>62</v>
      </c>
      <c r="H2406">
        <v>384</v>
      </c>
      <c r="I2406">
        <v>9</v>
      </c>
      <c r="J2406">
        <v>2</v>
      </c>
      <c r="K2406">
        <v>50.05</v>
      </c>
      <c r="L2406">
        <v>0</v>
      </c>
      <c r="M2406" s="1" t="s">
        <v>67</v>
      </c>
      <c r="N2406" s="1" t="s">
        <v>40</v>
      </c>
      <c r="O2406">
        <v>3456</v>
      </c>
      <c r="P2406" t="b">
        <v>1</v>
      </c>
      <c r="Q2406">
        <v>0.75</v>
      </c>
      <c r="R2406">
        <v>384</v>
      </c>
      <c r="S2406">
        <v>16.683333333333334</v>
      </c>
      <c r="T2406" s="2">
        <v>44774</v>
      </c>
      <c r="U2406" s="1" t="s">
        <v>66</v>
      </c>
      <c r="V2406">
        <v>1</v>
      </c>
      <c r="W2406" s="1" t="s">
        <v>56</v>
      </c>
      <c r="X2406">
        <v>377</v>
      </c>
      <c r="Y2406" s="1" t="s">
        <v>52</v>
      </c>
      <c r="Z2406" s="1" t="s">
        <v>42</v>
      </c>
      <c r="AA2406">
        <v>0.2</v>
      </c>
      <c r="AB2406" s="1" t="s">
        <v>42</v>
      </c>
      <c r="AC2406">
        <v>2</v>
      </c>
      <c r="AD2406" s="2">
        <v>44774</v>
      </c>
      <c r="AE2406" s="1" t="s">
        <v>74</v>
      </c>
      <c r="AF2406" s="1" t="s">
        <v>72</v>
      </c>
      <c r="AG2406" s="1" t="s">
        <v>63</v>
      </c>
      <c r="AH2406" s="1" t="s">
        <v>68</v>
      </c>
      <c r="AI2406">
        <v>3456</v>
      </c>
      <c r="AJ2406">
        <v>0</v>
      </c>
    </row>
    <row r="2407" spans="1:36" x14ac:dyDescent="0.25">
      <c r="A2407">
        <v>12406</v>
      </c>
      <c r="B2407">
        <v>39</v>
      </c>
      <c r="C2407" s="1" t="s">
        <v>60</v>
      </c>
      <c r="D2407" s="1" t="s">
        <v>71</v>
      </c>
      <c r="E2407" s="2">
        <v>44538</v>
      </c>
      <c r="F2407" s="2">
        <v>44578</v>
      </c>
      <c r="G2407" s="1" t="s">
        <v>38</v>
      </c>
      <c r="H2407">
        <v>1333</v>
      </c>
      <c r="I2407">
        <v>31</v>
      </c>
      <c r="J2407">
        <v>4</v>
      </c>
      <c r="K2407">
        <v>66.81</v>
      </c>
      <c r="L2407">
        <v>20</v>
      </c>
      <c r="M2407" s="1" t="s">
        <v>50</v>
      </c>
      <c r="N2407" s="1" t="s">
        <v>56</v>
      </c>
      <c r="O2407">
        <v>41056.400000000001</v>
      </c>
      <c r="P2407" t="b">
        <v>1</v>
      </c>
      <c r="Q2407">
        <v>2.5833333333333335</v>
      </c>
      <c r="R2407">
        <v>1324.4</v>
      </c>
      <c r="S2407">
        <v>13.362</v>
      </c>
      <c r="T2407" s="2">
        <v>44531</v>
      </c>
      <c r="U2407" s="1" t="s">
        <v>51</v>
      </c>
      <c r="V2407">
        <v>0</v>
      </c>
      <c r="W2407" s="1" t="s">
        <v>40</v>
      </c>
      <c r="X2407">
        <v>40</v>
      </c>
      <c r="Y2407" s="1" t="s">
        <v>43</v>
      </c>
      <c r="Z2407" s="1" t="s">
        <v>52</v>
      </c>
      <c r="AA2407">
        <v>0.125</v>
      </c>
      <c r="AB2407" s="1" t="s">
        <v>43</v>
      </c>
      <c r="AC2407">
        <v>1</v>
      </c>
      <c r="AD2407" s="2">
        <v>44531</v>
      </c>
      <c r="AE2407" s="1" t="s">
        <v>44</v>
      </c>
      <c r="AF2407" s="1" t="s">
        <v>45</v>
      </c>
      <c r="AG2407" s="1" t="s">
        <v>63</v>
      </c>
      <c r="AH2407" s="1" t="s">
        <v>47</v>
      </c>
      <c r="AI2407">
        <v>41323</v>
      </c>
      <c r="AJ2407">
        <v>-266.59999999999854</v>
      </c>
    </row>
    <row r="2408" spans="1:36" x14ac:dyDescent="0.25">
      <c r="A2408">
        <v>12407</v>
      </c>
      <c r="B2408">
        <v>35</v>
      </c>
      <c r="C2408" s="1" t="s">
        <v>36</v>
      </c>
      <c r="D2408" s="1" t="s">
        <v>73</v>
      </c>
      <c r="E2408" s="2">
        <v>45056</v>
      </c>
      <c r="F2408" s="2">
        <v>44622</v>
      </c>
      <c r="G2408" s="1" t="s">
        <v>49</v>
      </c>
      <c r="H2408">
        <v>437</v>
      </c>
      <c r="I2408">
        <v>25</v>
      </c>
      <c r="J2408">
        <v>1</v>
      </c>
      <c r="K2408">
        <v>75.430000000000007</v>
      </c>
      <c r="L2408">
        <v>5</v>
      </c>
      <c r="M2408" s="1" t="s">
        <v>65</v>
      </c>
      <c r="N2408" s="1" t="s">
        <v>56</v>
      </c>
      <c r="O2408">
        <v>10903.15</v>
      </c>
      <c r="P2408" t="b">
        <v>0</v>
      </c>
      <c r="Q2408">
        <v>2.0833333333333335</v>
      </c>
      <c r="R2408">
        <v>436.12599999999998</v>
      </c>
      <c r="S2408">
        <v>37.715000000000003</v>
      </c>
      <c r="T2408" s="2">
        <v>45047</v>
      </c>
      <c r="U2408" s="1" t="s">
        <v>57</v>
      </c>
      <c r="V2408">
        <v>0</v>
      </c>
      <c r="W2408" s="1" t="s">
        <v>56</v>
      </c>
      <c r="Y2408" s="1" t="s">
        <v>43</v>
      </c>
      <c r="Z2408" s="1" t="s">
        <v>42</v>
      </c>
      <c r="AA2408">
        <v>3.8461538461538464E-2</v>
      </c>
      <c r="AB2408" s="1" t="s">
        <v>52</v>
      </c>
      <c r="AC2408">
        <v>3</v>
      </c>
      <c r="AD2408" s="2">
        <v>45047</v>
      </c>
      <c r="AE2408" s="1" t="s">
        <v>44</v>
      </c>
      <c r="AF2408" s="1" t="s">
        <v>54</v>
      </c>
      <c r="AG2408" s="1" t="s">
        <v>63</v>
      </c>
      <c r="AH2408" s="1" t="s">
        <v>68</v>
      </c>
      <c r="AI2408">
        <v>10925</v>
      </c>
      <c r="AJ2408">
        <v>-21.850000000000364</v>
      </c>
    </row>
    <row r="2409" spans="1:36" x14ac:dyDescent="0.25">
      <c r="A2409">
        <v>12408</v>
      </c>
      <c r="B2409">
        <v>25</v>
      </c>
      <c r="C2409" s="1" t="s">
        <v>36</v>
      </c>
      <c r="D2409" s="1" t="s">
        <v>61</v>
      </c>
      <c r="E2409" s="2">
        <v>44988</v>
      </c>
      <c r="F2409" s="2">
        <v>44593</v>
      </c>
      <c r="G2409" s="1" t="s">
        <v>62</v>
      </c>
      <c r="H2409">
        <v>1053</v>
      </c>
      <c r="I2409">
        <v>8</v>
      </c>
      <c r="J2409">
        <v>2</v>
      </c>
      <c r="K2409">
        <v>22.19</v>
      </c>
      <c r="L2409">
        <v>10</v>
      </c>
      <c r="M2409" s="1" t="s">
        <v>50</v>
      </c>
      <c r="N2409" s="1" t="s">
        <v>40</v>
      </c>
      <c r="O2409">
        <v>8318.7000000000007</v>
      </c>
      <c r="P2409" t="b">
        <v>0</v>
      </c>
      <c r="Q2409">
        <v>0.66666666666666663</v>
      </c>
      <c r="R2409">
        <v>1039.8375000000001</v>
      </c>
      <c r="S2409">
        <v>7.3966666666666674</v>
      </c>
      <c r="T2409" s="2">
        <v>44986</v>
      </c>
      <c r="U2409" s="1" t="s">
        <v>66</v>
      </c>
      <c r="V2409">
        <v>1</v>
      </c>
      <c r="W2409" s="1" t="s">
        <v>56</v>
      </c>
      <c r="Y2409" s="1" t="s">
        <v>52</v>
      </c>
      <c r="Z2409" s="1" t="s">
        <v>42</v>
      </c>
      <c r="AA2409">
        <v>0.22222222222222221</v>
      </c>
      <c r="AB2409" s="1" t="s">
        <v>42</v>
      </c>
      <c r="AC2409">
        <v>2</v>
      </c>
      <c r="AD2409" s="2">
        <v>44986</v>
      </c>
      <c r="AE2409" s="1" t="s">
        <v>74</v>
      </c>
      <c r="AF2409" s="1" t="s">
        <v>72</v>
      </c>
      <c r="AG2409" s="1" t="s">
        <v>70</v>
      </c>
      <c r="AH2409" s="1" t="s">
        <v>47</v>
      </c>
      <c r="AI2409">
        <v>8424</v>
      </c>
      <c r="AJ2409">
        <v>-105.29999999999927</v>
      </c>
    </row>
    <row r="2410" spans="1:36" x14ac:dyDescent="0.25">
      <c r="A2410">
        <v>12409</v>
      </c>
      <c r="B2410">
        <v>56</v>
      </c>
      <c r="C2410" s="1" t="s">
        <v>60</v>
      </c>
      <c r="D2410" s="1" t="s">
        <v>73</v>
      </c>
      <c r="E2410" s="2">
        <v>44417</v>
      </c>
      <c r="F2410" s="2">
        <v>44458</v>
      </c>
      <c r="G2410" s="1" t="s">
        <v>62</v>
      </c>
      <c r="H2410">
        <v>1205</v>
      </c>
      <c r="I2410">
        <v>31</v>
      </c>
      <c r="J2410">
        <v>2</v>
      </c>
      <c r="K2410">
        <v>53</v>
      </c>
      <c r="L2410">
        <v>10</v>
      </c>
      <c r="M2410" s="1" t="s">
        <v>50</v>
      </c>
      <c r="N2410" s="1" t="s">
        <v>56</v>
      </c>
      <c r="O2410">
        <v>37234.5</v>
      </c>
      <c r="P2410" t="b">
        <v>1</v>
      </c>
      <c r="Q2410">
        <v>2.5833333333333335</v>
      </c>
      <c r="R2410">
        <v>1201.1129032258063</v>
      </c>
      <c r="S2410">
        <v>17.666666666666668</v>
      </c>
      <c r="T2410" s="2">
        <v>44409</v>
      </c>
      <c r="U2410" s="1" t="s">
        <v>41</v>
      </c>
      <c r="V2410">
        <v>0</v>
      </c>
      <c r="W2410" s="1" t="s">
        <v>40</v>
      </c>
      <c r="X2410">
        <v>41</v>
      </c>
      <c r="Y2410" s="1" t="s">
        <v>52</v>
      </c>
      <c r="Z2410" s="1" t="s">
        <v>42</v>
      </c>
      <c r="AA2410">
        <v>6.25E-2</v>
      </c>
      <c r="AB2410" s="1" t="s">
        <v>43</v>
      </c>
      <c r="AC2410">
        <v>2</v>
      </c>
      <c r="AD2410" s="2">
        <v>44409</v>
      </c>
      <c r="AE2410" s="1" t="s">
        <v>44</v>
      </c>
      <c r="AF2410" s="1" t="s">
        <v>72</v>
      </c>
      <c r="AG2410" s="1" t="s">
        <v>63</v>
      </c>
      <c r="AH2410" s="1" t="s">
        <v>47</v>
      </c>
      <c r="AI2410">
        <v>37355</v>
      </c>
      <c r="AJ2410">
        <v>-120.5</v>
      </c>
    </row>
    <row r="2411" spans="1:36" x14ac:dyDescent="0.25">
      <c r="A2411">
        <v>12410</v>
      </c>
      <c r="B2411">
        <v>49</v>
      </c>
      <c r="C2411" s="1" t="s">
        <v>60</v>
      </c>
      <c r="D2411" s="1" t="s">
        <v>48</v>
      </c>
      <c r="E2411" s="2">
        <v>44269</v>
      </c>
      <c r="F2411" s="2">
        <v>44581</v>
      </c>
      <c r="G2411" s="1" t="s">
        <v>62</v>
      </c>
      <c r="H2411">
        <v>1012</v>
      </c>
      <c r="I2411">
        <v>31</v>
      </c>
      <c r="J2411">
        <v>1</v>
      </c>
      <c r="K2411">
        <v>43.59</v>
      </c>
      <c r="L2411">
        <v>10</v>
      </c>
      <c r="M2411" s="1" t="s">
        <v>39</v>
      </c>
      <c r="N2411" s="1" t="s">
        <v>56</v>
      </c>
      <c r="O2411">
        <v>31270.799999999999</v>
      </c>
      <c r="P2411" t="b">
        <v>1</v>
      </c>
      <c r="Q2411">
        <v>2.5833333333333335</v>
      </c>
      <c r="R2411">
        <v>1008.7354838709678</v>
      </c>
      <c r="S2411">
        <v>21.795000000000002</v>
      </c>
      <c r="T2411" s="2">
        <v>44256</v>
      </c>
      <c r="U2411" s="1" t="s">
        <v>51</v>
      </c>
      <c r="V2411">
        <v>0</v>
      </c>
      <c r="W2411" s="1" t="s">
        <v>40</v>
      </c>
      <c r="X2411">
        <v>312</v>
      </c>
      <c r="Y2411" s="1" t="s">
        <v>52</v>
      </c>
      <c r="Z2411" s="1" t="s">
        <v>42</v>
      </c>
      <c r="AA2411">
        <v>3.125E-2</v>
      </c>
      <c r="AB2411" s="1" t="s">
        <v>43</v>
      </c>
      <c r="AC2411">
        <v>2</v>
      </c>
      <c r="AD2411" s="2">
        <v>44256</v>
      </c>
      <c r="AE2411" s="1" t="s">
        <v>44</v>
      </c>
      <c r="AF2411" s="1" t="s">
        <v>54</v>
      </c>
      <c r="AG2411" s="1" t="s">
        <v>55</v>
      </c>
      <c r="AH2411" s="1" t="s">
        <v>47</v>
      </c>
      <c r="AI2411">
        <v>31372</v>
      </c>
      <c r="AJ2411">
        <v>-101.20000000000073</v>
      </c>
    </row>
    <row r="2412" spans="1:36" x14ac:dyDescent="0.25">
      <c r="A2412">
        <v>12411</v>
      </c>
      <c r="B2412">
        <v>50</v>
      </c>
      <c r="C2412" s="1" t="s">
        <v>60</v>
      </c>
      <c r="D2412" s="1" t="s">
        <v>37</v>
      </c>
      <c r="E2412" s="2">
        <v>44942</v>
      </c>
      <c r="F2412" s="2">
        <v>44625</v>
      </c>
      <c r="G2412" s="1" t="s">
        <v>49</v>
      </c>
      <c r="H2412">
        <v>455</v>
      </c>
      <c r="I2412">
        <v>17</v>
      </c>
      <c r="J2412">
        <v>4</v>
      </c>
      <c r="K2412">
        <v>45.3</v>
      </c>
      <c r="L2412">
        <v>10</v>
      </c>
      <c r="M2412" s="1" t="s">
        <v>50</v>
      </c>
      <c r="N2412" s="1" t="s">
        <v>56</v>
      </c>
      <c r="O2412">
        <v>7689.5</v>
      </c>
      <c r="P2412" t="b">
        <v>0</v>
      </c>
      <c r="Q2412">
        <v>1.4166666666666667</v>
      </c>
      <c r="R2412">
        <v>452.3235294117647</v>
      </c>
      <c r="S2412">
        <v>9.0599999999999987</v>
      </c>
      <c r="T2412" s="2">
        <v>44927</v>
      </c>
      <c r="U2412" s="1" t="s">
        <v>51</v>
      </c>
      <c r="V2412">
        <v>0</v>
      </c>
      <c r="W2412" s="1" t="s">
        <v>56</v>
      </c>
      <c r="Y2412" s="1" t="s">
        <v>52</v>
      </c>
      <c r="Z2412" s="1" t="s">
        <v>42</v>
      </c>
      <c r="AA2412">
        <v>0.22222222222222221</v>
      </c>
      <c r="AB2412" s="1" t="s">
        <v>42</v>
      </c>
      <c r="AC2412">
        <v>3</v>
      </c>
      <c r="AD2412" s="2">
        <v>44927</v>
      </c>
      <c r="AE2412" s="1" t="s">
        <v>53</v>
      </c>
      <c r="AF2412" s="1" t="s">
        <v>45</v>
      </c>
      <c r="AG2412" s="1" t="s">
        <v>63</v>
      </c>
      <c r="AH2412" s="1" t="s">
        <v>68</v>
      </c>
      <c r="AI2412">
        <v>7735</v>
      </c>
      <c r="AJ2412">
        <v>-45.5</v>
      </c>
    </row>
    <row r="2413" spans="1:36" x14ac:dyDescent="0.25">
      <c r="A2413">
        <v>12412</v>
      </c>
      <c r="B2413">
        <v>33</v>
      </c>
      <c r="C2413" s="1" t="s">
        <v>36</v>
      </c>
      <c r="D2413" s="1" t="s">
        <v>69</v>
      </c>
      <c r="E2413" s="2">
        <v>44968</v>
      </c>
      <c r="F2413" s="2">
        <v>44824</v>
      </c>
      <c r="G2413" s="1" t="s">
        <v>62</v>
      </c>
      <c r="H2413">
        <v>707</v>
      </c>
      <c r="I2413">
        <v>19</v>
      </c>
      <c r="J2413">
        <v>1</v>
      </c>
      <c r="K2413">
        <v>15.5</v>
      </c>
      <c r="L2413">
        <v>5</v>
      </c>
      <c r="M2413" s="1" t="s">
        <v>67</v>
      </c>
      <c r="N2413" s="1" t="s">
        <v>56</v>
      </c>
      <c r="O2413">
        <v>13397.65</v>
      </c>
      <c r="P2413" t="b">
        <v>0</v>
      </c>
      <c r="Q2413">
        <v>1.5833333333333333</v>
      </c>
      <c r="R2413">
        <v>705.13947368421054</v>
      </c>
      <c r="S2413">
        <v>7.75</v>
      </c>
      <c r="T2413" s="2">
        <v>44958</v>
      </c>
      <c r="U2413" s="1" t="s">
        <v>57</v>
      </c>
      <c r="V2413">
        <v>0</v>
      </c>
      <c r="W2413" s="1" t="s">
        <v>56</v>
      </c>
      <c r="Y2413" s="1" t="s">
        <v>42</v>
      </c>
      <c r="Z2413" s="1" t="s">
        <v>42</v>
      </c>
      <c r="AA2413">
        <v>0.05</v>
      </c>
      <c r="AB2413" s="1" t="s">
        <v>52</v>
      </c>
      <c r="AC2413">
        <v>2</v>
      </c>
      <c r="AD2413" s="2">
        <v>44958</v>
      </c>
      <c r="AE2413" s="1" t="s">
        <v>53</v>
      </c>
      <c r="AF2413" s="1" t="s">
        <v>54</v>
      </c>
      <c r="AG2413" s="1" t="s">
        <v>46</v>
      </c>
      <c r="AH2413" s="1" t="s">
        <v>59</v>
      </c>
      <c r="AI2413">
        <v>13433</v>
      </c>
      <c r="AJ2413">
        <v>-35.350000000000364</v>
      </c>
    </row>
    <row r="2414" spans="1:36" x14ac:dyDescent="0.25">
      <c r="A2414">
        <v>12413</v>
      </c>
      <c r="B2414">
        <v>29</v>
      </c>
      <c r="C2414" s="1" t="s">
        <v>36</v>
      </c>
      <c r="D2414" s="1" t="s">
        <v>61</v>
      </c>
      <c r="E2414" s="2">
        <v>44821</v>
      </c>
      <c r="F2414" s="2">
        <v>44764</v>
      </c>
      <c r="G2414" s="1" t="s">
        <v>38</v>
      </c>
      <c r="H2414">
        <v>1086</v>
      </c>
      <c r="I2414">
        <v>3</v>
      </c>
      <c r="J2414">
        <v>1</v>
      </c>
      <c r="K2414">
        <v>23.38</v>
      </c>
      <c r="L2414">
        <v>15</v>
      </c>
      <c r="M2414" s="1" t="s">
        <v>65</v>
      </c>
      <c r="N2414" s="1" t="s">
        <v>56</v>
      </c>
      <c r="O2414">
        <v>3095.1</v>
      </c>
      <c r="P2414" t="b">
        <v>0</v>
      </c>
      <c r="Q2414">
        <v>0.25</v>
      </c>
      <c r="R2414">
        <v>1031.7</v>
      </c>
      <c r="S2414">
        <v>11.69</v>
      </c>
      <c r="T2414" s="2">
        <v>44805</v>
      </c>
      <c r="U2414" s="1" t="s">
        <v>57</v>
      </c>
      <c r="V2414">
        <v>0</v>
      </c>
      <c r="W2414" s="1" t="s">
        <v>56</v>
      </c>
      <c r="Y2414" s="1" t="s">
        <v>52</v>
      </c>
      <c r="Z2414" s="1" t="s">
        <v>42</v>
      </c>
      <c r="AA2414">
        <v>0.25</v>
      </c>
      <c r="AB2414" s="1" t="s">
        <v>42</v>
      </c>
      <c r="AC2414">
        <v>1</v>
      </c>
      <c r="AD2414" s="2">
        <v>44805</v>
      </c>
      <c r="AE2414" s="1" t="s">
        <v>58</v>
      </c>
      <c r="AF2414" s="1" t="s">
        <v>54</v>
      </c>
      <c r="AG2414" s="1" t="s">
        <v>70</v>
      </c>
      <c r="AH2414" s="1" t="s">
        <v>47</v>
      </c>
      <c r="AI2414">
        <v>3258</v>
      </c>
      <c r="AJ2414">
        <v>-162.90000000000009</v>
      </c>
    </row>
    <row r="2415" spans="1:36" x14ac:dyDescent="0.25">
      <c r="A2415">
        <v>12414</v>
      </c>
      <c r="B2415">
        <v>55</v>
      </c>
      <c r="C2415" s="1" t="s">
        <v>60</v>
      </c>
      <c r="D2415" s="1" t="s">
        <v>48</v>
      </c>
      <c r="E2415" s="2">
        <v>44242</v>
      </c>
      <c r="F2415" s="2">
        <v>45025</v>
      </c>
      <c r="G2415" s="1" t="s">
        <v>38</v>
      </c>
      <c r="H2415">
        <v>879</v>
      </c>
      <c r="I2415">
        <v>30</v>
      </c>
      <c r="J2415">
        <v>1</v>
      </c>
      <c r="K2415">
        <v>23.61</v>
      </c>
      <c r="L2415">
        <v>20</v>
      </c>
      <c r="M2415" s="1" t="s">
        <v>39</v>
      </c>
      <c r="N2415" s="1" t="s">
        <v>56</v>
      </c>
      <c r="O2415">
        <v>26194.2</v>
      </c>
      <c r="P2415" t="b">
        <v>1</v>
      </c>
      <c r="Q2415">
        <v>2.5</v>
      </c>
      <c r="R2415">
        <v>873.14</v>
      </c>
      <c r="S2415">
        <v>11.805</v>
      </c>
      <c r="T2415" s="2">
        <v>44228</v>
      </c>
      <c r="U2415" s="1" t="s">
        <v>41</v>
      </c>
      <c r="V2415">
        <v>0</v>
      </c>
      <c r="W2415" s="1" t="s">
        <v>40</v>
      </c>
      <c r="X2415">
        <v>783</v>
      </c>
      <c r="Y2415" s="1" t="s">
        <v>52</v>
      </c>
      <c r="Z2415" s="1" t="s">
        <v>52</v>
      </c>
      <c r="AA2415">
        <v>3.2258064516129031E-2</v>
      </c>
      <c r="AB2415" s="1" t="s">
        <v>43</v>
      </c>
      <c r="AC2415">
        <v>1</v>
      </c>
      <c r="AD2415" s="2">
        <v>44228</v>
      </c>
      <c r="AE2415" s="1" t="s">
        <v>44</v>
      </c>
      <c r="AF2415" s="1" t="s">
        <v>54</v>
      </c>
      <c r="AG2415" s="1" t="s">
        <v>70</v>
      </c>
      <c r="AH2415" s="1" t="s">
        <v>59</v>
      </c>
      <c r="AI2415">
        <v>26370</v>
      </c>
      <c r="AJ2415">
        <v>-175.79999999999927</v>
      </c>
    </row>
    <row r="2416" spans="1:36" x14ac:dyDescent="0.25">
      <c r="A2416">
        <v>12415</v>
      </c>
      <c r="B2416">
        <v>51</v>
      </c>
      <c r="C2416" s="1" t="s">
        <v>36</v>
      </c>
      <c r="D2416" s="1" t="s">
        <v>71</v>
      </c>
      <c r="E2416" s="2">
        <v>44700</v>
      </c>
      <c r="F2416" s="2">
        <v>44475</v>
      </c>
      <c r="G2416" s="1" t="s">
        <v>62</v>
      </c>
      <c r="H2416">
        <v>853</v>
      </c>
      <c r="I2416">
        <v>10</v>
      </c>
      <c r="J2416">
        <v>3</v>
      </c>
      <c r="K2416">
        <v>47.92</v>
      </c>
      <c r="L2416">
        <v>10</v>
      </c>
      <c r="M2416" s="1" t="s">
        <v>65</v>
      </c>
      <c r="N2416" s="1" t="s">
        <v>40</v>
      </c>
      <c r="O2416">
        <v>8444.7000000000007</v>
      </c>
      <c r="P2416" t="b">
        <v>0</v>
      </c>
      <c r="Q2416">
        <v>0.83333333333333337</v>
      </c>
      <c r="R2416">
        <v>844.47</v>
      </c>
      <c r="S2416">
        <v>11.98</v>
      </c>
      <c r="T2416" s="2">
        <v>44682</v>
      </c>
      <c r="U2416" s="1" t="s">
        <v>41</v>
      </c>
      <c r="V2416">
        <v>1</v>
      </c>
      <c r="W2416" s="1" t="s">
        <v>56</v>
      </c>
      <c r="Y2416" s="1" t="s">
        <v>52</v>
      </c>
      <c r="Z2416" s="1" t="s">
        <v>42</v>
      </c>
      <c r="AA2416">
        <v>0.27272727272727271</v>
      </c>
      <c r="AB2416" s="1" t="s">
        <v>42</v>
      </c>
      <c r="AC2416">
        <v>2</v>
      </c>
      <c r="AD2416" s="2">
        <v>44682</v>
      </c>
      <c r="AE2416" s="1" t="s">
        <v>74</v>
      </c>
      <c r="AF2416" s="1" t="s">
        <v>72</v>
      </c>
      <c r="AG2416" s="1" t="s">
        <v>63</v>
      </c>
      <c r="AH2416" s="1" t="s">
        <v>59</v>
      </c>
      <c r="AI2416">
        <v>8530</v>
      </c>
      <c r="AJ2416">
        <v>-85.299999999999272</v>
      </c>
    </row>
    <row r="2417" spans="1:36" x14ac:dyDescent="0.25">
      <c r="A2417">
        <v>12416</v>
      </c>
      <c r="B2417">
        <v>31</v>
      </c>
      <c r="C2417" s="1" t="s">
        <v>36</v>
      </c>
      <c r="D2417" s="1" t="s">
        <v>69</v>
      </c>
      <c r="E2417" s="2">
        <v>44470</v>
      </c>
      <c r="F2417" s="2">
        <v>44584</v>
      </c>
      <c r="G2417" s="1" t="s">
        <v>38</v>
      </c>
      <c r="H2417">
        <v>695</v>
      </c>
      <c r="I2417">
        <v>29</v>
      </c>
      <c r="J2417">
        <v>3</v>
      </c>
      <c r="K2417">
        <v>107.87</v>
      </c>
      <c r="L2417">
        <v>5</v>
      </c>
      <c r="M2417" s="1" t="s">
        <v>67</v>
      </c>
      <c r="N2417" s="1" t="s">
        <v>56</v>
      </c>
      <c r="O2417">
        <v>20120.25</v>
      </c>
      <c r="P2417" t="b">
        <v>1</v>
      </c>
      <c r="Q2417">
        <v>2.4166666666666665</v>
      </c>
      <c r="R2417">
        <v>693.80172413793105</v>
      </c>
      <c r="S2417">
        <v>26.967500000000001</v>
      </c>
      <c r="T2417" s="2">
        <v>44470</v>
      </c>
      <c r="U2417" s="1" t="s">
        <v>57</v>
      </c>
      <c r="V2417">
        <v>0</v>
      </c>
      <c r="W2417" s="1" t="s">
        <v>40</v>
      </c>
      <c r="X2417">
        <v>114</v>
      </c>
      <c r="Y2417" s="1" t="s">
        <v>43</v>
      </c>
      <c r="Z2417" s="1" t="s">
        <v>42</v>
      </c>
      <c r="AA2417">
        <v>0.1</v>
      </c>
      <c r="AB2417" s="1" t="s">
        <v>43</v>
      </c>
      <c r="AC2417">
        <v>1</v>
      </c>
      <c r="AD2417" s="2">
        <v>44470</v>
      </c>
      <c r="AE2417" s="1" t="s">
        <v>44</v>
      </c>
      <c r="AF2417" s="1" t="s">
        <v>72</v>
      </c>
      <c r="AG2417" s="1" t="s">
        <v>63</v>
      </c>
      <c r="AH2417" s="1" t="s">
        <v>64</v>
      </c>
      <c r="AI2417">
        <v>20155</v>
      </c>
      <c r="AJ2417">
        <v>-34.75</v>
      </c>
    </row>
    <row r="2418" spans="1:36" x14ac:dyDescent="0.25">
      <c r="A2418">
        <v>12417</v>
      </c>
      <c r="B2418">
        <v>53</v>
      </c>
      <c r="C2418" s="1" t="s">
        <v>60</v>
      </c>
      <c r="D2418" s="1" t="s">
        <v>73</v>
      </c>
      <c r="E2418" s="2">
        <v>44751</v>
      </c>
      <c r="F2418" s="2">
        <v>45150</v>
      </c>
      <c r="G2418" s="1" t="s">
        <v>62</v>
      </c>
      <c r="H2418">
        <v>1457</v>
      </c>
      <c r="I2418">
        <v>18</v>
      </c>
      <c r="J2418">
        <v>3</v>
      </c>
      <c r="K2418">
        <v>28.69</v>
      </c>
      <c r="L2418">
        <v>5</v>
      </c>
      <c r="M2418" s="1" t="s">
        <v>67</v>
      </c>
      <c r="N2418" s="1" t="s">
        <v>40</v>
      </c>
      <c r="O2418">
        <v>26153.15</v>
      </c>
      <c r="P2418" t="b">
        <v>1</v>
      </c>
      <c r="Q2418">
        <v>1.5</v>
      </c>
      <c r="R2418">
        <v>1452.9527777777778</v>
      </c>
      <c r="S2418">
        <v>7.1725000000000003</v>
      </c>
      <c r="T2418" s="2">
        <v>44743</v>
      </c>
      <c r="U2418" s="1" t="s">
        <v>41</v>
      </c>
      <c r="V2418">
        <v>1</v>
      </c>
      <c r="W2418" s="1" t="s">
        <v>40</v>
      </c>
      <c r="X2418">
        <v>399</v>
      </c>
      <c r="Y2418" s="1" t="s">
        <v>52</v>
      </c>
      <c r="Z2418" s="1" t="s">
        <v>42</v>
      </c>
      <c r="AA2418">
        <v>0.15789473684210525</v>
      </c>
      <c r="AB2418" s="1" t="s">
        <v>43</v>
      </c>
      <c r="AC2418">
        <v>2</v>
      </c>
      <c r="AD2418" s="2">
        <v>44743</v>
      </c>
      <c r="AE2418" s="1" t="s">
        <v>53</v>
      </c>
      <c r="AF2418" s="1" t="s">
        <v>72</v>
      </c>
      <c r="AG2418" s="1" t="s">
        <v>70</v>
      </c>
      <c r="AH2418" s="1" t="s">
        <v>47</v>
      </c>
      <c r="AI2418">
        <v>26226</v>
      </c>
      <c r="AJ2418">
        <v>-72.849999999998545</v>
      </c>
    </row>
    <row r="2419" spans="1:36" x14ac:dyDescent="0.25">
      <c r="A2419">
        <v>12418</v>
      </c>
      <c r="B2419">
        <v>50</v>
      </c>
      <c r="C2419" s="1" t="s">
        <v>36</v>
      </c>
      <c r="D2419" s="1" t="s">
        <v>71</v>
      </c>
      <c r="E2419" s="2">
        <v>44404</v>
      </c>
      <c r="F2419" s="2">
        <v>44966</v>
      </c>
      <c r="G2419" s="1" t="s">
        <v>49</v>
      </c>
      <c r="H2419">
        <v>1109</v>
      </c>
      <c r="I2419">
        <v>12</v>
      </c>
      <c r="J2419">
        <v>4</v>
      </c>
      <c r="K2419">
        <v>52.86</v>
      </c>
      <c r="L2419">
        <v>10</v>
      </c>
      <c r="M2419" s="1" t="s">
        <v>50</v>
      </c>
      <c r="N2419" s="1" t="s">
        <v>56</v>
      </c>
      <c r="O2419">
        <v>13197.1</v>
      </c>
      <c r="P2419" t="b">
        <v>1</v>
      </c>
      <c r="Q2419">
        <v>1</v>
      </c>
      <c r="R2419">
        <v>1099.7583333333334</v>
      </c>
      <c r="S2419">
        <v>10.571999999999999</v>
      </c>
      <c r="T2419" s="2">
        <v>44378</v>
      </c>
      <c r="U2419" s="1" t="s">
        <v>51</v>
      </c>
      <c r="V2419">
        <v>0</v>
      </c>
      <c r="W2419" s="1" t="s">
        <v>56</v>
      </c>
      <c r="X2419">
        <v>562</v>
      </c>
      <c r="Y2419" s="1" t="s">
        <v>52</v>
      </c>
      <c r="Z2419" s="1" t="s">
        <v>42</v>
      </c>
      <c r="AA2419">
        <v>0.30769230769230771</v>
      </c>
      <c r="AB2419" s="1" t="s">
        <v>52</v>
      </c>
      <c r="AC2419">
        <v>3</v>
      </c>
      <c r="AD2419" s="2">
        <v>44378</v>
      </c>
      <c r="AE2419" s="1" t="s">
        <v>74</v>
      </c>
      <c r="AF2419" s="1" t="s">
        <v>45</v>
      </c>
      <c r="AG2419" s="1" t="s">
        <v>63</v>
      </c>
      <c r="AH2419" s="1" t="s">
        <v>47</v>
      </c>
      <c r="AI2419">
        <v>13308</v>
      </c>
      <c r="AJ2419">
        <v>-110.89999999999964</v>
      </c>
    </row>
    <row r="2420" spans="1:36" x14ac:dyDescent="0.25">
      <c r="A2420">
        <v>12419</v>
      </c>
      <c r="B2420">
        <v>40</v>
      </c>
      <c r="C2420" s="1" t="s">
        <v>75</v>
      </c>
      <c r="D2420" s="1" t="s">
        <v>48</v>
      </c>
      <c r="E2420" s="2">
        <v>45057</v>
      </c>
      <c r="F2420" s="2">
        <v>44475</v>
      </c>
      <c r="G2420" s="1" t="s">
        <v>62</v>
      </c>
      <c r="H2420">
        <v>1261</v>
      </c>
      <c r="I2420">
        <v>23</v>
      </c>
      <c r="J2420">
        <v>2</v>
      </c>
      <c r="K2420">
        <v>40.840000000000003</v>
      </c>
      <c r="L2420">
        <v>0</v>
      </c>
      <c r="M2420" s="1" t="s">
        <v>67</v>
      </c>
      <c r="N2420" s="1" t="s">
        <v>40</v>
      </c>
      <c r="O2420">
        <v>29003</v>
      </c>
      <c r="P2420" t="b">
        <v>0</v>
      </c>
      <c r="Q2420">
        <v>1.9166666666666667</v>
      </c>
      <c r="R2420">
        <v>1261</v>
      </c>
      <c r="S2420">
        <v>13.613333333333335</v>
      </c>
      <c r="T2420" s="2">
        <v>45047</v>
      </c>
      <c r="U2420" s="1" t="s">
        <v>51</v>
      </c>
      <c r="V2420">
        <v>1</v>
      </c>
      <c r="W2420" s="1" t="s">
        <v>40</v>
      </c>
      <c r="Y2420" s="1" t="s">
        <v>52</v>
      </c>
      <c r="Z2420" s="1" t="s">
        <v>42</v>
      </c>
      <c r="AA2420">
        <v>8.3333333333333329E-2</v>
      </c>
      <c r="AB2420" s="1" t="s">
        <v>43</v>
      </c>
      <c r="AC2420">
        <v>2</v>
      </c>
      <c r="AD2420" s="2">
        <v>45047</v>
      </c>
      <c r="AE2420" s="1" t="s">
        <v>53</v>
      </c>
      <c r="AF2420" s="1" t="s">
        <v>72</v>
      </c>
      <c r="AG2420" s="1" t="s">
        <v>55</v>
      </c>
      <c r="AH2420" s="1" t="s">
        <v>47</v>
      </c>
      <c r="AI2420">
        <v>29003</v>
      </c>
      <c r="AJ2420">
        <v>0</v>
      </c>
    </row>
    <row r="2421" spans="1:36" x14ac:dyDescent="0.25">
      <c r="A2421">
        <v>12420</v>
      </c>
      <c r="B2421">
        <v>62</v>
      </c>
      <c r="C2421" s="1" t="s">
        <v>36</v>
      </c>
      <c r="D2421" s="1" t="s">
        <v>48</v>
      </c>
      <c r="E2421" s="2">
        <v>44811</v>
      </c>
      <c r="F2421" s="2">
        <v>45054</v>
      </c>
      <c r="G2421" s="1" t="s">
        <v>49</v>
      </c>
      <c r="H2421">
        <v>841</v>
      </c>
      <c r="I2421">
        <v>11</v>
      </c>
      <c r="J2421">
        <v>3</v>
      </c>
      <c r="K2421">
        <v>62.59</v>
      </c>
      <c r="L2421">
        <v>5</v>
      </c>
      <c r="M2421" s="1" t="s">
        <v>50</v>
      </c>
      <c r="N2421" s="1" t="s">
        <v>56</v>
      </c>
      <c r="O2421">
        <v>9208.9500000000007</v>
      </c>
      <c r="P2421" t="b">
        <v>1</v>
      </c>
      <c r="Q2421">
        <v>0.91666666666666663</v>
      </c>
      <c r="R2421">
        <v>837.17727272727279</v>
      </c>
      <c r="S2421">
        <v>15.647500000000001</v>
      </c>
      <c r="T2421" s="2">
        <v>44805</v>
      </c>
      <c r="U2421" s="1" t="s">
        <v>41</v>
      </c>
      <c r="V2421">
        <v>0</v>
      </c>
      <c r="W2421" s="1" t="s">
        <v>56</v>
      </c>
      <c r="X2421">
        <v>243</v>
      </c>
      <c r="Y2421" s="1" t="s">
        <v>43</v>
      </c>
      <c r="Z2421" s="1" t="s">
        <v>42</v>
      </c>
      <c r="AA2421">
        <v>0.25</v>
      </c>
      <c r="AB2421" s="1" t="s">
        <v>52</v>
      </c>
      <c r="AC2421">
        <v>3</v>
      </c>
      <c r="AD2421" s="2">
        <v>44805</v>
      </c>
      <c r="AE2421" s="1" t="s">
        <v>74</v>
      </c>
      <c r="AF2421" s="1" t="s">
        <v>72</v>
      </c>
      <c r="AG2421" s="1" t="s">
        <v>63</v>
      </c>
      <c r="AH2421" s="1" t="s">
        <v>59</v>
      </c>
      <c r="AI2421">
        <v>9251</v>
      </c>
      <c r="AJ2421">
        <v>-42.049999999999272</v>
      </c>
    </row>
    <row r="2422" spans="1:36" x14ac:dyDescent="0.25">
      <c r="A2422">
        <v>12421</v>
      </c>
      <c r="B2422">
        <v>19</v>
      </c>
      <c r="C2422" s="1" t="s">
        <v>36</v>
      </c>
      <c r="D2422" s="1" t="s">
        <v>73</v>
      </c>
      <c r="E2422" s="2">
        <v>44320</v>
      </c>
      <c r="F2422" s="2">
        <v>45198</v>
      </c>
      <c r="G2422" s="1" t="s">
        <v>38</v>
      </c>
      <c r="H2422">
        <v>1332</v>
      </c>
      <c r="I2422">
        <v>9</v>
      </c>
      <c r="J2422">
        <v>0</v>
      </c>
      <c r="K2422">
        <v>10.76</v>
      </c>
      <c r="L2422">
        <v>10</v>
      </c>
      <c r="M2422" s="1" t="s">
        <v>39</v>
      </c>
      <c r="N2422" s="1" t="s">
        <v>56</v>
      </c>
      <c r="O2422">
        <v>11721.6</v>
      </c>
      <c r="P2422" t="b">
        <v>1</v>
      </c>
      <c r="Q2422">
        <v>0.75</v>
      </c>
      <c r="R2422">
        <v>1302.4000000000001</v>
      </c>
      <c r="S2422">
        <v>10.76</v>
      </c>
      <c r="T2422" s="2">
        <v>44317</v>
      </c>
      <c r="U2422" s="1" t="s">
        <v>66</v>
      </c>
      <c r="V2422">
        <v>0</v>
      </c>
      <c r="W2422" s="1" t="s">
        <v>56</v>
      </c>
      <c r="X2422">
        <v>878</v>
      </c>
      <c r="Y2422" s="1" t="s">
        <v>42</v>
      </c>
      <c r="Z2422" s="1" t="s">
        <v>42</v>
      </c>
      <c r="AA2422">
        <v>0</v>
      </c>
      <c r="AB2422" s="1" t="s">
        <v>52</v>
      </c>
      <c r="AC2422">
        <v>1</v>
      </c>
      <c r="AD2422" s="2">
        <v>44317</v>
      </c>
      <c r="AE2422" s="1" t="s">
        <v>74</v>
      </c>
      <c r="AF2422" s="1" t="s">
        <v>54</v>
      </c>
      <c r="AG2422" s="1" t="s">
        <v>46</v>
      </c>
      <c r="AH2422" s="1" t="s">
        <v>47</v>
      </c>
      <c r="AI2422">
        <v>11988</v>
      </c>
      <c r="AJ2422">
        <v>-266.39999999999964</v>
      </c>
    </row>
    <row r="2423" spans="1:36" x14ac:dyDescent="0.25">
      <c r="A2423">
        <v>12422</v>
      </c>
      <c r="B2423">
        <v>58</v>
      </c>
      <c r="C2423" s="1" t="s">
        <v>75</v>
      </c>
      <c r="D2423" s="1" t="s">
        <v>61</v>
      </c>
      <c r="E2423" s="2">
        <v>44206</v>
      </c>
      <c r="F2423" s="2">
        <v>44741</v>
      </c>
      <c r="G2423" s="1" t="s">
        <v>49</v>
      </c>
      <c r="H2423">
        <v>1286</v>
      </c>
      <c r="I2423">
        <v>24</v>
      </c>
      <c r="J2423">
        <v>2</v>
      </c>
      <c r="K2423">
        <v>27.6</v>
      </c>
      <c r="L2423">
        <v>20</v>
      </c>
      <c r="M2423" s="1" t="s">
        <v>65</v>
      </c>
      <c r="N2423" s="1" t="s">
        <v>56</v>
      </c>
      <c r="O2423">
        <v>30606.799999999999</v>
      </c>
      <c r="P2423" t="b">
        <v>1</v>
      </c>
      <c r="Q2423">
        <v>2</v>
      </c>
      <c r="R2423">
        <v>1275.2833333333333</v>
      </c>
      <c r="S2423">
        <v>9.2000000000000011</v>
      </c>
      <c r="T2423" s="2">
        <v>44197</v>
      </c>
      <c r="U2423" s="1" t="s">
        <v>41</v>
      </c>
      <c r="V2423">
        <v>0</v>
      </c>
      <c r="W2423" s="1" t="s">
        <v>40</v>
      </c>
      <c r="X2423">
        <v>535</v>
      </c>
      <c r="Y2423" s="1" t="s">
        <v>52</v>
      </c>
      <c r="Z2423" s="1" t="s">
        <v>52</v>
      </c>
      <c r="AA2423">
        <v>0.08</v>
      </c>
      <c r="AB2423" s="1" t="s">
        <v>43</v>
      </c>
      <c r="AC2423">
        <v>3</v>
      </c>
      <c r="AD2423" s="2">
        <v>44197</v>
      </c>
      <c r="AE2423" s="1" t="s">
        <v>53</v>
      </c>
      <c r="AF2423" s="1" t="s">
        <v>72</v>
      </c>
      <c r="AG2423" s="1" t="s">
        <v>70</v>
      </c>
      <c r="AH2423" s="1" t="s">
        <v>47</v>
      </c>
      <c r="AI2423">
        <v>30864</v>
      </c>
      <c r="AJ2423">
        <v>-257.20000000000073</v>
      </c>
    </row>
    <row r="2424" spans="1:36" x14ac:dyDescent="0.25">
      <c r="A2424">
        <v>12423</v>
      </c>
      <c r="B2424">
        <v>38</v>
      </c>
      <c r="C2424" s="1" t="s">
        <v>36</v>
      </c>
      <c r="D2424" s="1" t="s">
        <v>73</v>
      </c>
      <c r="E2424" s="2">
        <v>44525</v>
      </c>
      <c r="F2424" s="2">
        <v>44822</v>
      </c>
      <c r="G2424" s="1" t="s">
        <v>62</v>
      </c>
      <c r="H2424">
        <v>469</v>
      </c>
      <c r="I2424">
        <v>25</v>
      </c>
      <c r="J2424">
        <v>1</v>
      </c>
      <c r="K2424">
        <v>29.22</v>
      </c>
      <c r="L2424">
        <v>0</v>
      </c>
      <c r="M2424" s="1" t="s">
        <v>50</v>
      </c>
      <c r="N2424" s="1" t="s">
        <v>56</v>
      </c>
      <c r="O2424">
        <v>11725</v>
      </c>
      <c r="P2424" t="b">
        <v>1</v>
      </c>
      <c r="Q2424">
        <v>2.0833333333333335</v>
      </c>
      <c r="R2424">
        <v>469</v>
      </c>
      <c r="S2424">
        <v>14.61</v>
      </c>
      <c r="T2424" s="2">
        <v>44501</v>
      </c>
      <c r="U2424" s="1" t="s">
        <v>51</v>
      </c>
      <c r="V2424">
        <v>0</v>
      </c>
      <c r="W2424" s="1" t="s">
        <v>56</v>
      </c>
      <c r="X2424">
        <v>297</v>
      </c>
      <c r="Y2424" s="1" t="s">
        <v>52</v>
      </c>
      <c r="Z2424" s="1" t="s">
        <v>42</v>
      </c>
      <c r="AA2424">
        <v>3.8461538461538464E-2</v>
      </c>
      <c r="AB2424" s="1" t="s">
        <v>52</v>
      </c>
      <c r="AC2424">
        <v>2</v>
      </c>
      <c r="AD2424" s="2">
        <v>44501</v>
      </c>
      <c r="AE2424" s="1" t="s">
        <v>44</v>
      </c>
      <c r="AF2424" s="1" t="s">
        <v>54</v>
      </c>
      <c r="AG2424" s="1" t="s">
        <v>70</v>
      </c>
      <c r="AH2424" s="1" t="s">
        <v>68</v>
      </c>
      <c r="AI2424">
        <v>11725</v>
      </c>
      <c r="AJ2424">
        <v>0</v>
      </c>
    </row>
    <row r="2425" spans="1:36" x14ac:dyDescent="0.25">
      <c r="A2425">
        <v>12424</v>
      </c>
      <c r="B2425">
        <v>19</v>
      </c>
      <c r="C2425" s="1" t="s">
        <v>60</v>
      </c>
      <c r="D2425" s="1" t="s">
        <v>37</v>
      </c>
      <c r="E2425" s="2">
        <v>44383</v>
      </c>
      <c r="F2425" s="2">
        <v>45002</v>
      </c>
      <c r="G2425" s="1" t="s">
        <v>38</v>
      </c>
      <c r="H2425">
        <v>589</v>
      </c>
      <c r="I2425">
        <v>25</v>
      </c>
      <c r="J2425">
        <v>1</v>
      </c>
      <c r="K2425">
        <v>119.19</v>
      </c>
      <c r="L2425">
        <v>5</v>
      </c>
      <c r="M2425" s="1" t="s">
        <v>50</v>
      </c>
      <c r="N2425" s="1" t="s">
        <v>40</v>
      </c>
      <c r="O2425">
        <v>14695.55</v>
      </c>
      <c r="P2425" t="b">
        <v>1</v>
      </c>
      <c r="Q2425">
        <v>2.0833333333333335</v>
      </c>
      <c r="R2425">
        <v>587.822</v>
      </c>
      <c r="S2425">
        <v>59.594999999999999</v>
      </c>
      <c r="T2425" s="2">
        <v>44378</v>
      </c>
      <c r="U2425" s="1" t="s">
        <v>66</v>
      </c>
      <c r="V2425">
        <v>1</v>
      </c>
      <c r="W2425" s="1" t="s">
        <v>40</v>
      </c>
      <c r="X2425">
        <v>619</v>
      </c>
      <c r="Y2425" s="1" t="s">
        <v>43</v>
      </c>
      <c r="Z2425" s="1" t="s">
        <v>42</v>
      </c>
      <c r="AA2425">
        <v>3.8461538461538464E-2</v>
      </c>
      <c r="AB2425" s="1" t="s">
        <v>52</v>
      </c>
      <c r="AC2425">
        <v>1</v>
      </c>
      <c r="AD2425" s="2">
        <v>44378</v>
      </c>
      <c r="AE2425" s="1" t="s">
        <v>44</v>
      </c>
      <c r="AF2425" s="1" t="s">
        <v>54</v>
      </c>
      <c r="AG2425" s="1" t="s">
        <v>63</v>
      </c>
      <c r="AH2425" s="1" t="s">
        <v>64</v>
      </c>
      <c r="AI2425">
        <v>14725</v>
      </c>
      <c r="AJ2425">
        <v>-29.450000000000728</v>
      </c>
    </row>
    <row r="2426" spans="1:36" x14ac:dyDescent="0.25">
      <c r="A2426">
        <v>12425</v>
      </c>
      <c r="B2426">
        <v>44</v>
      </c>
      <c r="C2426" s="1" t="s">
        <v>36</v>
      </c>
      <c r="D2426" s="1" t="s">
        <v>71</v>
      </c>
      <c r="E2426" s="2">
        <v>44739</v>
      </c>
      <c r="F2426" s="2">
        <v>44742</v>
      </c>
      <c r="G2426" s="1" t="s">
        <v>62</v>
      </c>
      <c r="H2426">
        <v>1491</v>
      </c>
      <c r="I2426">
        <v>9</v>
      </c>
      <c r="J2426">
        <v>0</v>
      </c>
      <c r="K2426">
        <v>62.59</v>
      </c>
      <c r="L2426">
        <v>0</v>
      </c>
      <c r="M2426" s="1" t="s">
        <v>39</v>
      </c>
      <c r="N2426" s="1" t="s">
        <v>56</v>
      </c>
      <c r="O2426">
        <v>13419</v>
      </c>
      <c r="P2426" t="b">
        <v>1</v>
      </c>
      <c r="Q2426">
        <v>0.75</v>
      </c>
      <c r="R2426">
        <v>1491</v>
      </c>
      <c r="S2426">
        <v>62.59</v>
      </c>
      <c r="T2426" s="2">
        <v>44713</v>
      </c>
      <c r="U2426" s="1" t="s">
        <v>51</v>
      </c>
      <c r="V2426">
        <v>0</v>
      </c>
      <c r="W2426" s="1" t="s">
        <v>56</v>
      </c>
      <c r="X2426">
        <v>3</v>
      </c>
      <c r="Y2426" s="1" t="s">
        <v>43</v>
      </c>
      <c r="Z2426" s="1" t="s">
        <v>42</v>
      </c>
      <c r="AA2426">
        <v>0</v>
      </c>
      <c r="AB2426" s="1" t="s">
        <v>52</v>
      </c>
      <c r="AC2426">
        <v>2</v>
      </c>
      <c r="AD2426" s="2">
        <v>44713</v>
      </c>
      <c r="AE2426" s="1" t="s">
        <v>74</v>
      </c>
      <c r="AF2426" s="1" t="s">
        <v>54</v>
      </c>
      <c r="AG2426" s="1" t="s">
        <v>63</v>
      </c>
      <c r="AH2426" s="1" t="s">
        <v>47</v>
      </c>
      <c r="AI2426">
        <v>13419</v>
      </c>
      <c r="AJ2426">
        <v>0</v>
      </c>
    </row>
    <row r="2427" spans="1:36" x14ac:dyDescent="0.25">
      <c r="A2427">
        <v>12426</v>
      </c>
      <c r="B2427">
        <v>26</v>
      </c>
      <c r="C2427" s="1" t="s">
        <v>36</v>
      </c>
      <c r="D2427" s="1" t="s">
        <v>61</v>
      </c>
      <c r="E2427" s="2">
        <v>44864</v>
      </c>
      <c r="F2427" s="2">
        <v>44458</v>
      </c>
      <c r="G2427" s="1" t="s">
        <v>38</v>
      </c>
      <c r="H2427">
        <v>1468</v>
      </c>
      <c r="I2427">
        <v>12</v>
      </c>
      <c r="J2427">
        <v>1</v>
      </c>
      <c r="K2427">
        <v>20.98</v>
      </c>
      <c r="L2427">
        <v>5</v>
      </c>
      <c r="M2427" s="1" t="s">
        <v>67</v>
      </c>
      <c r="N2427" s="1" t="s">
        <v>56</v>
      </c>
      <c r="O2427">
        <v>17542.599999999999</v>
      </c>
      <c r="P2427" t="b">
        <v>0</v>
      </c>
      <c r="Q2427">
        <v>1</v>
      </c>
      <c r="R2427">
        <v>1461.8833333333332</v>
      </c>
      <c r="S2427">
        <v>10.49</v>
      </c>
      <c r="T2427" s="2">
        <v>44835</v>
      </c>
      <c r="U2427" s="1" t="s">
        <v>57</v>
      </c>
      <c r="V2427">
        <v>0</v>
      </c>
      <c r="W2427" s="1" t="s">
        <v>40</v>
      </c>
      <c r="Y2427" s="1" t="s">
        <v>52</v>
      </c>
      <c r="Z2427" s="1" t="s">
        <v>42</v>
      </c>
      <c r="AA2427">
        <v>7.6923076923076927E-2</v>
      </c>
      <c r="AB2427" s="1" t="s">
        <v>52</v>
      </c>
      <c r="AC2427">
        <v>1</v>
      </c>
      <c r="AD2427" s="2">
        <v>44835</v>
      </c>
      <c r="AE2427" s="1" t="s">
        <v>74</v>
      </c>
      <c r="AF2427" s="1" t="s">
        <v>54</v>
      </c>
      <c r="AG2427" s="1" t="s">
        <v>70</v>
      </c>
      <c r="AH2427" s="1" t="s">
        <v>47</v>
      </c>
      <c r="AI2427">
        <v>17616</v>
      </c>
      <c r="AJ2427">
        <v>-73.400000000001455</v>
      </c>
    </row>
    <row r="2428" spans="1:36" x14ac:dyDescent="0.25">
      <c r="A2428">
        <v>12427</v>
      </c>
      <c r="B2428">
        <v>18</v>
      </c>
      <c r="C2428" s="1" t="s">
        <v>36</v>
      </c>
      <c r="D2428" s="1" t="s">
        <v>69</v>
      </c>
      <c r="E2428" s="2">
        <v>44256</v>
      </c>
      <c r="F2428" s="2">
        <v>44437</v>
      </c>
      <c r="G2428" s="1" t="s">
        <v>62</v>
      </c>
      <c r="H2428">
        <v>1039</v>
      </c>
      <c r="I2428">
        <v>11</v>
      </c>
      <c r="J2428">
        <v>2</v>
      </c>
      <c r="K2428">
        <v>36.299999999999997</v>
      </c>
      <c r="L2428">
        <v>5</v>
      </c>
      <c r="M2428" s="1" t="s">
        <v>50</v>
      </c>
      <c r="N2428" s="1" t="s">
        <v>40</v>
      </c>
      <c r="O2428">
        <v>11377.05</v>
      </c>
      <c r="P2428" t="b">
        <v>1</v>
      </c>
      <c r="Q2428">
        <v>0.91666666666666663</v>
      </c>
      <c r="R2428">
        <v>1034.2772727272727</v>
      </c>
      <c r="S2428">
        <v>12.1</v>
      </c>
      <c r="T2428" s="2">
        <v>44256</v>
      </c>
      <c r="U2428" s="1" t="s">
        <v>66</v>
      </c>
      <c r="V2428">
        <v>1</v>
      </c>
      <c r="W2428" s="1" t="s">
        <v>56</v>
      </c>
      <c r="X2428">
        <v>181</v>
      </c>
      <c r="Y2428" s="1" t="s">
        <v>52</v>
      </c>
      <c r="Z2428" s="1" t="s">
        <v>42</v>
      </c>
      <c r="AA2428">
        <v>0.16666666666666666</v>
      </c>
      <c r="AB2428" s="1" t="s">
        <v>52</v>
      </c>
      <c r="AC2428">
        <v>2</v>
      </c>
      <c r="AD2428" s="2">
        <v>44256</v>
      </c>
      <c r="AE2428" s="1" t="s">
        <v>74</v>
      </c>
      <c r="AF2428" s="1" t="s">
        <v>72</v>
      </c>
      <c r="AG2428" s="1" t="s">
        <v>55</v>
      </c>
      <c r="AH2428" s="1" t="s">
        <v>47</v>
      </c>
      <c r="AI2428">
        <v>11429</v>
      </c>
      <c r="AJ2428">
        <v>-51.950000000000728</v>
      </c>
    </row>
    <row r="2429" spans="1:36" x14ac:dyDescent="0.25">
      <c r="A2429">
        <v>12428</v>
      </c>
      <c r="B2429">
        <v>28</v>
      </c>
      <c r="C2429" s="1" t="s">
        <v>60</v>
      </c>
      <c r="D2429" s="1" t="s">
        <v>37</v>
      </c>
      <c r="E2429" s="2">
        <v>44957</v>
      </c>
      <c r="F2429" s="2">
        <v>45110</v>
      </c>
      <c r="G2429" s="1" t="s">
        <v>62</v>
      </c>
      <c r="H2429">
        <v>887</v>
      </c>
      <c r="I2429">
        <v>28</v>
      </c>
      <c r="J2429">
        <v>4</v>
      </c>
      <c r="K2429">
        <v>62.59</v>
      </c>
      <c r="L2429">
        <v>0</v>
      </c>
      <c r="M2429" s="1" t="s">
        <v>67</v>
      </c>
      <c r="N2429" s="1" t="s">
        <v>40</v>
      </c>
      <c r="O2429">
        <v>24836</v>
      </c>
      <c r="P2429" t="b">
        <v>1</v>
      </c>
      <c r="Q2429">
        <v>2.3333333333333335</v>
      </c>
      <c r="R2429">
        <v>887</v>
      </c>
      <c r="S2429">
        <v>12.518000000000001</v>
      </c>
      <c r="T2429" s="2">
        <v>44927</v>
      </c>
      <c r="U2429" s="1" t="s">
        <v>57</v>
      </c>
      <c r="V2429">
        <v>1</v>
      </c>
      <c r="W2429" s="1" t="s">
        <v>40</v>
      </c>
      <c r="X2429">
        <v>153</v>
      </c>
      <c r="Y2429" s="1" t="s">
        <v>43</v>
      </c>
      <c r="Z2429" s="1" t="s">
        <v>42</v>
      </c>
      <c r="AA2429">
        <v>0.13793103448275862</v>
      </c>
      <c r="AB2429" s="1" t="s">
        <v>43</v>
      </c>
      <c r="AC2429">
        <v>2</v>
      </c>
      <c r="AD2429" s="2">
        <v>44927</v>
      </c>
      <c r="AE2429" s="1" t="s">
        <v>44</v>
      </c>
      <c r="AF2429" s="1" t="s">
        <v>45</v>
      </c>
      <c r="AG2429" s="1" t="s">
        <v>63</v>
      </c>
      <c r="AH2429" s="1" t="s">
        <v>59</v>
      </c>
      <c r="AI2429">
        <v>24836</v>
      </c>
      <c r="AJ2429">
        <v>0</v>
      </c>
    </row>
    <row r="2430" spans="1:36" x14ac:dyDescent="0.25">
      <c r="A2430">
        <v>12429</v>
      </c>
      <c r="B2430">
        <v>20</v>
      </c>
      <c r="C2430" s="1" t="s">
        <v>36</v>
      </c>
      <c r="D2430" s="1" t="s">
        <v>61</v>
      </c>
      <c r="E2430" s="2">
        <v>45095</v>
      </c>
      <c r="F2430" s="2">
        <v>44627</v>
      </c>
      <c r="G2430" s="1" t="s">
        <v>38</v>
      </c>
      <c r="H2430">
        <v>1034</v>
      </c>
      <c r="I2430">
        <v>8</v>
      </c>
      <c r="J2430">
        <v>5</v>
      </c>
      <c r="K2430">
        <v>62.59</v>
      </c>
      <c r="L2430">
        <v>15</v>
      </c>
      <c r="M2430" s="1" t="s">
        <v>50</v>
      </c>
      <c r="N2430" s="1" t="s">
        <v>56</v>
      </c>
      <c r="O2430">
        <v>8116.9</v>
      </c>
      <c r="P2430" t="b">
        <v>0</v>
      </c>
      <c r="Q2430">
        <v>0.66666666666666663</v>
      </c>
      <c r="R2430">
        <v>1014.6125</v>
      </c>
      <c r="S2430">
        <v>10.431666666666667</v>
      </c>
      <c r="T2430" s="2">
        <v>45078</v>
      </c>
      <c r="U2430" s="1" t="s">
        <v>66</v>
      </c>
      <c r="V2430">
        <v>0</v>
      </c>
      <c r="W2430" s="1" t="s">
        <v>56</v>
      </c>
      <c r="Y2430" s="1" t="s">
        <v>43</v>
      </c>
      <c r="Z2430" s="1" t="s">
        <v>42</v>
      </c>
      <c r="AA2430">
        <v>0.55555555555555558</v>
      </c>
      <c r="AB2430" s="1" t="s">
        <v>42</v>
      </c>
      <c r="AC2430">
        <v>1</v>
      </c>
      <c r="AD2430" s="2">
        <v>45078</v>
      </c>
      <c r="AE2430" s="1" t="s">
        <v>74</v>
      </c>
      <c r="AF2430" s="1" t="s">
        <v>45</v>
      </c>
      <c r="AG2430" s="1" t="s">
        <v>63</v>
      </c>
      <c r="AH2430" s="1" t="s">
        <v>47</v>
      </c>
      <c r="AI2430">
        <v>8272</v>
      </c>
      <c r="AJ2430">
        <v>-155.10000000000036</v>
      </c>
    </row>
    <row r="2431" spans="1:36" x14ac:dyDescent="0.25">
      <c r="A2431">
        <v>12430</v>
      </c>
      <c r="B2431">
        <v>40</v>
      </c>
      <c r="C2431" s="1" t="s">
        <v>60</v>
      </c>
      <c r="D2431" s="1" t="s">
        <v>71</v>
      </c>
      <c r="E2431" s="2">
        <v>45082</v>
      </c>
      <c r="F2431" s="2">
        <v>44680</v>
      </c>
      <c r="G2431" s="1" t="s">
        <v>62</v>
      </c>
      <c r="H2431">
        <v>756</v>
      </c>
      <c r="I2431">
        <v>10</v>
      </c>
      <c r="J2431">
        <v>1</v>
      </c>
      <c r="K2431">
        <v>96.68</v>
      </c>
      <c r="L2431">
        <v>10</v>
      </c>
      <c r="M2431" s="1" t="s">
        <v>67</v>
      </c>
      <c r="N2431" s="1" t="s">
        <v>56</v>
      </c>
      <c r="O2431">
        <v>7484.4</v>
      </c>
      <c r="P2431" t="b">
        <v>0</v>
      </c>
      <c r="Q2431">
        <v>0.83333333333333337</v>
      </c>
      <c r="R2431">
        <v>748.43999999999994</v>
      </c>
      <c r="S2431">
        <v>48.34</v>
      </c>
      <c r="T2431" s="2">
        <v>45078</v>
      </c>
      <c r="U2431" s="1" t="s">
        <v>51</v>
      </c>
      <c r="V2431">
        <v>0</v>
      </c>
      <c r="W2431" s="1" t="s">
        <v>56</v>
      </c>
      <c r="Y2431" s="1" t="s">
        <v>43</v>
      </c>
      <c r="Z2431" s="1" t="s">
        <v>42</v>
      </c>
      <c r="AA2431">
        <v>9.0909090909090912E-2</v>
      </c>
      <c r="AB2431" s="1" t="s">
        <v>42</v>
      </c>
      <c r="AC2431">
        <v>2</v>
      </c>
      <c r="AD2431" s="2">
        <v>45078</v>
      </c>
      <c r="AE2431" s="1" t="s">
        <v>74</v>
      </c>
      <c r="AF2431" s="1" t="s">
        <v>54</v>
      </c>
      <c r="AG2431" s="1" t="s">
        <v>63</v>
      </c>
      <c r="AH2431" s="1" t="s">
        <v>59</v>
      </c>
      <c r="AI2431">
        <v>7560</v>
      </c>
      <c r="AJ2431">
        <v>-75.600000000000364</v>
      </c>
    </row>
    <row r="2432" spans="1:36" x14ac:dyDescent="0.25">
      <c r="A2432">
        <v>12431</v>
      </c>
      <c r="B2432">
        <v>43</v>
      </c>
      <c r="C2432" s="1" t="s">
        <v>36</v>
      </c>
      <c r="D2432" s="1" t="s">
        <v>76</v>
      </c>
      <c r="E2432" s="2">
        <v>44978</v>
      </c>
      <c r="F2432" s="2">
        <v>44571</v>
      </c>
      <c r="G2432" s="1" t="s">
        <v>62</v>
      </c>
      <c r="H2432">
        <v>1000</v>
      </c>
      <c r="I2432">
        <v>25</v>
      </c>
      <c r="J2432">
        <v>2</v>
      </c>
      <c r="K2432">
        <v>62.01</v>
      </c>
      <c r="L2432">
        <v>10</v>
      </c>
      <c r="M2432" s="1" t="s">
        <v>50</v>
      </c>
      <c r="N2432" s="1" t="s">
        <v>40</v>
      </c>
      <c r="O2432">
        <v>24900</v>
      </c>
      <c r="P2432" t="b">
        <v>0</v>
      </c>
      <c r="Q2432">
        <v>2.0833333333333335</v>
      </c>
      <c r="R2432">
        <v>996</v>
      </c>
      <c r="S2432">
        <v>20.669999999999998</v>
      </c>
      <c r="T2432" s="2">
        <v>44958</v>
      </c>
      <c r="U2432" s="1" t="s">
        <v>51</v>
      </c>
      <c r="V2432">
        <v>1</v>
      </c>
      <c r="W2432" s="1" t="s">
        <v>40</v>
      </c>
      <c r="Y2432" s="1" t="s">
        <v>43</v>
      </c>
      <c r="Z2432" s="1" t="s">
        <v>42</v>
      </c>
      <c r="AA2432">
        <v>7.6923076923076927E-2</v>
      </c>
      <c r="AB2432" s="1" t="s">
        <v>43</v>
      </c>
      <c r="AC2432">
        <v>2</v>
      </c>
      <c r="AD2432" s="2">
        <v>44958</v>
      </c>
      <c r="AE2432" s="1" t="s">
        <v>44</v>
      </c>
      <c r="AF2432" s="1" t="s">
        <v>72</v>
      </c>
      <c r="AG2432" s="1" t="s">
        <v>63</v>
      </c>
      <c r="AH2432" s="1" t="s">
        <v>59</v>
      </c>
      <c r="AI2432">
        <v>25000</v>
      </c>
      <c r="AJ2432">
        <v>-100</v>
      </c>
    </row>
    <row r="2433" spans="1:36" x14ac:dyDescent="0.25">
      <c r="A2433">
        <v>12432</v>
      </c>
      <c r="B2433">
        <v>21</v>
      </c>
      <c r="C2433" s="1" t="s">
        <v>60</v>
      </c>
      <c r="D2433" s="1" t="s">
        <v>69</v>
      </c>
      <c r="E2433" s="2">
        <v>44638</v>
      </c>
      <c r="F2433" s="2">
        <v>44448</v>
      </c>
      <c r="G2433" s="1" t="s">
        <v>38</v>
      </c>
      <c r="H2433">
        <v>1278</v>
      </c>
      <c r="I2433">
        <v>9</v>
      </c>
      <c r="J2433">
        <v>2</v>
      </c>
      <c r="K2433">
        <v>77.59</v>
      </c>
      <c r="L2433">
        <v>10</v>
      </c>
      <c r="M2433" s="1" t="s">
        <v>65</v>
      </c>
      <c r="N2433" s="1" t="s">
        <v>40</v>
      </c>
      <c r="O2433">
        <v>11374.2</v>
      </c>
      <c r="P2433" t="b">
        <v>0</v>
      </c>
      <c r="Q2433">
        <v>0.75</v>
      </c>
      <c r="R2433">
        <v>1263.8000000000002</v>
      </c>
      <c r="S2433">
        <v>25.863333333333333</v>
      </c>
      <c r="T2433" s="2">
        <v>44621</v>
      </c>
      <c r="U2433" s="1" t="s">
        <v>66</v>
      </c>
      <c r="V2433">
        <v>1</v>
      </c>
      <c r="W2433" s="1" t="s">
        <v>56</v>
      </c>
      <c r="Y2433" s="1" t="s">
        <v>43</v>
      </c>
      <c r="Z2433" s="1" t="s">
        <v>42</v>
      </c>
      <c r="AA2433">
        <v>0.2</v>
      </c>
      <c r="AB2433" s="1" t="s">
        <v>52</v>
      </c>
      <c r="AC2433">
        <v>1</v>
      </c>
      <c r="AD2433" s="2">
        <v>44621</v>
      </c>
      <c r="AE2433" s="1" t="s">
        <v>74</v>
      </c>
      <c r="AF2433" s="1" t="s">
        <v>72</v>
      </c>
      <c r="AG2433" s="1" t="s">
        <v>63</v>
      </c>
      <c r="AH2433" s="1" t="s">
        <v>47</v>
      </c>
      <c r="AI2433">
        <v>11502</v>
      </c>
      <c r="AJ2433">
        <v>-127.79999999999927</v>
      </c>
    </row>
    <row r="2434" spans="1:36" x14ac:dyDescent="0.25">
      <c r="A2434">
        <v>12433</v>
      </c>
      <c r="B2434">
        <v>35</v>
      </c>
      <c r="C2434" s="1" t="s">
        <v>60</v>
      </c>
      <c r="D2434" s="1" t="s">
        <v>73</v>
      </c>
      <c r="E2434" s="2">
        <v>44413</v>
      </c>
      <c r="F2434" s="2">
        <v>44479</v>
      </c>
      <c r="G2434" s="1" t="s">
        <v>38</v>
      </c>
      <c r="H2434">
        <v>345</v>
      </c>
      <c r="I2434">
        <v>8</v>
      </c>
      <c r="J2434">
        <v>2</v>
      </c>
      <c r="K2434">
        <v>43.09</v>
      </c>
      <c r="L2434">
        <v>0</v>
      </c>
      <c r="M2434" s="1" t="s">
        <v>65</v>
      </c>
      <c r="N2434" s="1" t="s">
        <v>56</v>
      </c>
      <c r="O2434">
        <v>2760</v>
      </c>
      <c r="P2434" t="b">
        <v>1</v>
      </c>
      <c r="Q2434">
        <v>0.66666666666666663</v>
      </c>
      <c r="R2434">
        <v>345</v>
      </c>
      <c r="S2434">
        <v>14.363333333333335</v>
      </c>
      <c r="T2434" s="2">
        <v>44409</v>
      </c>
      <c r="U2434" s="1" t="s">
        <v>57</v>
      </c>
      <c r="V2434">
        <v>0</v>
      </c>
      <c r="W2434" s="1" t="s">
        <v>56</v>
      </c>
      <c r="X2434">
        <v>66</v>
      </c>
      <c r="Y2434" s="1" t="s">
        <v>52</v>
      </c>
      <c r="Z2434" s="1" t="s">
        <v>42</v>
      </c>
      <c r="AA2434">
        <v>0.22222222222222221</v>
      </c>
      <c r="AB2434" s="1" t="s">
        <v>42</v>
      </c>
      <c r="AC2434">
        <v>1</v>
      </c>
      <c r="AD2434" s="2">
        <v>44409</v>
      </c>
      <c r="AE2434" s="1" t="s">
        <v>74</v>
      </c>
      <c r="AF2434" s="1" t="s">
        <v>72</v>
      </c>
      <c r="AG2434" s="1" t="s">
        <v>55</v>
      </c>
      <c r="AH2434" s="1" t="s">
        <v>68</v>
      </c>
      <c r="AI2434">
        <v>2760</v>
      </c>
      <c r="AJ2434">
        <v>0</v>
      </c>
    </row>
    <row r="2435" spans="1:36" x14ac:dyDescent="0.25">
      <c r="A2435">
        <v>12434</v>
      </c>
      <c r="B2435">
        <v>23</v>
      </c>
      <c r="C2435" s="1" t="s">
        <v>60</v>
      </c>
      <c r="D2435" s="1" t="s">
        <v>76</v>
      </c>
      <c r="E2435" s="2">
        <v>44198</v>
      </c>
      <c r="F2435" s="2">
        <v>44360</v>
      </c>
      <c r="G2435" s="1" t="s">
        <v>38</v>
      </c>
      <c r="H2435">
        <v>1340</v>
      </c>
      <c r="I2435">
        <v>3</v>
      </c>
      <c r="J2435">
        <v>0</v>
      </c>
      <c r="K2435">
        <v>68.67</v>
      </c>
      <c r="L2435">
        <v>5</v>
      </c>
      <c r="M2435" s="1" t="s">
        <v>65</v>
      </c>
      <c r="N2435" s="1" t="s">
        <v>56</v>
      </c>
      <c r="O2435">
        <v>3953</v>
      </c>
      <c r="P2435" t="b">
        <v>1</v>
      </c>
      <c r="Q2435">
        <v>0.25</v>
      </c>
      <c r="R2435">
        <v>1317.6666666666667</v>
      </c>
      <c r="S2435">
        <v>68.67</v>
      </c>
      <c r="T2435" s="2">
        <v>44197</v>
      </c>
      <c r="U2435" s="1" t="s">
        <v>66</v>
      </c>
      <c r="V2435">
        <v>0</v>
      </c>
      <c r="W2435" s="1" t="s">
        <v>56</v>
      </c>
      <c r="X2435">
        <v>162</v>
      </c>
      <c r="Y2435" s="1" t="s">
        <v>43</v>
      </c>
      <c r="Z2435" s="1" t="s">
        <v>42</v>
      </c>
      <c r="AA2435">
        <v>0</v>
      </c>
      <c r="AB2435" s="1" t="s">
        <v>42</v>
      </c>
      <c r="AC2435">
        <v>1</v>
      </c>
      <c r="AD2435" s="2">
        <v>44197</v>
      </c>
      <c r="AE2435" s="1" t="s">
        <v>58</v>
      </c>
      <c r="AF2435" s="1" t="s">
        <v>54</v>
      </c>
      <c r="AG2435" s="1" t="s">
        <v>63</v>
      </c>
      <c r="AH2435" s="1" t="s">
        <v>47</v>
      </c>
      <c r="AI2435">
        <v>4020</v>
      </c>
      <c r="AJ2435">
        <v>-67</v>
      </c>
    </row>
    <row r="2436" spans="1:36" x14ac:dyDescent="0.25">
      <c r="A2436">
        <v>12435</v>
      </c>
      <c r="B2436">
        <v>52</v>
      </c>
      <c r="C2436" s="1" t="s">
        <v>60</v>
      </c>
      <c r="D2436" s="1" t="s">
        <v>37</v>
      </c>
      <c r="E2436" s="2">
        <v>44732</v>
      </c>
      <c r="F2436" s="2">
        <v>44804</v>
      </c>
      <c r="G2436" s="1" t="s">
        <v>62</v>
      </c>
      <c r="H2436">
        <v>1446</v>
      </c>
      <c r="I2436">
        <v>18</v>
      </c>
      <c r="J2436">
        <v>3</v>
      </c>
      <c r="K2436">
        <v>34.619999999999997</v>
      </c>
      <c r="L2436">
        <v>5</v>
      </c>
      <c r="M2436" s="1" t="s">
        <v>50</v>
      </c>
      <c r="N2436" s="1" t="s">
        <v>56</v>
      </c>
      <c r="O2436">
        <v>25955.7</v>
      </c>
      <c r="P2436" t="b">
        <v>1</v>
      </c>
      <c r="Q2436">
        <v>1.5</v>
      </c>
      <c r="R2436">
        <v>1441.9833333333333</v>
      </c>
      <c r="S2436">
        <v>8.6549999999999994</v>
      </c>
      <c r="T2436" s="2">
        <v>44713</v>
      </c>
      <c r="U2436" s="1" t="s">
        <v>41</v>
      </c>
      <c r="V2436">
        <v>0</v>
      </c>
      <c r="W2436" s="1" t="s">
        <v>40</v>
      </c>
      <c r="X2436">
        <v>72</v>
      </c>
      <c r="Y2436" s="1" t="s">
        <v>52</v>
      </c>
      <c r="Z2436" s="1" t="s">
        <v>42</v>
      </c>
      <c r="AA2436">
        <v>0.15789473684210525</v>
      </c>
      <c r="AB2436" s="1" t="s">
        <v>43</v>
      </c>
      <c r="AC2436">
        <v>2</v>
      </c>
      <c r="AD2436" s="2">
        <v>44713</v>
      </c>
      <c r="AE2436" s="1" t="s">
        <v>53</v>
      </c>
      <c r="AF2436" s="1" t="s">
        <v>72</v>
      </c>
      <c r="AG2436" s="1" t="s">
        <v>55</v>
      </c>
      <c r="AH2436" s="1" t="s">
        <v>47</v>
      </c>
      <c r="AI2436">
        <v>26028</v>
      </c>
      <c r="AJ2436">
        <v>-72.299999999999272</v>
      </c>
    </row>
    <row r="2437" spans="1:36" x14ac:dyDescent="0.25">
      <c r="A2437">
        <v>12436</v>
      </c>
      <c r="B2437">
        <v>39</v>
      </c>
      <c r="C2437" s="1" t="s">
        <v>36</v>
      </c>
      <c r="D2437" s="1" t="s">
        <v>37</v>
      </c>
      <c r="E2437" s="2">
        <v>44914</v>
      </c>
      <c r="F2437" s="2">
        <v>44788</v>
      </c>
      <c r="G2437" s="1" t="s">
        <v>49</v>
      </c>
      <c r="H2437">
        <v>530</v>
      </c>
      <c r="I2437">
        <v>35</v>
      </c>
      <c r="J2437">
        <v>2</v>
      </c>
      <c r="K2437">
        <v>40.42</v>
      </c>
      <c r="L2437">
        <v>20</v>
      </c>
      <c r="M2437" s="1" t="s">
        <v>67</v>
      </c>
      <c r="N2437" s="1" t="s">
        <v>40</v>
      </c>
      <c r="O2437">
        <v>18444</v>
      </c>
      <c r="P2437" t="b">
        <v>0</v>
      </c>
      <c r="Q2437">
        <v>2.9166666666666665</v>
      </c>
      <c r="R2437">
        <v>526.97142857142853</v>
      </c>
      <c r="S2437">
        <v>13.473333333333334</v>
      </c>
      <c r="T2437" s="2">
        <v>44896</v>
      </c>
      <c r="U2437" s="1" t="s">
        <v>51</v>
      </c>
      <c r="V2437">
        <v>1</v>
      </c>
      <c r="W2437" s="1" t="s">
        <v>40</v>
      </c>
      <c r="Y2437" s="1" t="s">
        <v>52</v>
      </c>
      <c r="Z2437" s="1" t="s">
        <v>52</v>
      </c>
      <c r="AA2437">
        <v>5.5555555555555552E-2</v>
      </c>
      <c r="AB2437" s="1" t="s">
        <v>52</v>
      </c>
      <c r="AC2437">
        <v>3</v>
      </c>
      <c r="AD2437" s="2">
        <v>44896</v>
      </c>
      <c r="AE2437" s="1" t="s">
        <v>44</v>
      </c>
      <c r="AF2437" s="1" t="s">
        <v>72</v>
      </c>
      <c r="AG2437" s="1" t="s">
        <v>55</v>
      </c>
      <c r="AH2437" s="1" t="s">
        <v>64</v>
      </c>
      <c r="AI2437">
        <v>18550</v>
      </c>
      <c r="AJ2437">
        <v>-106</v>
      </c>
    </row>
    <row r="2438" spans="1:36" x14ac:dyDescent="0.25">
      <c r="A2438">
        <v>12437</v>
      </c>
      <c r="B2438">
        <v>60</v>
      </c>
      <c r="C2438" s="1" t="s">
        <v>36</v>
      </c>
      <c r="D2438" s="1" t="s">
        <v>48</v>
      </c>
      <c r="E2438" s="2">
        <v>45028</v>
      </c>
      <c r="F2438" s="2">
        <v>44445</v>
      </c>
      <c r="G2438" s="1" t="s">
        <v>49</v>
      </c>
      <c r="H2438">
        <v>1249</v>
      </c>
      <c r="I2438">
        <v>17</v>
      </c>
      <c r="J2438">
        <v>1</v>
      </c>
      <c r="K2438">
        <v>62.59</v>
      </c>
      <c r="L2438">
        <v>5</v>
      </c>
      <c r="M2438" s="1" t="s">
        <v>39</v>
      </c>
      <c r="N2438" s="1" t="s">
        <v>56</v>
      </c>
      <c r="O2438">
        <v>21170.55</v>
      </c>
      <c r="P2438" t="b">
        <v>0</v>
      </c>
      <c r="Q2438">
        <v>1.4166666666666667</v>
      </c>
      <c r="R2438">
        <v>1245.3264705882352</v>
      </c>
      <c r="S2438">
        <v>31.295000000000002</v>
      </c>
      <c r="T2438" s="2">
        <v>45017</v>
      </c>
      <c r="U2438" s="1" t="s">
        <v>41</v>
      </c>
      <c r="V2438">
        <v>0</v>
      </c>
      <c r="W2438" s="1" t="s">
        <v>40</v>
      </c>
      <c r="Y2438" s="1" t="s">
        <v>43</v>
      </c>
      <c r="Z2438" s="1" t="s">
        <v>42</v>
      </c>
      <c r="AA2438">
        <v>5.5555555555555552E-2</v>
      </c>
      <c r="AB2438" s="1" t="s">
        <v>43</v>
      </c>
      <c r="AC2438">
        <v>3</v>
      </c>
      <c r="AD2438" s="2">
        <v>45017</v>
      </c>
      <c r="AE2438" s="1" t="s">
        <v>53</v>
      </c>
      <c r="AF2438" s="1" t="s">
        <v>54</v>
      </c>
      <c r="AG2438" s="1" t="s">
        <v>63</v>
      </c>
      <c r="AH2438" s="1" t="s">
        <v>47</v>
      </c>
      <c r="AI2438">
        <v>21233</v>
      </c>
      <c r="AJ2438">
        <v>-62.450000000000728</v>
      </c>
    </row>
    <row r="2439" spans="1:36" x14ac:dyDescent="0.25">
      <c r="A2439">
        <v>12438</v>
      </c>
      <c r="B2439">
        <v>32</v>
      </c>
      <c r="C2439" s="1" t="s">
        <v>36</v>
      </c>
      <c r="D2439" s="1" t="s">
        <v>48</v>
      </c>
      <c r="E2439" s="2">
        <v>44907</v>
      </c>
      <c r="F2439" s="2">
        <v>44467</v>
      </c>
      <c r="G2439" s="1" t="s">
        <v>62</v>
      </c>
      <c r="H2439">
        <v>936</v>
      </c>
      <c r="I2439">
        <v>28</v>
      </c>
      <c r="J2439">
        <v>4</v>
      </c>
      <c r="K2439">
        <v>22.29</v>
      </c>
      <c r="L2439">
        <v>15</v>
      </c>
      <c r="M2439" s="1" t="s">
        <v>39</v>
      </c>
      <c r="N2439" s="1" t="s">
        <v>56</v>
      </c>
      <c r="O2439">
        <v>26067.599999999999</v>
      </c>
      <c r="P2439" t="b">
        <v>0</v>
      </c>
      <c r="Q2439">
        <v>2.3333333333333335</v>
      </c>
      <c r="R2439">
        <v>930.98571428571427</v>
      </c>
      <c r="S2439">
        <v>4.4580000000000002</v>
      </c>
      <c r="T2439" s="2">
        <v>44896</v>
      </c>
      <c r="U2439" s="1" t="s">
        <v>57</v>
      </c>
      <c r="V2439">
        <v>0</v>
      </c>
      <c r="W2439" s="1" t="s">
        <v>40</v>
      </c>
      <c r="Y2439" s="1" t="s">
        <v>52</v>
      </c>
      <c r="Z2439" s="1" t="s">
        <v>42</v>
      </c>
      <c r="AA2439">
        <v>0.13793103448275862</v>
      </c>
      <c r="AB2439" s="1" t="s">
        <v>43</v>
      </c>
      <c r="AC2439">
        <v>2</v>
      </c>
      <c r="AD2439" s="2">
        <v>44896</v>
      </c>
      <c r="AE2439" s="1" t="s">
        <v>44</v>
      </c>
      <c r="AF2439" s="1" t="s">
        <v>45</v>
      </c>
      <c r="AG2439" s="1" t="s">
        <v>70</v>
      </c>
      <c r="AH2439" s="1" t="s">
        <v>59</v>
      </c>
      <c r="AI2439">
        <v>26208</v>
      </c>
      <c r="AJ2439">
        <v>-140.40000000000146</v>
      </c>
    </row>
    <row r="2440" spans="1:36" x14ac:dyDescent="0.25">
      <c r="A2440">
        <v>12439</v>
      </c>
      <c r="B2440">
        <v>39</v>
      </c>
      <c r="C2440" s="1" t="s">
        <v>60</v>
      </c>
      <c r="D2440" s="1" t="s">
        <v>69</v>
      </c>
      <c r="E2440" s="2">
        <v>44552</v>
      </c>
      <c r="F2440" s="2">
        <v>44640</v>
      </c>
      <c r="G2440" s="1" t="s">
        <v>62</v>
      </c>
      <c r="H2440">
        <v>411</v>
      </c>
      <c r="I2440">
        <v>15</v>
      </c>
      <c r="J2440">
        <v>0</v>
      </c>
      <c r="K2440">
        <v>75.98</v>
      </c>
      <c r="L2440">
        <v>10</v>
      </c>
      <c r="M2440" s="1" t="s">
        <v>39</v>
      </c>
      <c r="N2440" s="1" t="s">
        <v>56</v>
      </c>
      <c r="O2440">
        <v>6123.9</v>
      </c>
      <c r="P2440" t="b">
        <v>1</v>
      </c>
      <c r="Q2440">
        <v>1.25</v>
      </c>
      <c r="R2440">
        <v>408.26</v>
      </c>
      <c r="S2440">
        <v>75.98</v>
      </c>
      <c r="T2440" s="2">
        <v>44531</v>
      </c>
      <c r="U2440" s="1" t="s">
        <v>51</v>
      </c>
      <c r="V2440">
        <v>0</v>
      </c>
      <c r="W2440" s="1" t="s">
        <v>56</v>
      </c>
      <c r="X2440">
        <v>88</v>
      </c>
      <c r="Y2440" s="1" t="s">
        <v>43</v>
      </c>
      <c r="Z2440" s="1" t="s">
        <v>42</v>
      </c>
      <c r="AA2440">
        <v>0</v>
      </c>
      <c r="AB2440" s="1" t="s">
        <v>42</v>
      </c>
      <c r="AC2440">
        <v>2</v>
      </c>
      <c r="AD2440" s="2">
        <v>44531</v>
      </c>
      <c r="AE2440" s="1" t="s">
        <v>53</v>
      </c>
      <c r="AF2440" s="1" t="s">
        <v>54</v>
      </c>
      <c r="AG2440" s="1" t="s">
        <v>63</v>
      </c>
      <c r="AH2440" s="1" t="s">
        <v>68</v>
      </c>
      <c r="AI2440">
        <v>6165</v>
      </c>
      <c r="AJ2440">
        <v>-41.100000000000364</v>
      </c>
    </row>
    <row r="2441" spans="1:36" x14ac:dyDescent="0.25">
      <c r="A2441">
        <v>12440</v>
      </c>
      <c r="B2441">
        <v>54</v>
      </c>
      <c r="C2441" s="1" t="s">
        <v>60</v>
      </c>
      <c r="D2441" s="1" t="s">
        <v>73</v>
      </c>
      <c r="E2441" s="2">
        <v>44822</v>
      </c>
      <c r="F2441" s="2">
        <v>45163</v>
      </c>
      <c r="G2441" s="1" t="s">
        <v>38</v>
      </c>
      <c r="H2441">
        <v>892</v>
      </c>
      <c r="I2441">
        <v>19</v>
      </c>
      <c r="J2441">
        <v>4</v>
      </c>
      <c r="K2441">
        <v>103.01</v>
      </c>
      <c r="L2441">
        <v>15</v>
      </c>
      <c r="M2441" s="1" t="s">
        <v>65</v>
      </c>
      <c r="N2441" s="1" t="s">
        <v>56</v>
      </c>
      <c r="O2441">
        <v>16814.2</v>
      </c>
      <c r="P2441" t="b">
        <v>1</v>
      </c>
      <c r="Q2441">
        <v>1.5833333333333333</v>
      </c>
      <c r="R2441">
        <v>884.95789473684215</v>
      </c>
      <c r="S2441">
        <v>20.602</v>
      </c>
      <c r="T2441" s="2">
        <v>44805</v>
      </c>
      <c r="U2441" s="1" t="s">
        <v>41</v>
      </c>
      <c r="V2441">
        <v>0</v>
      </c>
      <c r="W2441" s="1" t="s">
        <v>40</v>
      </c>
      <c r="X2441">
        <v>341</v>
      </c>
      <c r="Y2441" s="1" t="s">
        <v>43</v>
      </c>
      <c r="Z2441" s="1" t="s">
        <v>42</v>
      </c>
      <c r="AA2441">
        <v>0.2</v>
      </c>
      <c r="AB2441" s="1" t="s">
        <v>52</v>
      </c>
      <c r="AC2441">
        <v>1</v>
      </c>
      <c r="AD2441" s="2">
        <v>44805</v>
      </c>
      <c r="AE2441" s="1" t="s">
        <v>53</v>
      </c>
      <c r="AF2441" s="1" t="s">
        <v>45</v>
      </c>
      <c r="AG2441" s="1" t="s">
        <v>63</v>
      </c>
      <c r="AH2441" s="1" t="s">
        <v>59</v>
      </c>
      <c r="AI2441">
        <v>16948</v>
      </c>
      <c r="AJ2441">
        <v>-133.79999999999927</v>
      </c>
    </row>
    <row r="2442" spans="1:36" x14ac:dyDescent="0.25">
      <c r="A2442">
        <v>12441</v>
      </c>
      <c r="B2442">
        <v>59</v>
      </c>
      <c r="C2442" s="1" t="s">
        <v>36</v>
      </c>
      <c r="D2442" s="1" t="s">
        <v>69</v>
      </c>
      <c r="E2442" s="2">
        <v>44988</v>
      </c>
      <c r="F2442" s="2">
        <v>45058</v>
      </c>
      <c r="G2442" s="1" t="s">
        <v>62</v>
      </c>
      <c r="H2442">
        <v>1158</v>
      </c>
      <c r="I2442">
        <v>22</v>
      </c>
      <c r="J2442">
        <v>4</v>
      </c>
      <c r="K2442">
        <v>18.850000000000001</v>
      </c>
      <c r="L2442">
        <v>10</v>
      </c>
      <c r="M2442" s="1" t="s">
        <v>65</v>
      </c>
      <c r="N2442" s="1" t="s">
        <v>40</v>
      </c>
      <c r="O2442">
        <v>25360.2</v>
      </c>
      <c r="P2442" t="b">
        <v>1</v>
      </c>
      <c r="Q2442">
        <v>1.8333333333333333</v>
      </c>
      <c r="R2442">
        <v>1152.7363636363636</v>
      </c>
      <c r="S2442">
        <v>3.7700000000000005</v>
      </c>
      <c r="T2442" s="2">
        <v>44986</v>
      </c>
      <c r="U2442" s="1" t="s">
        <v>41</v>
      </c>
      <c r="V2442">
        <v>1</v>
      </c>
      <c r="W2442" s="1" t="s">
        <v>40</v>
      </c>
      <c r="X2442">
        <v>70</v>
      </c>
      <c r="Y2442" s="1" t="s">
        <v>42</v>
      </c>
      <c r="Z2442" s="1" t="s">
        <v>42</v>
      </c>
      <c r="AA2442">
        <v>0.17391304347826086</v>
      </c>
      <c r="AB2442" s="1" t="s">
        <v>43</v>
      </c>
      <c r="AC2442">
        <v>2</v>
      </c>
      <c r="AD2442" s="2">
        <v>44986</v>
      </c>
      <c r="AE2442" s="1" t="s">
        <v>53</v>
      </c>
      <c r="AF2442" s="1" t="s">
        <v>45</v>
      </c>
      <c r="AG2442" s="1" t="s">
        <v>46</v>
      </c>
      <c r="AH2442" s="1" t="s">
        <v>47</v>
      </c>
      <c r="AI2442">
        <v>25476</v>
      </c>
      <c r="AJ2442">
        <v>-115.79999999999927</v>
      </c>
    </row>
    <row r="2443" spans="1:36" x14ac:dyDescent="0.25">
      <c r="A2443">
        <v>12442</v>
      </c>
      <c r="B2443">
        <v>29</v>
      </c>
      <c r="C2443" s="1" t="s">
        <v>36</v>
      </c>
      <c r="D2443" s="1" t="s">
        <v>48</v>
      </c>
      <c r="E2443" s="2">
        <v>44863</v>
      </c>
      <c r="F2443" s="2">
        <v>44348</v>
      </c>
      <c r="G2443" s="1" t="s">
        <v>38</v>
      </c>
      <c r="H2443">
        <v>690</v>
      </c>
      <c r="I2443">
        <v>6</v>
      </c>
      <c r="J2443">
        <v>1</v>
      </c>
      <c r="K2443">
        <v>108.21</v>
      </c>
      <c r="L2443">
        <v>0</v>
      </c>
      <c r="M2443" s="1" t="s">
        <v>65</v>
      </c>
      <c r="N2443" s="1" t="s">
        <v>56</v>
      </c>
      <c r="O2443">
        <v>4140</v>
      </c>
      <c r="P2443" t="b">
        <v>0</v>
      </c>
      <c r="Q2443">
        <v>0.5</v>
      </c>
      <c r="R2443">
        <v>690</v>
      </c>
      <c r="S2443">
        <v>54.104999999999997</v>
      </c>
      <c r="T2443" s="2">
        <v>44835</v>
      </c>
      <c r="U2443" s="1" t="s">
        <v>57</v>
      </c>
      <c r="V2443">
        <v>0</v>
      </c>
      <c r="W2443" s="1" t="s">
        <v>56</v>
      </c>
      <c r="Y2443" s="1" t="s">
        <v>43</v>
      </c>
      <c r="Z2443" s="1" t="s">
        <v>42</v>
      </c>
      <c r="AA2443">
        <v>0.14285714285714285</v>
      </c>
      <c r="AB2443" s="1" t="s">
        <v>42</v>
      </c>
      <c r="AC2443">
        <v>1</v>
      </c>
      <c r="AD2443" s="2">
        <v>44835</v>
      </c>
      <c r="AE2443" s="1" t="s">
        <v>58</v>
      </c>
      <c r="AF2443" s="1" t="s">
        <v>54</v>
      </c>
      <c r="AG2443" s="1" t="s">
        <v>63</v>
      </c>
      <c r="AH2443" s="1" t="s">
        <v>64</v>
      </c>
      <c r="AI2443">
        <v>4140</v>
      </c>
      <c r="AJ2443">
        <v>0</v>
      </c>
    </row>
    <row r="2444" spans="1:36" x14ac:dyDescent="0.25">
      <c r="A2444">
        <v>12443</v>
      </c>
      <c r="B2444">
        <v>64</v>
      </c>
      <c r="C2444" s="1" t="s">
        <v>60</v>
      </c>
      <c r="D2444" s="1" t="s">
        <v>48</v>
      </c>
      <c r="E2444" s="2">
        <v>44361</v>
      </c>
      <c r="F2444" s="2">
        <v>44919</v>
      </c>
      <c r="G2444" s="1" t="s">
        <v>38</v>
      </c>
      <c r="H2444">
        <v>691</v>
      </c>
      <c r="I2444">
        <v>7</v>
      </c>
      <c r="J2444">
        <v>1</v>
      </c>
      <c r="K2444">
        <v>14.14</v>
      </c>
      <c r="L2444">
        <v>15</v>
      </c>
      <c r="M2444" s="1" t="s">
        <v>67</v>
      </c>
      <c r="N2444" s="1" t="s">
        <v>56</v>
      </c>
      <c r="O2444">
        <v>4733.3500000000004</v>
      </c>
      <c r="P2444" t="b">
        <v>1</v>
      </c>
      <c r="Q2444">
        <v>0.58333333333333337</v>
      </c>
      <c r="R2444">
        <v>676.19285714285718</v>
      </c>
      <c r="S2444">
        <v>7.07</v>
      </c>
      <c r="T2444" s="2">
        <v>44348</v>
      </c>
      <c r="U2444" s="1" t="s">
        <v>41</v>
      </c>
      <c r="V2444">
        <v>0</v>
      </c>
      <c r="W2444" s="1" t="s">
        <v>56</v>
      </c>
      <c r="X2444">
        <v>558</v>
      </c>
      <c r="Y2444" s="1" t="s">
        <v>42</v>
      </c>
      <c r="Z2444" s="1" t="s">
        <v>42</v>
      </c>
      <c r="AA2444">
        <v>0.125</v>
      </c>
      <c r="AB2444" s="1" t="s">
        <v>42</v>
      </c>
      <c r="AC2444">
        <v>1</v>
      </c>
      <c r="AD2444" s="2">
        <v>44348</v>
      </c>
      <c r="AE2444" s="1" t="s">
        <v>74</v>
      </c>
      <c r="AF2444" s="1" t="s">
        <v>54</v>
      </c>
      <c r="AG2444" s="1" t="s">
        <v>46</v>
      </c>
      <c r="AH2444" s="1" t="s">
        <v>64</v>
      </c>
      <c r="AI2444">
        <v>4837</v>
      </c>
      <c r="AJ2444">
        <v>-103.64999999999964</v>
      </c>
    </row>
    <row r="2445" spans="1:36" x14ac:dyDescent="0.25">
      <c r="A2445">
        <v>12444</v>
      </c>
      <c r="B2445">
        <v>59</v>
      </c>
      <c r="C2445" s="1" t="s">
        <v>36</v>
      </c>
      <c r="D2445" s="1" t="s">
        <v>37</v>
      </c>
      <c r="E2445" s="2">
        <v>44930</v>
      </c>
      <c r="F2445" s="2">
        <v>44597</v>
      </c>
      <c r="G2445" s="1" t="s">
        <v>62</v>
      </c>
      <c r="H2445">
        <v>627</v>
      </c>
      <c r="I2445">
        <v>9</v>
      </c>
      <c r="J2445">
        <v>1</v>
      </c>
      <c r="K2445">
        <v>45.12</v>
      </c>
      <c r="L2445">
        <v>5</v>
      </c>
      <c r="M2445" s="1" t="s">
        <v>65</v>
      </c>
      <c r="N2445" s="1" t="s">
        <v>56</v>
      </c>
      <c r="O2445">
        <v>5611.65</v>
      </c>
      <c r="P2445" t="b">
        <v>0</v>
      </c>
      <c r="Q2445">
        <v>0.75</v>
      </c>
      <c r="R2445">
        <v>623.51666666666665</v>
      </c>
      <c r="S2445">
        <v>22.56</v>
      </c>
      <c r="T2445" s="2">
        <v>44927</v>
      </c>
      <c r="U2445" s="1" t="s">
        <v>41</v>
      </c>
      <c r="V2445">
        <v>0</v>
      </c>
      <c r="W2445" s="1" t="s">
        <v>56</v>
      </c>
      <c r="Y2445" s="1" t="s">
        <v>52</v>
      </c>
      <c r="Z2445" s="1" t="s">
        <v>42</v>
      </c>
      <c r="AA2445">
        <v>0.1</v>
      </c>
      <c r="AB2445" s="1" t="s">
        <v>42</v>
      </c>
      <c r="AC2445">
        <v>2</v>
      </c>
      <c r="AD2445" s="2">
        <v>44927</v>
      </c>
      <c r="AE2445" s="1" t="s">
        <v>74</v>
      </c>
      <c r="AF2445" s="1" t="s">
        <v>54</v>
      </c>
      <c r="AG2445" s="1" t="s">
        <v>63</v>
      </c>
      <c r="AH2445" s="1" t="s">
        <v>64</v>
      </c>
      <c r="AI2445">
        <v>5643</v>
      </c>
      <c r="AJ2445">
        <v>-31.350000000000364</v>
      </c>
    </row>
    <row r="2446" spans="1:36" x14ac:dyDescent="0.25">
      <c r="A2446">
        <v>12445</v>
      </c>
      <c r="B2446">
        <v>55</v>
      </c>
      <c r="C2446" s="1" t="s">
        <v>60</v>
      </c>
      <c r="D2446" s="1" t="s">
        <v>48</v>
      </c>
      <c r="E2446" s="2">
        <v>44287</v>
      </c>
      <c r="F2446" s="2">
        <v>44999</v>
      </c>
      <c r="G2446" s="1" t="s">
        <v>38</v>
      </c>
      <c r="H2446">
        <v>1046</v>
      </c>
      <c r="I2446">
        <v>20</v>
      </c>
      <c r="J2446">
        <v>4</v>
      </c>
      <c r="K2446">
        <v>75.209999999999994</v>
      </c>
      <c r="L2446">
        <v>10</v>
      </c>
      <c r="M2446" s="1" t="s">
        <v>67</v>
      </c>
      <c r="N2446" s="1" t="s">
        <v>56</v>
      </c>
      <c r="O2446">
        <v>20815.400000000001</v>
      </c>
      <c r="P2446" t="b">
        <v>1</v>
      </c>
      <c r="Q2446">
        <v>1.6666666666666667</v>
      </c>
      <c r="R2446">
        <v>1040.77</v>
      </c>
      <c r="S2446">
        <v>15.041999999999998</v>
      </c>
      <c r="T2446" s="2">
        <v>44287</v>
      </c>
      <c r="U2446" s="1" t="s">
        <v>41</v>
      </c>
      <c r="V2446">
        <v>0</v>
      </c>
      <c r="W2446" s="1" t="s">
        <v>40</v>
      </c>
      <c r="X2446">
        <v>712</v>
      </c>
      <c r="Y2446" s="1" t="s">
        <v>43</v>
      </c>
      <c r="Z2446" s="1" t="s">
        <v>42</v>
      </c>
      <c r="AA2446">
        <v>0.19047619047619047</v>
      </c>
      <c r="AB2446" s="1" t="s">
        <v>43</v>
      </c>
      <c r="AC2446">
        <v>1</v>
      </c>
      <c r="AD2446" s="2">
        <v>44287</v>
      </c>
      <c r="AE2446" s="1" t="s">
        <v>53</v>
      </c>
      <c r="AF2446" s="1" t="s">
        <v>45</v>
      </c>
      <c r="AG2446" s="1" t="s">
        <v>63</v>
      </c>
      <c r="AH2446" s="1" t="s">
        <v>47</v>
      </c>
      <c r="AI2446">
        <v>20920</v>
      </c>
      <c r="AJ2446">
        <v>-104.59999999999854</v>
      </c>
    </row>
    <row r="2447" spans="1:36" x14ac:dyDescent="0.25">
      <c r="A2447">
        <v>12446</v>
      </c>
      <c r="B2447">
        <v>35</v>
      </c>
      <c r="C2447" s="1" t="s">
        <v>36</v>
      </c>
      <c r="D2447" s="1" t="s">
        <v>61</v>
      </c>
      <c r="E2447" s="2">
        <v>44363</v>
      </c>
      <c r="F2447" s="2">
        <v>44496</v>
      </c>
      <c r="G2447" s="1" t="s">
        <v>62</v>
      </c>
      <c r="H2447">
        <v>666</v>
      </c>
      <c r="I2447">
        <v>11</v>
      </c>
      <c r="J2447">
        <v>0</v>
      </c>
      <c r="K2447">
        <v>69.33</v>
      </c>
      <c r="L2447">
        <v>20</v>
      </c>
      <c r="M2447" s="1" t="s">
        <v>67</v>
      </c>
      <c r="N2447" s="1" t="s">
        <v>56</v>
      </c>
      <c r="O2447">
        <v>7192.8</v>
      </c>
      <c r="P2447" t="b">
        <v>1</v>
      </c>
      <c r="Q2447">
        <v>0.91666666666666663</v>
      </c>
      <c r="R2447">
        <v>653.89090909090908</v>
      </c>
      <c r="S2447">
        <v>69.33</v>
      </c>
      <c r="T2447" s="2">
        <v>44348</v>
      </c>
      <c r="U2447" s="1" t="s">
        <v>57</v>
      </c>
      <c r="V2447">
        <v>0</v>
      </c>
      <c r="W2447" s="1" t="s">
        <v>56</v>
      </c>
      <c r="X2447">
        <v>133</v>
      </c>
      <c r="Y2447" s="1" t="s">
        <v>43</v>
      </c>
      <c r="Z2447" s="1" t="s">
        <v>52</v>
      </c>
      <c r="AA2447">
        <v>0</v>
      </c>
      <c r="AB2447" s="1" t="s">
        <v>42</v>
      </c>
      <c r="AC2447">
        <v>2</v>
      </c>
      <c r="AD2447" s="2">
        <v>44348</v>
      </c>
      <c r="AE2447" s="1" t="s">
        <v>74</v>
      </c>
      <c r="AF2447" s="1" t="s">
        <v>54</v>
      </c>
      <c r="AG2447" s="1" t="s">
        <v>63</v>
      </c>
      <c r="AH2447" s="1" t="s">
        <v>64</v>
      </c>
      <c r="AI2447">
        <v>7326</v>
      </c>
      <c r="AJ2447">
        <v>-133.19999999999982</v>
      </c>
    </row>
    <row r="2448" spans="1:36" x14ac:dyDescent="0.25">
      <c r="A2448">
        <v>12447</v>
      </c>
      <c r="B2448">
        <v>62</v>
      </c>
      <c r="C2448" s="1" t="s">
        <v>36</v>
      </c>
      <c r="D2448" s="1" t="s">
        <v>71</v>
      </c>
      <c r="E2448" s="2">
        <v>44403</v>
      </c>
      <c r="F2448" s="2">
        <v>44742</v>
      </c>
      <c r="G2448" s="1" t="s">
        <v>49</v>
      </c>
      <c r="H2448">
        <v>381</v>
      </c>
      <c r="I2448">
        <v>2</v>
      </c>
      <c r="J2448">
        <v>2</v>
      </c>
      <c r="K2448">
        <v>16.079999999999998</v>
      </c>
      <c r="L2448">
        <v>15</v>
      </c>
      <c r="M2448" s="1" t="s">
        <v>67</v>
      </c>
      <c r="N2448" s="1" t="s">
        <v>56</v>
      </c>
      <c r="O2448">
        <v>704.85</v>
      </c>
      <c r="P2448" t="b">
        <v>1</v>
      </c>
      <c r="Q2448">
        <v>0.16666666666666666</v>
      </c>
      <c r="R2448">
        <v>352.42500000000001</v>
      </c>
      <c r="S2448">
        <v>5.3599999999999994</v>
      </c>
      <c r="T2448" s="2">
        <v>44378</v>
      </c>
      <c r="U2448" s="1" t="s">
        <v>41</v>
      </c>
      <c r="V2448">
        <v>0</v>
      </c>
      <c r="W2448" s="1" t="s">
        <v>56</v>
      </c>
      <c r="X2448">
        <v>339</v>
      </c>
      <c r="Y2448" s="1" t="s">
        <v>42</v>
      </c>
      <c r="Z2448" s="1" t="s">
        <v>42</v>
      </c>
      <c r="AA2448">
        <v>0.66666666666666663</v>
      </c>
      <c r="AB2448" s="1" t="s">
        <v>42</v>
      </c>
      <c r="AC2448">
        <v>3</v>
      </c>
      <c r="AD2448" s="2">
        <v>44378</v>
      </c>
      <c r="AE2448" s="1" t="s">
        <v>58</v>
      </c>
      <c r="AF2448" s="1" t="s">
        <v>72</v>
      </c>
      <c r="AG2448" s="1" t="s">
        <v>46</v>
      </c>
      <c r="AH2448" s="1" t="s">
        <v>68</v>
      </c>
      <c r="AI2448">
        <v>762</v>
      </c>
      <c r="AJ2448">
        <v>-57.149999999999977</v>
      </c>
    </row>
    <row r="2449" spans="1:36" x14ac:dyDescent="0.25">
      <c r="A2449">
        <v>12448</v>
      </c>
      <c r="B2449">
        <v>52</v>
      </c>
      <c r="C2449" s="1" t="s">
        <v>60</v>
      </c>
      <c r="D2449" s="1" t="s">
        <v>48</v>
      </c>
      <c r="E2449" s="2">
        <v>44478</v>
      </c>
      <c r="F2449" s="2">
        <v>44391</v>
      </c>
      <c r="G2449" s="1" t="s">
        <v>38</v>
      </c>
      <c r="H2449">
        <v>1105</v>
      </c>
      <c r="I2449">
        <v>22</v>
      </c>
      <c r="J2449">
        <v>2</v>
      </c>
      <c r="K2449">
        <v>96.88</v>
      </c>
      <c r="L2449">
        <v>0</v>
      </c>
      <c r="M2449" s="1" t="s">
        <v>50</v>
      </c>
      <c r="N2449" s="1" t="s">
        <v>56</v>
      </c>
      <c r="O2449">
        <v>24310</v>
      </c>
      <c r="P2449" t="b">
        <v>0</v>
      </c>
      <c r="Q2449">
        <v>1.8333333333333333</v>
      </c>
      <c r="R2449">
        <v>1105</v>
      </c>
      <c r="S2449">
        <v>32.293333333333329</v>
      </c>
      <c r="T2449" s="2">
        <v>44470</v>
      </c>
      <c r="U2449" s="1" t="s">
        <v>41</v>
      </c>
      <c r="V2449">
        <v>0</v>
      </c>
      <c r="W2449" s="1" t="s">
        <v>40</v>
      </c>
      <c r="Y2449" s="1" t="s">
        <v>43</v>
      </c>
      <c r="Z2449" s="1" t="s">
        <v>42</v>
      </c>
      <c r="AA2449">
        <v>8.6956521739130432E-2</v>
      </c>
      <c r="AB2449" s="1" t="s">
        <v>43</v>
      </c>
      <c r="AC2449">
        <v>1</v>
      </c>
      <c r="AD2449" s="2">
        <v>44470</v>
      </c>
      <c r="AE2449" s="1" t="s">
        <v>53</v>
      </c>
      <c r="AF2449" s="1" t="s">
        <v>72</v>
      </c>
      <c r="AG2449" s="1" t="s">
        <v>63</v>
      </c>
      <c r="AH2449" s="1" t="s">
        <v>47</v>
      </c>
      <c r="AI2449">
        <v>24310</v>
      </c>
      <c r="AJ2449">
        <v>0</v>
      </c>
    </row>
    <row r="2450" spans="1:36" x14ac:dyDescent="0.25">
      <c r="A2450">
        <v>12449</v>
      </c>
      <c r="B2450">
        <v>47</v>
      </c>
      <c r="C2450" s="1" t="s">
        <v>60</v>
      </c>
      <c r="D2450" s="1" t="s">
        <v>69</v>
      </c>
      <c r="E2450" s="2">
        <v>44261</v>
      </c>
      <c r="F2450" s="2">
        <v>45230</v>
      </c>
      <c r="G2450" s="1" t="s">
        <v>38</v>
      </c>
      <c r="H2450">
        <v>1121</v>
      </c>
      <c r="I2450">
        <v>5</v>
      </c>
      <c r="J2450">
        <v>2</v>
      </c>
      <c r="K2450">
        <v>116.91</v>
      </c>
      <c r="L2450">
        <v>20</v>
      </c>
      <c r="M2450" s="1" t="s">
        <v>39</v>
      </c>
      <c r="N2450" s="1" t="s">
        <v>56</v>
      </c>
      <c r="O2450">
        <v>5380.8</v>
      </c>
      <c r="P2450" t="b">
        <v>1</v>
      </c>
      <c r="Q2450">
        <v>0.41666666666666669</v>
      </c>
      <c r="R2450">
        <v>1076.1600000000001</v>
      </c>
      <c r="S2450">
        <v>38.97</v>
      </c>
      <c r="T2450" s="2">
        <v>44256</v>
      </c>
      <c r="U2450" s="1" t="s">
        <v>51</v>
      </c>
      <c r="V2450">
        <v>0</v>
      </c>
      <c r="W2450" s="1" t="s">
        <v>56</v>
      </c>
      <c r="X2450">
        <v>969</v>
      </c>
      <c r="Y2450" s="1" t="s">
        <v>43</v>
      </c>
      <c r="Z2450" s="1" t="s">
        <v>52</v>
      </c>
      <c r="AA2450">
        <v>0.33333333333333331</v>
      </c>
      <c r="AB2450" s="1" t="s">
        <v>42</v>
      </c>
      <c r="AC2450">
        <v>1</v>
      </c>
      <c r="AD2450" s="2">
        <v>44256</v>
      </c>
      <c r="AE2450" s="1" t="s">
        <v>58</v>
      </c>
      <c r="AF2450" s="1" t="s">
        <v>72</v>
      </c>
      <c r="AG2450" s="1" t="s">
        <v>63</v>
      </c>
      <c r="AH2450" s="1" t="s">
        <v>47</v>
      </c>
      <c r="AI2450">
        <v>5605</v>
      </c>
      <c r="AJ2450">
        <v>-224.19999999999982</v>
      </c>
    </row>
    <row r="2451" spans="1:36" x14ac:dyDescent="0.25">
      <c r="A2451">
        <v>12450</v>
      </c>
      <c r="B2451">
        <v>41</v>
      </c>
      <c r="C2451" s="1" t="s">
        <v>36</v>
      </c>
      <c r="D2451" s="1" t="s">
        <v>73</v>
      </c>
      <c r="E2451" s="2">
        <v>45084</v>
      </c>
      <c r="F2451" s="2">
        <v>45045</v>
      </c>
      <c r="G2451" s="1" t="s">
        <v>49</v>
      </c>
      <c r="H2451">
        <v>1399</v>
      </c>
      <c r="I2451">
        <v>7</v>
      </c>
      <c r="J2451">
        <v>4</v>
      </c>
      <c r="K2451">
        <v>25.84</v>
      </c>
      <c r="L2451">
        <v>10</v>
      </c>
      <c r="M2451" s="1" t="s">
        <v>67</v>
      </c>
      <c r="N2451" s="1" t="s">
        <v>56</v>
      </c>
      <c r="O2451">
        <v>9793</v>
      </c>
      <c r="P2451" t="b">
        <v>0</v>
      </c>
      <c r="Q2451">
        <v>0.58333333333333337</v>
      </c>
      <c r="R2451">
        <v>1399</v>
      </c>
      <c r="S2451">
        <v>5.1680000000000001</v>
      </c>
      <c r="T2451" s="2">
        <v>45078</v>
      </c>
      <c r="U2451" s="1" t="s">
        <v>51</v>
      </c>
      <c r="V2451">
        <v>0</v>
      </c>
      <c r="W2451" s="1" t="s">
        <v>56</v>
      </c>
      <c r="Y2451" s="1" t="s">
        <v>52</v>
      </c>
      <c r="Z2451" s="1" t="s">
        <v>42</v>
      </c>
      <c r="AA2451">
        <v>0.5</v>
      </c>
      <c r="AB2451" s="1" t="s">
        <v>52</v>
      </c>
      <c r="AC2451">
        <v>3</v>
      </c>
      <c r="AD2451" s="2">
        <v>45078</v>
      </c>
      <c r="AE2451" s="1" t="s">
        <v>74</v>
      </c>
      <c r="AF2451" s="1" t="s">
        <v>45</v>
      </c>
      <c r="AG2451" s="1" t="s">
        <v>70</v>
      </c>
      <c r="AH2451" s="1" t="s">
        <v>47</v>
      </c>
      <c r="AI2451">
        <v>9793</v>
      </c>
      <c r="AJ2451">
        <v>0</v>
      </c>
    </row>
    <row r="2452" spans="1:36" x14ac:dyDescent="0.25">
      <c r="A2452">
        <v>12451</v>
      </c>
      <c r="B2452">
        <v>59</v>
      </c>
      <c r="C2452" s="1" t="s">
        <v>60</v>
      </c>
      <c r="D2452" s="1" t="s">
        <v>73</v>
      </c>
      <c r="E2452" s="2">
        <v>44712</v>
      </c>
      <c r="F2452" s="2">
        <v>44967</v>
      </c>
      <c r="G2452" s="1" t="s">
        <v>62</v>
      </c>
      <c r="H2452">
        <v>1251</v>
      </c>
      <c r="I2452">
        <v>6</v>
      </c>
      <c r="J2452">
        <v>4</v>
      </c>
      <c r="K2452">
        <v>107.94</v>
      </c>
      <c r="L2452">
        <v>10</v>
      </c>
      <c r="M2452" s="1" t="s">
        <v>39</v>
      </c>
      <c r="N2452" s="1" t="s">
        <v>56</v>
      </c>
      <c r="O2452">
        <v>7380.9</v>
      </c>
      <c r="P2452" t="b">
        <v>1</v>
      </c>
      <c r="Q2452">
        <v>0.5</v>
      </c>
      <c r="R2452">
        <v>1230.1499999999999</v>
      </c>
      <c r="S2452">
        <v>21.588000000000001</v>
      </c>
      <c r="T2452" s="2">
        <v>44682</v>
      </c>
      <c r="U2452" s="1" t="s">
        <v>41</v>
      </c>
      <c r="V2452">
        <v>0</v>
      </c>
      <c r="W2452" s="1" t="s">
        <v>56</v>
      </c>
      <c r="X2452">
        <v>255</v>
      </c>
      <c r="Y2452" s="1" t="s">
        <v>43</v>
      </c>
      <c r="Z2452" s="1" t="s">
        <v>42</v>
      </c>
      <c r="AA2452">
        <v>0.5714285714285714</v>
      </c>
      <c r="AB2452" s="1" t="s">
        <v>42</v>
      </c>
      <c r="AC2452">
        <v>2</v>
      </c>
      <c r="AD2452" s="2">
        <v>44682</v>
      </c>
      <c r="AE2452" s="1" t="s">
        <v>58</v>
      </c>
      <c r="AF2452" s="1" t="s">
        <v>45</v>
      </c>
      <c r="AG2452" s="1" t="s">
        <v>63</v>
      </c>
      <c r="AH2452" s="1" t="s">
        <v>47</v>
      </c>
      <c r="AI2452">
        <v>7506</v>
      </c>
      <c r="AJ2452">
        <v>-125.10000000000036</v>
      </c>
    </row>
    <row r="2453" spans="1:36" x14ac:dyDescent="0.25">
      <c r="A2453">
        <v>12452</v>
      </c>
      <c r="B2453">
        <v>47</v>
      </c>
      <c r="C2453" s="1" t="s">
        <v>60</v>
      </c>
      <c r="D2453" s="1" t="s">
        <v>73</v>
      </c>
      <c r="E2453" s="2">
        <v>44353</v>
      </c>
      <c r="F2453" s="2">
        <v>44391</v>
      </c>
      <c r="G2453" s="1" t="s">
        <v>38</v>
      </c>
      <c r="H2453">
        <v>671</v>
      </c>
      <c r="I2453">
        <v>22</v>
      </c>
      <c r="J2453">
        <v>4</v>
      </c>
      <c r="K2453">
        <v>69.03</v>
      </c>
      <c r="L2453">
        <v>15</v>
      </c>
      <c r="M2453" s="1" t="s">
        <v>67</v>
      </c>
      <c r="N2453" s="1" t="s">
        <v>56</v>
      </c>
      <c r="O2453">
        <v>14661.35</v>
      </c>
      <c r="P2453" t="b">
        <v>1</v>
      </c>
      <c r="Q2453">
        <v>1.8333333333333333</v>
      </c>
      <c r="R2453">
        <v>666.42500000000007</v>
      </c>
      <c r="S2453">
        <v>13.806000000000001</v>
      </c>
      <c r="T2453" s="2">
        <v>44348</v>
      </c>
      <c r="U2453" s="1" t="s">
        <v>51</v>
      </c>
      <c r="V2453">
        <v>0</v>
      </c>
      <c r="W2453" s="1" t="s">
        <v>40</v>
      </c>
      <c r="X2453">
        <v>38</v>
      </c>
      <c r="Y2453" s="1" t="s">
        <v>43</v>
      </c>
      <c r="Z2453" s="1" t="s">
        <v>42</v>
      </c>
      <c r="AA2453">
        <v>0.17391304347826086</v>
      </c>
      <c r="AB2453" s="1" t="s">
        <v>52</v>
      </c>
      <c r="AC2453">
        <v>1</v>
      </c>
      <c r="AD2453" s="2">
        <v>44348</v>
      </c>
      <c r="AE2453" s="1" t="s">
        <v>53</v>
      </c>
      <c r="AF2453" s="1" t="s">
        <v>45</v>
      </c>
      <c r="AG2453" s="1" t="s">
        <v>63</v>
      </c>
      <c r="AH2453" s="1" t="s">
        <v>64</v>
      </c>
      <c r="AI2453">
        <v>14762</v>
      </c>
      <c r="AJ2453">
        <v>-100.64999999999964</v>
      </c>
    </row>
    <row r="2454" spans="1:36" x14ac:dyDescent="0.25">
      <c r="A2454">
        <v>12453</v>
      </c>
      <c r="B2454">
        <v>31</v>
      </c>
      <c r="C2454" s="1" t="s">
        <v>36</v>
      </c>
      <c r="D2454" s="1" t="s">
        <v>61</v>
      </c>
      <c r="E2454" s="2">
        <v>44957</v>
      </c>
      <c r="F2454" s="2">
        <v>44425</v>
      </c>
      <c r="G2454" s="1" t="s">
        <v>38</v>
      </c>
      <c r="H2454">
        <v>563</v>
      </c>
      <c r="I2454">
        <v>10</v>
      </c>
      <c r="J2454">
        <v>2</v>
      </c>
      <c r="K2454">
        <v>112.63</v>
      </c>
      <c r="L2454">
        <v>0</v>
      </c>
      <c r="M2454" s="1" t="s">
        <v>67</v>
      </c>
      <c r="N2454" s="1" t="s">
        <v>56</v>
      </c>
      <c r="O2454">
        <v>5630</v>
      </c>
      <c r="P2454" t="b">
        <v>0</v>
      </c>
      <c r="Q2454">
        <v>0.83333333333333337</v>
      </c>
      <c r="R2454">
        <v>563</v>
      </c>
      <c r="S2454">
        <v>37.543333333333329</v>
      </c>
      <c r="T2454" s="2">
        <v>44927</v>
      </c>
      <c r="U2454" s="1" t="s">
        <v>57</v>
      </c>
      <c r="V2454">
        <v>0</v>
      </c>
      <c r="W2454" s="1" t="s">
        <v>56</v>
      </c>
      <c r="Y2454" s="1" t="s">
        <v>43</v>
      </c>
      <c r="Z2454" s="1" t="s">
        <v>42</v>
      </c>
      <c r="AA2454">
        <v>0.18181818181818182</v>
      </c>
      <c r="AB2454" s="1" t="s">
        <v>42</v>
      </c>
      <c r="AC2454">
        <v>1</v>
      </c>
      <c r="AD2454" s="2">
        <v>44927</v>
      </c>
      <c r="AE2454" s="1" t="s">
        <v>74</v>
      </c>
      <c r="AF2454" s="1" t="s">
        <v>72</v>
      </c>
      <c r="AG2454" s="1" t="s">
        <v>63</v>
      </c>
      <c r="AH2454" s="1" t="s">
        <v>64</v>
      </c>
      <c r="AI2454">
        <v>5630</v>
      </c>
      <c r="AJ2454">
        <v>0</v>
      </c>
    </row>
    <row r="2455" spans="1:36" x14ac:dyDescent="0.25">
      <c r="A2455">
        <v>12454</v>
      </c>
      <c r="B2455">
        <v>23</v>
      </c>
      <c r="C2455" s="1" t="s">
        <v>60</v>
      </c>
      <c r="D2455" s="1" t="s">
        <v>69</v>
      </c>
      <c r="E2455" s="2">
        <v>44965</v>
      </c>
      <c r="F2455" s="2">
        <v>44573</v>
      </c>
      <c r="G2455" s="1" t="s">
        <v>62</v>
      </c>
      <c r="H2455">
        <v>409</v>
      </c>
      <c r="I2455">
        <v>20</v>
      </c>
      <c r="J2455">
        <v>4</v>
      </c>
      <c r="K2455">
        <v>25.25</v>
      </c>
      <c r="L2455">
        <v>20</v>
      </c>
      <c r="M2455" s="1" t="s">
        <v>65</v>
      </c>
      <c r="N2455" s="1" t="s">
        <v>56</v>
      </c>
      <c r="O2455">
        <v>8098.2</v>
      </c>
      <c r="P2455" t="b">
        <v>0</v>
      </c>
      <c r="Q2455">
        <v>1.6666666666666667</v>
      </c>
      <c r="R2455">
        <v>404.90999999999997</v>
      </c>
      <c r="S2455">
        <v>5.05</v>
      </c>
      <c r="T2455" s="2">
        <v>44958</v>
      </c>
      <c r="U2455" s="1" t="s">
        <v>66</v>
      </c>
      <c r="V2455">
        <v>0</v>
      </c>
      <c r="W2455" s="1" t="s">
        <v>56</v>
      </c>
      <c r="Y2455" s="1" t="s">
        <v>52</v>
      </c>
      <c r="Z2455" s="1" t="s">
        <v>52</v>
      </c>
      <c r="AA2455">
        <v>0.19047619047619047</v>
      </c>
      <c r="AB2455" s="1" t="s">
        <v>42</v>
      </c>
      <c r="AC2455">
        <v>2</v>
      </c>
      <c r="AD2455" s="2">
        <v>44958</v>
      </c>
      <c r="AE2455" s="1" t="s">
        <v>53</v>
      </c>
      <c r="AF2455" s="1" t="s">
        <v>45</v>
      </c>
      <c r="AG2455" s="1" t="s">
        <v>70</v>
      </c>
      <c r="AH2455" s="1" t="s">
        <v>68</v>
      </c>
      <c r="AI2455">
        <v>8180</v>
      </c>
      <c r="AJ2455">
        <v>-81.800000000000182</v>
      </c>
    </row>
    <row r="2456" spans="1:36" x14ac:dyDescent="0.25">
      <c r="A2456">
        <v>12455</v>
      </c>
      <c r="B2456">
        <v>20</v>
      </c>
      <c r="C2456" s="1" t="s">
        <v>60</v>
      </c>
      <c r="D2456" s="1" t="s">
        <v>61</v>
      </c>
      <c r="E2456" s="2">
        <v>44943</v>
      </c>
      <c r="F2456" s="2">
        <v>44509</v>
      </c>
      <c r="G2456" s="1" t="s">
        <v>62</v>
      </c>
      <c r="H2456">
        <v>606</v>
      </c>
      <c r="I2456">
        <v>28</v>
      </c>
      <c r="J2456">
        <v>3</v>
      </c>
      <c r="K2456">
        <v>96.08</v>
      </c>
      <c r="L2456">
        <v>20</v>
      </c>
      <c r="M2456" s="1" t="s">
        <v>39</v>
      </c>
      <c r="N2456" s="1" t="s">
        <v>56</v>
      </c>
      <c r="O2456">
        <v>16846.8</v>
      </c>
      <c r="P2456" t="b">
        <v>0</v>
      </c>
      <c r="Q2456">
        <v>2.3333333333333335</v>
      </c>
      <c r="R2456">
        <v>601.67142857142858</v>
      </c>
      <c r="S2456">
        <v>24.02</v>
      </c>
      <c r="T2456" s="2">
        <v>44927</v>
      </c>
      <c r="U2456" s="1" t="s">
        <v>66</v>
      </c>
      <c r="V2456">
        <v>0</v>
      </c>
      <c r="W2456" s="1" t="s">
        <v>40</v>
      </c>
      <c r="Y2456" s="1" t="s">
        <v>43</v>
      </c>
      <c r="Z2456" s="1" t="s">
        <v>52</v>
      </c>
      <c r="AA2456">
        <v>0.10344827586206896</v>
      </c>
      <c r="AB2456" s="1" t="s">
        <v>52</v>
      </c>
      <c r="AC2456">
        <v>2</v>
      </c>
      <c r="AD2456" s="2">
        <v>44927</v>
      </c>
      <c r="AE2456" s="1" t="s">
        <v>44</v>
      </c>
      <c r="AF2456" s="1" t="s">
        <v>72</v>
      </c>
      <c r="AG2456" s="1" t="s">
        <v>63</v>
      </c>
      <c r="AH2456" s="1" t="s">
        <v>64</v>
      </c>
      <c r="AI2456">
        <v>16968</v>
      </c>
      <c r="AJ2456">
        <v>-121.20000000000073</v>
      </c>
    </row>
    <row r="2457" spans="1:36" x14ac:dyDescent="0.25">
      <c r="A2457">
        <v>12456</v>
      </c>
      <c r="B2457">
        <v>33</v>
      </c>
      <c r="C2457" s="1" t="s">
        <v>36</v>
      </c>
      <c r="D2457" s="1" t="s">
        <v>48</v>
      </c>
      <c r="E2457" s="2">
        <v>44502</v>
      </c>
      <c r="F2457" s="2">
        <v>45140</v>
      </c>
      <c r="G2457" s="1" t="s">
        <v>38</v>
      </c>
      <c r="H2457">
        <v>525</v>
      </c>
      <c r="I2457">
        <v>23</v>
      </c>
      <c r="J2457">
        <v>2</v>
      </c>
      <c r="K2457">
        <v>11.87</v>
      </c>
      <c r="L2457">
        <v>5</v>
      </c>
      <c r="M2457" s="1" t="s">
        <v>67</v>
      </c>
      <c r="N2457" s="1" t="s">
        <v>56</v>
      </c>
      <c r="O2457">
        <v>12048.75</v>
      </c>
      <c r="P2457" t="b">
        <v>1</v>
      </c>
      <c r="Q2457">
        <v>1.9166666666666667</v>
      </c>
      <c r="R2457">
        <v>523.85869565217388</v>
      </c>
      <c r="S2457">
        <v>3.9566666666666666</v>
      </c>
      <c r="T2457" s="2">
        <v>44501</v>
      </c>
      <c r="U2457" s="1" t="s">
        <v>57</v>
      </c>
      <c r="V2457">
        <v>0</v>
      </c>
      <c r="W2457" s="1" t="s">
        <v>56</v>
      </c>
      <c r="X2457">
        <v>638</v>
      </c>
      <c r="Y2457" s="1" t="s">
        <v>42</v>
      </c>
      <c r="Z2457" s="1" t="s">
        <v>42</v>
      </c>
      <c r="AA2457">
        <v>8.3333333333333329E-2</v>
      </c>
      <c r="AB2457" s="1" t="s">
        <v>52</v>
      </c>
      <c r="AC2457">
        <v>1</v>
      </c>
      <c r="AD2457" s="2">
        <v>44501</v>
      </c>
      <c r="AE2457" s="1" t="s">
        <v>53</v>
      </c>
      <c r="AF2457" s="1" t="s">
        <v>72</v>
      </c>
      <c r="AG2457" s="1" t="s">
        <v>46</v>
      </c>
      <c r="AH2457" s="1" t="s">
        <v>64</v>
      </c>
      <c r="AI2457">
        <v>12075</v>
      </c>
      <c r="AJ2457">
        <v>-26.25</v>
      </c>
    </row>
    <row r="2458" spans="1:36" x14ac:dyDescent="0.25">
      <c r="A2458">
        <v>12457</v>
      </c>
      <c r="B2458">
        <v>24</v>
      </c>
      <c r="C2458" s="1" t="s">
        <v>36</v>
      </c>
      <c r="D2458" s="1" t="s">
        <v>71</v>
      </c>
      <c r="E2458" s="2">
        <v>45074</v>
      </c>
      <c r="F2458" s="2">
        <v>44600</v>
      </c>
      <c r="G2458" s="1" t="s">
        <v>38</v>
      </c>
      <c r="H2458">
        <v>484</v>
      </c>
      <c r="I2458">
        <v>35</v>
      </c>
      <c r="J2458">
        <v>4</v>
      </c>
      <c r="K2458">
        <v>106.57</v>
      </c>
      <c r="L2458">
        <v>0</v>
      </c>
      <c r="M2458" s="1" t="s">
        <v>39</v>
      </c>
      <c r="N2458" s="1" t="s">
        <v>56</v>
      </c>
      <c r="O2458">
        <v>16940</v>
      </c>
      <c r="P2458" t="b">
        <v>0</v>
      </c>
      <c r="Q2458">
        <v>2.9166666666666665</v>
      </c>
      <c r="R2458">
        <v>484</v>
      </c>
      <c r="S2458">
        <v>21.314</v>
      </c>
      <c r="T2458" s="2">
        <v>45047</v>
      </c>
      <c r="U2458" s="1" t="s">
        <v>66</v>
      </c>
      <c r="V2458">
        <v>0</v>
      </c>
      <c r="W2458" s="1" t="s">
        <v>40</v>
      </c>
      <c r="Y2458" s="1" t="s">
        <v>43</v>
      </c>
      <c r="Z2458" s="1" t="s">
        <v>42</v>
      </c>
      <c r="AA2458">
        <v>0.1111111111111111</v>
      </c>
      <c r="AB2458" s="1" t="s">
        <v>52</v>
      </c>
      <c r="AC2458">
        <v>1</v>
      </c>
      <c r="AD2458" s="2">
        <v>45047</v>
      </c>
      <c r="AE2458" s="1" t="s">
        <v>44</v>
      </c>
      <c r="AF2458" s="1" t="s">
        <v>45</v>
      </c>
      <c r="AG2458" s="1" t="s">
        <v>63</v>
      </c>
      <c r="AH2458" s="1" t="s">
        <v>68</v>
      </c>
      <c r="AI2458">
        <v>16940</v>
      </c>
      <c r="AJ2458">
        <v>0</v>
      </c>
    </row>
    <row r="2459" spans="1:36" x14ac:dyDescent="0.25">
      <c r="A2459">
        <v>12458</v>
      </c>
      <c r="B2459">
        <v>41</v>
      </c>
      <c r="C2459" s="1" t="s">
        <v>36</v>
      </c>
      <c r="D2459" s="1" t="s">
        <v>73</v>
      </c>
      <c r="E2459" s="2">
        <v>44591</v>
      </c>
      <c r="F2459" s="2">
        <v>44479</v>
      </c>
      <c r="G2459" s="1" t="s">
        <v>49</v>
      </c>
      <c r="H2459">
        <v>1263</v>
      </c>
      <c r="I2459">
        <v>1</v>
      </c>
      <c r="J2459">
        <v>2</v>
      </c>
      <c r="K2459">
        <v>82.53</v>
      </c>
      <c r="L2459">
        <v>15</v>
      </c>
      <c r="M2459" s="1" t="s">
        <v>65</v>
      </c>
      <c r="N2459" s="1" t="s">
        <v>56</v>
      </c>
      <c r="O2459">
        <v>1073.55</v>
      </c>
      <c r="P2459" t="b">
        <v>0</v>
      </c>
      <c r="Q2459">
        <v>8.3333333333333329E-2</v>
      </c>
      <c r="R2459">
        <v>1073.55</v>
      </c>
      <c r="S2459">
        <v>27.51</v>
      </c>
      <c r="T2459" s="2">
        <v>44562</v>
      </c>
      <c r="U2459" s="1" t="s">
        <v>51</v>
      </c>
      <c r="V2459">
        <v>0</v>
      </c>
      <c r="W2459" s="1" t="s">
        <v>56</v>
      </c>
      <c r="Y2459" s="1" t="s">
        <v>43</v>
      </c>
      <c r="Z2459" s="1" t="s">
        <v>42</v>
      </c>
      <c r="AA2459">
        <v>1</v>
      </c>
      <c r="AB2459" s="1" t="s">
        <v>42</v>
      </c>
      <c r="AC2459">
        <v>3</v>
      </c>
      <c r="AD2459" s="2">
        <v>44562</v>
      </c>
      <c r="AE2459" s="1" t="s">
        <v>58</v>
      </c>
      <c r="AF2459" s="1" t="s">
        <v>72</v>
      </c>
      <c r="AG2459" s="1" t="s">
        <v>63</v>
      </c>
      <c r="AH2459" s="1" t="s">
        <v>47</v>
      </c>
      <c r="AI2459">
        <v>1263</v>
      </c>
      <c r="AJ2459">
        <v>-189.45000000000005</v>
      </c>
    </row>
    <row r="2460" spans="1:36" x14ac:dyDescent="0.25">
      <c r="A2460">
        <v>12459</v>
      </c>
      <c r="B2460">
        <v>26</v>
      </c>
      <c r="C2460" s="1" t="s">
        <v>36</v>
      </c>
      <c r="D2460" s="1" t="s">
        <v>69</v>
      </c>
      <c r="E2460" s="2">
        <v>44270</v>
      </c>
      <c r="F2460" s="2">
        <v>44795</v>
      </c>
      <c r="G2460" s="1" t="s">
        <v>62</v>
      </c>
      <c r="H2460">
        <v>330</v>
      </c>
      <c r="I2460">
        <v>29</v>
      </c>
      <c r="J2460">
        <v>2</v>
      </c>
      <c r="K2460">
        <v>47.58</v>
      </c>
      <c r="L2460">
        <v>15</v>
      </c>
      <c r="M2460" s="1" t="s">
        <v>67</v>
      </c>
      <c r="N2460" s="1" t="s">
        <v>40</v>
      </c>
      <c r="O2460">
        <v>9520.5</v>
      </c>
      <c r="P2460" t="b">
        <v>1</v>
      </c>
      <c r="Q2460">
        <v>2.4166666666666665</v>
      </c>
      <c r="R2460">
        <v>328.29310344827587</v>
      </c>
      <c r="S2460">
        <v>15.86</v>
      </c>
      <c r="T2460" s="2">
        <v>44256</v>
      </c>
      <c r="U2460" s="1" t="s">
        <v>57</v>
      </c>
      <c r="V2460">
        <v>1</v>
      </c>
      <c r="W2460" s="1" t="s">
        <v>56</v>
      </c>
      <c r="X2460">
        <v>525</v>
      </c>
      <c r="Y2460" s="1" t="s">
        <v>52</v>
      </c>
      <c r="Z2460" s="1" t="s">
        <v>42</v>
      </c>
      <c r="AA2460">
        <v>6.6666666666666666E-2</v>
      </c>
      <c r="AB2460" s="1" t="s">
        <v>52</v>
      </c>
      <c r="AC2460">
        <v>2</v>
      </c>
      <c r="AD2460" s="2">
        <v>44256</v>
      </c>
      <c r="AE2460" s="1" t="s">
        <v>44</v>
      </c>
      <c r="AF2460" s="1" t="s">
        <v>72</v>
      </c>
      <c r="AG2460" s="1" t="s">
        <v>63</v>
      </c>
      <c r="AH2460" s="1" t="s">
        <v>68</v>
      </c>
      <c r="AI2460">
        <v>9570</v>
      </c>
      <c r="AJ2460">
        <v>-49.5</v>
      </c>
    </row>
    <row r="2461" spans="1:36" x14ac:dyDescent="0.25">
      <c r="A2461">
        <v>12460</v>
      </c>
      <c r="B2461">
        <v>32</v>
      </c>
      <c r="C2461" s="1" t="s">
        <v>36</v>
      </c>
      <c r="D2461" s="1" t="s">
        <v>73</v>
      </c>
      <c r="E2461" s="2">
        <v>44383</v>
      </c>
      <c r="F2461" s="2">
        <v>45231</v>
      </c>
      <c r="G2461" s="1" t="s">
        <v>49</v>
      </c>
      <c r="H2461">
        <v>913</v>
      </c>
      <c r="I2461">
        <v>9</v>
      </c>
      <c r="J2461">
        <v>1</v>
      </c>
      <c r="K2461">
        <v>26.9</v>
      </c>
      <c r="L2461">
        <v>5</v>
      </c>
      <c r="M2461" s="1" t="s">
        <v>65</v>
      </c>
      <c r="N2461" s="1" t="s">
        <v>56</v>
      </c>
      <c r="O2461">
        <v>8171.35</v>
      </c>
      <c r="P2461" t="b">
        <v>1</v>
      </c>
      <c r="Q2461">
        <v>0.75</v>
      </c>
      <c r="R2461">
        <v>907.92777777777781</v>
      </c>
      <c r="S2461">
        <v>13.45</v>
      </c>
      <c r="T2461" s="2">
        <v>44378</v>
      </c>
      <c r="U2461" s="1" t="s">
        <v>57</v>
      </c>
      <c r="V2461">
        <v>0</v>
      </c>
      <c r="W2461" s="1" t="s">
        <v>56</v>
      </c>
      <c r="X2461">
        <v>848</v>
      </c>
      <c r="Y2461" s="1" t="s">
        <v>52</v>
      </c>
      <c r="Z2461" s="1" t="s">
        <v>42</v>
      </c>
      <c r="AA2461">
        <v>0.1</v>
      </c>
      <c r="AB2461" s="1" t="s">
        <v>42</v>
      </c>
      <c r="AC2461">
        <v>3</v>
      </c>
      <c r="AD2461" s="2">
        <v>44378</v>
      </c>
      <c r="AE2461" s="1" t="s">
        <v>74</v>
      </c>
      <c r="AF2461" s="1" t="s">
        <v>54</v>
      </c>
      <c r="AG2461" s="1" t="s">
        <v>70</v>
      </c>
      <c r="AH2461" s="1" t="s">
        <v>59</v>
      </c>
      <c r="AI2461">
        <v>8217</v>
      </c>
      <c r="AJ2461">
        <v>-45.649999999999636</v>
      </c>
    </row>
    <row r="2462" spans="1:36" x14ac:dyDescent="0.25">
      <c r="A2462">
        <v>12461</v>
      </c>
      <c r="B2462">
        <v>38</v>
      </c>
      <c r="C2462" s="1" t="s">
        <v>36</v>
      </c>
      <c r="D2462" s="1" t="s">
        <v>61</v>
      </c>
      <c r="E2462" s="2">
        <v>44770</v>
      </c>
      <c r="F2462" s="2">
        <v>45234</v>
      </c>
      <c r="G2462" s="1" t="s">
        <v>62</v>
      </c>
      <c r="H2462">
        <v>398</v>
      </c>
      <c r="I2462">
        <v>9</v>
      </c>
      <c r="J2462">
        <v>2</v>
      </c>
      <c r="K2462">
        <v>98.9</v>
      </c>
      <c r="L2462">
        <v>20</v>
      </c>
      <c r="M2462" s="1" t="s">
        <v>67</v>
      </c>
      <c r="N2462" s="1" t="s">
        <v>56</v>
      </c>
      <c r="O2462">
        <v>3502.4</v>
      </c>
      <c r="P2462" t="b">
        <v>1</v>
      </c>
      <c r="Q2462">
        <v>0.75</v>
      </c>
      <c r="R2462">
        <v>389.15555555555557</v>
      </c>
      <c r="S2462">
        <v>32.966666666666669</v>
      </c>
      <c r="T2462" s="2">
        <v>44743</v>
      </c>
      <c r="U2462" s="1" t="s">
        <v>51</v>
      </c>
      <c r="V2462">
        <v>0</v>
      </c>
      <c r="W2462" s="1" t="s">
        <v>56</v>
      </c>
      <c r="X2462">
        <v>464</v>
      </c>
      <c r="Y2462" s="1" t="s">
        <v>43</v>
      </c>
      <c r="Z2462" s="1" t="s">
        <v>52</v>
      </c>
      <c r="AA2462">
        <v>0.2</v>
      </c>
      <c r="AB2462" s="1" t="s">
        <v>42</v>
      </c>
      <c r="AC2462">
        <v>2</v>
      </c>
      <c r="AD2462" s="2">
        <v>44743</v>
      </c>
      <c r="AE2462" s="1" t="s">
        <v>74</v>
      </c>
      <c r="AF2462" s="1" t="s">
        <v>72</v>
      </c>
      <c r="AG2462" s="1" t="s">
        <v>63</v>
      </c>
      <c r="AH2462" s="1" t="s">
        <v>68</v>
      </c>
      <c r="AI2462">
        <v>3582</v>
      </c>
      <c r="AJ2462">
        <v>-79.599999999999909</v>
      </c>
    </row>
    <row r="2463" spans="1:36" x14ac:dyDescent="0.25">
      <c r="A2463">
        <v>12462</v>
      </c>
      <c r="B2463">
        <v>52</v>
      </c>
      <c r="C2463" s="1" t="s">
        <v>60</v>
      </c>
      <c r="D2463" s="1" t="s">
        <v>37</v>
      </c>
      <c r="E2463" s="2">
        <v>44533</v>
      </c>
      <c r="F2463" s="2">
        <v>44821</v>
      </c>
      <c r="G2463" s="1" t="s">
        <v>49</v>
      </c>
      <c r="H2463">
        <v>1110</v>
      </c>
      <c r="I2463">
        <v>22</v>
      </c>
      <c r="J2463">
        <v>0</v>
      </c>
      <c r="K2463">
        <v>74.37</v>
      </c>
      <c r="L2463">
        <v>0</v>
      </c>
      <c r="M2463" s="1" t="s">
        <v>65</v>
      </c>
      <c r="N2463" s="1" t="s">
        <v>56</v>
      </c>
      <c r="O2463">
        <v>24420</v>
      </c>
      <c r="P2463" t="b">
        <v>1</v>
      </c>
      <c r="Q2463">
        <v>1.8333333333333333</v>
      </c>
      <c r="R2463">
        <v>1110</v>
      </c>
      <c r="S2463">
        <v>74.37</v>
      </c>
      <c r="T2463" s="2">
        <v>44531</v>
      </c>
      <c r="U2463" s="1" t="s">
        <v>41</v>
      </c>
      <c r="V2463">
        <v>0</v>
      </c>
      <c r="W2463" s="1" t="s">
        <v>40</v>
      </c>
      <c r="X2463">
        <v>288</v>
      </c>
      <c r="Y2463" s="1" t="s">
        <v>43</v>
      </c>
      <c r="Z2463" s="1" t="s">
        <v>42</v>
      </c>
      <c r="AA2463">
        <v>0</v>
      </c>
      <c r="AB2463" s="1" t="s">
        <v>43</v>
      </c>
      <c r="AC2463">
        <v>3</v>
      </c>
      <c r="AD2463" s="2">
        <v>44531</v>
      </c>
      <c r="AE2463" s="1" t="s">
        <v>53</v>
      </c>
      <c r="AF2463" s="1" t="s">
        <v>54</v>
      </c>
      <c r="AG2463" s="1" t="s">
        <v>63</v>
      </c>
      <c r="AH2463" s="1" t="s">
        <v>47</v>
      </c>
      <c r="AI2463">
        <v>24420</v>
      </c>
      <c r="AJ2463">
        <v>0</v>
      </c>
    </row>
    <row r="2464" spans="1:36" x14ac:dyDescent="0.25">
      <c r="A2464">
        <v>12463</v>
      </c>
      <c r="B2464">
        <v>19</v>
      </c>
      <c r="C2464" s="1" t="s">
        <v>36</v>
      </c>
      <c r="D2464" s="1" t="s">
        <v>48</v>
      </c>
      <c r="E2464" s="2">
        <v>44872</v>
      </c>
      <c r="F2464" s="2">
        <v>45003</v>
      </c>
      <c r="G2464" s="1" t="s">
        <v>38</v>
      </c>
      <c r="H2464">
        <v>951</v>
      </c>
      <c r="I2464">
        <v>2</v>
      </c>
      <c r="J2464">
        <v>2</v>
      </c>
      <c r="K2464">
        <v>46.45</v>
      </c>
      <c r="L2464">
        <v>10</v>
      </c>
      <c r="M2464" s="1" t="s">
        <v>65</v>
      </c>
      <c r="N2464" s="1" t="s">
        <v>56</v>
      </c>
      <c r="O2464">
        <v>1711.8</v>
      </c>
      <c r="P2464" t="b">
        <v>1</v>
      </c>
      <c r="Q2464">
        <v>0.16666666666666666</v>
      </c>
      <c r="R2464">
        <v>855.9</v>
      </c>
      <c r="S2464">
        <v>15.483333333333334</v>
      </c>
      <c r="T2464" s="2">
        <v>44866</v>
      </c>
      <c r="U2464" s="1" t="s">
        <v>66</v>
      </c>
      <c r="V2464">
        <v>0</v>
      </c>
      <c r="W2464" s="1" t="s">
        <v>56</v>
      </c>
      <c r="X2464">
        <v>131</v>
      </c>
      <c r="Y2464" s="1" t="s">
        <v>52</v>
      </c>
      <c r="Z2464" s="1" t="s">
        <v>42</v>
      </c>
      <c r="AA2464">
        <v>0.66666666666666663</v>
      </c>
      <c r="AB2464" s="1" t="s">
        <v>42</v>
      </c>
      <c r="AC2464">
        <v>1</v>
      </c>
      <c r="AD2464" s="2">
        <v>44866</v>
      </c>
      <c r="AE2464" s="1" t="s">
        <v>58</v>
      </c>
      <c r="AF2464" s="1" t="s">
        <v>72</v>
      </c>
      <c r="AG2464" s="1" t="s">
        <v>63</v>
      </c>
      <c r="AH2464" s="1" t="s">
        <v>59</v>
      </c>
      <c r="AI2464">
        <v>1902</v>
      </c>
      <c r="AJ2464">
        <v>-190.20000000000005</v>
      </c>
    </row>
    <row r="2465" spans="1:36" x14ac:dyDescent="0.25">
      <c r="A2465">
        <v>12464</v>
      </c>
      <c r="B2465">
        <v>44</v>
      </c>
      <c r="C2465" s="1" t="s">
        <v>75</v>
      </c>
      <c r="D2465" s="1" t="s">
        <v>71</v>
      </c>
      <c r="E2465" s="2">
        <v>44764</v>
      </c>
      <c r="F2465" s="2">
        <v>45125</v>
      </c>
      <c r="G2465" s="1" t="s">
        <v>62</v>
      </c>
      <c r="H2465">
        <v>1113</v>
      </c>
      <c r="I2465">
        <v>16</v>
      </c>
      <c r="J2465">
        <v>1</v>
      </c>
      <c r="K2465">
        <v>56.04</v>
      </c>
      <c r="L2465">
        <v>0</v>
      </c>
      <c r="M2465" s="1" t="s">
        <v>50</v>
      </c>
      <c r="N2465" s="1" t="s">
        <v>56</v>
      </c>
      <c r="O2465">
        <v>17808</v>
      </c>
      <c r="P2465" t="b">
        <v>1</v>
      </c>
      <c r="Q2465">
        <v>1.3333333333333333</v>
      </c>
      <c r="R2465">
        <v>1113</v>
      </c>
      <c r="S2465">
        <v>28.02</v>
      </c>
      <c r="T2465" s="2">
        <v>44743</v>
      </c>
      <c r="U2465" s="1" t="s">
        <v>51</v>
      </c>
      <c r="V2465">
        <v>0</v>
      </c>
      <c r="W2465" s="1" t="s">
        <v>40</v>
      </c>
      <c r="X2465">
        <v>361</v>
      </c>
      <c r="Y2465" s="1" t="s">
        <v>52</v>
      </c>
      <c r="Z2465" s="1" t="s">
        <v>42</v>
      </c>
      <c r="AA2465">
        <v>5.8823529411764705E-2</v>
      </c>
      <c r="AB2465" s="1" t="s">
        <v>52</v>
      </c>
      <c r="AC2465">
        <v>2</v>
      </c>
      <c r="AD2465" s="2">
        <v>44743</v>
      </c>
      <c r="AE2465" s="1" t="s">
        <v>53</v>
      </c>
      <c r="AF2465" s="1" t="s">
        <v>54</v>
      </c>
      <c r="AG2465" s="1" t="s">
        <v>63</v>
      </c>
      <c r="AH2465" s="1" t="s">
        <v>47</v>
      </c>
      <c r="AI2465">
        <v>17808</v>
      </c>
      <c r="AJ2465">
        <v>0</v>
      </c>
    </row>
    <row r="2466" spans="1:36" x14ac:dyDescent="0.25">
      <c r="A2466">
        <v>12465</v>
      </c>
      <c r="B2466">
        <v>19</v>
      </c>
      <c r="C2466" s="1" t="s">
        <v>60</v>
      </c>
      <c r="D2466" s="1" t="s">
        <v>48</v>
      </c>
      <c r="E2466" s="2">
        <v>44819</v>
      </c>
      <c r="F2466" s="2">
        <v>44456</v>
      </c>
      <c r="G2466" s="1" t="s">
        <v>38</v>
      </c>
      <c r="H2466">
        <v>1319</v>
      </c>
      <c r="I2466">
        <v>6</v>
      </c>
      <c r="J2466">
        <v>1</v>
      </c>
      <c r="K2466">
        <v>100.05</v>
      </c>
      <c r="L2466">
        <v>0</v>
      </c>
      <c r="M2466" s="1" t="s">
        <v>67</v>
      </c>
      <c r="N2466" s="1" t="s">
        <v>56</v>
      </c>
      <c r="O2466">
        <v>7914</v>
      </c>
      <c r="P2466" t="b">
        <v>0</v>
      </c>
      <c r="Q2466">
        <v>0.5</v>
      </c>
      <c r="R2466">
        <v>1319</v>
      </c>
      <c r="S2466">
        <v>50.024999999999999</v>
      </c>
      <c r="T2466" s="2">
        <v>44805</v>
      </c>
      <c r="U2466" s="1" t="s">
        <v>66</v>
      </c>
      <c r="V2466">
        <v>0</v>
      </c>
      <c r="W2466" s="1" t="s">
        <v>56</v>
      </c>
      <c r="Y2466" s="1" t="s">
        <v>43</v>
      </c>
      <c r="Z2466" s="1" t="s">
        <v>42</v>
      </c>
      <c r="AA2466">
        <v>0.14285714285714285</v>
      </c>
      <c r="AB2466" s="1" t="s">
        <v>42</v>
      </c>
      <c r="AC2466">
        <v>1</v>
      </c>
      <c r="AD2466" s="2">
        <v>44805</v>
      </c>
      <c r="AE2466" s="1" t="s">
        <v>58</v>
      </c>
      <c r="AF2466" s="1" t="s">
        <v>54</v>
      </c>
      <c r="AG2466" s="1" t="s">
        <v>63</v>
      </c>
      <c r="AH2466" s="1" t="s">
        <v>47</v>
      </c>
      <c r="AI2466">
        <v>7914</v>
      </c>
      <c r="AJ2466">
        <v>0</v>
      </c>
    </row>
    <row r="2467" spans="1:36" x14ac:dyDescent="0.25">
      <c r="A2467">
        <v>12466</v>
      </c>
      <c r="B2467">
        <v>52</v>
      </c>
      <c r="C2467" s="1" t="s">
        <v>60</v>
      </c>
      <c r="D2467" s="1" t="s">
        <v>37</v>
      </c>
      <c r="E2467" s="2">
        <v>44926</v>
      </c>
      <c r="F2467" s="2">
        <v>45053</v>
      </c>
      <c r="G2467" s="1" t="s">
        <v>62</v>
      </c>
      <c r="H2467">
        <v>1277</v>
      </c>
      <c r="I2467">
        <v>13</v>
      </c>
      <c r="J2467">
        <v>3</v>
      </c>
      <c r="K2467">
        <v>43.98</v>
      </c>
      <c r="L2467">
        <v>0</v>
      </c>
      <c r="M2467" s="1" t="s">
        <v>67</v>
      </c>
      <c r="N2467" s="1" t="s">
        <v>56</v>
      </c>
      <c r="O2467">
        <v>16601</v>
      </c>
      <c r="P2467" t="b">
        <v>1</v>
      </c>
      <c r="Q2467">
        <v>1.0833333333333333</v>
      </c>
      <c r="R2467">
        <v>1277</v>
      </c>
      <c r="S2467">
        <v>10.994999999999999</v>
      </c>
      <c r="T2467" s="2">
        <v>44896</v>
      </c>
      <c r="U2467" s="1" t="s">
        <v>41</v>
      </c>
      <c r="V2467">
        <v>0</v>
      </c>
      <c r="W2467" s="1" t="s">
        <v>40</v>
      </c>
      <c r="X2467">
        <v>127</v>
      </c>
      <c r="Y2467" s="1" t="s">
        <v>52</v>
      </c>
      <c r="Z2467" s="1" t="s">
        <v>42</v>
      </c>
      <c r="AA2467">
        <v>0.21428571428571427</v>
      </c>
      <c r="AB2467" s="1" t="s">
        <v>52</v>
      </c>
      <c r="AC2467">
        <v>2</v>
      </c>
      <c r="AD2467" s="2">
        <v>44896</v>
      </c>
      <c r="AE2467" s="1" t="s">
        <v>53</v>
      </c>
      <c r="AF2467" s="1" t="s">
        <v>72</v>
      </c>
      <c r="AG2467" s="1" t="s">
        <v>55</v>
      </c>
      <c r="AH2467" s="1" t="s">
        <v>47</v>
      </c>
      <c r="AI2467">
        <v>16601</v>
      </c>
      <c r="AJ2467">
        <v>0</v>
      </c>
    </row>
    <row r="2468" spans="1:36" x14ac:dyDescent="0.25">
      <c r="A2468">
        <v>12467</v>
      </c>
      <c r="B2468">
        <v>35</v>
      </c>
      <c r="C2468" s="1" t="s">
        <v>36</v>
      </c>
      <c r="D2468" s="1" t="s">
        <v>71</v>
      </c>
      <c r="E2468" s="2">
        <v>44436</v>
      </c>
      <c r="F2468" s="2">
        <v>44382</v>
      </c>
      <c r="G2468" s="1" t="s">
        <v>62</v>
      </c>
      <c r="H2468">
        <v>387</v>
      </c>
      <c r="I2468">
        <v>33</v>
      </c>
      <c r="J2468">
        <v>3</v>
      </c>
      <c r="K2468">
        <v>15.31</v>
      </c>
      <c r="L2468">
        <v>20</v>
      </c>
      <c r="M2468" s="1" t="s">
        <v>67</v>
      </c>
      <c r="N2468" s="1" t="s">
        <v>56</v>
      </c>
      <c r="O2468">
        <v>12693.6</v>
      </c>
      <c r="P2468" t="b">
        <v>0</v>
      </c>
      <c r="Q2468">
        <v>2.75</v>
      </c>
      <c r="R2468">
        <v>384.65454545454548</v>
      </c>
      <c r="S2468">
        <v>3.8275000000000001</v>
      </c>
      <c r="T2468" s="2">
        <v>44409</v>
      </c>
      <c r="U2468" s="1" t="s">
        <v>57</v>
      </c>
      <c r="V2468">
        <v>0</v>
      </c>
      <c r="W2468" s="1" t="s">
        <v>56</v>
      </c>
      <c r="Y2468" s="1" t="s">
        <v>42</v>
      </c>
      <c r="Z2468" s="1" t="s">
        <v>52</v>
      </c>
      <c r="AA2468">
        <v>8.8235294117647065E-2</v>
      </c>
      <c r="AB2468" s="1" t="s">
        <v>52</v>
      </c>
      <c r="AC2468">
        <v>2</v>
      </c>
      <c r="AD2468" s="2">
        <v>44409</v>
      </c>
      <c r="AE2468" s="1" t="s">
        <v>44</v>
      </c>
      <c r="AF2468" s="1" t="s">
        <v>72</v>
      </c>
      <c r="AG2468" s="1" t="s">
        <v>46</v>
      </c>
      <c r="AH2468" s="1" t="s">
        <v>68</v>
      </c>
      <c r="AI2468">
        <v>12771</v>
      </c>
      <c r="AJ2468">
        <v>-77.399999999999636</v>
      </c>
    </row>
    <row r="2469" spans="1:36" x14ac:dyDescent="0.25">
      <c r="A2469">
        <v>12468</v>
      </c>
      <c r="B2469">
        <v>31</v>
      </c>
      <c r="C2469" s="1" t="s">
        <v>60</v>
      </c>
      <c r="D2469" s="1" t="s">
        <v>37</v>
      </c>
      <c r="E2469" s="2">
        <v>44729</v>
      </c>
      <c r="F2469" s="2">
        <v>44814</v>
      </c>
      <c r="G2469" s="1" t="s">
        <v>38</v>
      </c>
      <c r="H2469">
        <v>1386</v>
      </c>
      <c r="I2469">
        <v>19</v>
      </c>
      <c r="J2469">
        <v>2</v>
      </c>
      <c r="K2469">
        <v>109.8</v>
      </c>
      <c r="L2469">
        <v>20</v>
      </c>
      <c r="M2469" s="1" t="s">
        <v>39</v>
      </c>
      <c r="N2469" s="1" t="s">
        <v>56</v>
      </c>
      <c r="O2469">
        <v>26056.799999999999</v>
      </c>
      <c r="P2469" t="b">
        <v>1</v>
      </c>
      <c r="Q2469">
        <v>1.5833333333333333</v>
      </c>
      <c r="R2469">
        <v>1371.4105263157894</v>
      </c>
      <c r="S2469">
        <v>36.6</v>
      </c>
      <c r="T2469" s="2">
        <v>44713</v>
      </c>
      <c r="U2469" s="1" t="s">
        <v>57</v>
      </c>
      <c r="V2469">
        <v>0</v>
      </c>
      <c r="W2469" s="1" t="s">
        <v>40</v>
      </c>
      <c r="X2469">
        <v>85</v>
      </c>
      <c r="Y2469" s="1" t="s">
        <v>43</v>
      </c>
      <c r="Z2469" s="1" t="s">
        <v>52</v>
      </c>
      <c r="AA2469">
        <v>0.1</v>
      </c>
      <c r="AB2469" s="1" t="s">
        <v>43</v>
      </c>
      <c r="AC2469">
        <v>1</v>
      </c>
      <c r="AD2469" s="2">
        <v>44713</v>
      </c>
      <c r="AE2469" s="1" t="s">
        <v>53</v>
      </c>
      <c r="AF2469" s="1" t="s">
        <v>72</v>
      </c>
      <c r="AG2469" s="1" t="s">
        <v>63</v>
      </c>
      <c r="AH2469" s="1" t="s">
        <v>47</v>
      </c>
      <c r="AI2469">
        <v>26334</v>
      </c>
      <c r="AJ2469">
        <v>-277.20000000000073</v>
      </c>
    </row>
    <row r="2470" spans="1:36" x14ac:dyDescent="0.25">
      <c r="A2470">
        <v>12469</v>
      </c>
      <c r="B2470">
        <v>37</v>
      </c>
      <c r="C2470" s="1" t="s">
        <v>60</v>
      </c>
      <c r="D2470" s="1" t="s">
        <v>48</v>
      </c>
      <c r="E2470" s="2">
        <v>44337</v>
      </c>
      <c r="F2470" s="2">
        <v>44622</v>
      </c>
      <c r="G2470" s="1" t="s">
        <v>49</v>
      </c>
      <c r="H2470">
        <v>1221</v>
      </c>
      <c r="I2470">
        <v>15</v>
      </c>
      <c r="J2470">
        <v>3</v>
      </c>
      <c r="K2470">
        <v>49.54</v>
      </c>
      <c r="L2470">
        <v>20</v>
      </c>
      <c r="M2470" s="1" t="s">
        <v>50</v>
      </c>
      <c r="N2470" s="1" t="s">
        <v>40</v>
      </c>
      <c r="O2470">
        <v>18070.8</v>
      </c>
      <c r="P2470" t="b">
        <v>1</v>
      </c>
      <c r="Q2470">
        <v>1.25</v>
      </c>
      <c r="R2470">
        <v>1204.72</v>
      </c>
      <c r="S2470">
        <v>12.385</v>
      </c>
      <c r="T2470" s="2">
        <v>44317</v>
      </c>
      <c r="U2470" s="1" t="s">
        <v>51</v>
      </c>
      <c r="V2470">
        <v>1</v>
      </c>
      <c r="W2470" s="1" t="s">
        <v>40</v>
      </c>
      <c r="X2470">
        <v>285</v>
      </c>
      <c r="Y2470" s="1" t="s">
        <v>52</v>
      </c>
      <c r="Z2470" s="1" t="s">
        <v>52</v>
      </c>
      <c r="AA2470">
        <v>0.1875</v>
      </c>
      <c r="AB2470" s="1" t="s">
        <v>52</v>
      </c>
      <c r="AC2470">
        <v>3</v>
      </c>
      <c r="AD2470" s="2">
        <v>44317</v>
      </c>
      <c r="AE2470" s="1" t="s">
        <v>53</v>
      </c>
      <c r="AF2470" s="1" t="s">
        <v>72</v>
      </c>
      <c r="AG2470" s="1" t="s">
        <v>63</v>
      </c>
      <c r="AH2470" s="1" t="s">
        <v>47</v>
      </c>
      <c r="AI2470">
        <v>18315</v>
      </c>
      <c r="AJ2470">
        <v>-244.20000000000073</v>
      </c>
    </row>
    <row r="2471" spans="1:36" x14ac:dyDescent="0.25">
      <c r="A2471">
        <v>12470</v>
      </c>
      <c r="B2471">
        <v>41</v>
      </c>
      <c r="C2471" s="1" t="s">
        <v>36</v>
      </c>
      <c r="D2471" s="1" t="s">
        <v>61</v>
      </c>
      <c r="E2471" s="2">
        <v>44461</v>
      </c>
      <c r="F2471" s="2">
        <v>44534</v>
      </c>
      <c r="G2471" s="1" t="s">
        <v>49</v>
      </c>
      <c r="H2471">
        <v>885</v>
      </c>
      <c r="I2471">
        <v>33</v>
      </c>
      <c r="J2471">
        <v>2</v>
      </c>
      <c r="K2471">
        <v>45.06</v>
      </c>
      <c r="L2471">
        <v>10</v>
      </c>
      <c r="M2471" s="1" t="s">
        <v>39</v>
      </c>
      <c r="N2471" s="1" t="s">
        <v>40</v>
      </c>
      <c r="O2471">
        <v>29116.5</v>
      </c>
      <c r="P2471" t="b">
        <v>1</v>
      </c>
      <c r="Q2471">
        <v>2.75</v>
      </c>
      <c r="R2471">
        <v>882.31818181818187</v>
      </c>
      <c r="S2471">
        <v>15.020000000000001</v>
      </c>
      <c r="T2471" s="2">
        <v>44440</v>
      </c>
      <c r="U2471" s="1" t="s">
        <v>51</v>
      </c>
      <c r="V2471">
        <v>1</v>
      </c>
      <c r="W2471" s="1" t="s">
        <v>40</v>
      </c>
      <c r="X2471">
        <v>73</v>
      </c>
      <c r="Y2471" s="1" t="s">
        <v>52</v>
      </c>
      <c r="Z2471" s="1" t="s">
        <v>42</v>
      </c>
      <c r="AA2471">
        <v>5.8823529411764705E-2</v>
      </c>
      <c r="AB2471" s="1" t="s">
        <v>43</v>
      </c>
      <c r="AC2471">
        <v>3</v>
      </c>
      <c r="AD2471" s="2">
        <v>44440</v>
      </c>
      <c r="AE2471" s="1" t="s">
        <v>44</v>
      </c>
      <c r="AF2471" s="1" t="s">
        <v>72</v>
      </c>
      <c r="AG2471" s="1" t="s">
        <v>63</v>
      </c>
      <c r="AH2471" s="1" t="s">
        <v>59</v>
      </c>
      <c r="AI2471">
        <v>29205</v>
      </c>
      <c r="AJ2471">
        <v>-88.5</v>
      </c>
    </row>
    <row r="2472" spans="1:36" x14ac:dyDescent="0.25">
      <c r="A2472">
        <v>12471</v>
      </c>
      <c r="B2472">
        <v>27</v>
      </c>
      <c r="C2472" s="1" t="s">
        <v>75</v>
      </c>
      <c r="D2472" s="1" t="s">
        <v>48</v>
      </c>
      <c r="E2472" s="2">
        <v>44335</v>
      </c>
      <c r="F2472" s="2">
        <v>44590</v>
      </c>
      <c r="G2472" s="1" t="s">
        <v>38</v>
      </c>
      <c r="H2472">
        <v>1117</v>
      </c>
      <c r="I2472">
        <v>10</v>
      </c>
      <c r="J2472">
        <v>2</v>
      </c>
      <c r="K2472">
        <v>28.51</v>
      </c>
      <c r="L2472">
        <v>20</v>
      </c>
      <c r="M2472" s="1" t="s">
        <v>67</v>
      </c>
      <c r="N2472" s="1" t="s">
        <v>56</v>
      </c>
      <c r="O2472">
        <v>10946.6</v>
      </c>
      <c r="P2472" t="b">
        <v>1</v>
      </c>
      <c r="Q2472">
        <v>0.83333333333333337</v>
      </c>
      <c r="R2472">
        <v>1094.6600000000001</v>
      </c>
      <c r="S2472">
        <v>9.5033333333333339</v>
      </c>
      <c r="T2472" s="2">
        <v>44317</v>
      </c>
      <c r="U2472" s="1" t="s">
        <v>57</v>
      </c>
      <c r="V2472">
        <v>0</v>
      </c>
      <c r="W2472" s="1" t="s">
        <v>56</v>
      </c>
      <c r="X2472">
        <v>255</v>
      </c>
      <c r="Y2472" s="1" t="s">
        <v>52</v>
      </c>
      <c r="Z2472" s="1" t="s">
        <v>52</v>
      </c>
      <c r="AA2472">
        <v>0.18181818181818182</v>
      </c>
      <c r="AB2472" s="1" t="s">
        <v>52</v>
      </c>
      <c r="AC2472">
        <v>1</v>
      </c>
      <c r="AD2472" s="2">
        <v>44317</v>
      </c>
      <c r="AE2472" s="1" t="s">
        <v>74</v>
      </c>
      <c r="AF2472" s="1" t="s">
        <v>72</v>
      </c>
      <c r="AG2472" s="1" t="s">
        <v>70</v>
      </c>
      <c r="AH2472" s="1" t="s">
        <v>47</v>
      </c>
      <c r="AI2472">
        <v>11170</v>
      </c>
      <c r="AJ2472">
        <v>-223.39999999999964</v>
      </c>
    </row>
    <row r="2473" spans="1:36" x14ac:dyDescent="0.25">
      <c r="A2473">
        <v>12472</v>
      </c>
      <c r="B2473">
        <v>42</v>
      </c>
      <c r="C2473" s="1" t="s">
        <v>60</v>
      </c>
      <c r="D2473" s="1" t="s">
        <v>48</v>
      </c>
      <c r="E2473" s="2">
        <v>44655</v>
      </c>
      <c r="F2473" s="2">
        <v>44611</v>
      </c>
      <c r="G2473" s="1" t="s">
        <v>62</v>
      </c>
      <c r="H2473">
        <v>1231</v>
      </c>
      <c r="I2473">
        <v>1</v>
      </c>
      <c r="J2473">
        <v>1</v>
      </c>
      <c r="K2473">
        <v>108.2</v>
      </c>
      <c r="L2473">
        <v>5</v>
      </c>
      <c r="M2473" s="1" t="s">
        <v>50</v>
      </c>
      <c r="N2473" s="1" t="s">
        <v>56</v>
      </c>
      <c r="O2473">
        <v>1169.45</v>
      </c>
      <c r="P2473" t="b">
        <v>0</v>
      </c>
      <c r="Q2473">
        <v>8.3333333333333329E-2</v>
      </c>
      <c r="R2473">
        <v>1169.45</v>
      </c>
      <c r="S2473">
        <v>54.1</v>
      </c>
      <c r="T2473" s="2">
        <v>44652</v>
      </c>
      <c r="U2473" s="1" t="s">
        <v>51</v>
      </c>
      <c r="V2473">
        <v>0</v>
      </c>
      <c r="W2473" s="1" t="s">
        <v>56</v>
      </c>
      <c r="Y2473" s="1" t="s">
        <v>43</v>
      </c>
      <c r="Z2473" s="1" t="s">
        <v>42</v>
      </c>
      <c r="AA2473">
        <v>0.5</v>
      </c>
      <c r="AB2473" s="1" t="s">
        <v>42</v>
      </c>
      <c r="AC2473">
        <v>2</v>
      </c>
      <c r="AD2473" s="2">
        <v>44652</v>
      </c>
      <c r="AE2473" s="1" t="s">
        <v>58</v>
      </c>
      <c r="AF2473" s="1" t="s">
        <v>54</v>
      </c>
      <c r="AG2473" s="1" t="s">
        <v>63</v>
      </c>
      <c r="AH2473" s="1" t="s">
        <v>47</v>
      </c>
      <c r="AI2473">
        <v>1231</v>
      </c>
      <c r="AJ2473">
        <v>-61.549999999999955</v>
      </c>
    </row>
    <row r="2474" spans="1:36" x14ac:dyDescent="0.25">
      <c r="A2474">
        <v>12473</v>
      </c>
      <c r="B2474">
        <v>19</v>
      </c>
      <c r="C2474" s="1" t="s">
        <v>60</v>
      </c>
      <c r="D2474" s="1" t="s">
        <v>48</v>
      </c>
      <c r="E2474" s="2">
        <v>44266</v>
      </c>
      <c r="F2474" s="2">
        <v>44869</v>
      </c>
      <c r="G2474" s="1" t="s">
        <v>38</v>
      </c>
      <c r="H2474">
        <v>1096</v>
      </c>
      <c r="I2474">
        <v>12</v>
      </c>
      <c r="J2474">
        <v>2</v>
      </c>
      <c r="K2474">
        <v>30.01</v>
      </c>
      <c r="L2474">
        <v>10</v>
      </c>
      <c r="M2474" s="1" t="s">
        <v>65</v>
      </c>
      <c r="N2474" s="1" t="s">
        <v>56</v>
      </c>
      <c r="O2474">
        <v>13042.4</v>
      </c>
      <c r="P2474" t="b">
        <v>1</v>
      </c>
      <c r="Q2474">
        <v>1</v>
      </c>
      <c r="R2474">
        <v>1086.8666666666666</v>
      </c>
      <c r="S2474">
        <v>10.003333333333334</v>
      </c>
      <c r="T2474" s="2">
        <v>44256</v>
      </c>
      <c r="U2474" s="1" t="s">
        <v>66</v>
      </c>
      <c r="V2474">
        <v>0</v>
      </c>
      <c r="W2474" s="1" t="s">
        <v>56</v>
      </c>
      <c r="X2474">
        <v>603</v>
      </c>
      <c r="Y2474" s="1" t="s">
        <v>52</v>
      </c>
      <c r="Z2474" s="1" t="s">
        <v>42</v>
      </c>
      <c r="AA2474">
        <v>0.15384615384615385</v>
      </c>
      <c r="AB2474" s="1" t="s">
        <v>52</v>
      </c>
      <c r="AC2474">
        <v>1</v>
      </c>
      <c r="AD2474" s="2">
        <v>44256</v>
      </c>
      <c r="AE2474" s="1" t="s">
        <v>74</v>
      </c>
      <c r="AF2474" s="1" t="s">
        <v>72</v>
      </c>
      <c r="AG2474" s="1" t="s">
        <v>55</v>
      </c>
      <c r="AH2474" s="1" t="s">
        <v>47</v>
      </c>
      <c r="AI2474">
        <v>13152</v>
      </c>
      <c r="AJ2474">
        <v>-109.60000000000036</v>
      </c>
    </row>
    <row r="2475" spans="1:36" x14ac:dyDescent="0.25">
      <c r="A2475">
        <v>12474</v>
      </c>
      <c r="B2475">
        <v>42</v>
      </c>
      <c r="C2475" s="1" t="s">
        <v>60</v>
      </c>
      <c r="D2475" s="1" t="s">
        <v>69</v>
      </c>
      <c r="E2475" s="2">
        <v>44581</v>
      </c>
      <c r="F2475" s="2">
        <v>45025</v>
      </c>
      <c r="G2475" s="1" t="s">
        <v>38</v>
      </c>
      <c r="H2475">
        <v>1318</v>
      </c>
      <c r="I2475">
        <v>29</v>
      </c>
      <c r="J2475">
        <v>0</v>
      </c>
      <c r="K2475">
        <v>78.22</v>
      </c>
      <c r="L2475">
        <v>0</v>
      </c>
      <c r="M2475" s="1" t="s">
        <v>50</v>
      </c>
      <c r="N2475" s="1" t="s">
        <v>56</v>
      </c>
      <c r="O2475">
        <v>38222</v>
      </c>
      <c r="P2475" t="b">
        <v>1</v>
      </c>
      <c r="Q2475">
        <v>2.4166666666666665</v>
      </c>
      <c r="R2475">
        <v>1318</v>
      </c>
      <c r="S2475">
        <v>78.22</v>
      </c>
      <c r="T2475" s="2">
        <v>44562</v>
      </c>
      <c r="U2475" s="1" t="s">
        <v>51</v>
      </c>
      <c r="V2475">
        <v>0</v>
      </c>
      <c r="W2475" s="1" t="s">
        <v>40</v>
      </c>
      <c r="X2475">
        <v>444</v>
      </c>
      <c r="Y2475" s="1" t="s">
        <v>43</v>
      </c>
      <c r="Z2475" s="1" t="s">
        <v>42</v>
      </c>
      <c r="AA2475">
        <v>0</v>
      </c>
      <c r="AB2475" s="1" t="s">
        <v>43</v>
      </c>
      <c r="AC2475">
        <v>1</v>
      </c>
      <c r="AD2475" s="2">
        <v>44562</v>
      </c>
      <c r="AE2475" s="1" t="s">
        <v>44</v>
      </c>
      <c r="AF2475" s="1" t="s">
        <v>54</v>
      </c>
      <c r="AG2475" s="1" t="s">
        <v>63</v>
      </c>
      <c r="AH2475" s="1" t="s">
        <v>47</v>
      </c>
      <c r="AI2475">
        <v>38222</v>
      </c>
      <c r="AJ2475">
        <v>0</v>
      </c>
    </row>
    <row r="2476" spans="1:36" x14ac:dyDescent="0.25">
      <c r="A2476">
        <v>12475</v>
      </c>
      <c r="B2476">
        <v>50</v>
      </c>
      <c r="C2476" s="1" t="s">
        <v>36</v>
      </c>
      <c r="D2476" s="1" t="s">
        <v>37</v>
      </c>
      <c r="E2476" s="2">
        <v>44826</v>
      </c>
      <c r="F2476" s="2">
        <v>44888</v>
      </c>
      <c r="G2476" s="1" t="s">
        <v>49</v>
      </c>
      <c r="H2476">
        <v>1312</v>
      </c>
      <c r="I2476">
        <v>17</v>
      </c>
      <c r="J2476">
        <v>1</v>
      </c>
      <c r="K2476">
        <v>106.29</v>
      </c>
      <c r="L2476">
        <v>15</v>
      </c>
      <c r="M2476" s="1" t="s">
        <v>65</v>
      </c>
      <c r="N2476" s="1" t="s">
        <v>56</v>
      </c>
      <c r="O2476">
        <v>22107.200000000001</v>
      </c>
      <c r="P2476" t="b">
        <v>1</v>
      </c>
      <c r="Q2476">
        <v>1.4166666666666667</v>
      </c>
      <c r="R2476">
        <v>1300.4235294117648</v>
      </c>
      <c r="S2476">
        <v>53.145000000000003</v>
      </c>
      <c r="T2476" s="2">
        <v>44805</v>
      </c>
      <c r="U2476" s="1" t="s">
        <v>51</v>
      </c>
      <c r="V2476">
        <v>0</v>
      </c>
      <c r="W2476" s="1" t="s">
        <v>40</v>
      </c>
      <c r="X2476">
        <v>62</v>
      </c>
      <c r="Y2476" s="1" t="s">
        <v>43</v>
      </c>
      <c r="Z2476" s="1" t="s">
        <v>42</v>
      </c>
      <c r="AA2476">
        <v>5.5555555555555552E-2</v>
      </c>
      <c r="AB2476" s="1" t="s">
        <v>43</v>
      </c>
      <c r="AC2476">
        <v>3</v>
      </c>
      <c r="AD2476" s="2">
        <v>44805</v>
      </c>
      <c r="AE2476" s="1" t="s">
        <v>53</v>
      </c>
      <c r="AF2476" s="1" t="s">
        <v>54</v>
      </c>
      <c r="AG2476" s="1" t="s">
        <v>63</v>
      </c>
      <c r="AH2476" s="1" t="s">
        <v>47</v>
      </c>
      <c r="AI2476">
        <v>22304</v>
      </c>
      <c r="AJ2476">
        <v>-196.79999999999927</v>
      </c>
    </row>
    <row r="2477" spans="1:36" x14ac:dyDescent="0.25">
      <c r="A2477">
        <v>12476</v>
      </c>
      <c r="B2477">
        <v>53</v>
      </c>
      <c r="C2477" s="1" t="s">
        <v>60</v>
      </c>
      <c r="D2477" s="1" t="s">
        <v>37</v>
      </c>
      <c r="E2477" s="2">
        <v>44394</v>
      </c>
      <c r="F2477" s="2">
        <v>45130</v>
      </c>
      <c r="G2477" s="1" t="s">
        <v>38</v>
      </c>
      <c r="H2477">
        <v>1272</v>
      </c>
      <c r="I2477">
        <v>4</v>
      </c>
      <c r="J2477">
        <v>2</v>
      </c>
      <c r="K2477">
        <v>9.02</v>
      </c>
      <c r="L2477">
        <v>10</v>
      </c>
      <c r="M2477" s="1" t="s">
        <v>67</v>
      </c>
      <c r="N2477" s="1" t="s">
        <v>56</v>
      </c>
      <c r="O2477">
        <v>4960.8</v>
      </c>
      <c r="P2477" t="b">
        <v>1</v>
      </c>
      <c r="Q2477">
        <v>0.33333333333333331</v>
      </c>
      <c r="R2477">
        <v>1240.2</v>
      </c>
      <c r="S2477">
        <v>3.0066666666666664</v>
      </c>
      <c r="T2477" s="2">
        <v>44378</v>
      </c>
      <c r="U2477" s="1" t="s">
        <v>41</v>
      </c>
      <c r="V2477">
        <v>0</v>
      </c>
      <c r="W2477" s="1" t="s">
        <v>56</v>
      </c>
      <c r="X2477">
        <v>736</v>
      </c>
      <c r="Y2477" s="1" t="s">
        <v>42</v>
      </c>
      <c r="Z2477" s="1" t="s">
        <v>42</v>
      </c>
      <c r="AA2477">
        <v>0.4</v>
      </c>
      <c r="AB2477" s="1" t="s">
        <v>42</v>
      </c>
      <c r="AC2477">
        <v>1</v>
      </c>
      <c r="AD2477" s="2">
        <v>44378</v>
      </c>
      <c r="AE2477" s="1" t="s">
        <v>58</v>
      </c>
      <c r="AF2477" s="1" t="s">
        <v>72</v>
      </c>
      <c r="AG2477" s="1" t="s">
        <v>77</v>
      </c>
      <c r="AH2477" s="1" t="s">
        <v>47</v>
      </c>
      <c r="AI2477">
        <v>5088</v>
      </c>
      <c r="AJ2477">
        <v>-127.19999999999982</v>
      </c>
    </row>
    <row r="2478" spans="1:36" x14ac:dyDescent="0.25">
      <c r="A2478">
        <v>12477</v>
      </c>
      <c r="B2478">
        <v>48</v>
      </c>
      <c r="C2478" s="1" t="s">
        <v>60</v>
      </c>
      <c r="D2478" s="1" t="s">
        <v>73</v>
      </c>
      <c r="E2478" s="2">
        <v>44401</v>
      </c>
      <c r="F2478" s="2">
        <v>44434</v>
      </c>
      <c r="G2478" s="1" t="s">
        <v>49</v>
      </c>
      <c r="H2478">
        <v>932</v>
      </c>
      <c r="I2478">
        <v>29</v>
      </c>
      <c r="J2478">
        <v>1</v>
      </c>
      <c r="K2478">
        <v>100.31</v>
      </c>
      <c r="L2478">
        <v>10</v>
      </c>
      <c r="M2478" s="1" t="s">
        <v>67</v>
      </c>
      <c r="N2478" s="1" t="s">
        <v>56</v>
      </c>
      <c r="O2478">
        <v>26934.799999999999</v>
      </c>
      <c r="P2478" t="b">
        <v>1</v>
      </c>
      <c r="Q2478">
        <v>2.4166666666666665</v>
      </c>
      <c r="R2478">
        <v>928.78620689655168</v>
      </c>
      <c r="S2478">
        <v>50.155000000000001</v>
      </c>
      <c r="T2478" s="2">
        <v>44378</v>
      </c>
      <c r="U2478" s="1" t="s">
        <v>51</v>
      </c>
      <c r="V2478">
        <v>0</v>
      </c>
      <c r="W2478" s="1" t="s">
        <v>40</v>
      </c>
      <c r="X2478">
        <v>33</v>
      </c>
      <c r="Y2478" s="1" t="s">
        <v>43</v>
      </c>
      <c r="Z2478" s="1" t="s">
        <v>42</v>
      </c>
      <c r="AA2478">
        <v>3.3333333333333333E-2</v>
      </c>
      <c r="AB2478" s="1" t="s">
        <v>43</v>
      </c>
      <c r="AC2478">
        <v>3</v>
      </c>
      <c r="AD2478" s="2">
        <v>44378</v>
      </c>
      <c r="AE2478" s="1" t="s">
        <v>44</v>
      </c>
      <c r="AF2478" s="1" t="s">
        <v>54</v>
      </c>
      <c r="AG2478" s="1" t="s">
        <v>63</v>
      </c>
      <c r="AH2478" s="1" t="s">
        <v>59</v>
      </c>
      <c r="AI2478">
        <v>27028</v>
      </c>
      <c r="AJ2478">
        <v>-93.200000000000728</v>
      </c>
    </row>
    <row r="2479" spans="1:36" x14ac:dyDescent="0.25">
      <c r="A2479">
        <v>12478</v>
      </c>
      <c r="B2479">
        <v>31</v>
      </c>
      <c r="C2479" s="1" t="s">
        <v>60</v>
      </c>
      <c r="D2479" s="1" t="s">
        <v>37</v>
      </c>
      <c r="E2479" s="2">
        <v>44922</v>
      </c>
      <c r="F2479" s="2">
        <v>44882</v>
      </c>
      <c r="G2479" s="1" t="s">
        <v>38</v>
      </c>
      <c r="H2479">
        <v>645</v>
      </c>
      <c r="I2479">
        <v>7</v>
      </c>
      <c r="J2479">
        <v>1</v>
      </c>
      <c r="K2479">
        <v>52.22</v>
      </c>
      <c r="L2479">
        <v>0</v>
      </c>
      <c r="M2479" s="1" t="s">
        <v>65</v>
      </c>
      <c r="N2479" s="1" t="s">
        <v>40</v>
      </c>
      <c r="O2479">
        <v>4515</v>
      </c>
      <c r="P2479" t="b">
        <v>0</v>
      </c>
      <c r="Q2479">
        <v>0.58333333333333337</v>
      </c>
      <c r="R2479">
        <v>645</v>
      </c>
      <c r="S2479">
        <v>26.11</v>
      </c>
      <c r="T2479" s="2">
        <v>44896</v>
      </c>
      <c r="U2479" s="1" t="s">
        <v>57</v>
      </c>
      <c r="V2479">
        <v>1</v>
      </c>
      <c r="W2479" s="1" t="s">
        <v>56</v>
      </c>
      <c r="Y2479" s="1" t="s">
        <v>52</v>
      </c>
      <c r="Z2479" s="1" t="s">
        <v>42</v>
      </c>
      <c r="AA2479">
        <v>0.125</v>
      </c>
      <c r="AB2479" s="1" t="s">
        <v>42</v>
      </c>
      <c r="AC2479">
        <v>1</v>
      </c>
      <c r="AD2479" s="2">
        <v>44896</v>
      </c>
      <c r="AE2479" s="1" t="s">
        <v>74</v>
      </c>
      <c r="AF2479" s="1" t="s">
        <v>54</v>
      </c>
      <c r="AG2479" s="1" t="s">
        <v>63</v>
      </c>
      <c r="AH2479" s="1" t="s">
        <v>64</v>
      </c>
      <c r="AI2479">
        <v>4515</v>
      </c>
      <c r="AJ2479">
        <v>0</v>
      </c>
    </row>
    <row r="2480" spans="1:36" x14ac:dyDescent="0.25">
      <c r="A2480">
        <v>12479</v>
      </c>
      <c r="B2480">
        <v>18</v>
      </c>
      <c r="C2480" s="1" t="s">
        <v>60</v>
      </c>
      <c r="D2480" s="1" t="s">
        <v>73</v>
      </c>
      <c r="E2480" s="2">
        <v>44764</v>
      </c>
      <c r="F2480" s="2">
        <v>44557</v>
      </c>
      <c r="G2480" s="1" t="s">
        <v>62</v>
      </c>
      <c r="H2480">
        <v>1023</v>
      </c>
      <c r="I2480">
        <v>13</v>
      </c>
      <c r="J2480">
        <v>3</v>
      </c>
      <c r="K2480">
        <v>80.67</v>
      </c>
      <c r="L2480">
        <v>20</v>
      </c>
      <c r="M2480" s="1" t="s">
        <v>50</v>
      </c>
      <c r="N2480" s="1" t="s">
        <v>56</v>
      </c>
      <c r="O2480">
        <v>13094.4</v>
      </c>
      <c r="P2480" t="b">
        <v>0</v>
      </c>
      <c r="Q2480">
        <v>1.0833333333333333</v>
      </c>
      <c r="R2480">
        <v>1007.2615384615384</v>
      </c>
      <c r="S2480">
        <v>20.1675</v>
      </c>
      <c r="T2480" s="2">
        <v>44743</v>
      </c>
      <c r="U2480" s="1" t="s">
        <v>66</v>
      </c>
      <c r="V2480">
        <v>0</v>
      </c>
      <c r="W2480" s="1" t="s">
        <v>56</v>
      </c>
      <c r="Y2480" s="1" t="s">
        <v>43</v>
      </c>
      <c r="Z2480" s="1" t="s">
        <v>52</v>
      </c>
      <c r="AA2480">
        <v>0.21428571428571427</v>
      </c>
      <c r="AB2480" s="1" t="s">
        <v>52</v>
      </c>
      <c r="AC2480">
        <v>2</v>
      </c>
      <c r="AD2480" s="2">
        <v>44743</v>
      </c>
      <c r="AE2480" s="1" t="s">
        <v>53</v>
      </c>
      <c r="AF2480" s="1" t="s">
        <v>72</v>
      </c>
      <c r="AG2480" s="1" t="s">
        <v>63</v>
      </c>
      <c r="AH2480" s="1" t="s">
        <v>47</v>
      </c>
      <c r="AI2480">
        <v>13299</v>
      </c>
      <c r="AJ2480">
        <v>-204.60000000000036</v>
      </c>
    </row>
    <row r="2481" spans="1:36" x14ac:dyDescent="0.25">
      <c r="A2481">
        <v>12480</v>
      </c>
      <c r="B2481">
        <v>63</v>
      </c>
      <c r="C2481" s="1" t="s">
        <v>36</v>
      </c>
      <c r="D2481" s="1" t="s">
        <v>69</v>
      </c>
      <c r="E2481" s="2">
        <v>44995</v>
      </c>
      <c r="F2481" s="2">
        <v>44393</v>
      </c>
      <c r="G2481" s="1" t="s">
        <v>62</v>
      </c>
      <c r="H2481">
        <v>1200</v>
      </c>
      <c r="I2481">
        <v>5</v>
      </c>
      <c r="J2481">
        <v>3</v>
      </c>
      <c r="K2481">
        <v>47.83</v>
      </c>
      <c r="L2481">
        <v>20</v>
      </c>
      <c r="M2481" s="1" t="s">
        <v>39</v>
      </c>
      <c r="N2481" s="1" t="s">
        <v>56</v>
      </c>
      <c r="O2481">
        <v>5760</v>
      </c>
      <c r="P2481" t="b">
        <v>0</v>
      </c>
      <c r="Q2481">
        <v>0.41666666666666669</v>
      </c>
      <c r="R2481">
        <v>1152</v>
      </c>
      <c r="S2481">
        <v>11.9575</v>
      </c>
      <c r="T2481" s="2">
        <v>44986</v>
      </c>
      <c r="U2481" s="1" t="s">
        <v>41</v>
      </c>
      <c r="V2481">
        <v>0</v>
      </c>
      <c r="W2481" s="1" t="s">
        <v>56</v>
      </c>
      <c r="Y2481" s="1" t="s">
        <v>52</v>
      </c>
      <c r="Z2481" s="1" t="s">
        <v>52</v>
      </c>
      <c r="AA2481">
        <v>0.5</v>
      </c>
      <c r="AB2481" s="1" t="s">
        <v>42</v>
      </c>
      <c r="AC2481">
        <v>2</v>
      </c>
      <c r="AD2481" s="2">
        <v>44986</v>
      </c>
      <c r="AE2481" s="1" t="s">
        <v>58</v>
      </c>
      <c r="AF2481" s="1" t="s">
        <v>72</v>
      </c>
      <c r="AG2481" s="1" t="s">
        <v>63</v>
      </c>
      <c r="AH2481" s="1" t="s">
        <v>47</v>
      </c>
      <c r="AI2481">
        <v>6000</v>
      </c>
      <c r="AJ2481">
        <v>-240</v>
      </c>
    </row>
    <row r="2482" spans="1:36" x14ac:dyDescent="0.25">
      <c r="A2482">
        <v>12481</v>
      </c>
      <c r="B2482">
        <v>41</v>
      </c>
      <c r="C2482" s="1" t="s">
        <v>36</v>
      </c>
      <c r="D2482" s="1" t="s">
        <v>61</v>
      </c>
      <c r="E2482" s="2">
        <v>45001</v>
      </c>
      <c r="F2482" s="2">
        <v>44814</v>
      </c>
      <c r="G2482" s="1" t="s">
        <v>38</v>
      </c>
      <c r="H2482">
        <v>1401</v>
      </c>
      <c r="I2482">
        <v>6</v>
      </c>
      <c r="J2482">
        <v>3</v>
      </c>
      <c r="K2482">
        <v>84.98</v>
      </c>
      <c r="L2482">
        <v>10</v>
      </c>
      <c r="M2482" s="1" t="s">
        <v>50</v>
      </c>
      <c r="N2482" s="1" t="s">
        <v>56</v>
      </c>
      <c r="O2482">
        <v>8265.9</v>
      </c>
      <c r="P2482" t="b">
        <v>0</v>
      </c>
      <c r="Q2482">
        <v>0.5</v>
      </c>
      <c r="R2482">
        <v>1377.6499999999999</v>
      </c>
      <c r="S2482">
        <v>21.245000000000001</v>
      </c>
      <c r="T2482" s="2">
        <v>44986</v>
      </c>
      <c r="U2482" s="1" t="s">
        <v>51</v>
      </c>
      <c r="V2482">
        <v>0</v>
      </c>
      <c r="W2482" s="1" t="s">
        <v>56</v>
      </c>
      <c r="Y2482" s="1" t="s">
        <v>43</v>
      </c>
      <c r="Z2482" s="1" t="s">
        <v>42</v>
      </c>
      <c r="AA2482">
        <v>0.42857142857142855</v>
      </c>
      <c r="AB2482" s="1" t="s">
        <v>42</v>
      </c>
      <c r="AC2482">
        <v>1</v>
      </c>
      <c r="AD2482" s="2">
        <v>44986</v>
      </c>
      <c r="AE2482" s="1" t="s">
        <v>58</v>
      </c>
      <c r="AF2482" s="1" t="s">
        <v>72</v>
      </c>
      <c r="AG2482" s="1" t="s">
        <v>63</v>
      </c>
      <c r="AH2482" s="1" t="s">
        <v>47</v>
      </c>
      <c r="AI2482">
        <v>8406</v>
      </c>
      <c r="AJ2482">
        <v>-140.10000000000036</v>
      </c>
    </row>
    <row r="2483" spans="1:36" x14ac:dyDescent="0.25">
      <c r="A2483">
        <v>12482</v>
      </c>
      <c r="B2483">
        <v>63</v>
      </c>
      <c r="C2483" s="1" t="s">
        <v>36</v>
      </c>
      <c r="D2483" s="1" t="s">
        <v>73</v>
      </c>
      <c r="E2483" s="2">
        <v>44883</v>
      </c>
      <c r="F2483" s="2">
        <v>44887</v>
      </c>
      <c r="G2483" s="1" t="s">
        <v>38</v>
      </c>
      <c r="H2483">
        <v>1337</v>
      </c>
      <c r="I2483">
        <v>34</v>
      </c>
      <c r="J2483">
        <v>2</v>
      </c>
      <c r="K2483">
        <v>34.24</v>
      </c>
      <c r="L2483">
        <v>20</v>
      </c>
      <c r="M2483" s="1" t="s">
        <v>65</v>
      </c>
      <c r="N2483" s="1" t="s">
        <v>56</v>
      </c>
      <c r="O2483">
        <v>45190.6</v>
      </c>
      <c r="P2483" t="b">
        <v>1</v>
      </c>
      <c r="Q2483">
        <v>2.8333333333333335</v>
      </c>
      <c r="R2483">
        <v>1329.1352941176469</v>
      </c>
      <c r="S2483">
        <v>11.413333333333334</v>
      </c>
      <c r="T2483" s="2">
        <v>44866</v>
      </c>
      <c r="U2483" s="1" t="s">
        <v>41</v>
      </c>
      <c r="V2483">
        <v>0</v>
      </c>
      <c r="W2483" s="1" t="s">
        <v>40</v>
      </c>
      <c r="X2483">
        <v>4</v>
      </c>
      <c r="Y2483" s="1" t="s">
        <v>52</v>
      </c>
      <c r="Z2483" s="1" t="s">
        <v>52</v>
      </c>
      <c r="AA2483">
        <v>5.7142857142857141E-2</v>
      </c>
      <c r="AB2483" s="1" t="s">
        <v>43</v>
      </c>
      <c r="AC2483">
        <v>1</v>
      </c>
      <c r="AD2483" s="2">
        <v>44866</v>
      </c>
      <c r="AE2483" s="1" t="s">
        <v>44</v>
      </c>
      <c r="AF2483" s="1" t="s">
        <v>72</v>
      </c>
      <c r="AG2483" s="1" t="s">
        <v>55</v>
      </c>
      <c r="AH2483" s="1" t="s">
        <v>47</v>
      </c>
      <c r="AI2483">
        <v>45458</v>
      </c>
      <c r="AJ2483">
        <v>-267.40000000000146</v>
      </c>
    </row>
    <row r="2484" spans="1:36" x14ac:dyDescent="0.25">
      <c r="A2484">
        <v>12483</v>
      </c>
      <c r="B2484">
        <v>20</v>
      </c>
      <c r="C2484" s="1" t="s">
        <v>36</v>
      </c>
      <c r="D2484" s="1" t="s">
        <v>48</v>
      </c>
      <c r="E2484" s="2">
        <v>45055</v>
      </c>
      <c r="F2484" s="2">
        <v>44373</v>
      </c>
      <c r="G2484" s="1" t="s">
        <v>49</v>
      </c>
      <c r="H2484">
        <v>435</v>
      </c>
      <c r="I2484">
        <v>7</v>
      </c>
      <c r="J2484">
        <v>4</v>
      </c>
      <c r="K2484">
        <v>7.52</v>
      </c>
      <c r="L2484">
        <v>10</v>
      </c>
      <c r="M2484" s="1" t="s">
        <v>65</v>
      </c>
      <c r="N2484" s="1" t="s">
        <v>56</v>
      </c>
      <c r="O2484">
        <v>3001.5</v>
      </c>
      <c r="P2484" t="b">
        <v>0</v>
      </c>
      <c r="Q2484">
        <v>0.58333333333333337</v>
      </c>
      <c r="R2484">
        <v>428.78571428571428</v>
      </c>
      <c r="S2484">
        <v>1.504</v>
      </c>
      <c r="T2484" s="2">
        <v>45047</v>
      </c>
      <c r="U2484" s="1" t="s">
        <v>66</v>
      </c>
      <c r="V2484">
        <v>0</v>
      </c>
      <c r="W2484" s="1" t="s">
        <v>56</v>
      </c>
      <c r="Y2484" s="1" t="s">
        <v>42</v>
      </c>
      <c r="Z2484" s="1" t="s">
        <v>42</v>
      </c>
      <c r="AA2484">
        <v>0.5</v>
      </c>
      <c r="AB2484" s="1" t="s">
        <v>42</v>
      </c>
      <c r="AC2484">
        <v>3</v>
      </c>
      <c r="AD2484" s="2">
        <v>45047</v>
      </c>
      <c r="AE2484" s="1" t="s">
        <v>74</v>
      </c>
      <c r="AF2484" s="1" t="s">
        <v>45</v>
      </c>
      <c r="AG2484" s="1" t="s">
        <v>77</v>
      </c>
      <c r="AH2484" s="1" t="s">
        <v>68</v>
      </c>
      <c r="AI2484">
        <v>3045</v>
      </c>
      <c r="AJ2484">
        <v>-43.5</v>
      </c>
    </row>
    <row r="2485" spans="1:36" x14ac:dyDescent="0.25">
      <c r="A2485">
        <v>12484</v>
      </c>
      <c r="B2485">
        <v>52</v>
      </c>
      <c r="C2485" s="1" t="s">
        <v>60</v>
      </c>
      <c r="D2485" s="1" t="s">
        <v>61</v>
      </c>
      <c r="E2485" s="2">
        <v>45078</v>
      </c>
      <c r="F2485" s="2">
        <v>44613</v>
      </c>
      <c r="G2485" s="1" t="s">
        <v>62</v>
      </c>
      <c r="H2485">
        <v>696</v>
      </c>
      <c r="I2485">
        <v>28</v>
      </c>
      <c r="J2485">
        <v>2</v>
      </c>
      <c r="K2485">
        <v>114</v>
      </c>
      <c r="L2485">
        <v>15</v>
      </c>
      <c r="M2485" s="1" t="s">
        <v>39</v>
      </c>
      <c r="N2485" s="1" t="s">
        <v>56</v>
      </c>
      <c r="O2485">
        <v>19383.599999999999</v>
      </c>
      <c r="P2485" t="b">
        <v>0</v>
      </c>
      <c r="Q2485">
        <v>2.3333333333333335</v>
      </c>
      <c r="R2485">
        <v>692.27142857142849</v>
      </c>
      <c r="S2485">
        <v>38</v>
      </c>
      <c r="T2485" s="2">
        <v>45078</v>
      </c>
      <c r="U2485" s="1" t="s">
        <v>41</v>
      </c>
      <c r="V2485">
        <v>0</v>
      </c>
      <c r="W2485" s="1" t="s">
        <v>40</v>
      </c>
      <c r="Y2485" s="1" t="s">
        <v>43</v>
      </c>
      <c r="Z2485" s="1" t="s">
        <v>42</v>
      </c>
      <c r="AA2485">
        <v>6.8965517241379309E-2</v>
      </c>
      <c r="AB2485" s="1" t="s">
        <v>52</v>
      </c>
      <c r="AC2485">
        <v>2</v>
      </c>
      <c r="AD2485" s="2">
        <v>45078</v>
      </c>
      <c r="AE2485" s="1" t="s">
        <v>44</v>
      </c>
      <c r="AF2485" s="1" t="s">
        <v>72</v>
      </c>
      <c r="AG2485" s="1" t="s">
        <v>63</v>
      </c>
      <c r="AH2485" s="1" t="s">
        <v>64</v>
      </c>
      <c r="AI2485">
        <v>19488</v>
      </c>
      <c r="AJ2485">
        <v>-104.40000000000146</v>
      </c>
    </row>
    <row r="2486" spans="1:36" x14ac:dyDescent="0.25">
      <c r="A2486">
        <v>12485</v>
      </c>
      <c r="B2486">
        <v>58</v>
      </c>
      <c r="C2486" s="1" t="s">
        <v>36</v>
      </c>
      <c r="D2486" s="1" t="s">
        <v>69</v>
      </c>
      <c r="E2486" s="2">
        <v>44836</v>
      </c>
      <c r="F2486" s="2">
        <v>44522</v>
      </c>
      <c r="G2486" s="1" t="s">
        <v>38</v>
      </c>
      <c r="H2486">
        <v>1091</v>
      </c>
      <c r="I2486">
        <v>10</v>
      </c>
      <c r="J2486">
        <v>2</v>
      </c>
      <c r="K2486">
        <v>6.88</v>
      </c>
      <c r="L2486">
        <v>15</v>
      </c>
      <c r="M2486" s="1" t="s">
        <v>39</v>
      </c>
      <c r="N2486" s="1" t="s">
        <v>56</v>
      </c>
      <c r="O2486">
        <v>10746.35</v>
      </c>
      <c r="P2486" t="b">
        <v>0</v>
      </c>
      <c r="Q2486">
        <v>0.83333333333333337</v>
      </c>
      <c r="R2486">
        <v>1074.635</v>
      </c>
      <c r="S2486">
        <v>2.2933333333333334</v>
      </c>
      <c r="T2486" s="2">
        <v>44835</v>
      </c>
      <c r="U2486" s="1" t="s">
        <v>41</v>
      </c>
      <c r="V2486">
        <v>0</v>
      </c>
      <c r="W2486" s="1" t="s">
        <v>56</v>
      </c>
      <c r="Y2486" s="1" t="s">
        <v>42</v>
      </c>
      <c r="Z2486" s="1" t="s">
        <v>42</v>
      </c>
      <c r="AA2486">
        <v>0.18181818181818182</v>
      </c>
      <c r="AB2486" s="1" t="s">
        <v>52</v>
      </c>
      <c r="AC2486">
        <v>1</v>
      </c>
      <c r="AD2486" s="2">
        <v>44835</v>
      </c>
      <c r="AE2486" s="1" t="s">
        <v>74</v>
      </c>
      <c r="AF2486" s="1" t="s">
        <v>72</v>
      </c>
      <c r="AG2486" s="1" t="s">
        <v>77</v>
      </c>
      <c r="AH2486" s="1" t="s">
        <v>47</v>
      </c>
      <c r="AI2486">
        <v>10910</v>
      </c>
      <c r="AJ2486">
        <v>-163.64999999999964</v>
      </c>
    </row>
    <row r="2487" spans="1:36" x14ac:dyDescent="0.25">
      <c r="A2487">
        <v>12486</v>
      </c>
      <c r="B2487">
        <v>23</v>
      </c>
      <c r="C2487" s="1" t="s">
        <v>36</v>
      </c>
      <c r="D2487" s="1" t="s">
        <v>37</v>
      </c>
      <c r="E2487" s="2">
        <v>44627</v>
      </c>
      <c r="F2487" s="2">
        <v>44863</v>
      </c>
      <c r="G2487" s="1" t="s">
        <v>62</v>
      </c>
      <c r="H2487">
        <v>378</v>
      </c>
      <c r="I2487">
        <v>4</v>
      </c>
      <c r="J2487">
        <v>1</v>
      </c>
      <c r="K2487">
        <v>99.77</v>
      </c>
      <c r="L2487">
        <v>0</v>
      </c>
      <c r="M2487" s="1" t="s">
        <v>39</v>
      </c>
      <c r="N2487" s="1" t="s">
        <v>56</v>
      </c>
      <c r="O2487">
        <v>1512</v>
      </c>
      <c r="P2487" t="b">
        <v>1</v>
      </c>
      <c r="Q2487">
        <v>0.33333333333333331</v>
      </c>
      <c r="R2487">
        <v>378</v>
      </c>
      <c r="S2487">
        <v>49.884999999999998</v>
      </c>
      <c r="T2487" s="2">
        <v>44621</v>
      </c>
      <c r="U2487" s="1" t="s">
        <v>66</v>
      </c>
      <c r="V2487">
        <v>0</v>
      </c>
      <c r="W2487" s="1" t="s">
        <v>56</v>
      </c>
      <c r="X2487">
        <v>236</v>
      </c>
      <c r="Y2487" s="1" t="s">
        <v>43</v>
      </c>
      <c r="Z2487" s="1" t="s">
        <v>42</v>
      </c>
      <c r="AA2487">
        <v>0.2</v>
      </c>
      <c r="AB2487" s="1" t="s">
        <v>42</v>
      </c>
      <c r="AC2487">
        <v>2</v>
      </c>
      <c r="AD2487" s="2">
        <v>44621</v>
      </c>
      <c r="AE2487" s="1" t="s">
        <v>58</v>
      </c>
      <c r="AF2487" s="1" t="s">
        <v>54</v>
      </c>
      <c r="AG2487" s="1" t="s">
        <v>63</v>
      </c>
      <c r="AH2487" s="1" t="s">
        <v>68</v>
      </c>
      <c r="AI2487">
        <v>1512</v>
      </c>
      <c r="AJ2487">
        <v>0</v>
      </c>
    </row>
    <row r="2488" spans="1:36" x14ac:dyDescent="0.25">
      <c r="A2488">
        <v>12487</v>
      </c>
      <c r="B2488">
        <v>42</v>
      </c>
      <c r="C2488" s="1" t="s">
        <v>60</v>
      </c>
      <c r="D2488" s="1" t="s">
        <v>73</v>
      </c>
      <c r="E2488" s="2">
        <v>45086</v>
      </c>
      <c r="F2488" s="2">
        <v>44658</v>
      </c>
      <c r="G2488" s="1" t="s">
        <v>38</v>
      </c>
      <c r="H2488">
        <v>1004</v>
      </c>
      <c r="I2488">
        <v>3</v>
      </c>
      <c r="J2488">
        <v>1</v>
      </c>
      <c r="K2488">
        <v>24.45</v>
      </c>
      <c r="L2488">
        <v>5</v>
      </c>
      <c r="M2488" s="1" t="s">
        <v>65</v>
      </c>
      <c r="N2488" s="1" t="s">
        <v>56</v>
      </c>
      <c r="O2488">
        <v>2961.8</v>
      </c>
      <c r="P2488" t="b">
        <v>0</v>
      </c>
      <c r="Q2488">
        <v>0.25</v>
      </c>
      <c r="R2488">
        <v>987.26666666666677</v>
      </c>
      <c r="S2488">
        <v>12.225</v>
      </c>
      <c r="T2488" s="2">
        <v>45078</v>
      </c>
      <c r="U2488" s="1" t="s">
        <v>51</v>
      </c>
      <c r="V2488">
        <v>0</v>
      </c>
      <c r="W2488" s="1" t="s">
        <v>56</v>
      </c>
      <c r="Y2488" s="1" t="s">
        <v>52</v>
      </c>
      <c r="Z2488" s="1" t="s">
        <v>42</v>
      </c>
      <c r="AA2488">
        <v>0.25</v>
      </c>
      <c r="AB2488" s="1" t="s">
        <v>42</v>
      </c>
      <c r="AC2488">
        <v>1</v>
      </c>
      <c r="AD2488" s="2">
        <v>45078</v>
      </c>
      <c r="AE2488" s="1" t="s">
        <v>58</v>
      </c>
      <c r="AF2488" s="1" t="s">
        <v>54</v>
      </c>
      <c r="AG2488" s="1" t="s">
        <v>70</v>
      </c>
      <c r="AH2488" s="1" t="s">
        <v>47</v>
      </c>
      <c r="AI2488">
        <v>3012</v>
      </c>
      <c r="AJ2488">
        <v>-50.199999999999818</v>
      </c>
    </row>
    <row r="2489" spans="1:36" x14ac:dyDescent="0.25">
      <c r="A2489">
        <v>12488</v>
      </c>
      <c r="B2489">
        <v>30</v>
      </c>
      <c r="C2489" s="1" t="s">
        <v>36</v>
      </c>
      <c r="D2489" s="1" t="s">
        <v>48</v>
      </c>
      <c r="E2489" s="2">
        <v>44521</v>
      </c>
      <c r="F2489" s="2">
        <v>44669</v>
      </c>
      <c r="G2489" s="1" t="s">
        <v>38</v>
      </c>
      <c r="H2489">
        <v>1281</v>
      </c>
      <c r="I2489">
        <v>25</v>
      </c>
      <c r="J2489">
        <v>1</v>
      </c>
      <c r="K2489">
        <v>50.11</v>
      </c>
      <c r="L2489">
        <v>5</v>
      </c>
      <c r="M2489" s="1" t="s">
        <v>67</v>
      </c>
      <c r="N2489" s="1" t="s">
        <v>56</v>
      </c>
      <c r="O2489">
        <v>31960.95</v>
      </c>
      <c r="P2489" t="b">
        <v>1</v>
      </c>
      <c r="Q2489">
        <v>2.0833333333333335</v>
      </c>
      <c r="R2489">
        <v>1278.4380000000001</v>
      </c>
      <c r="S2489">
        <v>25.055</v>
      </c>
      <c r="T2489" s="2">
        <v>44501</v>
      </c>
      <c r="U2489" s="1" t="s">
        <v>57</v>
      </c>
      <c r="V2489">
        <v>0</v>
      </c>
      <c r="W2489" s="1" t="s">
        <v>40</v>
      </c>
      <c r="X2489">
        <v>148</v>
      </c>
      <c r="Y2489" s="1" t="s">
        <v>52</v>
      </c>
      <c r="Z2489" s="1" t="s">
        <v>42</v>
      </c>
      <c r="AA2489">
        <v>3.8461538461538464E-2</v>
      </c>
      <c r="AB2489" s="1" t="s">
        <v>43</v>
      </c>
      <c r="AC2489">
        <v>1</v>
      </c>
      <c r="AD2489" s="2">
        <v>44501</v>
      </c>
      <c r="AE2489" s="1" t="s">
        <v>44</v>
      </c>
      <c r="AF2489" s="1" t="s">
        <v>54</v>
      </c>
      <c r="AG2489" s="1" t="s">
        <v>63</v>
      </c>
      <c r="AH2489" s="1" t="s">
        <v>47</v>
      </c>
      <c r="AI2489">
        <v>32025</v>
      </c>
      <c r="AJ2489">
        <v>-64.049999999999272</v>
      </c>
    </row>
    <row r="2490" spans="1:36" x14ac:dyDescent="0.25">
      <c r="A2490">
        <v>12489</v>
      </c>
      <c r="B2490">
        <v>51</v>
      </c>
      <c r="C2490" s="1" t="s">
        <v>60</v>
      </c>
      <c r="D2490" s="1" t="s">
        <v>76</v>
      </c>
      <c r="E2490" s="2">
        <v>44638</v>
      </c>
      <c r="F2490" s="2">
        <v>44926</v>
      </c>
      <c r="G2490" s="1" t="s">
        <v>62</v>
      </c>
      <c r="H2490">
        <v>1374</v>
      </c>
      <c r="I2490">
        <v>23</v>
      </c>
      <c r="J2490">
        <v>1</v>
      </c>
      <c r="K2490">
        <v>99.59</v>
      </c>
      <c r="L2490">
        <v>20</v>
      </c>
      <c r="M2490" s="1" t="s">
        <v>50</v>
      </c>
      <c r="N2490" s="1" t="s">
        <v>56</v>
      </c>
      <c r="O2490">
        <v>31327.200000000001</v>
      </c>
      <c r="P2490" t="b">
        <v>1</v>
      </c>
      <c r="Q2490">
        <v>1.9166666666666667</v>
      </c>
      <c r="R2490">
        <v>1362.0521739130436</v>
      </c>
      <c r="S2490">
        <v>49.795000000000002</v>
      </c>
      <c r="T2490" s="2">
        <v>44621</v>
      </c>
      <c r="U2490" s="1" t="s">
        <v>41</v>
      </c>
      <c r="V2490">
        <v>0</v>
      </c>
      <c r="W2490" s="1" t="s">
        <v>40</v>
      </c>
      <c r="X2490">
        <v>288</v>
      </c>
      <c r="Y2490" s="1" t="s">
        <v>43</v>
      </c>
      <c r="Z2490" s="1" t="s">
        <v>52</v>
      </c>
      <c r="AA2490">
        <v>4.1666666666666664E-2</v>
      </c>
      <c r="AB2490" s="1" t="s">
        <v>43</v>
      </c>
      <c r="AC2490">
        <v>2</v>
      </c>
      <c r="AD2490" s="2">
        <v>44621</v>
      </c>
      <c r="AE2490" s="1" t="s">
        <v>53</v>
      </c>
      <c r="AF2490" s="1" t="s">
        <v>54</v>
      </c>
      <c r="AG2490" s="1" t="s">
        <v>63</v>
      </c>
      <c r="AH2490" s="1" t="s">
        <v>47</v>
      </c>
      <c r="AI2490">
        <v>31602</v>
      </c>
      <c r="AJ2490">
        <v>-274.79999999999927</v>
      </c>
    </row>
    <row r="2491" spans="1:36" x14ac:dyDescent="0.25">
      <c r="A2491">
        <v>12490</v>
      </c>
      <c r="B2491">
        <v>25</v>
      </c>
      <c r="C2491" s="1" t="s">
        <v>36</v>
      </c>
      <c r="D2491" s="1" t="s">
        <v>71</v>
      </c>
      <c r="E2491" s="2">
        <v>45000</v>
      </c>
      <c r="F2491" s="2">
        <v>44482</v>
      </c>
      <c r="G2491" s="1" t="s">
        <v>38</v>
      </c>
      <c r="H2491">
        <v>1043</v>
      </c>
      <c r="I2491">
        <v>27</v>
      </c>
      <c r="J2491">
        <v>1</v>
      </c>
      <c r="K2491">
        <v>28.68</v>
      </c>
      <c r="L2491">
        <v>5</v>
      </c>
      <c r="M2491" s="1" t="s">
        <v>39</v>
      </c>
      <c r="N2491" s="1" t="s">
        <v>56</v>
      </c>
      <c r="O2491">
        <v>28108.85</v>
      </c>
      <c r="P2491" t="b">
        <v>0</v>
      </c>
      <c r="Q2491">
        <v>2.25</v>
      </c>
      <c r="R2491">
        <v>1041.0685185185184</v>
      </c>
      <c r="S2491">
        <v>14.34</v>
      </c>
      <c r="T2491" s="2">
        <v>44986</v>
      </c>
      <c r="U2491" s="1" t="s">
        <v>66</v>
      </c>
      <c r="V2491">
        <v>0</v>
      </c>
      <c r="W2491" s="1" t="s">
        <v>40</v>
      </c>
      <c r="Y2491" s="1" t="s">
        <v>52</v>
      </c>
      <c r="Z2491" s="1" t="s">
        <v>42</v>
      </c>
      <c r="AA2491">
        <v>3.5714285714285712E-2</v>
      </c>
      <c r="AB2491" s="1" t="s">
        <v>43</v>
      </c>
      <c r="AC2491">
        <v>1</v>
      </c>
      <c r="AD2491" s="2">
        <v>44986</v>
      </c>
      <c r="AE2491" s="1" t="s">
        <v>44</v>
      </c>
      <c r="AF2491" s="1" t="s">
        <v>54</v>
      </c>
      <c r="AG2491" s="1" t="s">
        <v>70</v>
      </c>
      <c r="AH2491" s="1" t="s">
        <v>47</v>
      </c>
      <c r="AI2491">
        <v>28161</v>
      </c>
      <c r="AJ2491">
        <v>-52.150000000001455</v>
      </c>
    </row>
    <row r="2492" spans="1:36" x14ac:dyDescent="0.25">
      <c r="A2492">
        <v>12491</v>
      </c>
      <c r="B2492">
        <v>38</v>
      </c>
      <c r="C2492" s="1" t="s">
        <v>60</v>
      </c>
      <c r="D2492" s="1" t="s">
        <v>61</v>
      </c>
      <c r="E2492" s="2">
        <v>44484</v>
      </c>
      <c r="F2492" s="2">
        <v>44402</v>
      </c>
      <c r="G2492" s="1" t="s">
        <v>49</v>
      </c>
      <c r="H2492">
        <v>683</v>
      </c>
      <c r="I2492">
        <v>14</v>
      </c>
      <c r="J2492">
        <v>3</v>
      </c>
      <c r="K2492">
        <v>104.56</v>
      </c>
      <c r="L2492">
        <v>15</v>
      </c>
      <c r="M2492" s="1" t="s">
        <v>65</v>
      </c>
      <c r="N2492" s="1" t="s">
        <v>40</v>
      </c>
      <c r="O2492">
        <v>9459.5499999999993</v>
      </c>
      <c r="P2492" t="b">
        <v>0</v>
      </c>
      <c r="Q2492">
        <v>1.1666666666666667</v>
      </c>
      <c r="R2492">
        <v>675.68214285714282</v>
      </c>
      <c r="S2492">
        <v>26.14</v>
      </c>
      <c r="T2492" s="2">
        <v>44470</v>
      </c>
      <c r="U2492" s="1" t="s">
        <v>51</v>
      </c>
      <c r="V2492">
        <v>1</v>
      </c>
      <c r="W2492" s="1" t="s">
        <v>56</v>
      </c>
      <c r="Y2492" s="1" t="s">
        <v>43</v>
      </c>
      <c r="Z2492" s="1" t="s">
        <v>42</v>
      </c>
      <c r="AA2492">
        <v>0.2</v>
      </c>
      <c r="AB2492" s="1" t="s">
        <v>52</v>
      </c>
      <c r="AC2492">
        <v>3</v>
      </c>
      <c r="AD2492" s="2">
        <v>44470</v>
      </c>
      <c r="AE2492" s="1" t="s">
        <v>53</v>
      </c>
      <c r="AF2492" s="1" t="s">
        <v>72</v>
      </c>
      <c r="AG2492" s="1" t="s">
        <v>63</v>
      </c>
      <c r="AH2492" s="1" t="s">
        <v>64</v>
      </c>
      <c r="AI2492">
        <v>9562</v>
      </c>
      <c r="AJ2492">
        <v>-102.45000000000073</v>
      </c>
    </row>
    <row r="2493" spans="1:36" x14ac:dyDescent="0.25">
      <c r="A2493">
        <v>12492</v>
      </c>
      <c r="B2493">
        <v>51</v>
      </c>
      <c r="C2493" s="1" t="s">
        <v>75</v>
      </c>
      <c r="D2493" s="1" t="s">
        <v>37</v>
      </c>
      <c r="E2493" s="2">
        <v>44422</v>
      </c>
      <c r="F2493" s="2">
        <v>44890</v>
      </c>
      <c r="G2493" s="1" t="s">
        <v>62</v>
      </c>
      <c r="H2493">
        <v>674</v>
      </c>
      <c r="I2493">
        <v>32</v>
      </c>
      <c r="J2493">
        <v>2</v>
      </c>
      <c r="K2493">
        <v>62.24</v>
      </c>
      <c r="L2493">
        <v>0</v>
      </c>
      <c r="M2493" s="1" t="s">
        <v>50</v>
      </c>
      <c r="N2493" s="1" t="s">
        <v>40</v>
      </c>
      <c r="O2493">
        <v>21568</v>
      </c>
      <c r="P2493" t="b">
        <v>1</v>
      </c>
      <c r="Q2493">
        <v>2.6666666666666665</v>
      </c>
      <c r="R2493">
        <v>674</v>
      </c>
      <c r="S2493">
        <v>20.746666666666666</v>
      </c>
      <c r="T2493" s="2">
        <v>44409</v>
      </c>
      <c r="U2493" s="1" t="s">
        <v>41</v>
      </c>
      <c r="V2493">
        <v>1</v>
      </c>
      <c r="W2493" s="1" t="s">
        <v>40</v>
      </c>
      <c r="X2493">
        <v>468</v>
      </c>
      <c r="Y2493" s="1" t="s">
        <v>43</v>
      </c>
      <c r="Z2493" s="1" t="s">
        <v>42</v>
      </c>
      <c r="AA2493">
        <v>6.0606060606060608E-2</v>
      </c>
      <c r="AB2493" s="1" t="s">
        <v>43</v>
      </c>
      <c r="AC2493">
        <v>2</v>
      </c>
      <c r="AD2493" s="2">
        <v>44409</v>
      </c>
      <c r="AE2493" s="1" t="s">
        <v>44</v>
      </c>
      <c r="AF2493" s="1" t="s">
        <v>72</v>
      </c>
      <c r="AG2493" s="1" t="s">
        <v>63</v>
      </c>
      <c r="AH2493" s="1" t="s">
        <v>64</v>
      </c>
      <c r="AI2493">
        <v>21568</v>
      </c>
      <c r="AJ2493">
        <v>0</v>
      </c>
    </row>
    <row r="2494" spans="1:36" x14ac:dyDescent="0.25">
      <c r="A2494">
        <v>12493</v>
      </c>
      <c r="B2494">
        <v>21</v>
      </c>
      <c r="C2494" s="1" t="s">
        <v>60</v>
      </c>
      <c r="D2494" s="1" t="s">
        <v>71</v>
      </c>
      <c r="E2494" s="2">
        <v>44260</v>
      </c>
      <c r="F2494" s="2">
        <v>44933</v>
      </c>
      <c r="G2494" s="1" t="s">
        <v>49</v>
      </c>
      <c r="H2494">
        <v>505</v>
      </c>
      <c r="I2494">
        <v>23</v>
      </c>
      <c r="J2494">
        <v>0</v>
      </c>
      <c r="K2494">
        <v>47.11</v>
      </c>
      <c r="L2494">
        <v>15</v>
      </c>
      <c r="M2494" s="1" t="s">
        <v>39</v>
      </c>
      <c r="N2494" s="1" t="s">
        <v>40</v>
      </c>
      <c r="O2494">
        <v>11539.25</v>
      </c>
      <c r="P2494" t="b">
        <v>1</v>
      </c>
      <c r="Q2494">
        <v>1.9166666666666667</v>
      </c>
      <c r="R2494">
        <v>501.70652173913044</v>
      </c>
      <c r="S2494">
        <v>47.11</v>
      </c>
      <c r="T2494" s="2">
        <v>44256</v>
      </c>
      <c r="U2494" s="1" t="s">
        <v>66</v>
      </c>
      <c r="V2494">
        <v>1</v>
      </c>
      <c r="W2494" s="1" t="s">
        <v>56</v>
      </c>
      <c r="X2494">
        <v>673</v>
      </c>
      <c r="Y2494" s="1" t="s">
        <v>52</v>
      </c>
      <c r="Z2494" s="1" t="s">
        <v>42</v>
      </c>
      <c r="AA2494">
        <v>0</v>
      </c>
      <c r="AB2494" s="1" t="s">
        <v>52</v>
      </c>
      <c r="AC2494">
        <v>3</v>
      </c>
      <c r="AD2494" s="2">
        <v>44256</v>
      </c>
      <c r="AE2494" s="1" t="s">
        <v>53</v>
      </c>
      <c r="AF2494" s="1" t="s">
        <v>54</v>
      </c>
      <c r="AG2494" s="1" t="s">
        <v>63</v>
      </c>
      <c r="AH2494" s="1" t="s">
        <v>64</v>
      </c>
      <c r="AI2494">
        <v>11615</v>
      </c>
      <c r="AJ2494">
        <v>-75.75</v>
      </c>
    </row>
    <row r="2495" spans="1:36" x14ac:dyDescent="0.25">
      <c r="A2495">
        <v>12494</v>
      </c>
      <c r="B2495">
        <v>42</v>
      </c>
      <c r="C2495" s="1" t="s">
        <v>36</v>
      </c>
      <c r="D2495" s="1" t="s">
        <v>61</v>
      </c>
      <c r="E2495" s="2">
        <v>44756</v>
      </c>
      <c r="F2495" s="2">
        <v>44878</v>
      </c>
      <c r="G2495" s="1" t="s">
        <v>62</v>
      </c>
      <c r="H2495">
        <v>788</v>
      </c>
      <c r="I2495">
        <v>3</v>
      </c>
      <c r="J2495">
        <v>2</v>
      </c>
      <c r="K2495">
        <v>81.180000000000007</v>
      </c>
      <c r="L2495">
        <v>10</v>
      </c>
      <c r="M2495" s="1" t="s">
        <v>67</v>
      </c>
      <c r="N2495" s="1" t="s">
        <v>56</v>
      </c>
      <c r="O2495">
        <v>2285.1999999999998</v>
      </c>
      <c r="P2495" t="b">
        <v>1</v>
      </c>
      <c r="Q2495">
        <v>0.25</v>
      </c>
      <c r="R2495">
        <v>761.73333333333323</v>
      </c>
      <c r="S2495">
        <v>27.060000000000002</v>
      </c>
      <c r="T2495" s="2">
        <v>44743</v>
      </c>
      <c r="U2495" s="1" t="s">
        <v>51</v>
      </c>
      <c r="V2495">
        <v>0</v>
      </c>
      <c r="W2495" s="1" t="s">
        <v>56</v>
      </c>
      <c r="X2495">
        <v>122</v>
      </c>
      <c r="Y2495" s="1" t="s">
        <v>43</v>
      </c>
      <c r="Z2495" s="1" t="s">
        <v>42</v>
      </c>
      <c r="AA2495">
        <v>0.5</v>
      </c>
      <c r="AB2495" s="1" t="s">
        <v>42</v>
      </c>
      <c r="AC2495">
        <v>2</v>
      </c>
      <c r="AD2495" s="2">
        <v>44743</v>
      </c>
      <c r="AE2495" s="1" t="s">
        <v>58</v>
      </c>
      <c r="AF2495" s="1" t="s">
        <v>72</v>
      </c>
      <c r="AG2495" s="1" t="s">
        <v>63</v>
      </c>
      <c r="AH2495" s="1" t="s">
        <v>59</v>
      </c>
      <c r="AI2495">
        <v>2364</v>
      </c>
      <c r="AJ2495">
        <v>-78.800000000000182</v>
      </c>
    </row>
    <row r="2496" spans="1:36" x14ac:dyDescent="0.25">
      <c r="A2496">
        <v>12495</v>
      </c>
      <c r="B2496">
        <v>32</v>
      </c>
      <c r="C2496" s="1" t="s">
        <v>36</v>
      </c>
      <c r="D2496" s="1" t="s">
        <v>69</v>
      </c>
      <c r="E2496" s="2">
        <v>44910</v>
      </c>
      <c r="F2496" s="2">
        <v>44503</v>
      </c>
      <c r="G2496" s="1" t="s">
        <v>49</v>
      </c>
      <c r="H2496">
        <v>1180</v>
      </c>
      <c r="I2496">
        <v>35</v>
      </c>
      <c r="J2496">
        <v>1</v>
      </c>
      <c r="K2496">
        <v>44.26</v>
      </c>
      <c r="L2496">
        <v>20</v>
      </c>
      <c r="M2496" s="1" t="s">
        <v>50</v>
      </c>
      <c r="N2496" s="1" t="s">
        <v>40</v>
      </c>
      <c r="O2496">
        <v>41064</v>
      </c>
      <c r="P2496" t="b">
        <v>0</v>
      </c>
      <c r="Q2496">
        <v>2.9166666666666665</v>
      </c>
      <c r="R2496">
        <v>1173.2571428571428</v>
      </c>
      <c r="S2496">
        <v>22.13</v>
      </c>
      <c r="T2496" s="2">
        <v>44896</v>
      </c>
      <c r="U2496" s="1" t="s">
        <v>57</v>
      </c>
      <c r="V2496">
        <v>1</v>
      </c>
      <c r="W2496" s="1" t="s">
        <v>40</v>
      </c>
      <c r="Y2496" s="1" t="s">
        <v>52</v>
      </c>
      <c r="Z2496" s="1" t="s">
        <v>52</v>
      </c>
      <c r="AA2496">
        <v>2.7777777777777776E-2</v>
      </c>
      <c r="AB2496" s="1" t="s">
        <v>43</v>
      </c>
      <c r="AC2496">
        <v>3</v>
      </c>
      <c r="AD2496" s="2">
        <v>44896</v>
      </c>
      <c r="AE2496" s="1" t="s">
        <v>44</v>
      </c>
      <c r="AF2496" s="1" t="s">
        <v>54</v>
      </c>
      <c r="AG2496" s="1" t="s">
        <v>55</v>
      </c>
      <c r="AH2496" s="1" t="s">
        <v>47</v>
      </c>
      <c r="AI2496">
        <v>41300</v>
      </c>
      <c r="AJ2496">
        <v>-236</v>
      </c>
    </row>
    <row r="2497" spans="1:36" x14ac:dyDescent="0.25">
      <c r="A2497">
        <v>12496</v>
      </c>
      <c r="B2497">
        <v>21</v>
      </c>
      <c r="C2497" s="1" t="s">
        <v>36</v>
      </c>
      <c r="D2497" s="1" t="s">
        <v>61</v>
      </c>
      <c r="E2497" s="2">
        <v>44694</v>
      </c>
      <c r="F2497" s="2">
        <v>45196</v>
      </c>
      <c r="G2497" s="1" t="s">
        <v>62</v>
      </c>
      <c r="H2497">
        <v>931</v>
      </c>
      <c r="I2497">
        <v>13</v>
      </c>
      <c r="J2497">
        <v>2</v>
      </c>
      <c r="K2497">
        <v>44.94</v>
      </c>
      <c r="L2497">
        <v>20</v>
      </c>
      <c r="M2497" s="1" t="s">
        <v>50</v>
      </c>
      <c r="N2497" s="1" t="s">
        <v>40</v>
      </c>
      <c r="O2497">
        <v>11916.8</v>
      </c>
      <c r="P2497" t="b">
        <v>1</v>
      </c>
      <c r="Q2497">
        <v>1.0833333333333333</v>
      </c>
      <c r="R2497">
        <v>916.676923076923</v>
      </c>
      <c r="S2497">
        <v>14.979999999999999</v>
      </c>
      <c r="T2497" s="2">
        <v>44682</v>
      </c>
      <c r="U2497" s="1" t="s">
        <v>66</v>
      </c>
      <c r="V2497">
        <v>1</v>
      </c>
      <c r="W2497" s="1" t="s">
        <v>56</v>
      </c>
      <c r="X2497">
        <v>502</v>
      </c>
      <c r="Y2497" s="1" t="s">
        <v>52</v>
      </c>
      <c r="Z2497" s="1" t="s">
        <v>52</v>
      </c>
      <c r="AA2497">
        <v>0.14285714285714285</v>
      </c>
      <c r="AB2497" s="1" t="s">
        <v>52</v>
      </c>
      <c r="AC2497">
        <v>2</v>
      </c>
      <c r="AD2497" s="2">
        <v>44682</v>
      </c>
      <c r="AE2497" s="1" t="s">
        <v>53</v>
      </c>
      <c r="AF2497" s="1" t="s">
        <v>72</v>
      </c>
      <c r="AG2497" s="1" t="s">
        <v>55</v>
      </c>
      <c r="AH2497" s="1" t="s">
        <v>59</v>
      </c>
      <c r="AI2497">
        <v>12103</v>
      </c>
      <c r="AJ2497">
        <v>-186.20000000000073</v>
      </c>
    </row>
    <row r="2498" spans="1:36" x14ac:dyDescent="0.25">
      <c r="A2498">
        <v>12497</v>
      </c>
      <c r="B2498">
        <v>62</v>
      </c>
      <c r="C2498" s="1" t="s">
        <v>60</v>
      </c>
      <c r="D2498" s="1" t="s">
        <v>61</v>
      </c>
      <c r="E2498" s="2">
        <v>45045</v>
      </c>
      <c r="F2498" s="2">
        <v>45015</v>
      </c>
      <c r="G2498" s="1" t="s">
        <v>62</v>
      </c>
      <c r="H2498">
        <v>891</v>
      </c>
      <c r="I2498">
        <v>34</v>
      </c>
      <c r="J2498">
        <v>2</v>
      </c>
      <c r="K2498">
        <v>89.36</v>
      </c>
      <c r="L2498">
        <v>5</v>
      </c>
      <c r="M2498" s="1" t="s">
        <v>65</v>
      </c>
      <c r="N2498" s="1" t="s">
        <v>56</v>
      </c>
      <c r="O2498">
        <v>30249.45</v>
      </c>
      <c r="P2498" t="b">
        <v>0</v>
      </c>
      <c r="Q2498">
        <v>2.8333333333333335</v>
      </c>
      <c r="R2498">
        <v>889.689705882353</v>
      </c>
      <c r="S2498">
        <v>29.786666666666665</v>
      </c>
      <c r="T2498" s="2">
        <v>45017</v>
      </c>
      <c r="U2498" s="1" t="s">
        <v>41</v>
      </c>
      <c r="V2498">
        <v>0</v>
      </c>
      <c r="W2498" s="1" t="s">
        <v>40</v>
      </c>
      <c r="Y2498" s="1" t="s">
        <v>43</v>
      </c>
      <c r="Z2498" s="1" t="s">
        <v>42</v>
      </c>
      <c r="AA2498">
        <v>5.7142857142857141E-2</v>
      </c>
      <c r="AB2498" s="1" t="s">
        <v>43</v>
      </c>
      <c r="AC2498">
        <v>2</v>
      </c>
      <c r="AD2498" s="2">
        <v>45017</v>
      </c>
      <c r="AE2498" s="1" t="s">
        <v>44</v>
      </c>
      <c r="AF2498" s="1" t="s">
        <v>72</v>
      </c>
      <c r="AG2498" s="1" t="s">
        <v>63</v>
      </c>
      <c r="AH2498" s="1" t="s">
        <v>59</v>
      </c>
      <c r="AI2498">
        <v>30294</v>
      </c>
      <c r="AJ2498">
        <v>-44.549999999999272</v>
      </c>
    </row>
    <row r="2499" spans="1:36" x14ac:dyDescent="0.25">
      <c r="A2499">
        <v>12498</v>
      </c>
      <c r="B2499">
        <v>29</v>
      </c>
      <c r="C2499" s="1" t="s">
        <v>36</v>
      </c>
      <c r="D2499" s="1" t="s">
        <v>61</v>
      </c>
      <c r="E2499" s="2">
        <v>44256</v>
      </c>
      <c r="F2499" s="2">
        <v>44494</v>
      </c>
      <c r="G2499" s="1" t="s">
        <v>49</v>
      </c>
      <c r="H2499">
        <v>1365</v>
      </c>
      <c r="I2499">
        <v>24</v>
      </c>
      <c r="J2499">
        <v>4</v>
      </c>
      <c r="K2499">
        <v>40.630000000000003</v>
      </c>
      <c r="L2499">
        <v>10</v>
      </c>
      <c r="M2499" s="1" t="s">
        <v>65</v>
      </c>
      <c r="N2499" s="1" t="s">
        <v>56</v>
      </c>
      <c r="O2499">
        <v>32623.5</v>
      </c>
      <c r="P2499" t="b">
        <v>1</v>
      </c>
      <c r="Q2499">
        <v>2</v>
      </c>
      <c r="R2499">
        <v>1359.3125</v>
      </c>
      <c r="S2499">
        <v>8.1260000000000012</v>
      </c>
      <c r="T2499" s="2">
        <v>44256</v>
      </c>
      <c r="U2499" s="1" t="s">
        <v>57</v>
      </c>
      <c r="V2499">
        <v>0</v>
      </c>
      <c r="W2499" s="1" t="s">
        <v>40</v>
      </c>
      <c r="X2499">
        <v>238</v>
      </c>
      <c r="Y2499" s="1" t="s">
        <v>52</v>
      </c>
      <c r="Z2499" s="1" t="s">
        <v>42</v>
      </c>
      <c r="AA2499">
        <v>0.16</v>
      </c>
      <c r="AB2499" s="1" t="s">
        <v>43</v>
      </c>
      <c r="AC2499">
        <v>3</v>
      </c>
      <c r="AD2499" s="2">
        <v>44256</v>
      </c>
      <c r="AE2499" s="1" t="s">
        <v>53</v>
      </c>
      <c r="AF2499" s="1" t="s">
        <v>45</v>
      </c>
      <c r="AG2499" s="1" t="s">
        <v>55</v>
      </c>
      <c r="AH2499" s="1" t="s">
        <v>47</v>
      </c>
      <c r="AI2499">
        <v>32760</v>
      </c>
      <c r="AJ2499">
        <v>-136.5</v>
      </c>
    </row>
    <row r="2500" spans="1:36" x14ac:dyDescent="0.25">
      <c r="A2500">
        <v>12499</v>
      </c>
      <c r="B2500">
        <v>49</v>
      </c>
      <c r="C2500" s="1" t="s">
        <v>36</v>
      </c>
      <c r="D2500" s="1" t="s">
        <v>48</v>
      </c>
      <c r="E2500" s="2">
        <v>44593</v>
      </c>
      <c r="F2500" s="2">
        <v>44832</v>
      </c>
      <c r="G2500" s="1" t="s">
        <v>62</v>
      </c>
      <c r="H2500">
        <v>832</v>
      </c>
      <c r="I2500">
        <v>1</v>
      </c>
      <c r="J2500">
        <v>5</v>
      </c>
      <c r="K2500">
        <v>28.09</v>
      </c>
      <c r="L2500">
        <v>5</v>
      </c>
      <c r="M2500" s="1" t="s">
        <v>65</v>
      </c>
      <c r="N2500" s="1" t="s">
        <v>56</v>
      </c>
      <c r="O2500">
        <v>790.4</v>
      </c>
      <c r="P2500" t="b">
        <v>1</v>
      </c>
      <c r="Q2500">
        <v>8.3333333333333329E-2</v>
      </c>
      <c r="R2500">
        <v>790.4</v>
      </c>
      <c r="S2500">
        <v>4.6816666666666666</v>
      </c>
      <c r="T2500" s="2">
        <v>44593</v>
      </c>
      <c r="U2500" s="1" t="s">
        <v>51</v>
      </c>
      <c r="V2500">
        <v>0</v>
      </c>
      <c r="W2500" s="1" t="s">
        <v>56</v>
      </c>
      <c r="X2500">
        <v>239</v>
      </c>
      <c r="Y2500" s="1" t="s">
        <v>52</v>
      </c>
      <c r="Z2500" s="1" t="s">
        <v>42</v>
      </c>
      <c r="AA2500">
        <v>2.5</v>
      </c>
      <c r="AB2500" s="1" t="s">
        <v>42</v>
      </c>
      <c r="AC2500">
        <v>2</v>
      </c>
      <c r="AD2500" s="2">
        <v>44593</v>
      </c>
      <c r="AE2500" s="1" t="s">
        <v>58</v>
      </c>
      <c r="AF2500" s="1" t="s">
        <v>45</v>
      </c>
      <c r="AG2500" s="1" t="s">
        <v>70</v>
      </c>
      <c r="AH2500" s="1" t="s">
        <v>59</v>
      </c>
      <c r="AI2500">
        <v>832</v>
      </c>
      <c r="AJ2500">
        <v>-41.600000000000023</v>
      </c>
    </row>
    <row r="2501" spans="1:36" x14ac:dyDescent="0.25">
      <c r="A2501">
        <v>12500</v>
      </c>
      <c r="B2501">
        <v>49</v>
      </c>
      <c r="C2501" s="1" t="s">
        <v>60</v>
      </c>
      <c r="D2501" s="1" t="s">
        <v>61</v>
      </c>
      <c r="E2501" s="2">
        <v>44453</v>
      </c>
      <c r="F2501" s="2">
        <v>44946</v>
      </c>
      <c r="G2501" s="1" t="s">
        <v>38</v>
      </c>
      <c r="H2501">
        <v>821</v>
      </c>
      <c r="I2501">
        <v>12</v>
      </c>
      <c r="J2501">
        <v>1</v>
      </c>
      <c r="K2501">
        <v>97.88</v>
      </c>
      <c r="L2501">
        <v>5</v>
      </c>
      <c r="M2501" s="1" t="s">
        <v>67</v>
      </c>
      <c r="N2501" s="1" t="s">
        <v>40</v>
      </c>
      <c r="O2501">
        <v>9810.9500000000007</v>
      </c>
      <c r="P2501" t="b">
        <v>1</v>
      </c>
      <c r="Q2501">
        <v>1</v>
      </c>
      <c r="R2501">
        <v>817.57916666666677</v>
      </c>
      <c r="S2501">
        <v>48.94</v>
      </c>
      <c r="T2501" s="2">
        <v>44440</v>
      </c>
      <c r="U2501" s="1" t="s">
        <v>51</v>
      </c>
      <c r="V2501">
        <v>1</v>
      </c>
      <c r="W2501" s="1" t="s">
        <v>56</v>
      </c>
      <c r="X2501">
        <v>493</v>
      </c>
      <c r="Y2501" s="1" t="s">
        <v>43</v>
      </c>
      <c r="Z2501" s="1" t="s">
        <v>42</v>
      </c>
      <c r="AA2501">
        <v>7.6923076923076927E-2</v>
      </c>
      <c r="AB2501" s="1" t="s">
        <v>52</v>
      </c>
      <c r="AC2501">
        <v>1</v>
      </c>
      <c r="AD2501" s="2">
        <v>44440</v>
      </c>
      <c r="AE2501" s="1" t="s">
        <v>74</v>
      </c>
      <c r="AF2501" s="1" t="s">
        <v>54</v>
      </c>
      <c r="AG2501" s="1" t="s">
        <v>63</v>
      </c>
      <c r="AH2501" s="1" t="s">
        <v>59</v>
      </c>
      <c r="AI2501">
        <v>9852</v>
      </c>
      <c r="AJ2501">
        <v>-41.049999999999272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645E8-21C6-4B2C-8767-B4E45D04454C}">
  <dimension ref="A3:D57"/>
  <sheetViews>
    <sheetView workbookViewId="0">
      <selection activeCell="H3" sqref="H3"/>
    </sheetView>
  </sheetViews>
  <sheetFormatPr defaultRowHeight="15" x14ac:dyDescent="0.25"/>
  <cols>
    <col min="1" max="1" width="13.140625" bestFit="1" customWidth="1"/>
    <col min="2" max="2" width="17" bestFit="1" customWidth="1"/>
    <col min="3" max="3" width="20.28515625" bestFit="1" customWidth="1"/>
    <col min="4" max="4" width="11.28515625" bestFit="1" customWidth="1"/>
  </cols>
  <sheetData>
    <row r="3" spans="1:4" x14ac:dyDescent="0.25">
      <c r="A3" s="3" t="s">
        <v>93</v>
      </c>
      <c r="B3" s="3" t="s">
        <v>92</v>
      </c>
    </row>
    <row r="4" spans="1:4" x14ac:dyDescent="0.25">
      <c r="A4" s="3" t="s">
        <v>90</v>
      </c>
      <c r="B4" t="s">
        <v>56</v>
      </c>
      <c r="C4" t="s">
        <v>40</v>
      </c>
      <c r="D4" t="s">
        <v>91</v>
      </c>
    </row>
    <row r="5" spans="1:4" x14ac:dyDescent="0.25">
      <c r="A5" s="4" t="s">
        <v>38</v>
      </c>
      <c r="B5" s="1">
        <v>834</v>
      </c>
      <c r="C5" s="1">
        <v>267</v>
      </c>
      <c r="D5" s="1">
        <v>1101</v>
      </c>
    </row>
    <row r="6" spans="1:4" x14ac:dyDescent="0.25">
      <c r="A6" s="4" t="s">
        <v>49</v>
      </c>
      <c r="B6" s="1">
        <v>359</v>
      </c>
      <c r="C6" s="1">
        <v>130</v>
      </c>
      <c r="D6" s="1">
        <v>489</v>
      </c>
    </row>
    <row r="7" spans="1:4" x14ac:dyDescent="0.25">
      <c r="A7" s="4" t="s">
        <v>62</v>
      </c>
      <c r="B7" s="1">
        <v>721</v>
      </c>
      <c r="C7" s="1">
        <v>189</v>
      </c>
      <c r="D7" s="1">
        <v>910</v>
      </c>
    </row>
    <row r="8" spans="1:4" x14ac:dyDescent="0.25">
      <c r="A8" s="4" t="s">
        <v>91</v>
      </c>
      <c r="B8" s="1">
        <v>1914</v>
      </c>
      <c r="C8" s="1">
        <v>586</v>
      </c>
      <c r="D8" s="1">
        <v>2500</v>
      </c>
    </row>
    <row r="12" spans="1:4" x14ac:dyDescent="0.25">
      <c r="A12" s="3" t="s">
        <v>90</v>
      </c>
      <c r="B12" t="s">
        <v>93</v>
      </c>
      <c r="C12" t="s">
        <v>94</v>
      </c>
    </row>
    <row r="13" spans="1:4" x14ac:dyDescent="0.25">
      <c r="A13" s="4" t="s">
        <v>65</v>
      </c>
      <c r="B13" s="1">
        <v>609</v>
      </c>
      <c r="C13" s="1">
        <v>9358576</v>
      </c>
    </row>
    <row r="14" spans="1:4" x14ac:dyDescent="0.25">
      <c r="A14" s="4" t="s">
        <v>67</v>
      </c>
      <c r="B14" s="1">
        <v>652</v>
      </c>
      <c r="C14" s="1">
        <v>10446037.049999995</v>
      </c>
    </row>
    <row r="15" spans="1:4" x14ac:dyDescent="0.25">
      <c r="A15" s="4" t="s">
        <v>50</v>
      </c>
      <c r="B15" s="1">
        <v>602</v>
      </c>
      <c r="C15" s="1">
        <v>10089889.249999996</v>
      </c>
    </row>
    <row r="16" spans="1:4" x14ac:dyDescent="0.25">
      <c r="A16" s="4" t="s">
        <v>39</v>
      </c>
      <c r="B16" s="1">
        <v>637</v>
      </c>
      <c r="C16" s="1">
        <v>9880207.1999999955</v>
      </c>
    </row>
    <row r="17" spans="1:3" x14ac:dyDescent="0.25">
      <c r="A17" s="4" t="s">
        <v>91</v>
      </c>
      <c r="B17" s="1">
        <v>2500</v>
      </c>
      <c r="C17" s="1">
        <v>39774709.49999994</v>
      </c>
    </row>
    <row r="21" spans="1:3" x14ac:dyDescent="0.25">
      <c r="A21" s="3" t="s">
        <v>90</v>
      </c>
      <c r="B21" t="s">
        <v>95</v>
      </c>
      <c r="C21" t="s">
        <v>93</v>
      </c>
    </row>
    <row r="22" spans="1:3" x14ac:dyDescent="0.25">
      <c r="A22" s="4">
        <v>1</v>
      </c>
      <c r="B22" s="1">
        <v>20</v>
      </c>
      <c r="C22" s="1">
        <v>75</v>
      </c>
    </row>
    <row r="23" spans="1:3" x14ac:dyDescent="0.25">
      <c r="A23" s="4">
        <v>2</v>
      </c>
      <c r="B23" s="1">
        <v>13</v>
      </c>
      <c r="C23" s="1">
        <v>71</v>
      </c>
    </row>
    <row r="24" spans="1:3" x14ac:dyDescent="0.25">
      <c r="A24" s="4">
        <v>3</v>
      </c>
      <c r="B24" s="1">
        <v>22</v>
      </c>
      <c r="C24" s="1">
        <v>68</v>
      </c>
    </row>
    <row r="25" spans="1:3" x14ac:dyDescent="0.25">
      <c r="A25" s="4">
        <v>4</v>
      </c>
      <c r="B25" s="1">
        <v>23</v>
      </c>
      <c r="C25" s="1">
        <v>69</v>
      </c>
    </row>
    <row r="26" spans="1:3" x14ac:dyDescent="0.25">
      <c r="A26" s="4">
        <v>5</v>
      </c>
      <c r="B26" s="1">
        <v>22</v>
      </c>
      <c r="C26" s="1">
        <v>72</v>
      </c>
    </row>
    <row r="27" spans="1:3" x14ac:dyDescent="0.25">
      <c r="A27" s="4">
        <v>6</v>
      </c>
      <c r="B27" s="1">
        <v>13</v>
      </c>
      <c r="C27" s="1">
        <v>61</v>
      </c>
    </row>
    <row r="28" spans="1:3" x14ac:dyDescent="0.25">
      <c r="A28" s="4">
        <v>7</v>
      </c>
      <c r="B28" s="1">
        <v>20</v>
      </c>
      <c r="C28" s="1">
        <v>85</v>
      </c>
    </row>
    <row r="29" spans="1:3" x14ac:dyDescent="0.25">
      <c r="A29" s="4">
        <v>8</v>
      </c>
      <c r="B29" s="1">
        <v>14</v>
      </c>
      <c r="C29" s="1">
        <v>70</v>
      </c>
    </row>
    <row r="30" spans="1:3" x14ac:dyDescent="0.25">
      <c r="A30" s="4">
        <v>9</v>
      </c>
      <c r="B30" s="1">
        <v>15</v>
      </c>
      <c r="C30" s="1">
        <v>76</v>
      </c>
    </row>
    <row r="31" spans="1:3" x14ac:dyDescent="0.25">
      <c r="A31" s="4">
        <v>10</v>
      </c>
      <c r="B31" s="1">
        <v>23</v>
      </c>
      <c r="C31" s="1">
        <v>82</v>
      </c>
    </row>
    <row r="32" spans="1:3" x14ac:dyDescent="0.25">
      <c r="A32" s="4">
        <v>11</v>
      </c>
      <c r="B32" s="1">
        <v>17</v>
      </c>
      <c r="C32" s="1">
        <v>72</v>
      </c>
    </row>
    <row r="33" spans="1:3" x14ac:dyDescent="0.25">
      <c r="A33" s="4">
        <v>12</v>
      </c>
      <c r="B33" s="1">
        <v>16</v>
      </c>
      <c r="C33" s="1">
        <v>70</v>
      </c>
    </row>
    <row r="34" spans="1:3" x14ac:dyDescent="0.25">
      <c r="A34" s="4">
        <v>13</v>
      </c>
      <c r="B34" s="1">
        <v>15</v>
      </c>
      <c r="C34" s="1">
        <v>86</v>
      </c>
    </row>
    <row r="35" spans="1:3" x14ac:dyDescent="0.25">
      <c r="A35" s="4">
        <v>14</v>
      </c>
      <c r="B35" s="1">
        <v>14</v>
      </c>
      <c r="C35" s="1">
        <v>71</v>
      </c>
    </row>
    <row r="36" spans="1:3" x14ac:dyDescent="0.25">
      <c r="A36" s="4">
        <v>15</v>
      </c>
      <c r="B36" s="1">
        <v>16</v>
      </c>
      <c r="C36" s="1">
        <v>73</v>
      </c>
    </row>
    <row r="37" spans="1:3" x14ac:dyDescent="0.25">
      <c r="A37" s="4">
        <v>16</v>
      </c>
      <c r="B37" s="1">
        <v>20</v>
      </c>
      <c r="C37" s="1">
        <v>79</v>
      </c>
    </row>
    <row r="38" spans="1:3" x14ac:dyDescent="0.25">
      <c r="A38" s="4">
        <v>17</v>
      </c>
      <c r="B38" s="1">
        <v>15</v>
      </c>
      <c r="C38" s="1">
        <v>78</v>
      </c>
    </row>
    <row r="39" spans="1:3" x14ac:dyDescent="0.25">
      <c r="A39" s="4">
        <v>18</v>
      </c>
      <c r="B39" s="1">
        <v>23</v>
      </c>
      <c r="C39" s="1">
        <v>69</v>
      </c>
    </row>
    <row r="40" spans="1:3" x14ac:dyDescent="0.25">
      <c r="A40" s="4">
        <v>19</v>
      </c>
      <c r="B40" s="1">
        <v>17</v>
      </c>
      <c r="C40" s="1">
        <v>77</v>
      </c>
    </row>
    <row r="41" spans="1:3" x14ac:dyDescent="0.25">
      <c r="A41" s="4">
        <v>20</v>
      </c>
      <c r="B41" s="1">
        <v>16</v>
      </c>
      <c r="C41" s="1">
        <v>58</v>
      </c>
    </row>
    <row r="42" spans="1:3" x14ac:dyDescent="0.25">
      <c r="A42" s="4">
        <v>21</v>
      </c>
      <c r="B42" s="1">
        <v>14</v>
      </c>
      <c r="C42" s="1">
        <v>73</v>
      </c>
    </row>
    <row r="43" spans="1:3" x14ac:dyDescent="0.25">
      <c r="A43" s="4">
        <v>22</v>
      </c>
      <c r="B43" s="1">
        <v>13</v>
      </c>
      <c r="C43" s="1">
        <v>64</v>
      </c>
    </row>
    <row r="44" spans="1:3" x14ac:dyDescent="0.25">
      <c r="A44" s="4">
        <v>23</v>
      </c>
      <c r="B44" s="1">
        <v>22</v>
      </c>
      <c r="C44" s="1">
        <v>78</v>
      </c>
    </row>
    <row r="45" spans="1:3" x14ac:dyDescent="0.25">
      <c r="A45" s="4">
        <v>24</v>
      </c>
      <c r="B45" s="1">
        <v>12</v>
      </c>
      <c r="C45" s="1">
        <v>72</v>
      </c>
    </row>
    <row r="46" spans="1:3" x14ac:dyDescent="0.25">
      <c r="A46" s="4">
        <v>25</v>
      </c>
      <c r="B46" s="1">
        <v>21</v>
      </c>
      <c r="C46" s="1">
        <v>72</v>
      </c>
    </row>
    <row r="47" spans="1:3" x14ac:dyDescent="0.25">
      <c r="A47" s="4">
        <v>26</v>
      </c>
      <c r="B47" s="1">
        <v>15</v>
      </c>
      <c r="C47" s="1">
        <v>66</v>
      </c>
    </row>
    <row r="48" spans="1:3" x14ac:dyDescent="0.25">
      <c r="A48" s="4">
        <v>27</v>
      </c>
      <c r="B48" s="1">
        <v>8</v>
      </c>
      <c r="C48" s="1">
        <v>53</v>
      </c>
    </row>
    <row r="49" spans="1:3" x14ac:dyDescent="0.25">
      <c r="A49" s="4">
        <v>28</v>
      </c>
      <c r="B49" s="1">
        <v>15</v>
      </c>
      <c r="C49" s="1">
        <v>70</v>
      </c>
    </row>
    <row r="50" spans="1:3" x14ac:dyDescent="0.25">
      <c r="A50" s="4">
        <v>29</v>
      </c>
      <c r="B50" s="1">
        <v>16</v>
      </c>
      <c r="C50" s="1">
        <v>67</v>
      </c>
    </row>
    <row r="51" spans="1:3" x14ac:dyDescent="0.25">
      <c r="A51" s="4">
        <v>30</v>
      </c>
      <c r="B51" s="1">
        <v>14</v>
      </c>
      <c r="C51" s="1">
        <v>63</v>
      </c>
    </row>
    <row r="52" spans="1:3" x14ac:dyDescent="0.25">
      <c r="A52" s="4">
        <v>31</v>
      </c>
      <c r="B52" s="1">
        <v>14</v>
      </c>
      <c r="C52" s="1">
        <v>70</v>
      </c>
    </row>
    <row r="53" spans="1:3" x14ac:dyDescent="0.25">
      <c r="A53" s="4">
        <v>32</v>
      </c>
      <c r="B53" s="1">
        <v>15</v>
      </c>
      <c r="C53" s="1">
        <v>65</v>
      </c>
    </row>
    <row r="54" spans="1:3" x14ac:dyDescent="0.25">
      <c r="A54" s="4">
        <v>33</v>
      </c>
      <c r="B54" s="1">
        <v>23</v>
      </c>
      <c r="C54" s="1">
        <v>81</v>
      </c>
    </row>
    <row r="55" spans="1:3" x14ac:dyDescent="0.25">
      <c r="A55" s="4">
        <v>34</v>
      </c>
      <c r="B55" s="1">
        <v>16</v>
      </c>
      <c r="C55" s="1">
        <v>82</v>
      </c>
    </row>
    <row r="56" spans="1:3" x14ac:dyDescent="0.25">
      <c r="A56" s="4">
        <v>35</v>
      </c>
      <c r="B56" s="1">
        <v>14</v>
      </c>
      <c r="C56" s="1">
        <v>62</v>
      </c>
    </row>
    <row r="57" spans="1:3" x14ac:dyDescent="0.25">
      <c r="A57" s="4" t="s">
        <v>91</v>
      </c>
      <c r="B57" s="1">
        <v>586</v>
      </c>
      <c r="C57" s="1">
        <v>2500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288D-E83B-4CF4-8AEF-3448539DA083}">
  <dimension ref="A1:B13"/>
  <sheetViews>
    <sheetView tabSelected="1" workbookViewId="0">
      <selection activeCell="B12" sqref="B12"/>
    </sheetView>
  </sheetViews>
  <sheetFormatPr defaultRowHeight="15" x14ac:dyDescent="0.25"/>
  <cols>
    <col min="1" max="1" width="40.140625" bestFit="1" customWidth="1"/>
    <col min="2" max="2" width="11" bestFit="1" customWidth="1"/>
  </cols>
  <sheetData>
    <row r="1" spans="1:2" ht="21" x14ac:dyDescent="0.35">
      <c r="A1" s="5" t="s">
        <v>96</v>
      </c>
      <c r="B1" s="5"/>
    </row>
    <row r="2" spans="1:2" x14ac:dyDescent="0.25">
      <c r="A2" s="6" t="s">
        <v>80</v>
      </c>
      <c r="B2" s="7">
        <f>ROWS(cleaned_customer_data[customer_id])</f>
        <v>2500</v>
      </c>
    </row>
    <row r="3" spans="1:2" x14ac:dyDescent="0.25">
      <c r="A3" s="6" t="s">
        <v>81</v>
      </c>
      <c r="B3" s="7">
        <f>COUNTIF(cleaned_customer_data[churned],"Yes")</f>
        <v>586</v>
      </c>
    </row>
    <row r="4" spans="1:2" x14ac:dyDescent="0.25">
      <c r="A4" s="6" t="s">
        <v>82</v>
      </c>
      <c r="B4" s="7">
        <f>COUNTIF(cleaned_customer_data[churned],"No")</f>
        <v>1914</v>
      </c>
    </row>
    <row r="5" spans="1:2" x14ac:dyDescent="0.25">
      <c r="A5" s="6" t="s">
        <v>83</v>
      </c>
      <c r="B5" s="8">
        <f>B3/B2</f>
        <v>0.2344</v>
      </c>
    </row>
    <row r="6" spans="1:2" x14ac:dyDescent="0.25">
      <c r="A6" s="6" t="s">
        <v>84</v>
      </c>
      <c r="B6" s="7">
        <f>AVERAGE(Customers!H:H)</f>
        <v>902.53599999999994</v>
      </c>
    </row>
    <row r="7" spans="1:2" x14ac:dyDescent="0.25">
      <c r="A7" s="6" t="s">
        <v>85</v>
      </c>
      <c r="B7" s="7">
        <f>SUM(Customers!O:O)</f>
        <v>39774709.5</v>
      </c>
    </row>
    <row r="8" spans="1:2" x14ac:dyDescent="0.25">
      <c r="A8" s="6" t="s">
        <v>86</v>
      </c>
      <c r="B8" s="7">
        <f>AVERAGE(Customers!O:O)</f>
        <v>15909.8838</v>
      </c>
    </row>
    <row r="9" spans="1:2" x14ac:dyDescent="0.25">
      <c r="A9" s="6" t="s">
        <v>87</v>
      </c>
      <c r="B9" s="7">
        <f>COUNTIF(Customers!W:W,"Yes")</f>
        <v>1250</v>
      </c>
    </row>
    <row r="10" spans="1:2" x14ac:dyDescent="0.25">
      <c r="A10" s="6" t="s">
        <v>88</v>
      </c>
      <c r="B10" s="7">
        <f>COUNTIFS(Customers!W:W,"Yes",Customers!N:N,"Yes")</f>
        <v>282</v>
      </c>
    </row>
    <row r="11" spans="1:2" x14ac:dyDescent="0.25">
      <c r="A11" s="6" t="s">
        <v>89</v>
      </c>
      <c r="B11" s="7">
        <f>COUNTIF(Customers!J:J,"&gt;=5")</f>
        <v>168</v>
      </c>
    </row>
    <row r="12" spans="1:2" x14ac:dyDescent="0.25">
      <c r="A12" s="6" t="s">
        <v>97</v>
      </c>
      <c r="B12" s="9">
        <f>B9/B2</f>
        <v>0.5</v>
      </c>
    </row>
    <row r="13" spans="1:2" x14ac:dyDescent="0.25">
      <c r="A13" s="6" t="s">
        <v>98</v>
      </c>
      <c r="B13" s="9">
        <f>B10/B9</f>
        <v>0.22559999999999999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9B5B6D9-4FC6-4A75-A000-D7252F69D8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charts</vt:lpstr>
      <vt:lpstr>Customers</vt:lpstr>
      <vt:lpstr>analysis</vt:lpstr>
      <vt:lpstr>Excel_Analysis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Yashmal Sai Ballem</dc:creator>
  <cp:lastModifiedBy>Yashmal Sai Ballem</cp:lastModifiedBy>
  <dcterms:created xsi:type="dcterms:W3CDTF">2026-10-12T14:21:50Z</dcterms:created>
  <dcterms:modified xsi:type="dcterms:W3CDTF">2026-10-13T13:37:25Z</dcterms:modified>
</cp:coreProperties>
</file>